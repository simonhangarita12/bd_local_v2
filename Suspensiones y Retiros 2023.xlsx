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CC\Downloads\"/>
    </mc:Choice>
  </mc:AlternateContent>
  <xr:revisionPtr revIDLastSave="0" documentId="8_{691F2100-EEB4-4470-B012-ECD7F932FF98}" xr6:coauthVersionLast="47" xr6:coauthVersionMax="47" xr10:uidLastSave="{00000000-0000-0000-0000-000000000000}"/>
  <bookViews>
    <workbookView xWindow="-110" yWindow="-110" windowWidth="19420" windowHeight="10300" firstSheet="21" activeTab="24" xr2:uid="{00000000-000D-0000-FFFF-FFFF00000000}"/>
  </bookViews>
  <sheets>
    <sheet name="SUSPENDIDOS" sheetId="1" r:id="rId1"/>
    <sheet name="ENERO 2023" sheetId="2" r:id="rId2"/>
    <sheet name="FEBRERO 2023" sheetId="3" r:id="rId3"/>
    <sheet name="MARZO 2023" sheetId="4" r:id="rId4"/>
    <sheet name="ABRIL 2023" sheetId="5" r:id="rId5"/>
    <sheet name="MAYO 2023" sheetId="6" r:id="rId6"/>
    <sheet name="JUNIO 2023" sheetId="7" r:id="rId7"/>
    <sheet name="JULIO 2023" sheetId="8" r:id="rId8"/>
    <sheet name="AGOSTO 2023" sheetId="9" r:id="rId9"/>
    <sheet name="SEPTIEMBRE 2023" sheetId="10" r:id="rId10"/>
    <sheet name="OCTUBRE 2023" sheetId="11" r:id="rId11"/>
    <sheet name="NOVIEMBRE 2023" sheetId="12" r:id="rId12"/>
    <sheet name="DICIEMBRE 2023" sheetId="13" r:id="rId13"/>
    <sheet name="ENERO 2024" sheetId="14" r:id="rId14"/>
    <sheet name="FEBRERO 2024" sheetId="15" r:id="rId15"/>
    <sheet name="MARZO 2024" sheetId="16" r:id="rId16"/>
    <sheet name="ABRIL 2024" sheetId="17" r:id="rId17"/>
    <sheet name="MAYO 2024" sheetId="18" r:id="rId18"/>
    <sheet name="JUNIO 2024" sheetId="19" r:id="rId19"/>
    <sheet name="JULIO 2024" sheetId="20" r:id="rId20"/>
    <sheet name="AGOSTO 2024" sheetId="21" r:id="rId21"/>
    <sheet name="SEPTIEMBRE 2024" sheetId="22" r:id="rId22"/>
    <sheet name="OCTUBRE 2024" sheetId="23" r:id="rId23"/>
    <sheet name="NOVIEMBRE 2024" sheetId="24" r:id="rId24"/>
    <sheet name="DICIEMBRE 2024" sheetId="25" r:id="rId25"/>
    <sheet name="ENERO 2025" sheetId="26" r:id="rId26"/>
    <sheet name="FEBRERO 2025" sheetId="27" r:id="rId27"/>
    <sheet name="MARZO 2025" sheetId="28" r:id="rId28"/>
    <sheet name="ABRIL 2025" sheetId="29"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7" l="1"/>
  <c r="B13" i="26"/>
  <c r="B15" i="25"/>
  <c r="B8" i="24"/>
  <c r="B12" i="23"/>
  <c r="B9" i="22"/>
  <c r="B11" i="21"/>
  <c r="B12" i="20"/>
  <c r="B14" i="19"/>
  <c r="B17" i="18"/>
  <c r="B20" i="17"/>
  <c r="B29" i="16"/>
  <c r="B24" i="15"/>
  <c r="B16" i="14"/>
  <c r="B10" i="13"/>
  <c r="B10" i="11"/>
  <c r="B14" i="10"/>
  <c r="A17" i="25" l="1"/>
  <c r="A18" i="25" s="1"/>
</calcChain>
</file>

<file path=xl/sharedStrings.xml><?xml version="1.0" encoding="utf-8"?>
<sst xmlns="http://schemas.openxmlformats.org/spreadsheetml/2006/main" count="6133" uniqueCount="2695">
  <si>
    <t>IDENTIFICACION</t>
  </si>
  <si>
    <t>CICLO</t>
  </si>
  <si>
    <t>EMPRESA</t>
  </si>
  <si>
    <t xml:space="preserve">NOMBRE </t>
  </si>
  <si>
    <t>TELEFONO</t>
  </si>
  <si>
    <t>TIPO DE RETIRO / Y SUSPENSION</t>
  </si>
  <si>
    <t>FECHA DE NOTIFICACIÓN DEL CLIENTE (FECHA DEL CORREO)</t>
  </si>
  <si>
    <t>CAUSAL</t>
  </si>
  <si>
    <t>VALOR FRA MENSUAL</t>
  </si>
  <si>
    <t>SERVICIO HASTA</t>
  </si>
  <si>
    <t>FECHA ÚLTIMA FACTURA</t>
  </si>
  <si>
    <t>RETIRAR RECURRENCIA MES</t>
  </si>
  <si>
    <t>ESTADO CARTERA</t>
  </si>
  <si>
    <t>NOTAS</t>
  </si>
  <si>
    <t>BLOQUEO USUARIO SISTEGRA</t>
  </si>
  <si>
    <t>MCM Trading S.A.S</t>
  </si>
  <si>
    <t>Definitivo</t>
  </si>
  <si>
    <t>Familiar llevará sistema</t>
  </si>
  <si>
    <t xml:space="preserve">31 de marzo </t>
  </si>
  <si>
    <t>Abril</t>
  </si>
  <si>
    <t>Structural Design S.A.S</t>
  </si>
  <si>
    <t>Liquidación empresa</t>
  </si>
  <si>
    <t>28 de febrero</t>
  </si>
  <si>
    <t>Marzo</t>
  </si>
  <si>
    <t>SI</t>
  </si>
  <si>
    <t>C.I Imporcenter de Colombia S.A.S</t>
  </si>
  <si>
    <t>Fusión con empresa más grande que tiene todo el sistema</t>
  </si>
  <si>
    <t>Farmaprecios de Colombia S.A.S</t>
  </si>
  <si>
    <t>Temporal (1 mes)</t>
  </si>
  <si>
    <t>Vacaciones del encargado</t>
  </si>
  <si>
    <t>24 de marzo</t>
  </si>
  <si>
    <t>Omnisalud Ltda</t>
  </si>
  <si>
    <t>Cambio de asesores jurídicos</t>
  </si>
  <si>
    <t>31 de marzo</t>
  </si>
  <si>
    <t>Ana Maria Contreras Villamizar (Drogueria Santa Ana)</t>
  </si>
  <si>
    <t>Tomará el sistema con copidrogas</t>
  </si>
  <si>
    <t>INSTALACIONES HIDRÁULICAS, MECÁNICAS Y ELÉCTRICAS YESID OSPINA SAS</t>
  </si>
  <si>
    <t>Suspensión Cartera</t>
  </si>
  <si>
    <t>Suspendido por mora en pago de facturas</t>
  </si>
  <si>
    <t>10 de marzo</t>
  </si>
  <si>
    <t>HUGO FERNEY DELGADO TORO / PUNTO DROGAS</t>
  </si>
  <si>
    <t>Suspensión SOLO FACTURACIÓN</t>
  </si>
  <si>
    <t>Suspender proceso de factura, sigue en servicio activo</t>
  </si>
  <si>
    <t>N/A</t>
  </si>
  <si>
    <t>Empezar a facturar nuevamente en diciembre 2022</t>
  </si>
  <si>
    <t>JHON JELVER BETANCOUR OSPINA (Droguerias Jhonfarma)</t>
  </si>
  <si>
    <t>7 de marzo</t>
  </si>
  <si>
    <t>Jose Orlando Espinosa Vergara (Drogueria Orsay)</t>
  </si>
  <si>
    <t>3 de marzo</t>
  </si>
  <si>
    <t>Oncomed Salud S.A.S</t>
  </si>
  <si>
    <t>24 de febrero</t>
  </si>
  <si>
    <t>ODH Soluciones y Servicios S.A.S</t>
  </si>
  <si>
    <t>Canceló servicio</t>
  </si>
  <si>
    <t>Miguel Sierra Delgado (Drogueria Farmacenter San Gabriel)</t>
  </si>
  <si>
    <t>Vendió la droguería y la persona que la compro tiene convenio con copidrogas</t>
  </si>
  <si>
    <t>23 de abril</t>
  </si>
  <si>
    <t>Mayo</t>
  </si>
  <si>
    <t>Urbanización Tierra del Sol P.H</t>
  </si>
  <si>
    <t>El cliente dice que requiere servicio más económico, el cual no podemos prestar</t>
  </si>
  <si>
    <t>15 de marzo de 2022</t>
  </si>
  <si>
    <t>ALDENUR VALERO HERNANDEZ (SUBSIDROGAS MADRID No 3)</t>
  </si>
  <si>
    <t>28 de Abril</t>
  </si>
  <si>
    <t>DEPOSITO Y FERRETERIA VICOLOR S.A.S</t>
  </si>
  <si>
    <t>La empresa entrará en cierre, por falta de contratos y posibilidad de atender público</t>
  </si>
  <si>
    <t>23 de marzo</t>
  </si>
  <si>
    <t>SANTA SUSANA S.A.S</t>
  </si>
  <si>
    <t>Temporal (3 meses)</t>
  </si>
  <si>
    <t>el responsable viaja por 3 meses, No consiguieron el reemplazo para la persona que actualmente toma las asesorías.</t>
  </si>
  <si>
    <t>Por definir</t>
  </si>
  <si>
    <t>En negociaciones con cliente para seguir sin ellos, ESPERAR PARA SUSPENDER</t>
  </si>
  <si>
    <t>Carlos Julio Garcia Carrillo</t>
  </si>
  <si>
    <t>Definitivo (suspensión por mora)</t>
  </si>
  <si>
    <t>La empresa no quiere recibir servicio, no contesta a la analista, ni a coordinación, ni a comercial (Marta)</t>
  </si>
  <si>
    <t>30 de marzo</t>
  </si>
  <si>
    <t>Escuela de conducción sin fronteras S.A.S</t>
  </si>
  <si>
    <t>La empresa encuentra muy costoso el servicio ofrecido</t>
  </si>
  <si>
    <t>Ricado Aparicio Higuera (Drogueria CardioRebajas)</t>
  </si>
  <si>
    <t>4 de Abril</t>
  </si>
  <si>
    <t>Moroso</t>
  </si>
  <si>
    <t>Cliente se encuentra suspendido por cartera, aun no esta al dia</t>
  </si>
  <si>
    <t>Martha Acosta Diaz (Drogueria Zero)</t>
  </si>
  <si>
    <t>4 de Mayo</t>
  </si>
  <si>
    <t>Coordinadora de Transportes PyP S.A.S</t>
  </si>
  <si>
    <t>Solo habian contratado anualidad, seguirán internamente con el proceso</t>
  </si>
  <si>
    <t>19 de Mayo</t>
  </si>
  <si>
    <t>Conectamos Red S.A.S</t>
  </si>
  <si>
    <t>liquidación empresa</t>
  </si>
  <si>
    <t>25 de mayo</t>
  </si>
  <si>
    <t>Carlos Gaviria (Drogueria Rincón de Santafé)</t>
  </si>
  <si>
    <t>10 de Mayo</t>
  </si>
  <si>
    <t>Lucy España Rojas Burgos (Drogas Fabisan)</t>
  </si>
  <si>
    <t>30 de Mayo</t>
  </si>
  <si>
    <t>Junio</t>
  </si>
  <si>
    <t>Jairo Ernesto Sánchez Ramirez (Drogas Sanchez e Hijos)</t>
  </si>
  <si>
    <t>Maria Cecilia Giraldo (Drogas Girespharma)</t>
  </si>
  <si>
    <t>Montacargas Express S.A.S</t>
  </si>
  <si>
    <t>Contrataron Personal interno</t>
  </si>
  <si>
    <t>30 de mayo</t>
  </si>
  <si>
    <t>Agustin Franco España Tobar (Comercializadora de insumos y alimentos)</t>
  </si>
  <si>
    <t>Razon desconocida</t>
  </si>
  <si>
    <t>21 de mayo</t>
  </si>
  <si>
    <t>Drogueria Drogahogar S.A.S</t>
  </si>
  <si>
    <t>HD Gerencia Integral S.A.S</t>
  </si>
  <si>
    <t>Fin de la obra</t>
  </si>
  <si>
    <t>30 de Junio</t>
  </si>
  <si>
    <t>Julio</t>
  </si>
  <si>
    <t>Tatiana Cortes Gallego (Masalud la 31)</t>
  </si>
  <si>
    <t>Temporal</t>
  </si>
  <si>
    <t>Cliente vendió drogueria, no facturar mientras coordinamos (Mayo)</t>
  </si>
  <si>
    <t>NO FRA MAYO</t>
  </si>
  <si>
    <t>Jardineros y Zonas Verdes S.A.S</t>
  </si>
  <si>
    <t>Contrataron otro servicio (presencial) que los acompaña en todas las labores</t>
  </si>
  <si>
    <t>29 de Mayo</t>
  </si>
  <si>
    <t>Better Business Outsourcing Colombia S.A.S</t>
  </si>
  <si>
    <t>Lynxus Solutions S.A.S</t>
  </si>
  <si>
    <t>Contratación Profesional Interno en la Empresa</t>
  </si>
  <si>
    <t>Mantenimiento y Acabados Guzman S.A.S</t>
  </si>
  <si>
    <t>Problemas de dinero (SUSPENDER HASTA NUEVA ORDEN)</t>
  </si>
  <si>
    <t>NO FRA JUNIO</t>
  </si>
  <si>
    <t>Jim Connect S.A.S</t>
  </si>
  <si>
    <t>El cliente adelantó estándares mínimos, al 98% y ya no desea continuar con el Sistema</t>
  </si>
  <si>
    <t>INVERSIONES PORVENIR COLOMBIA SAS</t>
  </si>
  <si>
    <t>Temporal (2 meses)</t>
  </si>
  <si>
    <t>Problemas Internos Empresa</t>
  </si>
  <si>
    <t>30 de junio</t>
  </si>
  <si>
    <t>REENCAUCHADORA PANAM SAS</t>
  </si>
  <si>
    <t>COLCDA SAS</t>
  </si>
  <si>
    <t>INVERSIONES INTEROBRAS SAS</t>
  </si>
  <si>
    <t>Profesional Interno de la empresa seguirá con el sistema</t>
  </si>
  <si>
    <t>16 de julio</t>
  </si>
  <si>
    <t>Empresa de cambio y calidad organizacional S.A.S</t>
  </si>
  <si>
    <t>Solo contrataron para obtener servicio de auditoria, una vez logrado el sistema al 100% cancelaron</t>
  </si>
  <si>
    <t>AM Arquitectos S.A.S</t>
  </si>
  <si>
    <t>No desea llevar el sistema</t>
  </si>
  <si>
    <t>Cubico Empresarial S.A.S (Beaver Construcciones S.A.S)</t>
  </si>
  <si>
    <t>Temporal (Cartera)</t>
  </si>
  <si>
    <t>Suspensión por cartera</t>
  </si>
  <si>
    <t>28 de Junio</t>
  </si>
  <si>
    <t>Hasta nueva orden</t>
  </si>
  <si>
    <t>Decoflex Acabados y Mantenimiento S.A.S</t>
  </si>
  <si>
    <t>Terminación de obra, no requieren más el servicio</t>
  </si>
  <si>
    <t>Martinez Duran S.A.S (Drogueria Hero - Heynar Martinez)</t>
  </si>
  <si>
    <t>3 de Junio</t>
  </si>
  <si>
    <t>Se debe anular fra Junio</t>
  </si>
  <si>
    <t>HG Dinámica Empresarial S.A.S</t>
  </si>
  <si>
    <t>Temporal (SOLO JULIO)</t>
  </si>
  <si>
    <t>Incapacidad del responsable</t>
  </si>
  <si>
    <t>JULIO</t>
  </si>
  <si>
    <t>REACTIVAR EN AGOSTO</t>
  </si>
  <si>
    <t>Import Print S.A.S</t>
  </si>
  <si>
    <t>30 de Julio</t>
  </si>
  <si>
    <t>Agosto</t>
  </si>
  <si>
    <t>Neu Energy S.A.S E.S.P</t>
  </si>
  <si>
    <t>Vincularon personal directo, que hará más labores aparte de SG-SST, labores administrativas</t>
  </si>
  <si>
    <t>22 de Julio</t>
  </si>
  <si>
    <t>Insights Wealth Managment Colombia S.A.S</t>
  </si>
  <si>
    <t>La empresa no tendrá más nómina en Colombia</t>
  </si>
  <si>
    <t>Johan Manuel Segura Cortes (Shuffle Now)</t>
  </si>
  <si>
    <t>Cliente suspende servicio hasta que le confirmen que necesita del sistema (cliente posiblemente solo necesita certificado)</t>
  </si>
  <si>
    <t>19 de Julio</t>
  </si>
  <si>
    <t>SUSPENDER</t>
  </si>
  <si>
    <t>Adicional se debe anular fra de Junio</t>
  </si>
  <si>
    <t>Modulinea SAS</t>
  </si>
  <si>
    <t>Cliente no desea continuar</t>
  </si>
  <si>
    <t>El cliente se encontraba en conversaciones con Comercial, no se pudo arreglar nada</t>
  </si>
  <si>
    <t>Jorge Luis Guzman Botero (Farmacenter la 70)</t>
  </si>
  <si>
    <t>Campomarket Colombia SAS</t>
  </si>
  <si>
    <t>Empresa despidió a todo el personal</t>
  </si>
  <si>
    <t>Maria Eibar Morales patiño (Drogueria la 67)</t>
  </si>
  <si>
    <t>LABORATORIO DE PRODUCTOS COSMETICOS Y DE BELLEZA SAS</t>
  </si>
  <si>
    <t>Continuan presencial con otro operador (contrataron personal directamente por la empresa)</t>
  </si>
  <si>
    <t>31 de Agosto</t>
  </si>
  <si>
    <t>Septiembre</t>
  </si>
  <si>
    <t>COMERCIALIZADORA FRUTOS DEL MAR SAS</t>
  </si>
  <si>
    <t>No quieren debito, les molestó que no firmaramos documentos realizados por otro Profesional</t>
  </si>
  <si>
    <t>11 de Agosto</t>
  </si>
  <si>
    <t>INMEDIATO</t>
  </si>
  <si>
    <t>Se debe analizar que hacer con la fra de Agosto</t>
  </si>
  <si>
    <t>DISTRIBUIDORA DE PESCADO Y MARISCOS MAR Y MAR SAS</t>
  </si>
  <si>
    <t>WILLIAM CORREA BERNAL (Drogueria Galáctica)</t>
  </si>
  <si>
    <t>1 de Agosto</t>
  </si>
  <si>
    <t>Se debe anular la fra de agosto</t>
  </si>
  <si>
    <t>JULIA INES SUSA DE LEAL (DROGUERIA SULEAL)</t>
  </si>
  <si>
    <t>Cliente cierra drogueria, comparte certificado de cancelación de matricula comercial de camara de comercio</t>
  </si>
  <si>
    <t>LAVANDERIA ECO INDUSTRIAL SAS</t>
  </si>
  <si>
    <t>Cliente no alcanzó punto de equilibrio del negocio, cierra empresa</t>
  </si>
  <si>
    <t>12 de Agosto</t>
  </si>
  <si>
    <t>JORGE ALIRIO ARBELAEZ (Drogueria Prosalud)</t>
  </si>
  <si>
    <t>Cliente vendió drogueria a familiar, el familiar trabaja con copidrogas</t>
  </si>
  <si>
    <t>1 de Sept</t>
  </si>
  <si>
    <t>no facturar septiembre</t>
  </si>
  <si>
    <t>GESTION Y SERVICIOS AL INSTANTE S.A.S</t>
  </si>
  <si>
    <t>Cliente manifestó demora en la atención del servicio PESV, además prefiere que todo lo haga una sola persona</t>
  </si>
  <si>
    <t>1 de Oct</t>
  </si>
  <si>
    <t>no facturar octubre</t>
  </si>
  <si>
    <t>RAFAEL ALZATE (DROGUERIA CIUDAD DORADA)</t>
  </si>
  <si>
    <t>Cliente cancela porque no se ajusta el valor solicitado del servicio, solo queria pagar 50.000</t>
  </si>
  <si>
    <t>EFREN BERNAL BELTRAN (DROGUERIA DISTRIFARMA)</t>
  </si>
  <si>
    <t>Cliente cierra drogueria para retirarse</t>
  </si>
  <si>
    <t>TRANSPORTACOL SAS</t>
  </si>
  <si>
    <t>La empresa no tiene capital para comprar los vehiculos requeridos en la habilitación como empresa de transporte (quiebra)</t>
  </si>
  <si>
    <t>ALEVINOS CATATUMBO SAS</t>
  </si>
  <si>
    <t>La empresa esta pasando por problemas economicos y no puede continuar con el servicio</t>
  </si>
  <si>
    <t>ENCITEL TELECOMUNICACIONES S.A.S</t>
  </si>
  <si>
    <t>La empresa a cancelado el servicio en multiples oportunidades, cuando presentan problemas de cartera</t>
  </si>
  <si>
    <t>SARQUIS TELECOMUNICACIONES S.A.S</t>
  </si>
  <si>
    <t>MDC INGENIEROS S.A.S</t>
  </si>
  <si>
    <t>Cierre de la empresa por quiebra</t>
  </si>
  <si>
    <t>11 de Oct</t>
  </si>
  <si>
    <t>TRASPORTES Y CONSTRUCCIONES VM SAS</t>
  </si>
  <si>
    <t>31 de Oct</t>
  </si>
  <si>
    <t>no facturar noviembre</t>
  </si>
  <si>
    <t>INGYGAS</t>
  </si>
  <si>
    <t>Cancelación obra donde estaban trabajando</t>
  </si>
  <si>
    <t>INSUELECTRIC</t>
  </si>
  <si>
    <t>La plataforma no cumplió las expectativas del cliente, cliente rechazó la factura</t>
  </si>
  <si>
    <t>NO FACTURAR MÁS</t>
  </si>
  <si>
    <t>SOCIEDAD SAN VICENTE DE PAUL DE MEDELLIN</t>
  </si>
  <si>
    <t>Inician proyecto de vivienda 2023 y deben utilizar personal interno con mayor trayectoria dentro de la Sociedad San Vicente</t>
  </si>
  <si>
    <t>30 de noviembre</t>
  </si>
  <si>
    <t>DICIEMBRE</t>
  </si>
  <si>
    <t>no facturar diciembre</t>
  </si>
  <si>
    <t>DROGUERIA SALUD Y BELLEZA GY</t>
  </si>
  <si>
    <t>Vendió, nuevo propietario (cadena) absorbe el negocio y ya tiene montado su SGSST</t>
  </si>
  <si>
    <t>1 de noviembre</t>
  </si>
  <si>
    <t>NOVIEMBRE</t>
  </si>
  <si>
    <t>Si ya se facturó noviembre, se debe anular</t>
  </si>
  <si>
    <t>COSMETICOS LA 68</t>
  </si>
  <si>
    <t>COMERCIALIZADORA GOAR SAS</t>
  </si>
  <si>
    <t>Suspensión del servicio, por renuncia del responsable</t>
  </si>
  <si>
    <t>18 de noviembre</t>
  </si>
  <si>
    <t>No facturar Diciembre</t>
  </si>
  <si>
    <t>EDIFICIO RIO CLARO P.H</t>
  </si>
  <si>
    <t>Terminación por costos, el responsable quiere tener los 3 edificios presenciales por 100.000, no es manejable para talento</t>
  </si>
  <si>
    <t>EDIFICIO TORRE LA PLAYA P.H</t>
  </si>
  <si>
    <t>EDIFICIO THUNAPA P.H</t>
  </si>
  <si>
    <t>CONSTRUCCIONES Y ACABADOS GOEZ S.A.S</t>
  </si>
  <si>
    <t>La empresa inició proceso de liquidación por sanción de la DIAN por NO pago de impuestos</t>
  </si>
  <si>
    <t>STRATEGO GESTION ESTRATEGICA DE PROYECTOS INMOBILIARIOS S.A.S</t>
  </si>
  <si>
    <t>Se suspendieron por cartera, se envió carta de datacredito y el cliente se molestó y canceló el sistema</t>
  </si>
  <si>
    <t>SIRLEY JOHANA GARCIA CANO - "CABUY"</t>
  </si>
  <si>
    <t>Retiro por quiebra</t>
  </si>
  <si>
    <t>30 de Octubre</t>
  </si>
  <si>
    <t>Esta se acaba de cargar a este cuadro, pero el retiro debió hacerse en noviembre</t>
  </si>
  <si>
    <t>ANCOR INGENIERIA PARA LA SEGURIDAD INDUSTRIAL SAS</t>
  </si>
  <si>
    <t>Cliente se suspende inicialmente por cartera, luego manifiesta el certificado emitido de "calidad" o fue recibido por sus cliente</t>
  </si>
  <si>
    <t>SUMINISTROS DE FRIO SAS</t>
  </si>
  <si>
    <t>FUNERARIA Y SALA DE VELACION EL DIVINO ROSTRO S.A.S</t>
  </si>
  <si>
    <t>Cliente se retira tras recibir carta datacredito, cancela la deuda y retira el servicio</t>
  </si>
  <si>
    <t>19 de diciembre</t>
  </si>
  <si>
    <t>ENERO</t>
  </si>
  <si>
    <t>No facturar Enero</t>
  </si>
  <si>
    <t>BEATRIZ ELENA RAMIREZ GOMEZ "DIVINO ROSTRO DON MATIAS"</t>
  </si>
  <si>
    <t>MUBLER S.A.S</t>
  </si>
  <si>
    <t>Empresa cierra definitivamente por problemas económicos</t>
  </si>
  <si>
    <t>21 de diciembre</t>
  </si>
  <si>
    <t>SOFTWARE IT S.A.S</t>
  </si>
  <si>
    <t>Empresa se retira por mora de cartera (Habló con Lina Sierra directamente)</t>
  </si>
  <si>
    <t>VELSAGRO S.A.S</t>
  </si>
  <si>
    <t>Empresa requiere presencial que vaya a las granjas requiere tiempo completo</t>
  </si>
  <si>
    <t>29 de diciembre</t>
  </si>
  <si>
    <t>TECH DISTRIBUCIONES LTDA</t>
  </si>
  <si>
    <t>Empresa necesita bajar más el costo, pero no se ajustan al plan mínimo de Sistegra, por lo tanto se retiran</t>
  </si>
  <si>
    <t>27 de diciembre</t>
  </si>
  <si>
    <t>No facturar Febrero</t>
  </si>
  <si>
    <t>INTEC GLOBAL INGENIEROS S.A.S</t>
  </si>
  <si>
    <t xml:space="preserve">10 de enero </t>
  </si>
  <si>
    <t>FEBRERO</t>
  </si>
  <si>
    <t>GLORIA ASTRID PALACIO SANTAMARIA (DROGAS LA ENFERMERA)</t>
  </si>
  <si>
    <t>Cliente manifiesta que no le interesa conectarse, no tiene tiempo y no quiere hacer el sistema</t>
  </si>
  <si>
    <t>17 de enero</t>
  </si>
  <si>
    <t>ADPRO MEDIA S.A.S</t>
  </si>
  <si>
    <t>La empresa inició proceso de liquidación definitivo</t>
  </si>
  <si>
    <t>18 de enero</t>
  </si>
  <si>
    <t>ALEXANDRA LEAL HIGUITA (DROGUERIA CRISTIANA)</t>
  </si>
  <si>
    <t>La empresa manifiesta ya no necesitar el proceso, lo continuarán internamente</t>
  </si>
  <si>
    <t>13 de enero</t>
  </si>
  <si>
    <t>PROYECTOS AMC S.A.S</t>
  </si>
  <si>
    <t>La empresa no se conecta a las asesorias, manifiestan no tener tiempo para hacerlo y necesitan un apoyo por horas presencial en su ciudad</t>
  </si>
  <si>
    <t>20 de enero</t>
  </si>
  <si>
    <t>CAPILLAS FUNERARIAS S.A.S</t>
  </si>
  <si>
    <t>27 de enero</t>
  </si>
  <si>
    <t>ELECTRICOM AR S.A.S</t>
  </si>
  <si>
    <t>La empresa ha tenido inconvenientes con una entidad y contrataron una persona para agilizar y llevar todo el proceso, presencial en Bogotá</t>
  </si>
  <si>
    <t>ENSAMBLES METALMECANICOS S.A.S</t>
  </si>
  <si>
    <t>Cliente maniesta graves problemas económicos y por lo tanto no puede continuar con el servicio</t>
  </si>
  <si>
    <t>23 de enero</t>
  </si>
  <si>
    <t>Centro de Enseñanza Automovilística CONDUWEB</t>
  </si>
  <si>
    <t>Cliente manifiesta que se le cobró una actualización de PESV, pero no se realizó jamás</t>
  </si>
  <si>
    <t>31 de enero</t>
  </si>
  <si>
    <t>DOSIMEDIO S.A.S</t>
  </si>
  <si>
    <t>Cliente solicita bajar la tarifa nuevamente, por debajo del mínimo de los planes actuales.</t>
  </si>
  <si>
    <t>DAYLUX S.A.S</t>
  </si>
  <si>
    <t>La empresa esperaba un avance al menos al 80% en 1 mes</t>
  </si>
  <si>
    <t>14 de febrero</t>
  </si>
  <si>
    <t>LAS VEGAS S.A</t>
  </si>
  <si>
    <t>La empresa decidió continuar con personal directamente vinculado para supervisión constante en los proyectos</t>
  </si>
  <si>
    <t>2 de febrero</t>
  </si>
  <si>
    <t>ELECTRICIDAD PARA HOSPITALES S.A.S</t>
  </si>
  <si>
    <t>Es una sola persona el gerente hace todo las visitas lo comercial etc. Antes el llevaba el SG un presencial, no tiene tiempo de hacer curso de las 50 horas o de hacer algo mas .</t>
  </si>
  <si>
    <t>17 de febrero</t>
  </si>
  <si>
    <t>CLIENTE RECHAZA FRA FEBRERO</t>
  </si>
  <si>
    <t>Go Group Inversiones S.A.S (MOTOHOME)</t>
  </si>
  <si>
    <t>La empresa entra en proceso de restructuración por lo tanto toman la decisión de cancelar el contrato</t>
  </si>
  <si>
    <t>No facturar Marzo</t>
  </si>
  <si>
    <t>Recimetales NUMAC S.A.S</t>
  </si>
  <si>
    <t>Empresa sufre cambio de rep legal, que cambia todo el equipo admin y proveedores</t>
  </si>
  <si>
    <t>20 de febrero</t>
  </si>
  <si>
    <t>MAS FRENOS S.A.S</t>
  </si>
  <si>
    <t>la persona encargada se retira de la empresa, no tenemos por ahora el reemplazo y no contamos con el tiempo suficiente para dedicarle a la ejecución del sistema de gestión</t>
  </si>
  <si>
    <t>8 de febrero</t>
  </si>
  <si>
    <t>No Facturar Marzo</t>
  </si>
  <si>
    <t>POLIMEROS DEL CARIBE S.A.S</t>
  </si>
  <si>
    <t>La empresa decide cancelar el servicio virtual, porque consideran que la persona que estaba antes dejó todo muy mal, entonces tomaron un presencial por otra parte</t>
  </si>
  <si>
    <t>COMERCIALIZADORA FERROFOLLAJE S.A.S</t>
  </si>
  <si>
    <t>PENDIENTE DE CONFIRMAR</t>
  </si>
  <si>
    <t>DROGUERIA SURTISALUD PALMIRA (DORA ALICIA HURTADO)</t>
  </si>
  <si>
    <t>Cliente liquida la drogueria, por lo tanto cancela servicio</t>
  </si>
  <si>
    <t>18 de febrero</t>
  </si>
  <si>
    <t>Se debe anular la fra de Febrero, se pedirá autorización</t>
  </si>
  <si>
    <t>MAS DESCUENTOS ZEA S.A.S</t>
  </si>
  <si>
    <t>El cliente ha estado (aún lo esta, en suspensión de cartera, avisa ponerse al dia, y cancelar el servicio, a la espera de que se ponga al dia para entregar)</t>
  </si>
  <si>
    <t>27 de febrero</t>
  </si>
  <si>
    <t>G&amp;V MONTAJES AIRE ACONDICIONADO SAS</t>
  </si>
  <si>
    <t>los socios de la empresa tomaron la decisión de realizar un cese de actividades de forma temporal mientras se resuelven unas situaciones internas de la empresa</t>
  </si>
  <si>
    <t>6 de marzo</t>
  </si>
  <si>
    <t>MARZO</t>
  </si>
  <si>
    <t>PROMOTORA MINERATTO ETAPA UNO SAS</t>
  </si>
  <si>
    <t>la empresa no tiene empleados, no los ha tenido jamás, solicita suspender hasta contratar empleados y/o contratistas</t>
  </si>
  <si>
    <t>Si tiene fra de marzo, anular, ya autorizado por Lina</t>
  </si>
  <si>
    <t>SOAMBIENTALES S.A.S</t>
  </si>
  <si>
    <t>La empresa manifiesta dificultades de operación y económicas, despidos de personal y no tener personal para tomar el sistema</t>
  </si>
  <si>
    <t>No Facturar Abril</t>
  </si>
  <si>
    <t>AQUATICA SURTIDOR NAUTICO LTDA</t>
  </si>
  <si>
    <t>No tienen la persona para recibir las conexiones, estan buscando ya que la anterior renunció</t>
  </si>
  <si>
    <t>9 de marzo</t>
  </si>
  <si>
    <t>INFOFLORA S.A.S</t>
  </si>
  <si>
    <t>La empresa entró en proceso de liquidación y a la fecha no tiene empleados</t>
  </si>
  <si>
    <t>CARLOS ALBERTO MARTINEZ (CALIDROGAS)</t>
  </si>
  <si>
    <t>El propietario y único empleado, requiere suspender por 4 meses.</t>
  </si>
  <si>
    <t>No Facturar Abril,Mayo,Junio</t>
  </si>
  <si>
    <t>VOLVER A FACTURAR EN JULIO UNA VEZ SE INFORME DESDE COORDINACION</t>
  </si>
  <si>
    <t>FUGITIVOS SAS</t>
  </si>
  <si>
    <t>La empresa está priorizando algunas inversiones y tiempo del equipo en materia comercial</t>
  </si>
  <si>
    <t>14 de marzo</t>
  </si>
  <si>
    <t>ABRIL</t>
  </si>
  <si>
    <t>UNION VICHERA SAS</t>
  </si>
  <si>
    <t>OBRA ESTRUCTURAL SAS</t>
  </si>
  <si>
    <t>la empresa no tiene obras, por lo tanto no tiene empleados ni recursos</t>
  </si>
  <si>
    <t>EQUIPOS MEDICOS PRESTIGE S.A.S</t>
  </si>
  <si>
    <t>La empresa suspendió el servicio, ya que no cuenta con personal en el momento, estan evaluando la posibilidad de liquidar la empresa</t>
  </si>
  <si>
    <t>se debe anular marzo, ya que no tienen dinero</t>
  </si>
  <si>
    <t>AURORA INGENIERIA S.A.S</t>
  </si>
  <si>
    <t>No desean continuar con servicio virtual (Bogotá) contrataron una persona (por un salario mínimo) que se encargará del sistema</t>
  </si>
  <si>
    <t>15 de marzo</t>
  </si>
  <si>
    <t>se debe anular marzo</t>
  </si>
  <si>
    <t>Generar Nota credito</t>
  </si>
  <si>
    <t>CRISTALES DE ZUÑIGA P.H</t>
  </si>
  <si>
    <t>PH cambia de administrador y esta persona tiene su equipo propio para realizar las tareas del SGSST</t>
  </si>
  <si>
    <t>BIOPLUS MEDICAL CARE S.A.S</t>
  </si>
  <si>
    <t>Edith Fabiola Machuca Suarez- Drogueria farmisalud</t>
  </si>
  <si>
    <t>Drogueria con problemas económicos, no tienen plata para continuar</t>
  </si>
  <si>
    <t>AGROPECUARIA BOSQUE NATURAL SAS</t>
  </si>
  <si>
    <t>La empresa debe reducir costos y gastos</t>
  </si>
  <si>
    <t>21 de marzo</t>
  </si>
  <si>
    <t>2B Gráfico SAS (antes maudasa)</t>
  </si>
  <si>
    <t>La empresa esta reestructurandose internamente, necesitan un tiempo para reorganizar el personal.</t>
  </si>
  <si>
    <t>Taroa Design S.A.S</t>
  </si>
  <si>
    <t>Cierre total de la empresa</t>
  </si>
  <si>
    <t>22 de marzo</t>
  </si>
  <si>
    <t>Multicem S.A.S</t>
  </si>
  <si>
    <t>Con el cliente se presentaron diferentes inconvenientes, insultó a 2 analistas, a un comercial y al coordinador, luego presentó retiro</t>
  </si>
  <si>
    <t>Anular fras causadas a la fecha</t>
  </si>
  <si>
    <t>APROBADO POR GERENCIA</t>
  </si>
  <si>
    <t>Laboratorios Athos S.A.S</t>
  </si>
  <si>
    <t>Cliente no acepta la renuncia de la analista asignada, por lo tanto solicita retiro de los servicios</t>
  </si>
  <si>
    <t>22  de marzo</t>
  </si>
  <si>
    <t>Industrias Demarko S.A.S</t>
  </si>
  <si>
    <t>CLIENTE NO INICIA, informan que no estan listos para iniciar, lo informan al comercial Fernando mejia</t>
  </si>
  <si>
    <t>Madeleine Trespalacio</t>
  </si>
  <si>
    <t>Servicio de alquiler de plataforma; no quiere continuar</t>
  </si>
  <si>
    <t>WILSEGUROS S.A.S</t>
  </si>
  <si>
    <t>Solicitamos la suspensión del servicio  temporal desde el día 3 de abril al 2 de mayo por vacaciones.</t>
  </si>
  <si>
    <t>27 de marzo</t>
  </si>
  <si>
    <t>Volver a Facturar en Mayo</t>
  </si>
  <si>
    <t>Claudia Avila Salcedo (Drogueria Apiay)</t>
  </si>
  <si>
    <t>Carniceria Mi Rey</t>
  </si>
  <si>
    <t>Cliente toma servicio con otra empresa que va presencial a donde estan</t>
  </si>
  <si>
    <t>12 de abril</t>
  </si>
  <si>
    <t>MAYO</t>
  </si>
  <si>
    <t>No Facturar Mayo</t>
  </si>
  <si>
    <t>Distribuidora de carnes AQ</t>
  </si>
  <si>
    <t>JD Cuartas S.A.S</t>
  </si>
  <si>
    <t>Cliente contrata personal directo en la empresa para manejar SST y otras funciones</t>
  </si>
  <si>
    <t>Flor Maria Sanabria (Drogueria Genflor)</t>
  </si>
  <si>
    <t>Cliente cierra la drogueria</t>
  </si>
  <si>
    <t>Constru RG S.A.S</t>
  </si>
  <si>
    <t>Cliente inconforme con el servicio prestado por asesora RUC y no desea continuar con ningun servicio de sistegra</t>
  </si>
  <si>
    <t>Clinicos y Hospitalarios de Colombia S.A</t>
  </si>
  <si>
    <t>Una persona que estaba en la empresa terminó sus estudios y continuará con el sistema</t>
  </si>
  <si>
    <t>Juan Carlos Salinas Angulo (Drogueria SanSalud)</t>
  </si>
  <si>
    <t>Cliente no tiene intereses en seguir con el SGSST "no le importa eso, nadie nunca se lo pide" y no quiere seguir "botando plata"</t>
  </si>
  <si>
    <t>Logisticas opelcol</t>
  </si>
  <si>
    <t>Cliente contrata personal directamente vinculado para el proceso (Sobrina del Esposo)</t>
  </si>
  <si>
    <t>Alimentos y Suministros Muñoz H S.A.S</t>
  </si>
  <si>
    <t>Cliente manifiesta que servicio virtual le quita tiempo a los empleados encargados, y no esta interesado tampoco en contratar presencial con nosotros</t>
  </si>
  <si>
    <t>Sava Outsoucing S.A Zomac</t>
  </si>
  <si>
    <t>Proceso de insolvencia y liquidacion</t>
  </si>
  <si>
    <t>Operacion de Transporte S.A.S (Opertrans)</t>
  </si>
  <si>
    <t>PENDIENTE AUN DE CONFIRMACION</t>
  </si>
  <si>
    <t>Bicueros Colombia</t>
  </si>
  <si>
    <t>El motivo principal es un tema de reestructuración del gasto y hasta no tener definidos los presupuestos no pueden continuar con ningun servicio</t>
  </si>
  <si>
    <t>Autostore</t>
  </si>
  <si>
    <t>Cliente siempre se atrasa en cartera (hasta 5 meses) se pusó al dia con los esfuerzos de cobros por parte de cartera y canceló</t>
  </si>
  <si>
    <t>GB10 Consultores S.A.S</t>
  </si>
  <si>
    <t xml:space="preserve">International Fundraising Colombia </t>
  </si>
  <si>
    <t>DEJAR DE FACTURAR EL ARRIENDO DE PLATAFORMA POR VALOR DE $126.000 MENSUALES</t>
  </si>
  <si>
    <t>Estudios Endoscopicos</t>
  </si>
  <si>
    <t>Zagrev</t>
  </si>
  <si>
    <t>CDS tecno Casa del Software</t>
  </si>
  <si>
    <t>Cliente contrata personal directo para seguir con el sistema</t>
  </si>
  <si>
    <t>JUNIO</t>
  </si>
  <si>
    <t>NO Facturar Junio</t>
  </si>
  <si>
    <t>Invagrind</t>
  </si>
  <si>
    <t>por confirmar</t>
  </si>
  <si>
    <t>Comercializadora Sierra Lenis S.A</t>
  </si>
  <si>
    <t>Contrataron Profesional</t>
  </si>
  <si>
    <t>Gedac</t>
  </si>
  <si>
    <t>El cliente creyó que el cobro era una sola vez, un solo pago, por lo tanto no quiere continuar</t>
  </si>
  <si>
    <t>Conaclar</t>
  </si>
  <si>
    <t>OCTAVIANO TORRES GUEVARA - DISTRIREPUESTOS</t>
  </si>
  <si>
    <t xml:space="preserve">e me presento un familiar que es especialista en esta área y lo va a hacer presencial </t>
  </si>
  <si>
    <t>Julian Valencia - Drogueria Poder Natural</t>
  </si>
  <si>
    <t>Contrato presencial</t>
  </si>
  <si>
    <t>NO Facturar Julio</t>
  </si>
  <si>
    <t>Yoselin Paola Granja Ortega</t>
  </si>
  <si>
    <t>Motivos económicos, no puede seguir pagando</t>
  </si>
  <si>
    <t>Lissa Evolucion Capilar</t>
  </si>
  <si>
    <t>Atlas Force Solution</t>
  </si>
  <si>
    <t>La empresa entra en proceso de liquidacion</t>
  </si>
  <si>
    <t>Red White SAS</t>
  </si>
  <si>
    <t>Pasa a servicio Presencial</t>
  </si>
  <si>
    <t>Paysandu</t>
  </si>
  <si>
    <t>El cliente considera que le estamos cobrando mucho por la presencialidad + virtualidad que encontró mas barato</t>
  </si>
  <si>
    <t>MORA RUIZ SAS (AseoMas)</t>
  </si>
  <si>
    <t>Otras tareas impiden la continuidad ellos avisan cuando reinician</t>
  </si>
  <si>
    <t>AGROSEIS DE COLOMBIA SAS ZOMAC</t>
  </si>
  <si>
    <t>SOLO FACTURACION</t>
  </si>
  <si>
    <t>No facturar mientras desatrasamos la señora, y ella paga las 3 fras que tenemos vigentes</t>
  </si>
  <si>
    <t>NO Facturar Junio, Julio, Agosto</t>
  </si>
  <si>
    <t>Reactivar facturación en Septiembre</t>
  </si>
  <si>
    <t>Logy Distribución SAS</t>
  </si>
  <si>
    <t>Cliente tiene 2 fras atrasadas, solicita suspender hasta que pueda iniciar operaciones con su empresa</t>
  </si>
  <si>
    <t>No facturar junio</t>
  </si>
  <si>
    <t>Pausar facturacion hasta que el cliente informe</t>
  </si>
  <si>
    <t>PROMOTORA MARANDUA LAS CEIBAS ETAPA 1 S.A.S</t>
  </si>
  <si>
    <t>No facturar hasta OCTUBRE 2023</t>
  </si>
  <si>
    <t>Marketing Group D+C Ltda</t>
  </si>
  <si>
    <t>Cliente contrato personal interno</t>
  </si>
  <si>
    <t>Ingenieria Medina</t>
  </si>
  <si>
    <t>Empresa no tiene obras, ni empleados, ni proyectos, no puede continuar con el sistema</t>
  </si>
  <si>
    <t>Lauest Group SAS</t>
  </si>
  <si>
    <t>Drogueria Nuevo San Judas (Osbaldo Cano)</t>
  </si>
  <si>
    <t>Familiar les lleverá el sistema</t>
  </si>
  <si>
    <t>Construcciones y montajes montoya SAS</t>
  </si>
  <si>
    <t>Paran el proyecto donde estaban por lo tanto la empresa no continuará operando</t>
  </si>
  <si>
    <t>COBO Arquitectura Ingenieria</t>
  </si>
  <si>
    <t>El cliente insiste que no le informaron que NO haciamos visitas presenciales (estan en cundinamarca) y que asi el servicio no le sirve</t>
  </si>
  <si>
    <t>Unique Export S.A.S</t>
  </si>
  <si>
    <t>Empresa con 3 empleados que no tiene la capacidad de pagar el servicio</t>
  </si>
  <si>
    <t>Construcema</t>
  </si>
  <si>
    <t>el servicio no cumple con nuestras necesidades de manera funcional, necesitan mas tiempo</t>
  </si>
  <si>
    <t>Kantula</t>
  </si>
  <si>
    <t>Empresa entra en liquidacion total y cese de operaciones</t>
  </si>
  <si>
    <t>Transcortex</t>
  </si>
  <si>
    <t>representante legal argumenta que tuvo despidos masivos y está en tramites de cerrar la compañía</t>
  </si>
  <si>
    <t>Diseplotter</t>
  </si>
  <si>
    <t>la empresa será liquidada, el cliente envia comunicado solicitando cancelación</t>
  </si>
  <si>
    <t>Genial IoT</t>
  </si>
  <si>
    <t>el servicio no cumple con nuestras necesidades de manera funcional, necesitan alguien que haya absolutamente todo</t>
  </si>
  <si>
    <t>ORBIOFICE LTDA</t>
  </si>
  <si>
    <t>JAVIER ESTEVEN MORENO</t>
  </si>
  <si>
    <t>30JUNIO</t>
  </si>
  <si>
    <t xml:space="preserve">NO HAREMOS MAS USO DE ESTE PLAN </t>
  </si>
  <si>
    <t>FERRETERIA LOS BUCAROS S.A.S</t>
  </si>
  <si>
    <t>VERONICA VELASQUEZ</t>
  </si>
  <si>
    <t>2 JULIO</t>
  </si>
  <si>
    <t xml:space="preserve">CAMBIÓ DE RESPONSABLE EN LA EMPRESA, TIENE SU PROPIO SST, VA PRESENCIAL Y MAS BARATO, NO ACEPTO PROPUESTA DE NOSOTROS </t>
  </si>
  <si>
    <t>HERNANDO RESTREPO IDARRAGA</t>
  </si>
  <si>
    <t>INVERSIONES RESTUA S.A.S</t>
  </si>
  <si>
    <t>CONSTRUTEL COMUNICACIONES SAS</t>
  </si>
  <si>
    <t>ILLIC LENIN GIL VANEGAS</t>
  </si>
  <si>
    <t xml:space="preserve">CLIENTE NO VALORA ASESORIA, INDICA QUE ELLA PUEDE LLENAR LAS FUCHAS Y CARGARLAS, APARTE |NO QUIERE PPAGAR FACTURA DE JUNIO POR TEMAS FESTIVOS (ASESORIAS LOS LUNES) DICE QUE EN 4 MESE SOLO A RECIBIDO 6 ASESORIAS </t>
  </si>
  <si>
    <t xml:space="preserve">TEXFIBRAS </t>
  </si>
  <si>
    <t>ALVARO LOPEZ</t>
  </si>
  <si>
    <t>ANULAR FRA</t>
  </si>
  <si>
    <t>NO VAN A MEDIR EL RIESGO PSICOSOCIAL, PIDE AUNLAR FACTURA</t>
  </si>
  <si>
    <t>SURITEX</t>
  </si>
  <si>
    <t>JAIME ALBERTO LOPEZ</t>
  </si>
  <si>
    <t>PAIS EMPRESARIAL SAS</t>
  </si>
  <si>
    <t>SANTIAGO GARCIA VANEGAS</t>
  </si>
  <si>
    <t>20 JULIO</t>
  </si>
  <si>
    <t>CONTRATO UNA PERSONA PRESENCIAL MAS ECONOMICO</t>
  </si>
  <si>
    <t>AGOSTO</t>
  </si>
  <si>
    <t>NO Facturar Agosto</t>
  </si>
  <si>
    <t>INVERSIONES GARCIA VANEGAS SAS</t>
  </si>
  <si>
    <t>PROMOTORA SIERRA ESCONDIDA</t>
  </si>
  <si>
    <t>NATALIA GARCES</t>
  </si>
  <si>
    <t>21 JULIO</t>
  </si>
  <si>
    <t>SE QUEDA SIN EMPLEADOS A PARTIR DE AGOSTO</t>
  </si>
  <si>
    <t>AGRICOLA ALTAVISTA</t>
  </si>
  <si>
    <t>RICARDO AGUIRRE ABAD</t>
  </si>
  <si>
    <t>3117700281</t>
  </si>
  <si>
    <t xml:space="preserve">EN PROCESO </t>
  </si>
  <si>
    <t>25 JULIO</t>
  </si>
  <si>
    <t>YA NO VOY A SEGUIR CON EL PROCESO PARA QUE POR FAVOR DESACTIVEN A LA EMPRESA DE TODO PUES YA SE PAGÓ Y QUEDAMOS SALDADOS CON EL FIN DE NO SEGUIR MAS</t>
  </si>
  <si>
    <t>SEPTIEMBRE</t>
  </si>
  <si>
    <t>KANU GRUPO INFESA</t>
  </si>
  <si>
    <t>MARIA CAMILA ALVAREZ</t>
  </si>
  <si>
    <t>26 JULIO</t>
  </si>
  <si>
    <t xml:space="preserve">CONTRATO PROFESIONAL DE PLANTA SE OFRECE ALQUILER DE PLATAFORMA </t>
  </si>
  <si>
    <t>JP ADVISOR &amp; CONSULTANTS SAS</t>
  </si>
  <si>
    <t>MARIA DEL PILAR RODRIGUEZ</t>
  </si>
  <si>
    <t>SOLO CORREO DE CANCELACION, SE RESPONDE PIDIENDO RAZON Y ACLARANDO EL MES DE CANCELACION</t>
  </si>
  <si>
    <t>INVERSIONES FAMG</t>
  </si>
  <si>
    <t>LAURA TRUJILLO</t>
  </si>
  <si>
    <t>ENVIO CORREO, DICE QUE NO HA AVANZADO NADA EN UN AÑO</t>
  </si>
  <si>
    <t>TIPO ID</t>
  </si>
  <si>
    <t>DV</t>
  </si>
  <si>
    <t>NIT</t>
  </si>
  <si>
    <t>CC</t>
  </si>
  <si>
    <t>VALOR</t>
  </si>
  <si>
    <t>FECHA DE NOTIFICACION CLIENTE</t>
  </si>
  <si>
    <t>30 DE JUNIO</t>
  </si>
  <si>
    <t>2 DE JULIO</t>
  </si>
  <si>
    <t>900225937-7</t>
  </si>
  <si>
    <t xml:space="preserve">CLIENTE NO LE VIO VALOR A LAS ASESORIAS, INDICA QUE ELLA PUEDE LLENAR LAS FICHAS Y CARGARLAS, APARTE NO QUIERE PAGAR FACTURA DE JUNIO POR TEMAS FESTIVOS (ASESORIAS LOS LUNES) DICE QUE EN 4 MESE SOLO A RECIBIDO 6 ASESORIAS </t>
  </si>
  <si>
    <t>901521163-6</t>
  </si>
  <si>
    <t>ANALISTA</t>
  </si>
  <si>
    <t>MARIA ELENA LOAIZA</t>
  </si>
  <si>
    <t>DEFINITIVO</t>
  </si>
  <si>
    <t>GISELLA RUZ</t>
  </si>
  <si>
    <t>GILLARY CORTES</t>
  </si>
  <si>
    <t>EN PROCESO COMERCIAL</t>
  </si>
  <si>
    <t>JOSE GALLEGO</t>
  </si>
  <si>
    <t>ADRIANA ROMERO</t>
  </si>
  <si>
    <t xml:space="preserve">SUSPENDER TEMPORAL </t>
  </si>
  <si>
    <t xml:space="preserve">NO SE HA REUNIDO NI UNA VEZ CON ADRIANA, NO HA AVANZADO, ESTA ATRASADA EN PAGOS, ESTA LLENA DE TRABAJO </t>
  </si>
  <si>
    <t>LAURA LOPEZ</t>
  </si>
  <si>
    <t>INVERSIONES FAGM</t>
  </si>
  <si>
    <t>CLAUDIA HIGUITA</t>
  </si>
  <si>
    <t>MONTERICO SAS</t>
  </si>
  <si>
    <t>ANDREA</t>
  </si>
  <si>
    <t>27 JULIO</t>
  </si>
  <si>
    <t xml:space="preserve">CIERRE DE LA EMPRESA </t>
  </si>
  <si>
    <t>CLAUDIA PACHON</t>
  </si>
  <si>
    <t>INCIMEC</t>
  </si>
  <si>
    <t>DANIEL ESPINOSA</t>
  </si>
  <si>
    <t>31 DE JULIO</t>
  </si>
  <si>
    <t>CAMBIO DE EMPRESA QUE LLEVA EL SGSST</t>
  </si>
  <si>
    <t>CAPUTI Y VIEIRA</t>
  </si>
  <si>
    <t>BLANCA AURORA PEREZ</t>
  </si>
  <si>
    <t>CONTRATARON PERSONAL CON LICENCIA PARA LLEVAR EL SISTEMA</t>
  </si>
  <si>
    <t>YASMIN BUITRAGO</t>
  </si>
  <si>
    <t>INVERSIONES Y PROYECCIONES POSADA HERNANDEZ</t>
  </si>
  <si>
    <t>CATALINA POSADA</t>
  </si>
  <si>
    <t>4 DE AGOSTO</t>
  </si>
  <si>
    <t>NO TIENE TIEMPO PARA EL SISTEMA</t>
  </si>
  <si>
    <t>Claudia Pachon</t>
  </si>
  <si>
    <t>Compañía Agroindustrial los Alamos</t>
  </si>
  <si>
    <t>10 de AGOSTO</t>
  </si>
  <si>
    <t>CONTRATA PERSONAL INTERNO</t>
  </si>
  <si>
    <t>Rossana Avilez</t>
  </si>
  <si>
    <t>Perforamax</t>
  </si>
  <si>
    <t>Camilo Gil</t>
  </si>
  <si>
    <t>11 de AGOSTO</t>
  </si>
  <si>
    <t>No quieren seguir con el sistema tercerizado, quieren una persona de planta y ya la contrataron, que vaya a los proyectos</t>
  </si>
  <si>
    <t>Ret&amp;Vol SAS</t>
  </si>
  <si>
    <t>Liliana Yepes</t>
  </si>
  <si>
    <t>Liquidacion de la empresa</t>
  </si>
  <si>
    <t>Yasmin Buitrago</t>
  </si>
  <si>
    <t>GMR GRUPO MANTENIMIENTO Y REMODELACION SAS</t>
  </si>
  <si>
    <t>2 de Agosto</t>
  </si>
  <si>
    <t>Le ofrecieron un sistema mas barato por asocoldro</t>
  </si>
  <si>
    <t>Los Patios S.A.S</t>
  </si>
  <si>
    <t>Mónica Toro</t>
  </si>
  <si>
    <t>1 de septiembre</t>
  </si>
  <si>
    <t>Líder interno de planta, ya contratado</t>
  </si>
  <si>
    <t>Septiembre 24</t>
  </si>
  <si>
    <t>No Facturar Octubre</t>
  </si>
  <si>
    <t>901082021-4</t>
  </si>
  <si>
    <t>Adriana Romero</t>
  </si>
  <si>
    <t>Distrifrut Manzanares S.A.S</t>
  </si>
  <si>
    <t>Ana Botero</t>
  </si>
  <si>
    <t>Cliente no desea continuar, pero no quiere dar una razón especifica</t>
  </si>
  <si>
    <t>Septiembre 30</t>
  </si>
  <si>
    <t>901600629-5</t>
  </si>
  <si>
    <t>Gillary Cortes</t>
  </si>
  <si>
    <t>Controller Ingenieria &amp; Gas S.A.S</t>
  </si>
  <si>
    <t>Osneider Garcia</t>
  </si>
  <si>
    <t>2 de septiembre</t>
  </si>
  <si>
    <t>Despidió a todo el personal</t>
  </si>
  <si>
    <t>Octubre 2</t>
  </si>
  <si>
    <t>900628878-0</t>
  </si>
  <si>
    <t>Claudia Higuita</t>
  </si>
  <si>
    <t>Biohealthy S.A.S</t>
  </si>
  <si>
    <t>Fernando Tobón</t>
  </si>
  <si>
    <t>5 de septiembre</t>
  </si>
  <si>
    <t>Cliente ya tenia SGSST; en auditoria el resultado no fue el esperado por esto cancelan</t>
  </si>
  <si>
    <t>Octubre 5</t>
  </si>
  <si>
    <t>901178758-7</t>
  </si>
  <si>
    <t>Maria Loaiza</t>
  </si>
  <si>
    <t>Centro Juridico IUS S.A.S</t>
  </si>
  <si>
    <t>Lina Gualteros</t>
  </si>
  <si>
    <t>Reducción de personal</t>
  </si>
  <si>
    <t>Octubre 1</t>
  </si>
  <si>
    <t>901160136-7</t>
  </si>
  <si>
    <t>Gisela Ruz</t>
  </si>
  <si>
    <t>Fuerza Comercial Multiservicios S.A.S</t>
  </si>
  <si>
    <t>Fran Pelaez</t>
  </si>
  <si>
    <t>8 de septiembre</t>
  </si>
  <si>
    <t>Empresa despide personal</t>
  </si>
  <si>
    <t>Octubre 8</t>
  </si>
  <si>
    <t>901652198-5</t>
  </si>
  <si>
    <t>Claudia Carvajal</t>
  </si>
  <si>
    <t>JDJ Soluciones y Montajes</t>
  </si>
  <si>
    <t>Diego Guzman</t>
  </si>
  <si>
    <t>12 de septiembre</t>
  </si>
  <si>
    <t>Decisión de Gerencia de no seguir con el contrato</t>
  </si>
  <si>
    <t>Octubre 12</t>
  </si>
  <si>
    <t>901201913-0</t>
  </si>
  <si>
    <t>Arrendamientos JG S.A.S</t>
  </si>
  <si>
    <t>Ronald Rojas</t>
  </si>
  <si>
    <t>14 de septiembre</t>
  </si>
  <si>
    <t>Problemas presupuestales, no tienen plata</t>
  </si>
  <si>
    <t>Octubre 14</t>
  </si>
  <si>
    <t>901482877-8</t>
  </si>
  <si>
    <t>Laura Lopez</t>
  </si>
  <si>
    <t>MAP Logistics S.A.S</t>
  </si>
  <si>
    <t>Paola Buitrago</t>
  </si>
  <si>
    <t>(601) 4672684</t>
  </si>
  <si>
    <t>15 de septiembre</t>
  </si>
  <si>
    <t>Quieren alguien de planta en sus oficinas en Bogotá</t>
  </si>
  <si>
    <t>Octubre 15</t>
  </si>
  <si>
    <t>822007374-3</t>
  </si>
  <si>
    <t>Gómez Jimenez Hermanos CIA LTDA</t>
  </si>
  <si>
    <t>Néstor Jimenez</t>
  </si>
  <si>
    <t>20 de septiembre</t>
  </si>
  <si>
    <t>CONTINUAN HASTA DICIEMBRE</t>
  </si>
  <si>
    <t>Octubre 20</t>
  </si>
  <si>
    <t>901186161-4</t>
  </si>
  <si>
    <t>Uniti Marketing Audiovisual S.A.S</t>
  </si>
  <si>
    <t>Mariana Cano</t>
  </si>
  <si>
    <t>26 de septiembre</t>
  </si>
  <si>
    <t>Octubre 26</t>
  </si>
  <si>
    <t xml:space="preserve">FECHA INICIO SERVICIO </t>
  </si>
  <si>
    <t>COMERCIAL</t>
  </si>
  <si>
    <t>NOTA FINAL</t>
  </si>
  <si>
    <t>MUNICIPIO</t>
  </si>
  <si>
    <t>DEPARTAMENTO</t>
  </si>
  <si>
    <t>GRUPO SST</t>
  </si>
  <si>
    <t>X</t>
  </si>
  <si>
    <t>CONTRATACION DIRECTA</t>
  </si>
  <si>
    <t xml:space="preserve">NO FACTURAR OCT </t>
  </si>
  <si>
    <t xml:space="preserve">CONTRATO DEL PERSONAL SST DIRECTO POR LA EMPRESA </t>
  </si>
  <si>
    <t>900611227-1</t>
  </si>
  <si>
    <t>ANTONY ESCOBAR</t>
  </si>
  <si>
    <t>R&amp;A SMART HEALTH SOCIEDAD POR ACCIONES SIMPLIFICADA.</t>
  </si>
  <si>
    <t>SANDRA ROZO</t>
  </si>
  <si>
    <t>3186995377 - 3208184930</t>
  </si>
  <si>
    <t>ENERO 2022</t>
  </si>
  <si>
    <t>sandra.rozo@ra-smmarthealt.com</t>
  </si>
  <si>
    <t>NO INDICA EL MOTIVO DE CANCELACION</t>
  </si>
  <si>
    <t>REACTIVADO</t>
  </si>
  <si>
    <t>901455886-1</t>
  </si>
  <si>
    <t>BIOTECH3D SAS</t>
  </si>
  <si>
    <t>ANDREY REINALDO ROJAS BOHORQUEZ</t>
  </si>
  <si>
    <t>JUNIO 2023</t>
  </si>
  <si>
    <t xml:space="preserve">NO LE BENEFICIA EN NADA NUESTRO SERVICIO, MUY GORSERO, NO QUIERE NADA CON NOSOTROS, NO LE VIO VALOR A LAS ASESORIAS </t>
  </si>
  <si>
    <t>NO FACTURAR NOV</t>
  </si>
  <si>
    <t>901253437-9</t>
  </si>
  <si>
    <t>o</t>
  </si>
  <si>
    <t>DANIELA ACEVEDO</t>
  </si>
  <si>
    <t>MN ARQUITECTURA Y DISEÑO SAS</t>
  </si>
  <si>
    <t>MARIANA NARCISO</t>
  </si>
  <si>
    <t>JULIO 2023</t>
  </si>
  <si>
    <t xml:space="preserve">NO AVANZA EN EL SISTEMA DE GESTION </t>
  </si>
  <si>
    <t xml:space="preserve">RETENCION </t>
  </si>
  <si>
    <t>800037885-3</t>
  </si>
  <si>
    <t>AGUIRRE TORO EL AGUILA DESCALZA SAS</t>
  </si>
  <si>
    <t>SANDRA MILENA DÍAZ CÓRDOBA</t>
  </si>
  <si>
    <t>604 3228415   - 310 7894889</t>
  </si>
  <si>
    <t>JUNIO 2022</t>
  </si>
  <si>
    <t xml:space="preserve">NO AVANZA EN EL SISTEMA DE GESTION, SE ENVIA COTIZACION DE PRESENCIAL </t>
  </si>
  <si>
    <t>5596152-7</t>
  </si>
  <si>
    <t>MARIA LOAIZA</t>
  </si>
  <si>
    <t>DROGUERÍA MEGAFARMA K</t>
  </si>
  <si>
    <t>WILSON RODRIGUEZ MARQUEZ</t>
  </si>
  <si>
    <t>DIC 2020</t>
  </si>
  <si>
    <t>CIERRE DEFINITIVO</t>
  </si>
  <si>
    <t>CIERRE DEFINITIVO DE LA DROGUERIA, NO FACTURAR MAS</t>
  </si>
  <si>
    <t>900498098-3</t>
  </si>
  <si>
    <t>MARIBEL TANGARIFE</t>
  </si>
  <si>
    <t>&amp;NTELIGENTE SAS</t>
  </si>
  <si>
    <t>VERONICA TOBON GARCIA</t>
  </si>
  <si>
    <t>REQUIERE PRESENCIALIDAD</t>
  </si>
  <si>
    <t xml:space="preserve">CLIENTE INDICA QUE NO SIENTE MUCHO AVANCE DE FORMA VIRTUAL, QUE LO PREFIERE PRESENCIAL, NO ACEPTA COTIZACION NUESTRA </t>
  </si>
  <si>
    <t>901322293-1</t>
  </si>
  <si>
    <t>PINTUFRESH GLOBAL SAS</t>
  </si>
  <si>
    <t>LEIDY RIVEROS</t>
  </si>
  <si>
    <t>3122882330          3176472190</t>
  </si>
  <si>
    <t xml:space="preserve">PRESENCIALIDAD X EL MISMO VALOR DEL VIRTUAL, NO LE VIO VALOR AGREGADO AL SERVICIO,  MUY REGULAR LAS ASESORIAS, YA CONTRATO OTRA PERSONA </t>
  </si>
  <si>
    <t>CLIENTE INFORMA QUE REQUIEREN PRESENCIALIDAD Y QUE YA TIENEN CONTRATOADO UN  PRESENCUALIDAD CON NUESTRO VALOR VIRTUAL</t>
  </si>
  <si>
    <t>900396484-5</t>
  </si>
  <si>
    <t>JULIAN NIETO</t>
  </si>
  <si>
    <t>ELECTROFRENORR S.A.S.</t>
  </si>
  <si>
    <t xml:space="preserve">VIVIANA OVALLE </t>
  </si>
  <si>
    <t>CLIENTE DE OCTUBRE</t>
  </si>
  <si>
    <t>QUISIERA REALIZAR LA CANCELACIÓN DEL SERVICIO DE SG-SST, YA QUE HUBO VARIAS INCONFORMIDADES POR EL ÁREA DE GERENCIA DE LA GESTIÓN LA CUAL SE ESTABA BRINDADO.</t>
  </si>
  <si>
    <t>DAVID PARRA</t>
  </si>
  <si>
    <t>BOGOTA</t>
  </si>
  <si>
    <t>CORREO</t>
  </si>
  <si>
    <t>CORREO RESPUESTA</t>
  </si>
  <si>
    <t>901224136-3</t>
  </si>
  <si>
    <t>GENESIS INVESTMENTS C.S.C S.A.S.</t>
  </si>
  <si>
    <t>CLAUDIA ARISTIZABAL CARDONA</t>
  </si>
  <si>
    <t>ABRIL 2022</t>
  </si>
  <si>
    <t>x</t>
  </si>
  <si>
    <t>900477325-0</t>
  </si>
  <si>
    <t>KAIROS LOGISTICS S.A.S.</t>
  </si>
  <si>
    <t>ABRIL 2023</t>
  </si>
  <si>
    <t>811025696-6</t>
  </si>
  <si>
    <t>AUTOFAX S.A.</t>
  </si>
  <si>
    <t>ABRIL 2024</t>
  </si>
  <si>
    <t>900806086-8</t>
  </si>
  <si>
    <t>SISTEMA VERDE SOCIEDAD POR ACCIONES SIMPLIFICADA - EMPRESA DE SERVICIOS PUBLICOS, PUDIENDO DENOMINARSE A SU VEZ, SISTEMA VER</t>
  </si>
  <si>
    <t>ABRIL 2025</t>
  </si>
  <si>
    <t>901040074-4</t>
  </si>
  <si>
    <t>VERDE 2 GO S.A.S</t>
  </si>
  <si>
    <t>ABRIL 2026</t>
  </si>
  <si>
    <t>(ANTES: Redesistemas SAS)                                                   RS360</t>
  </si>
  <si>
    <t>JOSE GONZALEZ</t>
  </si>
  <si>
    <t>DEFINITVO ESTA SUSPENDIDO POR CARTERA</t>
  </si>
  <si>
    <t>NO HEMOS RECIBIENDO SOPORTE NI CAPACITACIONES ESTE AÑO. S.</t>
  </si>
  <si>
    <t>LA SUSPENSIÓN LA HACEMOS PORQUE NO HEMOS RECIBIENDO SOPORTE NI CAPACITACIONES ESTE AÑO. POR LO TANTO NO RECIBIREMOS MAS FACTURAS.</t>
  </si>
  <si>
    <t>43653307-4</t>
  </si>
  <si>
    <t>LÁCTEOS COLBÚFALA</t>
  </si>
  <si>
    <t>ISABEL CRISTINA MONTOYA GÓMEZ</t>
  </si>
  <si>
    <t>LA EMPRESA CONSIGUIÓ UNA PERSONA EL CUAL VA A MANEJAR TODO EL
PROCESO DE SST PERO DIRECTAMENTE VINCULADA CON COLBÚFALA</t>
  </si>
  <si>
    <t>FERNANDO MEJIA</t>
  </si>
  <si>
    <t>830136537-9</t>
  </si>
  <si>
    <t>NO AGENDADO</t>
  </si>
  <si>
    <t>CAIDVANDRE SAS</t>
  </si>
  <si>
    <t>CAMILO MUÑOZ</t>
  </si>
  <si>
    <t>3182334917 - 3138536502</t>
  </si>
  <si>
    <t>ENERO 2023</t>
  </si>
  <si>
    <t>NO HAN UTILIZADO NUESTROS SERVICIOS Y PRESENTAN PROBLEMAS ECONOMICOS</t>
  </si>
  <si>
    <t>901302101-0</t>
  </si>
  <si>
    <t>CUSTOM MEDALS</t>
  </si>
  <si>
    <t>ADRIANA MARIA ORTIZ</t>
  </si>
  <si>
    <t>SUSPENSION</t>
  </si>
  <si>
    <t>SEPTIEMBRE 2023</t>
  </si>
  <si>
    <t>SE LES INFORMA QUE DEBEMOS HACER UN RECESO YA QUE LA PERSONA ENCARGADA DEL SISTEMA DE GESTIÓN TIENE UNA CALAMIDAD APREMIANTE Y NO PUEDE CONTINUAR CON EL PROGRAMA, ESPERO SEA ATENDIDA NUESTRA PETICIÓN.  INDICACION COMERCIAL: La empresa Custom Medals envía carta receso retiro,debido a que la persona que les colabora con el SG tuvo una calamidad doméstica. Cuando pasen de este inconveniente volverán de nuevo. Por favor por el momento no facturar más y cancelar Y cancelar el servicio.</t>
  </si>
  <si>
    <t>SE LES INFORMA QUE DEBEMOS HACER UN RECESO YA QUE LA PERSONA ENCARGADA DEL SISTEMA DE GESTIÓN TIENE UNA CALAMIDAD APREMIANTE Y NO PUEDE CONTINUAR CON EL PROGRAMA, ESPERO SEA ATENDIDA NUESTRA PETICIÓN.</t>
  </si>
  <si>
    <t>MARTHA MEJIA</t>
  </si>
  <si>
    <t>901219270-2</t>
  </si>
  <si>
    <t>STEAK BLUE S.A.S</t>
  </si>
  <si>
    <t xml:space="preserve">DANIEL CAMILO QUEVEDO PARRADO </t>
  </si>
  <si>
    <t xml:space="preserve">NO TIENEN PRESUPUESTO PARA PRESENCIAL, Y NUNCA SE PUEDE CONECTAR </t>
  </si>
  <si>
    <t>31/10/2023</t>
  </si>
  <si>
    <t>?</t>
  </si>
  <si>
    <t>ALEJANDRA</t>
  </si>
  <si>
    <t xml:space="preserve">RIONEGRO </t>
  </si>
  <si>
    <t>ANTIOQUIA</t>
  </si>
  <si>
    <t>901376317-1</t>
  </si>
  <si>
    <t xml:space="preserve">DESING GROUP BLESS </t>
  </si>
  <si>
    <t>GIUSEPPE MATTEO</t>
  </si>
  <si>
    <t xml:space="preserve"> 324 655 3675</t>
  </si>
  <si>
    <t>contacto@protecabogados.com</t>
  </si>
  <si>
    <t>19 OCTUBRE 2023</t>
  </si>
  <si>
    <t>EMPEZARON CON SERVICIO VIRTUAL, PERO NO FUE DE SU AGRADO, EL COMRCIAL ENVIO PORPUESTA CON SERVICIO PRESENCIAL PERO NO FUIMOS ESCOGIDOS</t>
  </si>
  <si>
    <t>OCTUBRE 2023</t>
  </si>
  <si>
    <t>ESTA EMPRESA COMO LO INFORME EN COMUNICADO ANTERIOR, CANCELO EL SERVICIO SG SST VIRTUAL.ENVIÉ PROPUESTA PRESENCIAL PORQUE LA FINALIDAD DE ELLOS ERA PASAR A ESTA MODALIDAD, NO FUIMOS ESCOGIDOS.POR FAVOR NO FACTURAR MÁS ESTE CLIENTE.</t>
  </si>
  <si>
    <t>MARTHA</t>
  </si>
  <si>
    <t xml:space="preserve">MEDELLIN </t>
  </si>
  <si>
    <t>901548504-1</t>
  </si>
  <si>
    <t xml:space="preserve">CEANRIGE S.A.S
</t>
  </si>
  <si>
    <t>ANA MARIA CONTRERAS VILLAMIZAR</t>
  </si>
  <si>
    <t>ceanrige.sas@gmail.com   /   germanfbecerra@gmail.com</t>
  </si>
  <si>
    <t>NO INDICAN</t>
  </si>
  <si>
    <t xml:space="preserve">LA GERENCIA DECIDIO CONTRATAR PERSONAL DIRECTO QUE LE HACE FUNCIONES DE SST Y OTRAS DE NOMINA, NO TIENEN QUEJA DEL SERVICIO </t>
  </si>
  <si>
    <t>830055898-4</t>
  </si>
  <si>
    <t>COLLIERS INTERNATIONAL</t>
  </si>
  <si>
    <t>PAULA RAMIREZ</t>
  </si>
  <si>
    <t xml:space="preserve">601 5942333
</t>
  </si>
  <si>
    <t xml:space="preserve">Paula.Ramirez@colliers.com
</t>
  </si>
  <si>
    <t>NO INDICA</t>
  </si>
  <si>
    <t>DEBEN FACTURAS</t>
  </si>
  <si>
    <t>NO INDICA RAZON</t>
  </si>
  <si>
    <t>CLAUDIA CARVAJAL</t>
  </si>
  <si>
    <t>GALLAGHER -STORAGE AVAILABILITY SOLUTIONS S.A.S</t>
  </si>
  <si>
    <t>LAURA VIVIANA GALINDO LADINO</t>
  </si>
  <si>
    <t>NO QUIEREN UTILIZAR MAS NUESTRA PLATAFORMA</t>
  </si>
  <si>
    <t>CORREO CONFIRMACION</t>
  </si>
  <si>
    <t>GOMEZ JIMENEZ HNOS CIA LTDA - NUEVA DROGUERIA DE LOS LLANOS</t>
  </si>
  <si>
    <t>NESTOR ALFONSO JIMENEZ LOZANO</t>
  </si>
  <si>
    <t>nealji86@hotmail.com</t>
  </si>
  <si>
    <t>Buenas noches, por medio de la presente notificamos nuestra decisión de terminar el contrato de asesoría del Sistema De Gestión de Seguridad Y Salud en el Trabajo (SG-SST) de la empresa Gómez Jiménez Hermanos Cía. Ltda. (Nueva Droguería De Los llanos) con Nit 822007374-3, De antemano agradecemos su servicio prestado y pedimos su comprensión y colaboración.</t>
  </si>
  <si>
    <t>15 DIC 2023</t>
  </si>
  <si>
    <t xml:space="preserve">Al dia </t>
  </si>
  <si>
    <t>Minimizando costos por problemas economicos</t>
  </si>
  <si>
    <t>VILLAVICENCIO</t>
  </si>
  <si>
    <t>META</t>
  </si>
  <si>
    <t xml:space="preserve">envio correo confirmacion </t>
  </si>
  <si>
    <t>se envia correo final</t>
  </si>
  <si>
    <t>901106096-1</t>
  </si>
  <si>
    <t>CABLENET BAG SAS</t>
  </si>
  <si>
    <t>DANIEL NAVARRO RAMÍREZ</t>
  </si>
  <si>
    <t>daniel.navarro@cablenetbag.net  /   arturo.navarro@cablenetbag.net</t>
  </si>
  <si>
    <t>MARZO 2023</t>
  </si>
  <si>
    <t>NO SE ESTÁ TENIENDO OBJETIVIDAD EN LA ENTREGA DE LOS RESULTADOS, NO SE TIENE PORCENTAJE DE CUMPLIMIENTO, NO OBTENEMOS REPORTES, LOS TIEMPOS DE ASESORÍA SON REALMENTE CORTOS.</t>
  </si>
  <si>
    <t>DIC 2023</t>
  </si>
  <si>
    <t>BAGRE</t>
  </si>
  <si>
    <t>80773625-0</t>
  </si>
  <si>
    <t>DANIELA PRECIADO</t>
  </si>
  <si>
    <t>DROGUERIA DROGMEDIK GS</t>
  </si>
  <si>
    <t xml:space="preserve">LUIS FERNANDO GONZALEZ GOMEZ </t>
  </si>
  <si>
    <t>3046465725  -  6045974688</t>
  </si>
  <si>
    <t>fernandogonzalezgomez2808@gmail.com</t>
  </si>
  <si>
    <t>14/02/2020</t>
  </si>
  <si>
    <t>SOLICITÓ LA CANCELACIÓN DEL PROYECTO Y EL SERVICIO QUE TENEMOS CON USTEDES A PARTIR DE ESTA FECHA, POR ASUNTOS PERSONALES Y PROFESIONALES.</t>
  </si>
  <si>
    <t xml:space="preserve">NO TIENE QUEJA DEL SERVICIO, VA A CONTRATAR UN FAMILIAR </t>
  </si>
  <si>
    <t>900582843-3</t>
  </si>
  <si>
    <t xml:space="preserve">JULIAN NIETO </t>
  </si>
  <si>
    <t>ENTIRETY LLC</t>
  </si>
  <si>
    <t>JEANNETTE MARÍN OSORIO</t>
  </si>
  <si>
    <t>jmarin@entirety.biz</t>
  </si>
  <si>
    <t>26/07/2023</t>
  </si>
  <si>
    <t>DE MANERA ATENTA PASO A COMUNICARLES QUE A LA FECHA SOLICITAMOS CANCELACIÓN DEL SERVICIO QUE TENEMOS CON USTEDES.NECESITO QUE ESTE RETIRO QUEDE APLICADO AL MES DE NOVIEMBRE, PARA QUE EL MES DE DICIEMBRE NO SEA FACTURADO.</t>
  </si>
  <si>
    <t xml:space="preserve">1 DIC </t>
  </si>
  <si>
    <t xml:space="preserve">,DICE QUE LE PONEN MUCHO TRABAJO OPERTIVO, NO TIENE TIEMPO DE HACER TANTAS TAREAS, DICE QUE SON DEMASIADO QUE PRACTICAMENTE ELLA HACIA TODO,  NO LE DA EL PRESUPUESTO PARA EL PRESENCIAL, </t>
  </si>
  <si>
    <t xml:space="preserve">DAVID PARRA </t>
  </si>
  <si>
    <t>MEDELLÍN</t>
  </si>
  <si>
    <t>901467022-5</t>
  </si>
  <si>
    <t>JUGUETERÍA LOPEZ SAS</t>
  </si>
  <si>
    <t>FOSKARINE AYA DIAZ</t>
  </si>
  <si>
    <t>jugueterialopezsas1@gmail.com</t>
  </si>
  <si>
    <t xml:space="preserve">15/07/2022 </t>
  </si>
  <si>
    <t>NO INDICAN RAZON DELA CANCELACION</t>
  </si>
  <si>
    <t>MEDELLIN</t>
  </si>
  <si>
    <t>900035807-2</t>
  </si>
  <si>
    <t>BLUE SERVICES SAS</t>
  </si>
  <si>
    <t>DUVAN NIETO</t>
  </si>
  <si>
    <t>3114454114 - (031) 8219021</t>
  </si>
  <si>
    <t>operaciones@blueservices.com.co</t>
  </si>
  <si>
    <t>31 mayo 2022</t>
  </si>
  <si>
    <t>POR FAVOR CANCELAR EL SERVICIO YA QUE LA EMPRESA ENTRARÁ EN LIQUIDACIÓN</t>
  </si>
  <si>
    <t>COTA</t>
  </si>
  <si>
    <t>CUNDINAMARCA</t>
  </si>
  <si>
    <t>890932744-1</t>
  </si>
  <si>
    <t>SUMINISTROS GLAS S.A</t>
  </si>
  <si>
    <t>LISSETH ZULUAGA VASQUEZ</t>
  </si>
  <si>
    <t>604 448 99 22 Ext 121</t>
  </si>
  <si>
    <t xml:space="preserve">l.zuluaga@sumiglas.com  /   contabilidad@sumiglas.com; </t>
  </si>
  <si>
    <t>26/03/2018</t>
  </si>
  <si>
    <t>SUMIGLAS S.A HA TOMADO LA DECISIÓN DE CAMBIAR EL PROVEEDOR PARA SU SISTEMA DE GESTIÓN DE
SALUD Y SEGURIDAD EN EL TRABAJO. POR LO TANTO Y A PARTIR DEL 31 DE DICIEMBRE DEL AÑO 2023 SE CANCELAN LAS RELACIONES COMERCIALES ENTRE AMBAS EMPRESAS.</t>
  </si>
  <si>
    <t>901220616-9</t>
  </si>
  <si>
    <t>MATERIALES ARQUITECTONICOS SAS</t>
  </si>
  <si>
    <t>JENNYFER RENDON MARULANDA</t>
  </si>
  <si>
    <t xml:space="preserve">materialesarquitectonicossas@gmail.com; </t>
  </si>
  <si>
    <t>26/11/2021</t>
  </si>
  <si>
    <t>MARTHA MEJIA R</t>
  </si>
  <si>
    <t>DOS QUEBRADAS</t>
  </si>
  <si>
    <t>RISARALDA</t>
  </si>
  <si>
    <t>MINERALES MARFIL SAS</t>
  </si>
  <si>
    <t>ESTEBAN PUENTES CARDENAS</t>
  </si>
  <si>
    <t>mariav.restrepo71@gmail.com</t>
  </si>
  <si>
    <t>REDUCCION CONEXIONES</t>
  </si>
  <si>
    <t>SOLICITAMOS A USTEDES LA REDUCCIÓN EN EL NUMERO DE ASESORÍAS DE 4 A 2 MENSUALES Y QUE A LA FECHA SE VIENEN DANDO A LA EMPRESA MINERALES MARFIL SAS NIT 900.725.116-2, YA QUE EN LA ACTUALIDAD LA EMPRESA HA VENIDO DISMINUYENDO EN SU OPERACIÓN POR RAZONES MÚLTIPLES, LO QUE NOS HA LLEVADO A UNA DISMINUCIÓN DE PERSONAL (SOLO 3 EMPLEADOS) Y DE INGRESOS (DISMINUCIÓN EN UN 50% DELAS VENTAS), LO QUE NOS HA LLEVADO A BUSCAR REDUCIR COSTOS DE OPERACIÓN.</t>
  </si>
  <si>
    <t>se le envi correo ofreciendo 2 conexiones en 200,000 1 conexion en 125,000</t>
  </si>
  <si>
    <t xml:space="preserve"> INMOBILIARIA ARCO</t>
  </si>
  <si>
    <t>SANDRA GÓMEZ LÓPEZ</t>
  </si>
  <si>
    <t>(57) (4) 322 22 21</t>
  </si>
  <si>
    <t>info@inmobiliariaarco.com.co</t>
  </si>
  <si>
    <t>SUSPENSION  CONEXION DIC</t>
  </si>
  <si>
    <t>EN EL MES DE DICIEMBRE DEL 2023 COMO ES COSTUMBRE CADA AÑO NO TOMAREMOS LAS CONEXIONES POR FALTA DE TIEMPO ACA EN EL PARQUEADERO.</t>
  </si>
  <si>
    <t xml:space="preserve">GALLAGHER </t>
  </si>
  <si>
    <t>CLAUDIA CARVAJAL RIOS</t>
  </si>
  <si>
    <t>CONSORCIO CONSTRURED 2019</t>
  </si>
  <si>
    <t>MILENA OLIVARES BERNAL</t>
  </si>
  <si>
    <t>coordinadorhseq@consorcioconstrured.com</t>
  </si>
  <si>
    <t>DISOLUCION DE LA EMPRESA</t>
  </si>
  <si>
    <t>EMPRESA CONSORCIO CONSTRURED 2019 DEJARÁ DE FUNCIONAR DEBIDO A QUE ES UN CONSORCIO QUE ESTÁ CONFORMADO POR DOS EMPRESAS Y SE ESTÁ DISOLVIENDO LA SOCIEDAD</t>
  </si>
  <si>
    <t>FECHA ENTREGA SISTEMA</t>
  </si>
  <si>
    <t>901338283-8</t>
  </si>
  <si>
    <t>Maribel Tangarife</t>
  </si>
  <si>
    <t>HISMART</t>
  </si>
  <si>
    <t>JEISON ANDRES PEREZ</t>
  </si>
  <si>
    <t>facturacion@hismart.com.co</t>
  </si>
  <si>
    <t>LA EMPRESA HISMART NIT 901338283-8, NO VA A CONTINUAR CON TALENTO CONSULTORES. SOLO ESTAREMOS ESTE MES DE DICIEMBRE, YA PARA ENERO NO CONTINUAMOS, POR FAVOR CANCELAR LOS SERVICIOS QUE NOS PRESTAN</t>
  </si>
  <si>
    <t>1 ene 2024</t>
  </si>
  <si>
    <t>debe diciembre</t>
  </si>
  <si>
    <t xml:space="preserve">SOLO QUEDN CON 1 EMPLEADO, SE LE OFRECE 1 CONXION AL MES POR 100 PARA NO PERDER CONTINUIDAD PENDIENTE QUE JESSICA RESPONDA </t>
  </si>
  <si>
    <t>811044640-5</t>
  </si>
  <si>
    <t>COLEGIO MADRID CAMPESTRE</t>
  </si>
  <si>
    <t xml:space="preserve">JUAN FELIPE MADRID CHACON </t>
  </si>
  <si>
    <t>felipema909@gmail.com</t>
  </si>
  <si>
    <t>14/07/2023</t>
  </si>
  <si>
    <t xml:space="preserve">NO INDICAN </t>
  </si>
  <si>
    <t>15 dic 2023</t>
  </si>
  <si>
    <t xml:space="preserve">al dia </t>
  </si>
  <si>
    <t>la alcaldia les quito el subsidio que les daba para el sst, ademas no cuenta con la persona para ejecutar el sst</t>
  </si>
  <si>
    <t>retirado del automatico</t>
  </si>
  <si>
    <t>900269161-8</t>
  </si>
  <si>
    <t>Daniela Acevedo</t>
  </si>
  <si>
    <t>FUNDACIÓN MADRID CAMPESTRE</t>
  </si>
  <si>
    <t>811043719-3</t>
  </si>
  <si>
    <t>UNIMEDIOS COMUNICACIONES S.A.S</t>
  </si>
  <si>
    <t xml:space="preserve">
LUZ MARIA OSTAU DE LAFONT
</t>
  </si>
  <si>
    <t>LuzMaOstau@claudiasaldarriaga.com</t>
  </si>
  <si>
    <t>abril 2023</t>
  </si>
  <si>
    <t>el cliente cancela por la razon de atosigamiento por parte de el area de cartera, ya que la cliente pago por un medio distinto se le cobro de nuevo y decidio cancelar</t>
  </si>
  <si>
    <t>14/12/2023</t>
  </si>
  <si>
    <t>Deben Diciembre</t>
  </si>
  <si>
    <t>PDTE: FE21674 // 14/12/2023 // $250.000</t>
  </si>
  <si>
    <t>DANI MURILLO</t>
  </si>
  <si>
    <t xml:space="preserve">	901187773-6</t>
  </si>
  <si>
    <t>ALTIS COMPAÑÍA AGRÍCOLA</t>
  </si>
  <si>
    <t>JOSE LUIS PEÑA</t>
  </si>
  <si>
    <t>317 542 6309</t>
  </si>
  <si>
    <t>josephluis.92@gmail.com</t>
  </si>
  <si>
    <t>LA COMPAÑÍA TENIENDO EN CUENTA QUE EL PERSONAL AUMENTARÁ PARA LA VIGENCIA 2024, DONDE PARA LA EMPRESA ES EVIDENTE QUE LOS ESTÁNDARES MÍNIMOS AUMENTARON DE MANERA PROPORCIONAL, POR LO QUE SE TOMÓ LA DECISIÓN DE CONTRATAR UN PROFESIONAL SST DE TIEMPO COMPLETO, POR LO QUE NO SE CONTINUARÁ CON EL CONTRATO ADQUIRIDO CON USTEDES</t>
  </si>
  <si>
    <t>15/12/2023</t>
  </si>
  <si>
    <t xml:space="preserve">LORENA MORENO </t>
  </si>
  <si>
    <t>lorenamorenomnarquitectura@gmail.com</t>
  </si>
  <si>
    <t>AL COMUNICARME ME INDICAN QUE NO SINTIERON MUCHO EL ACOMPAÑAMIENTO Y QUE PREFIEREN TENER A ALGUIEN DE FORMA DIRECTA, AL INDICARLE SI ERA POSIBLE COTIZARLES EL PRESENCIAL ME DIJIERON QUE YA FIRMARON CON ALGUIEN MAS</t>
  </si>
  <si>
    <t>se envia correo confirmando su correo</t>
  </si>
  <si>
    <t>900737652-0</t>
  </si>
  <si>
    <t>DEL CAMPO POR TRADICIÓN SAS</t>
  </si>
  <si>
    <t>JUAN CARLOS BOCANEGRA BARRIOS</t>
  </si>
  <si>
    <t>juancarlos@pomario.co</t>
  </si>
  <si>
    <t>no indica</t>
  </si>
  <si>
    <t>Pdte 50% MDRPS cliente en débito// al día en recurrencia, útima fact 01/01/2024</t>
  </si>
  <si>
    <t>900376761-5</t>
  </si>
  <si>
    <t>Antony Linero</t>
  </si>
  <si>
    <t>SERVICIOS DE VALOR AGREGADO EN IT S.A.S</t>
  </si>
  <si>
    <t>PAULA ANDREA UPEGUI</t>
  </si>
  <si>
    <t xml:space="preserve">pupegui@serviciosdevalor.com.co; </t>
  </si>
  <si>
    <t>junio 2023</t>
  </si>
  <si>
    <t>NO RETENER, DECISION TOMADA POR GERENCIA</t>
  </si>
  <si>
    <t xml:space="preserve">Deben Enero </t>
  </si>
  <si>
    <t>PDTE: FE22276// 01/01/204 // $400.000</t>
  </si>
  <si>
    <t>JHONATAN PACHECO</t>
  </si>
  <si>
    <t>SE ENVIA ULTIMO CORREO CANCELACION</t>
  </si>
  <si>
    <t>901048678-9</t>
  </si>
  <si>
    <t xml:space="preserve">CONFECCIONES RAMIREZ VELANDIA SAS </t>
  </si>
  <si>
    <t xml:space="preserve">NATHALY RAMIREZ </t>
  </si>
  <si>
    <t>confeccionesramirezvelandia@gmail.com</t>
  </si>
  <si>
    <t>24 de junio</t>
  </si>
  <si>
    <t>LA EMPRESA ENTRÓ EN PROCESO DE LIQUIDACIÓN Y ESTÁ SIN NINGÚN TRABAJADOR VINCULADO</t>
  </si>
  <si>
    <t>SOACHA</t>
  </si>
  <si>
    <t>GEOTERRA INGENIERIA LTDA</t>
  </si>
  <si>
    <t xml:space="preserve">PALOMA SANTAMARIA BASTIDAS </t>
  </si>
  <si>
    <t>bastidas56@hotmail.com</t>
  </si>
  <si>
    <t>30 agosto 2023</t>
  </si>
  <si>
    <t>EL MOTIVO DE NUESTRO RETIRO ES QUE EN EL MOMENTO NO TENGO CONTRATO VIGENTE, SOMOS 2 EMPLEADOS POR ENDE NOS TOMAREMOS UN RECESO UNOS MESES</t>
  </si>
  <si>
    <t>31/12/2023</t>
  </si>
  <si>
    <t>BARRANQUILLA</t>
  </si>
  <si>
    <t>ATLÁNTICO</t>
  </si>
  <si>
    <t>900803940-1</t>
  </si>
  <si>
    <t>TORRE 28 DE LA URBANIZACION TERRITORIO ROBLEDO -ETAPA GAVIOTAS -PROPIEDAD HORIZONTAL</t>
  </si>
  <si>
    <t>HERNAN ALEXANDER VARGAS MONTOYA</t>
  </si>
  <si>
    <t>gerencia@havm.com.co</t>
  </si>
  <si>
    <t>SOLICITANDO LA CANCELACIÓN POR EL MAL SERVICIO PORQUE NO ME ENVIARON EL CONTRATO PORQUE NO HE TENIDO ASISTENCIA DE NADA.</t>
  </si>
  <si>
    <t>enero 2024</t>
  </si>
  <si>
    <t xml:space="preserve">Pendiente de enero, se debe anular la factura </t>
  </si>
  <si>
    <t>79002625-1</t>
  </si>
  <si>
    <t>DROGUERIA POPULAR DE GUADUAS</t>
  </si>
  <si>
    <t>JUAN GUILLERMO VARGAS GALLO</t>
  </si>
  <si>
    <t>juangvgh@hotmail.com</t>
  </si>
  <si>
    <t>enero 2021</t>
  </si>
  <si>
    <t>POR MOTIVOS DE VENTA DE MI NEGOCIO EL DIA 30 DE NOVIEMBRE DEL PRESENTE, NO NECESITO DEL SERVICIO DE ASESORÍA QUE USTEDES ME PRESTAN</t>
  </si>
  <si>
    <t xml:space="preserve">DANIELA MORENO </t>
  </si>
  <si>
    <t>GUADUAS</t>
  </si>
  <si>
    <t>830130274-1</t>
  </si>
  <si>
    <t>TOWERTECH AMERICAS S.A.S</t>
  </si>
  <si>
    <t>MONICA ALEJANDRA RAMIREZ NIÑO</t>
  </si>
  <si>
    <t>formacion@pcs.group</t>
  </si>
  <si>
    <t>28/01/2020</t>
  </si>
  <si>
    <t>30/01/2024</t>
  </si>
  <si>
    <t xml:space="preserve">El presente correo es para solicitar a ustedes la suspensión del servicio que nos han venido prestando hasta la fecha, esto en razón a que la empresa TOWERTECH AMERICAS S.A.S identificada con el Nit 830.130.274-1 entra en proceso de Liquidación.
Agradecemos inmensamente por todo el apoyo prestado para el fortalecimiento de nuestro SGSST, deseándoles muchos éxitos a futuro.
 </t>
  </si>
  <si>
    <t>15/01/2024</t>
  </si>
  <si>
    <t xml:space="preserve">Lina Maria Sierra Mejia </t>
  </si>
  <si>
    <t>800206945-2</t>
  </si>
  <si>
    <t>ALMACEN DONDE MIGUEL SAS</t>
  </si>
  <si>
    <t>MIGUEL ANTONIO MORENO BERNAL</t>
  </si>
  <si>
    <t>(601) 8444623</t>
  </si>
  <si>
    <t>adrianazoler@hotmail.com</t>
  </si>
  <si>
    <t>19/05/2023</t>
  </si>
  <si>
    <t>9 Enero de 2024</t>
  </si>
  <si>
    <t xml:space="preserve">Agradeciendo de antemano el tiempo de acompañamiento,
Una vez revisado por proceso de auditoria en la empresa y evaluar diferentes situaciones,
nos permitidos dar por terminado el acuerdo establecido en SG SST. </t>
  </si>
  <si>
    <t xml:space="preserve">David PARRA </t>
  </si>
  <si>
    <t>901500178-6</t>
  </si>
  <si>
    <t xml:space="preserve">SANTAMONICA PREMIUM EVENTS - QSINE S.A.S </t>
  </si>
  <si>
    <t>AIDA TATIANA RUÍZ LÓPEZ</t>
  </si>
  <si>
    <t>604 4487072</t>
  </si>
  <si>
    <t>revisoria@qsine.com.co</t>
  </si>
  <si>
    <t>agosto 2023</t>
  </si>
  <si>
    <t>3 enero 2024</t>
  </si>
  <si>
    <t>NO TIENEN PRESUPUESTO POR EL MOMENTO</t>
  </si>
  <si>
    <t>71376090-5</t>
  </si>
  <si>
    <t>Maria Elena</t>
  </si>
  <si>
    <t>Diego Antonio Gil Mesa</t>
  </si>
  <si>
    <t>DIEGO ANTONIO GIL MESA</t>
  </si>
  <si>
    <t>maya365@hotmail.com</t>
  </si>
  <si>
    <t xml:space="preserve">DEFINITIVO </t>
  </si>
  <si>
    <t>11 marzo 2022</t>
  </si>
  <si>
    <t>13 enero 2024</t>
  </si>
  <si>
    <t>El motivo del retiro es porque eran demasiadas actividades y a la hora de ver era a la asesora que le correspondía hacerlas, se le dijo pero como todo seguía igual entonces mejor decidimos retirarnos. Muchas gracias por su colaboración.</t>
  </si>
  <si>
    <t>1 Enero2024</t>
  </si>
  <si>
    <t>1 Enero 2024</t>
  </si>
  <si>
    <t xml:space="preserve">MARTHA CECILIA MEJIA RUIZ </t>
  </si>
  <si>
    <t>900932033-7</t>
  </si>
  <si>
    <t xml:space="preserve">Claudia Yanet </t>
  </si>
  <si>
    <t xml:space="preserve">Wil seguros </t>
  </si>
  <si>
    <t>LUCELLY CASTRILLON CIRO</t>
  </si>
  <si>
    <t>willseguros@gmail.com</t>
  </si>
  <si>
    <t>05 febrero 2022</t>
  </si>
  <si>
    <t>22 enero  2024</t>
  </si>
  <si>
    <t>Informo que a partir del día 31 de enero del año 2024, no seguiremos con el programa debido a que la empresa se cerrara definitivamente.</t>
  </si>
  <si>
    <t>1 febrero 2024</t>
  </si>
  <si>
    <t>1 enero 2024</t>
  </si>
  <si>
    <t xml:space="preserve">Maria Alejandra Giraldo Yepes </t>
  </si>
  <si>
    <t>901167827-1</t>
  </si>
  <si>
    <t>Julian Andres</t>
  </si>
  <si>
    <t>Blue Coating Solutions S.A.S</t>
  </si>
  <si>
    <t>Ana Carillo</t>
  </si>
  <si>
    <t>ana.carrillo@bluecoatings.com</t>
  </si>
  <si>
    <t>09 marzo 2023</t>
  </si>
  <si>
    <t>26 enero 2024</t>
  </si>
  <si>
    <t>Buenas tardes me dirijo a ustedes para informar que no queremos continuar con la asesoria del sg sst par la empresa, debido a que estaos cortos de presupuesto.  Esto a partir del 1 de febrero de 2024.</t>
  </si>
  <si>
    <t>1 feb  2024 factura proporcional por cancelacion</t>
  </si>
  <si>
    <t>900472275-8</t>
  </si>
  <si>
    <t>Daniela</t>
  </si>
  <si>
    <t>CONDUFIABLE SAS</t>
  </si>
  <si>
    <t>MARIANA RODRIGUEZ</t>
  </si>
  <si>
    <t>representantecondufiable@gmail.com</t>
  </si>
  <si>
    <t>18 mayo 2022</t>
  </si>
  <si>
    <t>29 enero  2024</t>
  </si>
  <si>
    <t>Lamentablemente, me veo en la necesidad de informarle que deseamos terminar dicho contrato. Esta decisión se basa en varios factores que han afectado la efectividad de los servicios que ustedes proporcionan. Principalmente, hemos experimentado múltiples cambios en el personal encargado de la gestión de nuestro sistema de seguridad y salud en el trabajo.
Estos cambios han resultado en una falta de continuidad y consistencia en el aprovechamiento de las asesorías y servicios que ustedes ofrecen. La persona actualmente a cargo prefiere utilizar otro tipo de herramientas y métodos, lo que ha llevado a una subutilización de los recursos que contratamos con su empresa.
Deseo expresar mi agradecimiento por los servicios prestados hasta la fecha y por la atención que han brindado a nuestras necesidades. Sin embargo, consideramos que es en el mejor interés de ambas partes finalizar nuestra asociación contractual en este momento .   Adicional no contamos con mucho presupuesto
Por lo anterior, solicitamos se proceda a dar por terminado el contrato celebrado el 18 de mayo de 2022 y Además, solicitamos la suspensión del débito automático asociado a este contrato a partir de la fecha
Agradezco su comprensión y cooperación en este asunto. Quedo a la espera de sus instrucciones para llevar a cabo el proceso de terminación de manera adecuada.</t>
  </si>
  <si>
    <t>15 FEB 2024 factura proporcional por cancelacion</t>
  </si>
  <si>
    <t>900219996-7</t>
  </si>
  <si>
    <t xml:space="preserve">Claudia </t>
  </si>
  <si>
    <t>URBANIZADORA Y CONSTRUCTORA MANANTIAL SOCIEDAD POR ACCIONES SIMPLIFICADA</t>
  </si>
  <si>
    <t>EDGAR ALBERTO PIÑEROS PERILLA</t>
  </si>
  <si>
    <t>manantial900@hotmail.com</t>
  </si>
  <si>
    <t>22 febrero 2023</t>
  </si>
  <si>
    <t>29 enero 2024</t>
  </si>
  <si>
    <t>sin empleados</t>
  </si>
  <si>
    <t>15 ene  2024</t>
  </si>
  <si>
    <t>Yasmin Andrea</t>
  </si>
  <si>
    <t>ESPACIOS Y CONTACTOS S.A.S</t>
  </si>
  <si>
    <t>SANTIAGO ARANGO TORO</t>
  </si>
  <si>
    <t>administrativo@espaciosycontactos.com</t>
  </si>
  <si>
    <t>21 julio 2017</t>
  </si>
  <si>
    <t>30 enero  2024</t>
  </si>
  <si>
    <t xml:space="preserve">Me permito informarles que la Espacios y Contactos decide terminar el contrato de prestación de servicios que ustedes nos brindan, ya que no contamos con presupuesto; por favor nos podrían informar el paso a seguir o cómo debemos de proceder.
Quedamos atentos a sus comentarios no sin antes darles las gracias por todo el buen servicio y apoyo que nos han brindado.
 </t>
  </si>
  <si>
    <t>1 febrero  2024</t>
  </si>
  <si>
    <t xml:space="preserve">Obed Alejandro Diossa Betancur </t>
  </si>
  <si>
    <t>901183813-4</t>
  </si>
  <si>
    <t xml:space="preserve">Claudia Stella </t>
  </si>
  <si>
    <t>MAR SOLUCIONES SAS</t>
  </si>
  <si>
    <t>ITALO PINEDA VARGAS</t>
  </si>
  <si>
    <t>italopineda@yahoo.com</t>
  </si>
  <si>
    <t>18 agosto 2023</t>
  </si>
  <si>
    <t>30 enero 2024</t>
  </si>
  <si>
    <t>Solicito por favor la terminación inmediata de todo tipo de actividad entre Talento Consultores y MAR SOLUCIONES SAS.
&gt; Solicito la expedición de un paz y salvo. (No quiso indicar el motivo)
&gt; Agradezco me confirmen el recibido y entendido del presente mensaje.
&gt; La empresa no asistirá a la reunión programada del siguiente sábado.</t>
  </si>
  <si>
    <t>15 enerro  2024</t>
  </si>
  <si>
    <t>900596154-8</t>
  </si>
  <si>
    <t>IKALON S.A.S.</t>
  </si>
  <si>
    <t>NICOLAS SANTOS CHARRY</t>
  </si>
  <si>
    <t>administrador@ikalon.co</t>
  </si>
  <si>
    <t>04 agosto 2023</t>
  </si>
  <si>
    <t>31 enero 2024</t>
  </si>
  <si>
    <t xml:space="preserve">Como lo manifesté varias veces el año pasado, a raíz del servicio que tomamos de Plan Choque, ejecutado en el mes de octubre, se generó un retrabajo que tuvo un gran impacto en nuestra operatividad, justo estando a puertas de la auditoria anual de la ARL. Lo que se buscaba con el plan choque era justo que SISTEGRA tomara toda la operatividad posible para minimizar  el trabajo de Ikalon, sin embargo, lo que se hizo fue montar un sistema de gestión desde cero, sin tener en cuenta TODO lo que Ikalon ya tenía avanzado. 
Quiero resaltar, que con la ayuda de Julián Nieto, entre noviembre y diciembre, pusimos en marcha un plan de acción que nos permitió mitigar la situación y cumplir con lo mínimo requerido por la ARL, partiendo desde todo lo que Ikalon ya tenía, incluso previo a la ejecución del plan choque. Julián tuvo una actitud super resolutiva, enfocada en lograr el objetivo de tener toda la documentación. </t>
  </si>
  <si>
    <t xml:space="preserve">1 FEB 2024 Proporcional, pendiente llamda de david </t>
  </si>
  <si>
    <t>ENVIAR CORREO FINAL FECHA FEBRERO</t>
  </si>
  <si>
    <t>901255944-0</t>
  </si>
  <si>
    <t xml:space="preserve">Juan Camilo </t>
  </si>
  <si>
    <t>IKALON HOLDINGS S.A.S.</t>
  </si>
  <si>
    <t>MANUEL JOSE NARANJO FORERO</t>
  </si>
  <si>
    <t>04 Agosto 2023</t>
  </si>
  <si>
    <t>WILMAR ARIAS CONSTRUCCIONES OBRAS Y REFORMAS S.A.S.</t>
  </si>
  <si>
    <t>WILMAR ADOLFO ARIAS HENAO</t>
  </si>
  <si>
    <t>construcciones.wilmararias@gmail.com</t>
  </si>
  <si>
    <t>29 diciembre 2022</t>
  </si>
  <si>
    <t>31 enero  2024</t>
  </si>
  <si>
    <t>El motivo por el cual hemos tomado esta decisión es por reorganización administrativa interna y por el cumplimiento articulado del SG-SST en conjunto con la plataforma de la ARL</t>
  </si>
  <si>
    <t>28 enero  2024</t>
  </si>
  <si>
    <t>900925874-5</t>
  </si>
  <si>
    <t>HOME CARE TECHNOLOGY S.A.S</t>
  </si>
  <si>
    <t>JUAN DAVID CALDERON GARCIA</t>
  </si>
  <si>
    <t>hctortopedicos2@gmail.com</t>
  </si>
  <si>
    <t>30 diciembre 2022</t>
  </si>
  <si>
    <t>1 febrebro 2024</t>
  </si>
  <si>
    <t xml:space="preserve">Por medio de la presente la empresa Home Cara Technology SASº
Solicita amablemente que procedan a resolver el contrato de prestación de servicios de asesoría de SG-SST, plan bienestar sabana y servicio en la nube software sistegra, debido a que hemos decidido contratar una persona que realice el sistema de gestión de seguridad y salud en el trabajo indicado y, por consiguiente, se abstengan de facturas y cobrar cualquier cantidad que pueda devengar, por cusa que no me es imputable, con posterioridad a la fecha de resolución del contrato.
</t>
  </si>
  <si>
    <t>29 febrero</t>
  </si>
  <si>
    <t>900983462-1</t>
  </si>
  <si>
    <t>EHVOL GROUP SAS</t>
  </si>
  <si>
    <t>JAIME CASTAÑO MATIZ</t>
  </si>
  <si>
    <t>talentohumano@ehvol.com</t>
  </si>
  <si>
    <t>12 diciembre 2023</t>
  </si>
  <si>
    <t>Cordial saludo
Por medio del presente, solicitamos a ustedes la cancelación del Servicio con Sistegra a Cierre del mes de Enero, puesto que no se cumplió el requerimiento para cargue al ministerio de trabajo del año anterior.</t>
  </si>
  <si>
    <t>901280404-0</t>
  </si>
  <si>
    <t>Julian Nieto / Juan Urrego</t>
  </si>
  <si>
    <t>ZISKA S.A.S</t>
  </si>
  <si>
    <t>MAUREEN CARREÑO</t>
  </si>
  <si>
    <t>infantem@ziskacolombia.com</t>
  </si>
  <si>
    <t>17 enero 2024</t>
  </si>
  <si>
    <t xml:space="preserve">Buen día 
Cordial saludo
Por medio del presente, solicitamos a ustedes la cancelación del Servicio con Sistegra a Cierre del mes de Enero, puesto que no se cumplió el requerimiento para cargue al ministerio de trabajo. Y no tenemoss suficiente presupuesto
</t>
  </si>
  <si>
    <t xml:space="preserve">15 febrero </t>
  </si>
  <si>
    <t>900122541-1</t>
  </si>
  <si>
    <t>PALOMA SANTAMARIA BASTIDAS</t>
  </si>
  <si>
    <t>santamar_16@hotmail.com</t>
  </si>
  <si>
    <t>Actuando en nombre propio y representación legal de la empresa GEOTERRA INGENIERIA LTDA, con Nit: 900122541, damos por terminado hasta el día 30 del presente mes, el contrato del servicio de asesoría para implementar el SG-SST, satisfecho con el asesor el Sr. Julian Nieto, eficiente y bien organizado, aun faltan cositas pero más adelante nos pondremos al día</t>
  </si>
  <si>
    <t xml:space="preserve">16 febrero </t>
  </si>
  <si>
    <t>31 diciembre 2023</t>
  </si>
  <si>
    <t>David Parra</t>
  </si>
  <si>
    <t>900467450-0</t>
  </si>
  <si>
    <t>EMPRESA DE AEROSTATOS FLOTTE S.A.S.</t>
  </si>
  <si>
    <t>JUAN SEBASTIAN URIBE LOPEZ</t>
  </si>
  <si>
    <t>gerencia@flotte.co</t>
  </si>
  <si>
    <t>27 junio 2023</t>
  </si>
  <si>
    <t>2 febrero 2024</t>
  </si>
  <si>
    <t>Espero que se encuentren bien. Agradecemos sinceramente la atención y el servicio brindado por su empresa en los últimos meses. Sin embargo, después de una cuidadosa revisión de nuestras necesidades y circunstancias actuales, hemos tomado la decisión de cancelar el servicio prestado por su empresa (Talentos Consultores).
Queremos expresar nuestro agradecimiento por el esfuerzo y la dedicación que su equipo ha demostrado durante estos meses. La decisión de cancelar nuestros servicios no refleja ninguna insatisfacción con el desempeño de Talentos Consultores. Simplemente estamos ajustando nuestras prioridades y estrategias empresariales en este momento.</t>
  </si>
  <si>
    <t xml:space="preserve">29 febrero </t>
  </si>
  <si>
    <t>900408075-1</t>
  </si>
  <si>
    <t>AUTOMATION BUSINESS SMART SAS</t>
  </si>
  <si>
    <t>ANDRES LEONARDO BERNAL CORREDO</t>
  </si>
  <si>
    <t>andresb@absmar.co</t>
  </si>
  <si>
    <t>03 noviembre 2019</t>
  </si>
  <si>
    <t>5 febrero 2024</t>
  </si>
  <si>
    <t>Buenos días, por medio del presente y en calidad de representante general, gerente y único socio de AUTOMATION BUSINESS SMART SAS identificada con NIT 900.408.075-1, Yo ANDRÉS LEONARDO BERNAL CORREDOR identificado con cedula de ciudadanía 80.191.311, solicito de manera definitiva la cancelación del servicio prestado por ustedes por motivo de cierre de la empresa.</t>
  </si>
  <si>
    <t>17 febrero</t>
  </si>
  <si>
    <t>Johana Andrea Lopez Escobar</t>
  </si>
  <si>
    <t>DQS S.A.S</t>
  </si>
  <si>
    <t>PEDRO LUIS ESCOBAR RUIZ</t>
  </si>
  <si>
    <t>sisoma@dqssas.com</t>
  </si>
  <si>
    <t>25 noviembre 2020</t>
  </si>
  <si>
    <t>6 febrero 2024</t>
  </si>
  <si>
    <t>Para informarle la cancelación de la asesoría del sistema de salud y seguridad en el trabajo a partir de este momento, la decisión se debe a que contratamos directamente un profesional, que servirá de apoyo con su firma para los documentos del sistema, el cual ya está muy avanzado, continuamos con el de seguridad vial, que fue contratado recientemente. Si requerimos de sus servicios los tendremos en cuenta.</t>
  </si>
  <si>
    <t>15 enero 2024</t>
  </si>
  <si>
    <t>900188065-0</t>
  </si>
  <si>
    <t>Voxoni SAS</t>
  </si>
  <si>
    <t>MARTIN CABRERA</t>
  </si>
  <si>
    <t>mcabrera@voxoni.com</t>
  </si>
  <si>
    <t>25 enero 2022</t>
  </si>
  <si>
    <t>8 febrero 2024</t>
  </si>
  <si>
    <t xml:space="preserve">Buenos días, por medio del presente solicitamos la cancelación del servicio que vienen prestando para la empresa Voxoni SAS,  a partir del mes de febrero (entraremos en proceso de liquidación). Agradecemos toda su colaboración.
Las facturas pendientes ya quedaron canceladas.
Cordialmente,
</t>
  </si>
  <si>
    <t xml:space="preserve">8 marzo </t>
  </si>
  <si>
    <t xml:space="preserve">15 FEBRERO </t>
  </si>
  <si>
    <t xml:space="preserve">Ansly Daniela Moreno Osorio </t>
  </si>
  <si>
    <t>900558635-7</t>
  </si>
  <si>
    <t>ITN TRAVEL S.A.S</t>
  </si>
  <si>
    <t>NATALIA PAOLA FERNANDEZ GOMEZ</t>
  </si>
  <si>
    <t>gerencia@turismerk.com</t>
  </si>
  <si>
    <t>14 julio 2023</t>
  </si>
  <si>
    <t>16 Enero(se equivoco en el correo y llego el 6 de Febrero)</t>
  </si>
  <si>
    <t xml:space="preserve">Me permito informar que no seguiremos con el plan q llevamos. Debido a que no nos sentimos conformes con la atención, seguimientos o ejecución de un plan de trabajo, es incompresible que aparezcan sus asesoras cada dos meses con unas citas fantasmas sin coordinación y agenda previa con el cliente
A demás estar pagando un servicio mensual q no se esta recibiendo por ninguna manera, es de mucha vergüenza y no aceptamos esto. Por favor informar cual es el paso a seguir e informamos que la factura de enero esta rechazada. </t>
  </si>
  <si>
    <t>15 diciembre 2023</t>
  </si>
  <si>
    <t xml:space="preserve">Andres esta encargado del caso </t>
  </si>
  <si>
    <t>Dani murillo</t>
  </si>
  <si>
    <t>901348749-0</t>
  </si>
  <si>
    <t>Kreative Q S.A.S</t>
  </si>
  <si>
    <t>MARIA OTILIA GONZALEZ BUITRAGO</t>
  </si>
  <si>
    <t>kreativeqsas@gmail.com</t>
  </si>
  <si>
    <t>15 mayo 2023</t>
  </si>
  <si>
    <t xml:space="preserve">14 Febrero </t>
  </si>
  <si>
    <t>CONTRATO FINALIZADO UNILATERALMENTE</t>
  </si>
  <si>
    <t xml:space="preserve">15 MARZO </t>
  </si>
  <si>
    <t>15 FEBRERO</t>
  </si>
  <si>
    <t>TECH DISTRIBUCIONES</t>
  </si>
  <si>
    <t>NICOLAS LADINO</t>
  </si>
  <si>
    <t>administrativo@techdistribuciones.com</t>
  </si>
  <si>
    <t>5 Agosto 2022</t>
  </si>
  <si>
    <t>1 FEBRERO</t>
  </si>
  <si>
    <t xml:space="preserve">NO CONTINUAN </t>
  </si>
  <si>
    <t>19 FEBRERO</t>
  </si>
  <si>
    <t xml:space="preserve">15 Enero </t>
  </si>
  <si>
    <t>TOTAL</t>
  </si>
  <si>
    <t xml:space="preserve">LLAMADA </t>
  </si>
  <si>
    <t>800097178-0</t>
  </si>
  <si>
    <t>IGLESIA CRISTIANA CONFRATERNIDAD UNICENTRO</t>
  </si>
  <si>
    <t>JOAQUIN RUBEN VILLENA SANCHEZ</t>
  </si>
  <si>
    <t>logostica@confraternidad.org.co</t>
  </si>
  <si>
    <t>9 JULIO 2021</t>
  </si>
  <si>
    <t xml:space="preserve">19 FEBRERO </t>
  </si>
  <si>
    <t>Espero que todos se encuentren muy bien..
Mediante el presente correo deseamos expresar nuestro más sincero agradecimiento por la colaboración y el apoyo brindados por parte de ustedes durante nuestra relación comercial. Sin embargo, después de una cuidadosa evaluación interna y considerando diversos factores, hemos decidido no continuar con el servicio que nos prestaban en el proceso de seguridad y salud en el trabajo. Ésta decisión ha sido tomada con base en consideraciones estratégicas y operativas de nuestra organización.
Por lo tanto, les informamos que el contrato de prestación de servicios actualmente vigente entre nuestras organizaciones será terminado y concluirá efectivamente el día 19 de marzo del año 2024, esto dando cumplimiento a la cláusula novena en el numeral 7 de nuestro contrato.
Nuevamente muchas gracias por el apoyo brindado.</t>
  </si>
  <si>
    <t>19 MARZO</t>
  </si>
  <si>
    <t>1 MARZO (PROPORCIONAL POR 19 DIAS)</t>
  </si>
  <si>
    <t>Fernado Mejia</t>
  </si>
  <si>
    <t xml:space="preserve">Envio correo final </t>
  </si>
  <si>
    <t>900648823-1</t>
  </si>
  <si>
    <t>JRMB ARQUITECTOS SAS</t>
  </si>
  <si>
    <t>JUAN RICARDO MEJIA BOTERO</t>
  </si>
  <si>
    <t>maveca1912@yahoo.es</t>
  </si>
  <si>
    <t>25 JUNIO 2019</t>
  </si>
  <si>
    <t xml:space="preserve">20 FEBRERO </t>
  </si>
  <si>
    <t>Yo, JUAN RICARDO MEJIA BOTERO identificado con la cédula de ciudadanía No. 70.564.045 de
Envigado, obrando en calidad de representante Legal de la empresa JRMB Arquitectos S.A.S con
NIT 900.648.823-1, por medio de la presente estoy solicitando a ustedes por motivos económicos
la suspensión del servicio en la nube que tenemos registrado con ustedes a partir del 29 de
Febrero del presente año.
Esperamos contar nuevamente con Talento Consultores más adelante cuando las cosas se
mejoren, mil gracias por el servicio prestado</t>
  </si>
  <si>
    <t xml:space="preserve">Maria Alejandra Giiraldo </t>
  </si>
  <si>
    <t>901203666-5</t>
  </si>
  <si>
    <t>Juan Urrego</t>
  </si>
  <si>
    <t>CHAT-BOTS SAS</t>
  </si>
  <si>
    <t>RICARDO ROMERO RUBIO</t>
  </si>
  <si>
    <t>317 6606217</t>
  </si>
  <si>
    <t>jully.contreras@chat-bots.co</t>
  </si>
  <si>
    <t>13 SEPTIEMBRE 2023</t>
  </si>
  <si>
    <t xml:space="preserve">21 FEBRERO </t>
  </si>
  <si>
    <t>Por medio del presente documento yo Ricardo Romero Rubio identificado con Cédula No.
79.442.916 de Bogotá, en representación de la empresa CHAT-BOTS SAS NIT: 901.203.666-5
notifico a ustedes la finalización del contrato de prestación de servicios firmado por ambas
partes el pasado 12 de agosto del 2023.
De antemano manifestamos nuestro agradecimiento por el apoyo y los servicios brindados
durante este tiempo transcurrido.</t>
  </si>
  <si>
    <t>15 MARZO</t>
  </si>
  <si>
    <t xml:space="preserve">Dani murillo </t>
  </si>
  <si>
    <t>830133460-7</t>
  </si>
  <si>
    <t>SCAD COLOMBIA SAS - SOLUCIONES EN CAPTURA AUTOMATICA DE DATOS SAS</t>
  </si>
  <si>
    <t>21 FEBRERO</t>
  </si>
  <si>
    <t xml:space="preserve">Por medio del presente documento yo Ricardo Romero Rubio identificado con Cédula No.
79.442.916 de Bogotá, en representación de la empresa SCAD COLOMBIA SAS NIT:
830.133.460-7 notifico a ustedes la finalización del contrato de prestación de servicios
firmado por ambas partes el pasado 12 de agosto del 2023.
De antemano manifestamos nuestro agradecimiento por el apoyo y los servicios brindados
durante este tiempo transcurrido. </t>
  </si>
  <si>
    <t>900343200-3</t>
  </si>
  <si>
    <t>PROLIFE SERVICES SAS</t>
  </si>
  <si>
    <t>JHON ALEXANDER SOTO QUIROGA</t>
  </si>
  <si>
    <t>saname_colombia@hotmail.com</t>
  </si>
  <si>
    <t>30 JUNIO 2023</t>
  </si>
  <si>
    <t>22 FEBRERO</t>
  </si>
  <si>
    <t>Por medio de la presente , manifestamos nuestra intención de cancelar el servicio que tenemos  con ustedes  ya que al  tener que presentar  unos informes  no teníamos la información   y se suponía que para eso era el servicio. EL CLIENTE MANIFIESTA INCONFORMIDADES CON SU ANALISTA, AFIRMA QUE NUNCA HABIA UN ORDEN Y NUNCA LE ENTREGARON DOCUMENTOS SOLICITADOS</t>
  </si>
  <si>
    <t xml:space="preserve">22 MARZO </t>
  </si>
  <si>
    <t xml:space="preserve">30 ENERO </t>
  </si>
  <si>
    <t>Martha Mejia</t>
  </si>
  <si>
    <t>900857272-1</t>
  </si>
  <si>
    <t>Alquier de Plataforma Solamente</t>
  </si>
  <si>
    <t>CAIMO COLLECTION S.A.S</t>
  </si>
  <si>
    <t>SANTIAGO GIRALDO DIAZ</t>
  </si>
  <si>
    <t>nroncancio@cannua.com</t>
  </si>
  <si>
    <t>11 MARZO 2023</t>
  </si>
  <si>
    <t>26 FEBRERO</t>
  </si>
  <si>
    <t>Cordial saludo.
Me dirijo a ustedes para solicitar que por favor sea cancelada la suscripción que tenemos en Sistegra ya que en este momento contamos con una plataforma por parte de la ARL para llevar este tipo de registros.</t>
  </si>
  <si>
    <t xml:space="preserve">26 MARZO </t>
  </si>
  <si>
    <t xml:space="preserve">1 FEBRERO </t>
  </si>
  <si>
    <t>900561159-3</t>
  </si>
  <si>
    <t>Carmenza Martinez / Angela Pineda</t>
  </si>
  <si>
    <t>CIELO BASICO</t>
  </si>
  <si>
    <t>GLORIA RENDON VALENCIA</t>
  </si>
  <si>
    <t>personal@elcielococinacreativa.com</t>
  </si>
  <si>
    <t>31 MARZO 2021</t>
  </si>
  <si>
    <t>26 FEBRERO 2024</t>
  </si>
  <si>
    <t xml:space="preserve">CONTRATO CON OTRO PROVEEDOR </t>
  </si>
  <si>
    <t>15 FEBRERO 2024</t>
  </si>
  <si>
    <t>Lina Maria Sierra</t>
  </si>
  <si>
    <t>901417342-3</t>
  </si>
  <si>
    <t>HOTELES DE LUJO</t>
  </si>
  <si>
    <t>ANDRES FELIPE DELGADILLO</t>
  </si>
  <si>
    <t>gerencia@elcielohotel.com</t>
  </si>
  <si>
    <t>27 FEBRERO 2024</t>
  </si>
  <si>
    <t xml:space="preserve">27 MARZO </t>
  </si>
  <si>
    <t>901105882-1</t>
  </si>
  <si>
    <t xml:space="preserve">SHIBARI </t>
  </si>
  <si>
    <t>OSCAR ALEJANDRO BERMEO</t>
  </si>
  <si>
    <t>auditoria@elcielococinacreativa.com</t>
  </si>
  <si>
    <t>28 FEBRERO 2024</t>
  </si>
  <si>
    <t xml:space="preserve">28 MARZO </t>
  </si>
  <si>
    <t>901498526-</t>
  </si>
  <si>
    <t>KAIME FOOD</t>
  </si>
  <si>
    <t xml:space="preserve">SARA BARRIENTOS VALENCIA </t>
  </si>
  <si>
    <t>dfinanciero@elcielococinacreativa.com</t>
  </si>
  <si>
    <t>25 OCTUBRE 2023</t>
  </si>
  <si>
    <t>29 FEBRERO 2024</t>
  </si>
  <si>
    <t xml:space="preserve">29 MARZO </t>
  </si>
  <si>
    <t>Maria Alejandra Girado Yepes</t>
  </si>
  <si>
    <t>32312764-4</t>
  </si>
  <si>
    <t>DROGUERIA AZUCENA</t>
  </si>
  <si>
    <t>LUZ ELENA HENAO MUÑOZ</t>
  </si>
  <si>
    <t>drogueriaazucena@hotmail.com</t>
  </si>
  <si>
    <t>11 SEPTIEMBRE 2019</t>
  </si>
  <si>
    <t xml:space="preserve">Cordial saludo. 
el motivo de este mensaje es para informarle a la empresa con la que actualmente estamos trabajando en la DROGUERIA AZUCENA ya no hará parte de esta, por motivos economicos
Muchas gracias, quedo atenta a cualquier información.
</t>
  </si>
  <si>
    <t>1 FEBRERO 2024</t>
  </si>
  <si>
    <t>14702087-4</t>
  </si>
  <si>
    <t>JONATHAN ANDRÉS POSSO SANCHEZ</t>
  </si>
  <si>
    <t>JONATHAN.OSSO16@GMAIL.COM</t>
  </si>
  <si>
    <t>25 ENERO 2021</t>
  </si>
  <si>
    <t xml:space="preserve">Abrieron mas puntos y necesitaban presencialidad entonces contrataron una persona que se encargara de todo el sistema de gestion </t>
  </si>
  <si>
    <t>Ansly Daniela Moreno</t>
  </si>
  <si>
    <t>900946219-0</t>
  </si>
  <si>
    <t>LOS SALTOS ECOPARQUE S.A.S BIC</t>
  </si>
  <si>
    <t>gerencia@saltodelbuey.com</t>
  </si>
  <si>
    <t>8 JULIO 2023</t>
  </si>
  <si>
    <t xml:space="preserve">Cordial saludo, me permito informar que a partir de la fecha 29 de Febrero del 2024, damos por terminada la relación comercial del servicio que nos venían prestando. Ya que se hizo una reorganización. Por favor no generar factura para el mes de Marzo, y hacer envío de información del proceso adelantado durante el tiempo que se llevó a cabo el sistema de gestión. </t>
  </si>
  <si>
    <t xml:space="preserve">30 MARZO </t>
  </si>
  <si>
    <t>900451551-6</t>
  </si>
  <si>
    <t>DISTRIBUIDORA SALUD NATURAL S.A.S.</t>
  </si>
  <si>
    <t>JAIRO EDUARDO FRANCO</t>
  </si>
  <si>
    <t>GERENCIASALUDNATURAL@HOTMAIL.COM</t>
  </si>
  <si>
    <t>9 FEBRERO 2023</t>
  </si>
  <si>
    <t>6 MARZO 2024</t>
  </si>
  <si>
    <t xml:space="preserve">
La decisión fue tomada conjuntamente por la empresa debido a que el día 2 de febrero recibimos una visita de la Seccional de salud de Antioquia , la cual nos estaba exigiendo de manera inmediata el plan de emergencia , y lamentablemente , a pesar de llevar casi 1 año trabajando en el sistema de gestión , aún no se tiene , por lo que los funcionarios nos realizaron la observación e hicieron énfasis en que este era uno de los puntos más importantes del sistema de gestión para una empresa , y que , la parte de la documentación que se pudiera llevar es importante  , pero también es importante la parte práctica. También hicieron observaciones negativas en cuando a que el tema de las capacitaciones de heridas las debería haber la propia empresa de gestión con personal capacitado para esto , y no nosotros mismos.
Debido a esto , el centro comercial en que nos encontramos actualmente nos sugirió una empresa que lleva el sistema de gestión en la parte teórica y práctica y se pueda acomodar a nuestras exigencias actuales.
En el momento tenemos disponibles 40 minutos de una capacitación que no se alcanzó a realizar la última semana de febrero , y todas las capacitaciones del mes de Marzo , lo que serían en total 5 bloques de 40 minutos , por tanto , solicitamos el favor nos puedan brindar este tiempo , no en capacitaciones , sino en realizar un acompañamiento o empalme con la nueva empresa que nos va a llevar el sistema de gestión , este tiempo es de casi 4 horas y media y se podría utilizar en la última semana de marzo o la primera semana de abril en 1 o 2 días repartidos , de manera que un miembro de la nueva empresa se conecte y reciba la información de parte de la analista con la que venimos trabajando , que se llama Daniela.
Adicional solicitamos a Daniela el FURAD de el señor Mauricio , que lo estamos esperando desde hace varios días.
</t>
  </si>
  <si>
    <t xml:space="preserve">6 ABRIL </t>
  </si>
  <si>
    <t>1 MARZO 2024</t>
  </si>
  <si>
    <t xml:space="preserve">Martha Cecilia Mejia Ruiz </t>
  </si>
  <si>
    <t>NOMENCLATURA SAS</t>
  </si>
  <si>
    <t>JUAN GUTIERREZ CALLE</t>
  </si>
  <si>
    <t>contabilidad_1@nomenclatura.com.co</t>
  </si>
  <si>
    <t>17 DICIEMBRE 2021</t>
  </si>
  <si>
    <t xml:space="preserve">El presente correo es para solicitar la cancelación del servicio que ustedes como empresa nos han venido prestando hasta el momento en el Sistema de Gestión, el motivo de la cancelación se debe a que necesitamos un acompañamiento más integral y más tiempo en la empresa y se va a contratar una persona de medio tiempo para que este más pendiente del sistema.
</t>
  </si>
  <si>
    <t>6 ABRIL</t>
  </si>
  <si>
    <t>15 MARZO 2024</t>
  </si>
  <si>
    <t>900459541-9</t>
  </si>
  <si>
    <t xml:space="preserve">Claudia Pachon </t>
  </si>
  <si>
    <t>INMAT ACERO Y VIDRIO S.A.S</t>
  </si>
  <si>
    <t>ELMER VASCO AGUIRRE</t>
  </si>
  <si>
    <t>321648672-3</t>
  </si>
  <si>
    <t>logistica.inmat@gmail.com</t>
  </si>
  <si>
    <t>21 NOVIEMBRE 2023</t>
  </si>
  <si>
    <t>7 MARZO 2024</t>
  </si>
  <si>
    <t>Les remito este correo recibido de la empresa INMAT ACERO Y VIDRIO SAS, en llamada comercial realizada hoy a las 3:45 pm, la señora Angelica Caicedo al celular (301) 626-0755 me informa que no hubo entendimiento con la analista de Claudia Pachón, es de muy mal carácter, los dejo hablando solos en una videollamada pues se desconectó, y manifiestan un mal trato con las personas encargadas de las conexiones en esta empresa con nombre Yasmín.  Esta empresa me solicita que deben cargar la documentación construida y reportar ante el ministerio.
Muchas gracias por su ayuda.</t>
  </si>
  <si>
    <t xml:space="preserve">7 ABRIL </t>
  </si>
  <si>
    <t>901672772-9</t>
  </si>
  <si>
    <t>SIGNAL FIRE SAS</t>
  </si>
  <si>
    <t>EDWIN ALEJANDRO DIAZ GOMEZ</t>
  </si>
  <si>
    <t>alejandro.diaz@signalfire.com.co</t>
  </si>
  <si>
    <t>18 AGOSTO 2023</t>
  </si>
  <si>
    <t>8 MARZO 2024</t>
  </si>
  <si>
    <t xml:space="preserve">Agradecería de su ayuda por favor realizando la cancelación de la
suscripción con la cual se cuenta actualmente entre Sistegra- Talento
Consultores y Signal Fire, porque entraremos en un estado de liquidez total
Para que por favor se cancelen los débitos automáticos que se vienen
realizando mes a mes.
</t>
  </si>
  <si>
    <t>8 ABRIL</t>
  </si>
  <si>
    <t>900488284-4</t>
  </si>
  <si>
    <t>WRL MARKETING SAS</t>
  </si>
  <si>
    <t>WILLIAM ESCOBAR MORAN</t>
  </si>
  <si>
    <t>recursohumano@melibelt.com</t>
  </si>
  <si>
    <t>15 ENERO 2024</t>
  </si>
  <si>
    <t>Para el año 2024 la compañía decide suspender el servicio brindado, actualmente nos encontramos en una remodelación de la fábrica y económicamente debemos reducir gastos. Teniendo en cuenta que en el año 2023 el aporte de trabajo por parte de Talento consultores fue muy satisfactorio deseamos continuar aplicando lo aprendido con nuestro personal de seguridad y salud en el trabajo, personal externo y ARL.</t>
  </si>
  <si>
    <t>30 MARZO</t>
  </si>
  <si>
    <t>ESTACION DE SERVICIO AUTOMOTRIZ LA UNICA</t>
  </si>
  <si>
    <t>LUIS EDUARDO ROMERO GOMEZ</t>
  </si>
  <si>
    <t>edsunica1@hotmail.com</t>
  </si>
  <si>
    <t>21 SEPTIEMBRE 2023</t>
  </si>
  <si>
    <t>13 MARZO 2024</t>
  </si>
  <si>
    <t>Por medio de la presente a agradezco la ayuda y servicios prestados durante este tiempo de resolución comercial, informo que deseo realizar cancelación de sus servicios para mi próxima fecha de corte y solicito la documentación que a bien tengan ustedes en su plataforma que sea propiedad de la estación de servicios.</t>
  </si>
  <si>
    <t>13 ABRIL</t>
  </si>
  <si>
    <t>901493718-2</t>
  </si>
  <si>
    <t>Monica Marin</t>
  </si>
  <si>
    <t>ELECTROSERVICIOS Y MONTAJES INDUSTRIALES SAS</t>
  </si>
  <si>
    <t>OSWALDO DIAZ</t>
  </si>
  <si>
    <t>electroserviciosymontajes@gmail.com</t>
  </si>
  <si>
    <t>28 SEPTIEMBRE 2022</t>
  </si>
  <si>
    <t xml:space="preserve">El siguiente correo es con el fin de cancelar el plan que tenemos con talento consultores de asesorías SG-SST, desde el presente mes, ya que no se han realizado asesorías en el mes de marzo.
Quedo atento a cualquier inquietud, gracias </t>
  </si>
  <si>
    <t>30 ABRIL</t>
  </si>
  <si>
    <t>800019780-2</t>
  </si>
  <si>
    <t>Yuranis Ruz</t>
  </si>
  <si>
    <t>DISTRIBUCIONES TECNICAS Y CONSTRUCCIONES S.A.S.</t>
  </si>
  <si>
    <t>LUZ HELENA RAIGOZA DE HENAO</t>
  </si>
  <si>
    <t>gerencia@diteco.com.co</t>
  </si>
  <si>
    <t>17 FEBRERO 2023</t>
  </si>
  <si>
    <t>14 MARZO 2024</t>
  </si>
  <si>
    <t xml:space="preserve">El motivo de esta cancelación es la liquidación de la empresa, por lo que agradecemos los servicios prestados por ustedes y esperamos a futuro poder contar con sus servicios. </t>
  </si>
  <si>
    <t xml:space="preserve">14 ABRIL </t>
  </si>
  <si>
    <t xml:space="preserve">Fernando Mejia </t>
  </si>
  <si>
    <t>844003987-1</t>
  </si>
  <si>
    <t>VARITEC SAS</t>
  </si>
  <si>
    <t>ROOSEBETT ROMERO LONDOÑO</t>
  </si>
  <si>
    <t>varitecsas@gmail.com</t>
  </si>
  <si>
    <t>29 ENERO 2024</t>
  </si>
  <si>
    <t xml:space="preserve">esta decisión fue tomada por las siguientes razones luego de
recibir el PLAN CHOQUE a satisfacción, e iniciar el servicio de mantenimiento del SG-SST con
(4) conexión mensual con una conexión de 45 minutos semanales; no se logró hacer ninguna
tarea en la siguientes 3 semanas con la asesora asignada y no se cumplió con
• La Metodología de trabajo: El Sistema de Gestión SST se trabaja bajo el ciclo PHVA, Planear,
Hacer, Verificar y Actuar.
• No se conoció el funcionamiento ni se hizo uso de la plataforma para administrar el SG SST.
• Se solicito el apoyo en adelantar el proceso para la entrega de un requerimiento por parte
de unos de nuestros cliente (Plan de trabajo año 2024, MEDEVAC actualizado año 2024,
matriz de peligros actualizada año 2024), para lo cual no se logró definir con la asesora una
posible fecha de entrega para contar con esa documentación
En ningún momento VARITEC SAS pretendió exigir que el servicio para el 2024 fuera como el
Plan Choque 2023; solo necesitábamos conta con el apoyo de un Profesional en SST para el
diseño e implementación de SG-SST y así lograr tener organizado todo lo referente al tema, lo
cual no fue posible contar; desde un inicio se evidencio el desconocimiento y la
desorientación del asesor asignado, lo único que hacia era obstaculizar los procesos
evitando avanzar en lo relevante. Por consiguiente, solicitamos que se abstengan de emitir
facturas por el servicio.
</t>
  </si>
  <si>
    <t xml:space="preserve">15 ABRIL </t>
  </si>
  <si>
    <t>Rossa Avilez</t>
  </si>
  <si>
    <t>AGYL ASEURAMIENTO - NEW STETIC</t>
  </si>
  <si>
    <t>LILIANA YANETH ALVAREZ</t>
  </si>
  <si>
    <t>LYALVAREZ@NEWSTETIC.COM</t>
  </si>
  <si>
    <t>25 SEPTIEMBRE 2019</t>
  </si>
  <si>
    <t>21 MARZO 2024</t>
  </si>
  <si>
    <t xml:space="preserve">CAMBIO DE PROVEEDOR </t>
  </si>
  <si>
    <t>21 ABRIL</t>
  </si>
  <si>
    <t>Maria Alejandra Giraldo Yepes</t>
  </si>
  <si>
    <t>Juan Urrego / Jose Agudelo</t>
  </si>
  <si>
    <t xml:space="preserve">ESTRUCTURA OBRAS CIVILES Y VIALES </t>
  </si>
  <si>
    <t>JAIME ALBERTO GARCIA</t>
  </si>
  <si>
    <t>estructurasobrascivilesyviales@gmail.com</t>
  </si>
  <si>
    <t>25 AGOSTO 2023</t>
  </si>
  <si>
    <t xml:space="preserve">RETRASO EN CARTERA </t>
  </si>
  <si>
    <t>79543634-7</t>
  </si>
  <si>
    <t>JESUS EDUARDO REYES SANCHEZ</t>
  </si>
  <si>
    <t>medicinavirtualltda@gmail.com</t>
  </si>
  <si>
    <t>17 SEPTIEMBRE 2021</t>
  </si>
  <si>
    <t>Atentamente me permito comunicar la no continuidad de contratación por los
servicios de Consultoría y Asesoría del Sistema de Gestión de Seguridad y Salud
en el Trabajo, lo anterior debido que se estará manejando el SGSST, con otro
profesional calificado de manera presencial.
Agradezco de antemano el apoyo y toda la gestión brindada durante el tiempo en
servicio</t>
  </si>
  <si>
    <t>5 ABRIL</t>
  </si>
  <si>
    <t>900554251-4</t>
  </si>
  <si>
    <t>CARGA PESADA SOLUCIONES SAS</t>
  </si>
  <si>
    <t>ALVARO LANDINEZ CORTES</t>
  </si>
  <si>
    <t>gerencia@cargapesada.com</t>
  </si>
  <si>
    <t>27 AGOSTO 2019</t>
  </si>
  <si>
    <t>CARGA PESADA SOLUCIONES SAS con NIT 900554251-4 , solicita por favor la cancelación del contrato a partir
del dia de hoy 21 de marzo de 2024, debido a que la organización requiere un asesor presencial que este muy atento 
a realizar las debidas intervenciones requeridas por la empresa.</t>
  </si>
  <si>
    <t>15 ABRIL</t>
  </si>
  <si>
    <t>PINTAMOS JP SAS</t>
  </si>
  <si>
    <t>PAULA ANDREA QUINTANA GONZALEZ</t>
  </si>
  <si>
    <t>quintanajp@hotmail.es</t>
  </si>
  <si>
    <t>23 MARZO 2024</t>
  </si>
  <si>
    <t xml:space="preserve">Cordial saludo
Me dirijo a ustedes por este medio para realizar la cancelación de los servicios prestados del SISTEMA DE GESTION DE SEGURIDAD Y SALUD EN EL TRABAJO.
Debido a motivos internos de la empresa PINTAMOS JP S.A.S (No desean indicar el motivo)
De antemano se agradece el buen servicio prestado hasta la fecha  
</t>
  </si>
  <si>
    <t xml:space="preserve">2:00pm 
La persona encargada del sistema de gestion va renunciar y el integrante nuevo llevara a cabo el sistema </t>
  </si>
  <si>
    <t>901466769-3</t>
  </si>
  <si>
    <t>GRUPO HOLLYWOOD BEACH SAS</t>
  </si>
  <si>
    <t>JOHANNA BEATRIZ REYES GARCIA</t>
  </si>
  <si>
    <t>gerenciageneral@hollywoodbeachsuite.com</t>
  </si>
  <si>
    <t>19 FEBRERO 2022</t>
  </si>
  <si>
    <t>2 ABRIL 2024</t>
  </si>
  <si>
    <t xml:space="preserve">Debido a que va haber un cambio de metodología y entidad para el SG-SST, hemos decidido dar por terminada la relacion comercial que tenemos con ustedes, no sin antes agradecerles por este tiempo que hemos compartido en el que nos han ayudado muchisimo con todos nuestros procesos. Gracias de antemano por su apoyo y sus comentarios al respecto de nuestra decision
</t>
  </si>
  <si>
    <t xml:space="preserve">No contestan ningun numero registrado </t>
  </si>
  <si>
    <t xml:space="preserve">Envio correo confirmacion </t>
  </si>
  <si>
    <t>1020761055-3</t>
  </si>
  <si>
    <t>Jose Agudelo</t>
  </si>
  <si>
    <t>CLINICA VETERINARIA MAKAI</t>
  </si>
  <si>
    <t>CINDY JOHANNA DELGADO BERNAL</t>
  </si>
  <si>
    <t>Makaivethospital@gmail.com</t>
  </si>
  <si>
    <t>16 FEBRERO 2024</t>
  </si>
  <si>
    <t>5 ABRIL 2024</t>
  </si>
  <si>
    <t xml:space="preserve">Soy johanna delgado
Clinica veterinaria makai, intente iniciar con ustedes hable con una chica un dia pero no pudimos coordinar mas y me pasan factura de dos meses donde no se hizo absolutamente nada por q no se avanzo no se uso nada.
Necesito me cancelen el servicio les pago los dos supuestos meses que no hicimos nada y espero cancelen esto por q me parece el colmo q me dicen q me van a cobrar otro mes para poder cancelar??? Ademas no cuento con los recursos para mantener este servicio
Yo no tengo ningun contrato con ustedes. </t>
  </si>
  <si>
    <t xml:space="preserve">30 ABRIL </t>
  </si>
  <si>
    <t xml:space="preserve">Fernando se comunico con el cliente y manifiesta cancelacion definitiva porque nunca tuvo el tiempo para conectarse y hubo facturacion normal </t>
  </si>
  <si>
    <t>80021711-0</t>
  </si>
  <si>
    <t>COLECCIONES BASICAS S.A.</t>
  </si>
  <si>
    <t>JONH JAIRO GOMEZ</t>
  </si>
  <si>
    <t>info@coleccionesbasicas.com</t>
  </si>
  <si>
    <t>31 DICIEMBRE 2016</t>
  </si>
  <si>
    <t>9 ABRIL 2024</t>
  </si>
  <si>
    <t>Por medio de la presente, la empresa COLECCIONES BASICAS SAS Identificada con NIT 800021711, damos por concluido el contrato suscrito con ustedes donde se maneja todo el sistema de salud y seguridad en el trabajo, desde el 29 de Junio de 2018.
DICHA TERMINACION SERA APARTIR DEL 30 DE ABRIL DE 2024</t>
  </si>
  <si>
    <t xml:space="preserve">No contestan </t>
  </si>
  <si>
    <t>Obed Alejandro Diossa</t>
  </si>
  <si>
    <t>Maleja</t>
  </si>
  <si>
    <t>860506635-1</t>
  </si>
  <si>
    <t>SAVANNA</t>
  </si>
  <si>
    <t>NESTOR RIVEROS Y CIA S EN C</t>
  </si>
  <si>
    <t>CARLOS FELIPE RIVEROS MURILLO</t>
  </si>
  <si>
    <t>juliana.riveros.m@gmail.com</t>
  </si>
  <si>
    <t>6 MARZO 2023</t>
  </si>
  <si>
    <t xml:space="preserve">CANCELO SAVANNA PORQUE NO TIENE PRESUPUESTO </t>
  </si>
  <si>
    <t>1 ABRIL</t>
  </si>
  <si>
    <t>DROGUERIA POPULAR</t>
  </si>
  <si>
    <t>LHINDA PAOLA CAICEDO PARRA</t>
  </si>
  <si>
    <t>drogueriapopular28@gmail.com</t>
  </si>
  <si>
    <t>28 ENERO 2021</t>
  </si>
  <si>
    <t>10 ABRIL 2024</t>
  </si>
  <si>
    <t>Reciba un cordial saludo de parte de LHINDA PAOLA CAICEDO PARRA Y ERIKA LIZETH MORENO
URREGO, nuevas propietarias de DROGUERÍA POPULAR en Guaduas-Cundinamarca. Por medio
de la presente queremos comunicarle nuestro interés en no continuar con el servicio de
asesoramiento que ustedes venían manejando con el establecimiento, porque es una empresa muy pequeña y no tenemos el suficiente presupuesto para mantener este sistema, así solicitando la
cancelacion del servicio prestado.</t>
  </si>
  <si>
    <t xml:space="preserve">
Fue una decision que tomamos 
No hay motivos solo fue una decision desde gerencia 
</t>
  </si>
  <si>
    <t>860506994-9</t>
  </si>
  <si>
    <t>AGRICOLA SANTAMARIA SAS</t>
  </si>
  <si>
    <t>JAIME RUIZ</t>
  </si>
  <si>
    <t>agricolasantamaria1981@gmail.com</t>
  </si>
  <si>
    <t>4 AGOSTO 2023</t>
  </si>
  <si>
    <t>15 ABRIL 2024</t>
  </si>
  <si>
    <t>Por medio de la presente les informo que tomamos  la decisión de dar por terminado el contrato que teníamos con ustedes del SST a partir de la fecha, Ya que decidimos   implementar el sistema  con  otro operador 
Agradezco la colaboración prestada
Cordialmente,</t>
  </si>
  <si>
    <t>15 MAYO</t>
  </si>
  <si>
    <t xml:space="preserve">1 MAYO </t>
  </si>
  <si>
    <t xml:space="preserve">Cambio de proveedor </t>
  </si>
  <si>
    <t>901010978-9</t>
  </si>
  <si>
    <t>Gisella Ruz</t>
  </si>
  <si>
    <t>PISADAS ZENU S.A.S.</t>
  </si>
  <si>
    <t>LUCENY TIRADO-EMMA ORTEGA</t>
  </si>
  <si>
    <t>contabilidad@pisadaszenu.com</t>
  </si>
  <si>
    <t>22 FEBRERO 2023</t>
  </si>
  <si>
    <t>16 ABRIL 2024</t>
  </si>
  <si>
    <t xml:space="preserve">Buenas tardes
Le informamos que no estaremos necesitando más de sus servicios, ni otros, estamos en proceso de liquidación, por lo tanto cancelamos nuestra suscripción con ustedes a partir de hoy.
</t>
  </si>
  <si>
    <t xml:space="preserve">15 MAYO </t>
  </si>
  <si>
    <t xml:space="preserve">La verdad no les funciono como esperaban, sienten que es doble trabajo subiendo los documentos a la plataforma </t>
  </si>
  <si>
    <t>901238914-8</t>
  </si>
  <si>
    <t>ZINCOL S.A.S</t>
  </si>
  <si>
    <t>JUAN GREGORIO VANEGAS ALZATE</t>
  </si>
  <si>
    <t>juan.vanegas@zincol.com</t>
  </si>
  <si>
    <t>15 DICIEMBRE 2022</t>
  </si>
  <si>
    <t>17 ABRIL 2024</t>
  </si>
  <si>
    <t xml:space="preserve">Reciban cordial saludo, teniendo en cuenta las condiciones económicas y basados
en el recorte presupuestal al que nos vemos obligados a realizar forzosamente, nos
vemos en la necesidad de solicitar muy amablemente la terminación del servicio
que viene prestando SISTEGRA TALENTO CONSULTORES, con ZINCOL S.A.S
en materia de acompañamiento, consultoría e implementación del sistema de
gestión de seguridad y salud en el trabajo, , de esta manera solicitamos que este
servicio sea culminado el día 30 de abril de 2024, por favor informar fecha exacta
para la entrega de la información digital y física que se encuentra a cargo de
SISTEGRA, con el fin de poder designar a una persona por parte de ZINCOL S.A.S,
para la recepción y cotejo de la información.
</t>
  </si>
  <si>
    <t>El Sr Juan, Zincol cancela servicio por lo económico, salieron de personal y tienen únicamente ahora 4 personas, me dijo que tenían que reducir gastos y le están dando prioridad a otras cosas, le ofrecí otras alternativas, se despido formal y dijo que nos tendrá en cuenta para cuando estén mejor económicamente.</t>
  </si>
  <si>
    <t>901149481-4</t>
  </si>
  <si>
    <t>ETAZLA SOLUCIONES S.A.S</t>
  </si>
  <si>
    <t>HERNAN ALFONSO ALZATE ALZATE</t>
  </si>
  <si>
    <t>halfonsoa@gmail.com</t>
  </si>
  <si>
    <t>07 JUNIO 2023</t>
  </si>
  <si>
    <t xml:space="preserve">Buenos días
Le solicitamos amablemente la suspensión de las asesorías y cancelación del contrato ya que tenemos  una empresa que se encargara de todo el tema 
</t>
  </si>
  <si>
    <t>1 MAYO</t>
  </si>
  <si>
    <t xml:space="preserve">Jhonatan Andres Pacheco </t>
  </si>
  <si>
    <t>900388356-7</t>
  </si>
  <si>
    <t>NACIENTE S.A.S</t>
  </si>
  <si>
    <t>SEBASTIAN RADI VILLEGAS</t>
  </si>
  <si>
    <t>direccioncomercial@naciente.com.co</t>
  </si>
  <si>
    <t>29 AGOSTO 2017</t>
  </si>
  <si>
    <t>18 ABRIL 2024</t>
  </si>
  <si>
    <t>Buenas tardes, Andres
    Como te comente, vamos a finalizar los contratos que actualmente tenemos con Talento Consultores (SST y Sistema Seguro).
    Les agradecemos por todo el apoyo y disposición para atender nuestros requerimientos durante estos años.
    Esperamos dejar las puertas abiertas por si en un futuro llegamos a necesitar de nuevo sus servicios.  
    Cuéntame por favor como se realizara la entrega de toda la información de Naciente y como manejaremos el tema de reporte ante el Ministerio de Trabajo, ya que la fecha no se ha podido realizar y las firmas y permisos los tiene Talento Consultores.</t>
  </si>
  <si>
    <t>Le comentaron a Andres</t>
  </si>
  <si>
    <t xml:space="preserve">Alejandro Diossa </t>
  </si>
  <si>
    <t>900917563-6</t>
  </si>
  <si>
    <t>Javier Jimenez (PESV)</t>
  </si>
  <si>
    <t>TRANSLAIT S A S</t>
  </si>
  <si>
    <t>ADELA CAROLINA PACHON PAJARITO</t>
  </si>
  <si>
    <t>translaitsas@gmail.com</t>
  </si>
  <si>
    <t>22 MARZO 2024</t>
  </si>
  <si>
    <t>22 ABRIL 2024</t>
  </si>
  <si>
    <t xml:space="preserve">Respetados señores; La empresa TRANSLAIT SAS con Nit.900.917.563-6
solicita la cancelación (cancelar suscripción) de los servicios prestados por
ustedes, esto por motivo que se contrató personal profesional de tiempo
completo en la empresa para este servicio.
</t>
  </si>
  <si>
    <t>900693129-9</t>
  </si>
  <si>
    <t>CAVA ASESORIAS S.A.S</t>
  </si>
  <si>
    <t>CARLOS ALBERTO VELEZ ALVAREZ</t>
  </si>
  <si>
    <t>cava-5@hotmail.com</t>
  </si>
  <si>
    <t>18 ABRIL 2023</t>
  </si>
  <si>
    <t xml:space="preserve">El cese de la relación contractual requerimos se haga efectivo con corte a 30 de abril de 2024; esto a razón de reducción de presupuesto en las compañías en mención para este año 2024.
 </t>
  </si>
  <si>
    <t xml:space="preserve">No tienen presupuesto </t>
  </si>
  <si>
    <t>900223532-9</t>
  </si>
  <si>
    <t>EDIFICIO SAN GABRIEL P.H.</t>
  </si>
  <si>
    <t>27 ABRIL 2023</t>
  </si>
  <si>
    <t>800177422-7</t>
  </si>
  <si>
    <t>EDIFICIO MADEIRA P.H.</t>
  </si>
  <si>
    <t>811007833-2</t>
  </si>
  <si>
    <t>EDIFICIO PRINCES P.H.</t>
  </si>
  <si>
    <t>900725116-2</t>
  </si>
  <si>
    <t>ESTEBAN PUENTES</t>
  </si>
  <si>
    <t>gerencia@mineralesmarfil.com</t>
  </si>
  <si>
    <t>22 ABRIL 2022</t>
  </si>
  <si>
    <t>23 ABRIL 2024</t>
  </si>
  <si>
    <t>Por decisión administrativa, la empresa Minerales Marfil SAS identificada con Nit 900.725.116-2 dejará de operar a partir del 1 de mayo del presente año, por lo tanto solicitamos a ustedes cancelar el contrato de asesoría que se encuentra vigente a partir de la fecha anteriormente mencionada.</t>
  </si>
  <si>
    <t xml:space="preserve">Dejara de operar </t>
  </si>
  <si>
    <t>901392255-0</t>
  </si>
  <si>
    <t>INTELISOLUTIONS SAS</t>
  </si>
  <si>
    <t>JUAN CARLOS GUERRERO CONTRERAS</t>
  </si>
  <si>
    <t>marcelagarcia@intelisolutions.com.co</t>
  </si>
  <si>
    <t>25 ABRIL 2024</t>
  </si>
  <si>
    <t>Por medio del presente me permito solicitar no continuar con el servicio de seguimiento mensual  al SST, esto dado a que conforme a lo revisado en los últimos meses no es productivo gestionarlo esto debido a que en su momento este se implementó por requisito en un proyecto específico, en el cual contábamos con personal pero en este momento ya terminamos este proyecto y no tenemos personal de planta dentro de nuestra compañía, ni contamos con proyectos nuevos , es un costo que no podemos seguir asumiendo por las razones anteriormente expuestas, solicitamos no dar continuidad al mismo.</t>
  </si>
  <si>
    <t xml:space="preserve">A ellos se les entrego el plan choque en marzo, iniciaron las asesorias el 18 de Marzo </t>
  </si>
  <si>
    <t xml:space="preserve">Dani Murillo </t>
  </si>
  <si>
    <t>CONURBES SAS</t>
  </si>
  <si>
    <t>FELIX ANTONIO TELLEZ ESPINOSA</t>
  </si>
  <si>
    <t>conurbes@hotmail.com</t>
  </si>
  <si>
    <t>16 DICIEMBRE 2021</t>
  </si>
  <si>
    <t>30 ABRIL 2024</t>
  </si>
  <si>
    <t>Cordial saludo. De ante mano queremos agradecer el acompañamiento  y asesoría que nos han realizado durante este tiempo. Sin embargo algunos cambios internos de la compañía nos obligan a dar por terminado el contrato actualmente vigente.
Agradecemos remitirnos por este medio la comunicación oficial de quedar facturas pendientes favor remitirlas para pago con el objetivo que puedan generarnos  ala mayor brevedad el respectivo paz y salvo.</t>
  </si>
  <si>
    <t xml:space="preserve">30 MAYO </t>
  </si>
  <si>
    <t>901291172-4</t>
  </si>
  <si>
    <t>LIWI FLOR ETERNA SAS</t>
  </si>
  <si>
    <t>MARTHA ELENA TOLEDO ARENAS</t>
  </si>
  <si>
    <t>liwiguainia@gmail.com</t>
  </si>
  <si>
    <t>2 MAYO 2024</t>
  </si>
  <si>
    <t xml:space="preserve">ANUALIDAD QUE NO DESEA CONTINUAR </t>
  </si>
  <si>
    <t>Ya no les interesa seguir con el servicio virtual, desean presencialidad</t>
  </si>
  <si>
    <t>Al dia</t>
  </si>
  <si>
    <t>FUNDACION MADRID CAMPESTRE</t>
  </si>
  <si>
    <t>MONICA CHACON</t>
  </si>
  <si>
    <t>14 AGOSTO 2023</t>
  </si>
  <si>
    <t>Cordial saludo, 
solicitamos amablemente la cancelación del servicio de manera inmediata, prestado por ustedes para la siguientes empresas:
FUNDACIÓN MADRID CAMPESTRE NIT: 900269161-
de antemano muchas gracias, quedo atento a cualquier inquietud.
Atentamente,
Juan Felipe Madrid Chacon 
cc.98.667.784
cel 3218094751</t>
  </si>
  <si>
    <t>Hice todo lo posible por retenerlos no lo fue ya que es una fundación y ya no están recibiendo la ayuda de buen comienzo.
Están sin colaboración.
Favor leer parte inferior y escalar a Coordinador Andres, facturación y cartera, dice que es de inmediato, quiere decir que en mayo ya no estarán más con SISTEGRA.</t>
  </si>
  <si>
    <t xml:space="preserve">Martha Mejia </t>
  </si>
  <si>
    <t>901057068-4</t>
  </si>
  <si>
    <t>CM GROUP LATAM S.A.S</t>
  </si>
  <si>
    <t>MARIO ANDRES BLANCO ALZATE</t>
  </si>
  <si>
    <t>contabilidad@containermedia.net</t>
  </si>
  <si>
    <t>24 ENERO 2023</t>
  </si>
  <si>
    <t>3 MAYO 2024</t>
  </si>
  <si>
    <t xml:space="preserve">De acuerdo a la última reunión, en la que solicitamos la revisión de los pendientes y la terminación del programa adelantado para el año 2023, te quiero comentar que desde la gerencia se ha decidido no continuar con el servicio para el 2024, por lo que te solicitamos el favor, que se culmine lo que falte en el cronograma del 2023. </t>
  </si>
  <si>
    <t xml:space="preserve">No tienen el suficiente presupuesto para seguir con el sistema </t>
  </si>
  <si>
    <t>15 MAYO 2024</t>
  </si>
  <si>
    <t>901060667-7</t>
  </si>
  <si>
    <t xml:space="preserve">Manuela Velez </t>
  </si>
  <si>
    <t>AGUACATES FLOREZ S.A.S</t>
  </si>
  <si>
    <t>MARIA NICOLASA CARTAGENA GARCIA</t>
  </si>
  <si>
    <t>nicolasacartagena@aguacatesflorez.com</t>
  </si>
  <si>
    <t>25 ENERO 2024</t>
  </si>
  <si>
    <t>6 MAYO 2024</t>
  </si>
  <si>
    <t xml:space="preserve">De antemano, nuestra empresa quisiera agradecer, en primer lugar, por los servicios prestados
sobre el sistema de gestión de seguridad y salud en el trabajo; y, en segundo lugar, por la calidad en
el servicio al cliente que siempre tuvieron con nosotros.
Teniendo en cuenta que nuestra empresa ha venido creciendo paulatinamente, nuestra área de SST
ha tenido varios cambios administrativos, generando así, que la tercerización de esta área no sea
tan viable para la empresa hoy en día; es por ello, que la compañía ha tomado la determinación de
notificarles, formalmente, la terminación unilateral del contrato de prestación de servicios que se
suscribió entre las partes, el 22 de enero de 2024, con 30 días calendario de antelación a la fecha
que se dará por finalizado el contrato, de conformidad con el literal B de la cláusula décima del
mismo, la cual indica que:
</t>
  </si>
  <si>
    <t xml:space="preserve">6 JUNIO </t>
  </si>
  <si>
    <t>900996647-3</t>
  </si>
  <si>
    <t>PETSAI SAS</t>
  </si>
  <si>
    <t>ERIKA ESCOBAR</t>
  </si>
  <si>
    <t>petsaiveterinaria@gmail.com</t>
  </si>
  <si>
    <t>28 JULIO 2023</t>
  </si>
  <si>
    <t>7 MAYO 2024</t>
  </si>
  <si>
    <t>Muy buenas tardes.
Me dirijo a usted con el fin de informar de la solicitud de cancelación del servicio de sistegra
Agradeciendo la asesoría y atención prestada</t>
  </si>
  <si>
    <t xml:space="preserve">29 MAYO </t>
  </si>
  <si>
    <t>29 ABRIL 2024</t>
  </si>
  <si>
    <t xml:space="preserve">EMARRINNA SAS </t>
  </si>
  <si>
    <t xml:space="preserve">ELENA </t>
  </si>
  <si>
    <t>314 5580026</t>
  </si>
  <si>
    <t>gerencia@emarrinna..com</t>
  </si>
  <si>
    <t xml:space="preserve">SUSPENDIDO </t>
  </si>
  <si>
    <t>20 MARZO 2024</t>
  </si>
  <si>
    <t xml:space="preserve">Inasistencia a las conexiones con su analista, imposible de contactar </t>
  </si>
  <si>
    <t xml:space="preserve">Falta de presupuesto </t>
  </si>
  <si>
    <t xml:space="preserve">Daniela Preciado </t>
  </si>
  <si>
    <t>CENTRO INTEGRAL DE ATENCION DE TRANSPORTE RIOHACHA SAS</t>
  </si>
  <si>
    <t>ERNESTO DAGOVETT DAZA</t>
  </si>
  <si>
    <t>gerencia@ciatriohacha.com</t>
  </si>
  <si>
    <t>28 FEBRERO 2022</t>
  </si>
  <si>
    <t>Imposible de contactar, nunca contestaron</t>
  </si>
  <si>
    <t>900727128-1</t>
  </si>
  <si>
    <t xml:space="preserve">NETWAVE SAS </t>
  </si>
  <si>
    <t>ANA MARIA MORENO QUEZADA</t>
  </si>
  <si>
    <t>ricardo@netwave.com.co</t>
  </si>
  <si>
    <t>20 MAYO 2023</t>
  </si>
  <si>
    <t xml:space="preserve">Por medio de este oficio comunicamos a ustedes las suspensión del servicio a partir de la fecha
del mes de mayo de 2024, razón que obedece a que estamos cortos de flujo de caja debido al
impacto en las ventas producto de la incertidumbre política de nuestro país, ya que tenemos otras
obligaciones pendientes de la compañía por cumplir, una vez hallamos subsanado otras
obligaciones procederemos a reactivar el servicio con TALENTO CONSULTORES
</t>
  </si>
  <si>
    <t xml:space="preserve">CASA CONSTRUCTOR SAS </t>
  </si>
  <si>
    <t>JANETH SANCHEZ SANCHEZ</t>
  </si>
  <si>
    <t>casaconstructor@gmail.com</t>
  </si>
  <si>
    <t>06 MARZO 2024</t>
  </si>
  <si>
    <t>8 MAYO 2024</t>
  </si>
  <si>
    <t xml:space="preserve">FALTA DE PAGOS </t>
  </si>
  <si>
    <t xml:space="preserve">Hable con la señora Janeth el viernes y me indica que no ha tenido conexiones y  que le habia manifestado al comercial la suspencion del servicio, presuntamente el representante legal no esta en el momento para firmar los documentos </t>
  </si>
  <si>
    <t>1 MAYO 2024</t>
  </si>
  <si>
    <t>901615175-9</t>
  </si>
  <si>
    <t>WA BIOMEDICAL ENGINEERING SYSTEM SAS</t>
  </si>
  <si>
    <t>WILSON HERNANDO ANGULO ISAZA</t>
  </si>
  <si>
    <t>GERENCIAWABIOMEDICAL@GMAIL.COM</t>
  </si>
  <si>
    <t>9 MAYO 2024</t>
  </si>
  <si>
    <t xml:space="preserve">Por medio de la presente me permito notificar que la gerencia general ha determinado la cancelación de los servicios que actualmente tenemos con ustedes, la razón obedece a la decisión de hacer la contratación de personal de planta que en adelante desarrollara las funciones correspondientes a la gestión del sistema SST.
Solicito de la manera mas atenta que se realice la desvinculación del debito automático.
</t>
  </si>
  <si>
    <t xml:space="preserve">Cambio de provedor </t>
  </si>
  <si>
    <t>10 JUNIO</t>
  </si>
  <si>
    <t>MAESTRANZA GESTION INMOBILIAIRA S. A. S.</t>
  </si>
  <si>
    <t>ANGELA MARCELA VARGAS JIMENEZ</t>
  </si>
  <si>
    <t>info@maestranza.co</t>
  </si>
  <si>
    <t>21 SEPTIEMBRE 2018</t>
  </si>
  <si>
    <t>Cordial saludo,
Desde Maestranza solicito la cancelación del acuerdo vigente para la administración del SGSST que tenemos
Solicito cancelar el contrato vigente a partir del 30 de mayo y no generar facturación en adelante
Agradezco su atención y respuesta a este
Saludos</t>
  </si>
  <si>
    <t xml:space="preserve">Cambio de provedor, querian un presencial </t>
  </si>
  <si>
    <t>900740687-9</t>
  </si>
  <si>
    <t>RAMTEK SAS</t>
  </si>
  <si>
    <t>ROBINSON NARANJO LOPEZ</t>
  </si>
  <si>
    <t>direccionadministrativa@ramtek.com.co</t>
  </si>
  <si>
    <t>14 MAYO 2024</t>
  </si>
  <si>
    <t>Quiero informarte que vamos a terminar los servicios con ustedes hasta el 31 de mayo 2024 , por favor nos puedes informar como debemos proceder para la finalización del servicio
por favor responder a la mayor brevedad posible</t>
  </si>
  <si>
    <t xml:space="preserve">La empresa crecio mucho y ya necesitaban un presencial, me indica que el trabajo que hizo la analista Laura siempre fue excelente </t>
  </si>
  <si>
    <t>15 JUNIO</t>
  </si>
  <si>
    <t xml:space="preserve">Maria Alejandra Giraldo </t>
  </si>
  <si>
    <t>900574650-5</t>
  </si>
  <si>
    <t>TRANSPORTADORA SAN SEBASTIAN SOCIEDAD POR ACCIONES SIMPLIFICADA</t>
  </si>
  <si>
    <t>EDGAR ALBERTO PIÑEROS</t>
  </si>
  <si>
    <t>bachue2010@hotmail.com</t>
  </si>
  <si>
    <t>24 FEBRERO 2023</t>
  </si>
  <si>
    <t>17 MAYO 2024</t>
  </si>
  <si>
    <t xml:space="preserve">Me comunico con ustedes para solicitar la cancelación de nuestro servicio de asesoría y
acompañamiento en el Sistema de Gestión de Seguridad y Salud en el Trabajo para la empresa
TRANSPORTADORA SAN SEBASTIAN SAS identificada con NIT 900.574.650.
Actualmente nuestra empresa cuenta únicamente con un empleado por lo que no podemos asumir
el costo de dicho servicio en este momento. Nuestra prioridad es mantener la estabilidad financiera
de la compañía hasta que logremos mejorar nuestras operaciones y crecer en número de
colaboradores.
Agradecemos su comprensión. Una vez que mejoremos nuestra situación, nos gustaría retomar el
servicio de asesoría, ya que es de gran importancia para garantizar el bienestar y seguridad de
nuestro equipo. </t>
  </si>
  <si>
    <t>901468019-7</t>
  </si>
  <si>
    <t>EDSON SAS</t>
  </si>
  <si>
    <t>SONIA RAMOS</t>
  </si>
  <si>
    <t>sayoriexpress2011@hotmail.com</t>
  </si>
  <si>
    <t>13 MAYO 2022</t>
  </si>
  <si>
    <t xml:space="preserve">29 MAYO 2024 </t>
  </si>
  <si>
    <t xml:space="preserve">En mi calidad de Representante legal de la EMPRESA EDSON SAS NIT 901468019-7 me permito informar sobre nuestro retiro de la consultoría que en la actualidad tenemos con ustedes, a partir de la fecha.
De manera atenta igualmente solicito me sean enviados los archivos correspondientes a los servicios prestados por ustedes.
La principal razón de nuestro retiro es netamente financiero.
</t>
  </si>
  <si>
    <t>900369941-5</t>
  </si>
  <si>
    <t>LABORATORIOS DOMECO SAS</t>
  </si>
  <si>
    <t>JUAN GUILLERMO ARISTIZABAL</t>
  </si>
  <si>
    <t>contabilidad@laboratoriosdomeco.com</t>
  </si>
  <si>
    <t>30 OCTUBRE 2020</t>
  </si>
  <si>
    <t>30 MAYO 2024</t>
  </si>
  <si>
    <t xml:space="preserve">Por medio del presente correo notificamos la terminación comercial con la empresa SISTEGRA a partir de hoy 30 de mayo de  2024,
agradecemos su acompañamiento durante los años que estuvieron apoyando a nuestra compañía,
cordialmente </t>
  </si>
  <si>
    <t>30 JUNIO</t>
  </si>
  <si>
    <t>15 JUNIO 2024</t>
  </si>
  <si>
    <t xml:space="preserve">IDENTIFICACION </t>
  </si>
  <si>
    <t>900120195-7</t>
  </si>
  <si>
    <t>ATRYS COLOMBIA S.A.S.</t>
  </si>
  <si>
    <t>JOHANNA MORENO MALDONADO</t>
  </si>
  <si>
    <t>gestionhumana@itms.com.co</t>
  </si>
  <si>
    <t>15 JULIO 2022</t>
  </si>
  <si>
    <t>4 JUNIO 2024</t>
  </si>
  <si>
    <t xml:space="preserve">Según lo acordado telefónicamente adjunto carta solicitando la cancelación de los servicios que tiene Atrys  Colombia S.A.S con Talento consultores junto a cedula de ciudadanía del representante legal, RUT  y cámara de comercio que tiene Atrys; esto debido a que ya no necesitamos de estos;
De ante mano mil gracias por sus servicios 
Quedamos atentos a su respuesta 
Cordialmente 
</t>
  </si>
  <si>
    <t xml:space="preserve">Son temas financieros, no tienen presupuesto </t>
  </si>
  <si>
    <t xml:space="preserve">4 JULIO </t>
  </si>
  <si>
    <t>Diego Mauricio Figueroa</t>
  </si>
  <si>
    <t>SE ENVIO CORREO</t>
  </si>
  <si>
    <t>901266119-8</t>
  </si>
  <si>
    <t>HOTEL PAKARII S.A.S ZOMAC</t>
  </si>
  <si>
    <t>OBIN ANDRÉS PENAGOS ANDRADE</t>
  </si>
  <si>
    <t>pakarihotel@gmail.com</t>
  </si>
  <si>
    <t xml:space="preserve">SUSPENSION </t>
  </si>
  <si>
    <t>22 DICIEMBRE 2023</t>
  </si>
  <si>
    <t>6 JUNIO 2024</t>
  </si>
  <si>
    <t>por cuestiones financieras a nivel interno del hotel, la gerencia requiere suspender los servicios hasta el mes de noviembre, primeros días de este mes. 
Adjunto documento con los estándares mínimos logrados en las sesiones que se han tenido desde el mes de diciembre que iniciaron acompañamiento con SISTEGRA con un porcentaje de 98% en cumplimiento. 
El cliente solicita no se le facture más hasta retomar sesiones en noviembre. 
Contacto SST en el Hotel:</t>
  </si>
  <si>
    <t xml:space="preserve">6 JULIO </t>
  </si>
  <si>
    <t xml:space="preserve">David Parra </t>
  </si>
  <si>
    <t>891401711-2</t>
  </si>
  <si>
    <t>carmenza</t>
  </si>
  <si>
    <t>INDUSTRIAS ELECTROMECANICAS MAGNETRON SAS</t>
  </si>
  <si>
    <t>ALEJANDRO NAVARO</t>
  </si>
  <si>
    <t>catherinecardona@megatron.com.co</t>
  </si>
  <si>
    <t>26 OCTUBRE 2023</t>
  </si>
  <si>
    <t xml:space="preserve">De acuerdo a conversación con la directora comercial María Alejandra Giraldo se envía solicitud de cancelación de servicio de la plataforma SISTEGRA para la empresa INUSTRIAS ELECTROMECANICAS MAGNETRON S.A.S con NIT 891.401.711-2 a partir de la fecha, muchas gracias.
</t>
  </si>
  <si>
    <t>Ya no estan interesados en seguir con nosotros, sienten que hacen doble trabajo con sistegra y savanna, "queremos algo mas que subir documentos a una plataforma"</t>
  </si>
  <si>
    <t xml:space="preserve">SE ENVIO CORREO </t>
  </si>
  <si>
    <t>900748002-0</t>
  </si>
  <si>
    <t>SANATY IPS S.A.S.</t>
  </si>
  <si>
    <t>GUSTAVO EDUARDO TOVAR OVALLOS</t>
  </si>
  <si>
    <t>facturacompra@sanatyips.co</t>
  </si>
  <si>
    <t>7 JUNIO 2024</t>
  </si>
  <si>
    <t xml:space="preserve">CANCELAN LAS ASESORIAS PERO SIGUEN CON ALQUILER DE LA PLATAFORMA </t>
  </si>
  <si>
    <t xml:space="preserve">Necesitan una persona presencial </t>
  </si>
  <si>
    <t xml:space="preserve">30 JUNIO </t>
  </si>
  <si>
    <t>901754469-4</t>
  </si>
  <si>
    <t>C.S.C. MORANI SAS</t>
  </si>
  <si>
    <t>administrativo@moranilatam.com</t>
  </si>
  <si>
    <t xml:space="preserve">4 NOVIEMBRE 2023 </t>
  </si>
  <si>
    <t>8 JUNIO 2024</t>
  </si>
  <si>
    <t>Buen día Alejandra,
Espero te encuentres bien, debido a cambios dentro de la compañía C.S.C MORANI SAS les informamos que a partir del 1 de junio todo el personal contratado  pasará a  TranXaction como sustitución patronal que hace parte de nuestro grupo de empresas, agradezco por favor no facturar más servicios a nombre de C.S.C MORANI SAS teniendo en cuenta que no va a tener personal a cargo.
Quedo atenta a tus observaciones
Saludos,</t>
  </si>
  <si>
    <t xml:space="preserve">Todas las personas que estaban en esta empresa pasaran a tranxaction </t>
  </si>
  <si>
    <t xml:space="preserve">1 ABRIL </t>
  </si>
  <si>
    <t xml:space="preserve">Fernado Mejia </t>
  </si>
  <si>
    <t>900680072-9</t>
  </si>
  <si>
    <t>DANIEL PEREIRA ORDOÑEZ SAS</t>
  </si>
  <si>
    <t>DANIEL ANDRES PEREIRA</t>
  </si>
  <si>
    <t>gerencia@daposas.com.co</t>
  </si>
  <si>
    <t>12 JUNIO 2024</t>
  </si>
  <si>
    <t xml:space="preserve">Buenas tardes,
A partir de la fecha no autorizamos más el débito automático que actualmente nos realiza Sistegra y solicitamos sea cancelado el servicio DEFINITIVAMENTE.
Empresa DANIEL PEREIRA ORDOÑEZ SAS
NIT 900680729-1
Muchas gracias.
 </t>
  </si>
  <si>
    <t xml:space="preserve">Desde que cambiaron de analista sintieron que no avanzaban como lo hacian antes, cuando iniciaron contrato con nosotros tenian 38 empleados y ya tienen 5, seria mas que todo por temas financieros </t>
  </si>
  <si>
    <t>12 JULIO</t>
  </si>
  <si>
    <t>6655868-9</t>
  </si>
  <si>
    <t>ALMACEN LA PUNTADA - CASA DE LOS REGALOS</t>
  </si>
  <si>
    <t>SIMON MOLINA MORALES</t>
  </si>
  <si>
    <t>smolinamorales@gmail.com</t>
  </si>
  <si>
    <t>15 OCTUBRE 2021</t>
  </si>
  <si>
    <t>Por medio de la presente, me dirijo a ustedes para comunicarles una situación que estamos enfrentando en nuestra empresa, Almacén La Puntada Casa de los Regalos. Debido a circunstancias económicas adversas, nos encontramos en una posición financiera complicada que nos impide contratar nuevo personal en este momento.
Adicionalmente, esta misma situación económica nos imposibilita cumplir con nuestras obligaciones de pago por los servicios de asesoría que ustedes amablemente nos han prestado. Por lo tanto, nos vemos en la necesidad de solicitar la suspensión temporal de dichos servicios hasta que logremos estabilizar nuestra situación financiera y podamos retomar nuestras actividades normales.
Esperamos que comprendan nuestra posición y nos permitan suspender el servicio sin penalización alguna. En cuanto nuestra situación mejore, nos pondremos en contacto con ustedes para reanudar la colaboración y continuar beneficiándonos de su valiosa asesoría.
Agradecemos su comprensión y quedamos a su disposición para cualquier aclaración adicional que sea necesaria.</t>
  </si>
  <si>
    <t>1 JULIO</t>
  </si>
  <si>
    <t xml:space="preserve">15 JUNIO </t>
  </si>
  <si>
    <t>890908766-0</t>
  </si>
  <si>
    <t xml:space="preserve">Monica </t>
  </si>
  <si>
    <t>ASOCIACION PARA EL FOMENTO Y SEGURIDAD EN DISTRIBUCION FISICA "DEFENCARGA"</t>
  </si>
  <si>
    <t>KELLY GOMEZ</t>
  </si>
  <si>
    <t>clarita.garcia@defencarga.org.co</t>
  </si>
  <si>
    <t>11 FEBRERO 2023</t>
  </si>
  <si>
    <t>20 JUNIO 2024</t>
  </si>
  <si>
    <t xml:space="preserve">Manuela, buenas tardes. 
La, primera factura fue cancelada hoy, la siguiente se cancelará ael próximo viernes. 
Así Mismo me permito informar la cancelación del servicio a partir de la fecha. 
Muchas gracias, 
</t>
  </si>
  <si>
    <t>Directo a buzon de voz, nunca contestaron</t>
  </si>
  <si>
    <t xml:space="preserve">Daniela </t>
  </si>
  <si>
    <t>DROGUERIA MACROPHARMA</t>
  </si>
  <si>
    <t>JAQUELINE LIZETH HENAO DUQUE</t>
  </si>
  <si>
    <t>pharmaydrogueriamacro@gmail.com</t>
  </si>
  <si>
    <t>23 ABRIL 2021</t>
  </si>
  <si>
    <t>24 JUNIO 2024</t>
  </si>
  <si>
    <t xml:space="preserve">La señora manifiesta que como solo tiene una asesoria al mes, no avanza tan rapido como quisiera y decidio no seguir, pero manifiesta que desea volver en Enero del proximo año, sin embargo afirma que las analistas son muy buenas en su trabajo, siempre le explicaron muy bien todo y no tiene ninguna queja del servicio durante los ultimos tres años </t>
  </si>
  <si>
    <t>La señora manifiesta que como solo tiene una asesoria al mes, no avanza tan rapido como quisiera y decidio no seguir, pero manifiesta que desea volver en Enero del proximo año, sin embargo afirma que las analistas son muy buenas en su trabajo, siempre le explicaron muy bien todo y no tiene ninguna queja del servicio durante los ultimos tres años, solo son temas de presupuesto</t>
  </si>
  <si>
    <t xml:space="preserve">15 JULIO </t>
  </si>
  <si>
    <t xml:space="preserve">Maria Alejandra </t>
  </si>
  <si>
    <t>66854900-9</t>
  </si>
  <si>
    <t>DROGUERIA Y VARIEDADES EXITO</t>
  </si>
  <si>
    <t>CLAUDIA MAURICE DUQUE LOPEZ</t>
  </si>
  <si>
    <t>drogueriaexitovariedades@gmail.com/ clauduke@hotmail.es</t>
  </si>
  <si>
    <t xml:space="preserve">23 ABRIL 2021 </t>
  </si>
  <si>
    <t>15 JULIO</t>
  </si>
  <si>
    <t>900981979-8</t>
  </si>
  <si>
    <t xml:space="preserve">Jose agudelo </t>
  </si>
  <si>
    <t>XTREME KARTS COLOMBIA S.A.S.</t>
  </si>
  <si>
    <t>ALVARO CARVAJAL VILLEGAS</t>
  </si>
  <si>
    <t>gerencia@xtremekarts.co</t>
  </si>
  <si>
    <t>27 JUNIO 2024</t>
  </si>
  <si>
    <t>Por medio de la presente, queremos hacerles llegar nuestro mas cordial saludo y previamente agradeciendo por el servicio prestado, les comunicamos que:
Yo, Alvaro Carvajal Villegas, representante de legal de Xtreme Karts Colombia S.A.S. identificada con Nit 900.981.979-8, pongo en conocimiento ante ustedes que desistimos del hacer uso de la plataforma SISTEGRA, por motivos internos a la empresa.</t>
  </si>
  <si>
    <t xml:space="preserve">Esta empresa lleva cuadro años haciendo el sistema de gestion, querian avanzar rapido pero la metodologia de Sistegra no se lo permitia, estaban a la espera de unos documentos por que el analista no los tenia, hicieron muy rapido el planear pero a la hora de implementar el hacer no avanzaban </t>
  </si>
  <si>
    <t>INDUSTRIAS ALIMENTICIAS BLER S.A.S</t>
  </si>
  <si>
    <t>URIEL STWART ZAPATA BETANCUR</t>
  </si>
  <si>
    <t>gerenciafinanciera@tiablanca.com</t>
  </si>
  <si>
    <t>31 AGOSTO 2018</t>
  </si>
  <si>
    <t xml:space="preserve">Solicitamos la suspensión temporal del servicio que actualmente poseemos con Ustedes,por los próximos tres meses, esto debido a una difícil situación que presenta la empresa actualmente.
Estaremos en contacto nuevamente con Ustedes para la reactivación del servicio.
</t>
  </si>
  <si>
    <t>900372630-0</t>
  </si>
  <si>
    <t>L&amp;G AGROFLOWERS SAS</t>
  </si>
  <si>
    <t>LIX VILLARRAGA</t>
  </si>
  <si>
    <t>lvillarraga@lygagroflowers.com</t>
  </si>
  <si>
    <t>18 JUNIO 2022</t>
  </si>
  <si>
    <t>2 JULIO 2024</t>
  </si>
  <si>
    <t xml:space="preserve">Estimados Sres. Sistegra
Espero se encuentren bien.
Por medio de la presente solicitamos cancelar la suscripción que tenemos con ustedes ya que por motivos ajenos a nuestra voluntad no podemos seguir con el sistema, no contamos con el personal que se haga cargo de este proceso.
Agradecemos de ante mano su atención y respuesta a esta solicitud.
Quedo atenta a comentarios
Un saludo
 </t>
  </si>
  <si>
    <t xml:space="preserve">En este momento no tienen personal que se haga cargo de las conexiones y este pendiente de todo el sistema, no es nada personal, han sido un excelente apoyo para nosotros y no tengo ninguna queja de ustedes </t>
  </si>
  <si>
    <t>30 JULIO 2024</t>
  </si>
  <si>
    <t xml:space="preserve">Yasmin Andrea </t>
  </si>
  <si>
    <t>5 JULIO 2024</t>
  </si>
  <si>
    <t>Reenvío nuevamente la solicitud para suspender temporalmente los servicios de SST que proporciona  Talento Consultores a Industrias Alimenticias Bler Nit 900632403.
Quedo atento a su confirmación y a cualquier inquietud.</t>
  </si>
  <si>
    <t xml:space="preserve">La empresa decidio suspeder el servicio por tres meses porque tienen una situacion financiera muy dificil y necesitan recortar gastos estos tres meses, se llamo a los tres meses y no estan operando </t>
  </si>
  <si>
    <t>901037816-1</t>
  </si>
  <si>
    <t xml:space="preserve">Rossana </t>
  </si>
  <si>
    <t>SOFTWARE INMOBILIARIO WASI S.A.S</t>
  </si>
  <si>
    <t>JULIAN ANDRES VEGA RESTREPO</t>
  </si>
  <si>
    <t>sara@wasi.co</t>
  </si>
  <si>
    <t>21 FEBRERO 2019</t>
  </si>
  <si>
    <t>Mediante la presente Software inmobiliario Wasi SAS con NIT 901.037.816-1 se permite informar que no continuará con los servicios prestados por talento consultores debido a que hemos sido adquiridos por una multinacional y por ende, debemos cumplir con las políticas y procedimientos a las cuales nos direccionan por lo cual debemos acoplarnos a otro proveedor de SG SST.
Sería de gran utilidad que nos informen si debemos realizar alguna otra gestión para cancelar nuestra cuenta de sistema sin perder la información subida y además quitar el débito automático.
Agradecemos mucho la atención brindada por ustedes durante nuestra relación comercial.</t>
  </si>
  <si>
    <t xml:space="preserve">Fueron contratados por una multinacional y deben seguir las normas que estas le piden con otro proveedor </t>
  </si>
  <si>
    <t>5 AGOSTO 2024</t>
  </si>
  <si>
    <t>901559652-0</t>
  </si>
  <si>
    <t>CAFE PARA REYES</t>
  </si>
  <si>
    <t>JUAN GABRIEL HERNANDEZ</t>
  </si>
  <si>
    <t>juangabrielh265@gmail.com</t>
  </si>
  <si>
    <t>27 JULIO 2022</t>
  </si>
  <si>
    <t>8 JULIO 2024</t>
  </si>
  <si>
    <t xml:space="preserve">Por medio de la actual, me permito expresar mis sinceros agradecimientos por estos meses de
acompañamiento y de asesoría durante nuestra vinculación. Así mismo, notifico que debido a
nuevos acompañamientos y en virtud de apoyar emprendimientos locales, el sistema de gestión de
seguridad y salud en el trabajo SGSST será de ahora en adelante direccionado por una empresa
regional.
De esta manera, solicito los documentos pertinentes para el empalme y que estén a su merced, de
acuerdo a lo trabajado durante este periodo.
</t>
  </si>
  <si>
    <t xml:space="preserve">Cambio de proveedor por apoyar un emprendimiento nacional </t>
  </si>
  <si>
    <t>8 AGOSTO 2024</t>
  </si>
  <si>
    <t>INFINITA SOCIEDAD DE COMERCIALIZACION INTERNACIONAL SAS</t>
  </si>
  <si>
    <t>MARIA VIATELA</t>
  </si>
  <si>
    <t>infinitas.a@hotmail.com</t>
  </si>
  <si>
    <t>10 JULIO 2024</t>
  </si>
  <si>
    <t>Como se ha comunicado vía telefónica a nuestro analista y a la parte contable de sistegra, hemos venido presentando inconvenientes económicos e internos en la empresa INFINITA SAS CI, es por esto los retrasos en los pagos de las últimas 2 facturas y por lo cual no se ha podido avanzar tampoco en los pendientes del SG-SST desde el mes pasado; En consecuencia, hacemos oficial mediante este correo la solicitud de suspensión del servicio  que tenemos con ustedes, para que no se nos generen más facturas, mientras se solucionan los problemas internos de la empresa y se nos permita avanzar en el proceso.</t>
  </si>
  <si>
    <t xml:space="preserve">Deben Mayo y Junio </t>
  </si>
  <si>
    <t>7531310-2</t>
  </si>
  <si>
    <t>Laura Paola</t>
  </si>
  <si>
    <r>
      <rPr>
        <b/>
        <sz val="10"/>
        <color rgb="FF000000"/>
        <rFont val="Arial"/>
      </rPr>
      <t>OSCAR HUMBERTO SANABRIA CASTAÑEDA - DROGUERIA COLSANAR DEL NORTE</t>
    </r>
  </si>
  <si>
    <r>
      <rPr>
        <sz val="11"/>
        <color rgb="FF000000"/>
        <rFont val="Arial"/>
        <scheme val="minor"/>
      </rPr>
      <t>OSCAR HUMBERTO SANABRIA</t>
    </r>
  </si>
  <si>
    <r>
      <rPr>
        <sz val="11"/>
        <color rgb="FF000000"/>
        <rFont val="Arial"/>
        <scheme val="minor"/>
      </rPr>
      <t>drogcolsanardelnorte@gmail.com</t>
    </r>
  </si>
  <si>
    <t>15 NOVIEMBRE 2023</t>
  </si>
  <si>
    <t>12 JULIO 2024</t>
  </si>
  <si>
    <t>Me dirijo a ustedes muy respetuosamente para solicitar la cancelación definitivamente del servicio</t>
  </si>
  <si>
    <t xml:space="preserve">Cambio de proveedor, uno presencial en Bogota </t>
  </si>
  <si>
    <t xml:space="preserve">16 AGOSTO </t>
  </si>
  <si>
    <t xml:space="preserve">16 JULIO </t>
  </si>
  <si>
    <t xml:space="preserve">Daniela Morena </t>
  </si>
  <si>
    <t>830048991-2</t>
  </si>
  <si>
    <t xml:space="preserve">Antony </t>
  </si>
  <si>
    <t>COLRECAMBIOS SAS</t>
  </si>
  <si>
    <t>ALBERTO JARAMILLO ABAD</t>
  </si>
  <si>
    <t>colrecambios@colrecambios.com.co</t>
  </si>
  <si>
    <t>7 JUNIO 2023</t>
  </si>
  <si>
    <t>26 JULIO 2024</t>
  </si>
  <si>
    <t xml:space="preserve">Buen día.
Me permito informar que la Gerencia, ha decidido finalizar el servicio que tenemos de la plataforma Sistegra.
Las razones principales son:
Dentro de la Empresa, no contamos con una persona capacitada suficientemente, para desarrollar los documentos del sistema, los cuales contienen informacion técnica que descocemos, entonces hemos determinado contratar a alguien externo para hacerlo.
El presupuesto de la Empresa no suficiente para tener, por un lado el servicio de la plataforma y por el otro un el asesor externo capacitado.
Con respecto al Modulo y Asesoría del PESV, deseamos poder continuar con este servicio, por lo cual solicito la cotización del costo de este servicio únicamente.
Quedamos atentos a sus comentarios y agradecemos su atención.
 </t>
  </si>
  <si>
    <t xml:space="preserve">No tienen el suficiente tiempo para hacer todos los documentos, no contaban con una persona capacitada para realizar las asesorias y decidieron contratar una persona presencial </t>
  </si>
  <si>
    <t>30 AGOSTO</t>
  </si>
  <si>
    <t>1 AGOSTO</t>
  </si>
  <si>
    <t>900333394-0</t>
  </si>
  <si>
    <t>DE PROVINCIA HOTELES SAS</t>
  </si>
  <si>
    <t>ALONSO MONSALVE GOMEZ</t>
  </si>
  <si>
    <t>8531111/8531563</t>
  </si>
  <si>
    <t>procesosdeprovinciahoteles@gmail.com</t>
  </si>
  <si>
    <t xml:space="preserve">6 ENERO 2017 </t>
  </si>
  <si>
    <t>29 JULIO 2024</t>
  </si>
  <si>
    <t xml:space="preserve">
Por medio de la presente, queremos informarle que hemos decidido finalizar nuestra relación por contrato de prestación de servicios entre TALENTO CONSULTORES S.A.S.  y DE PROVINCIA HOTELES S.A.S manifestamos nuestro más sincero agradecimiento por la colaboración brindada durante el tiempo que hemos trabajado juntos.
Valoramos enormemente el profesionalismo, compromiso y dedicación demostrados por su equipo en la prestación de servicios de asesoría en Seguridad y Salud en el Trabajo (SG SST) a nuestra empresa. Apreciamos la calidad y eficacia de su trabajo, así como la contribución significativa que han hecho a nuestro entorno laboral.
</t>
  </si>
  <si>
    <t xml:space="preserve">Ordenes de gerencia, el cliente no quiso dar mas informacion </t>
  </si>
  <si>
    <t xml:space="preserve">30 AGOSTO </t>
  </si>
  <si>
    <t xml:space="preserve">29 AGOSTO </t>
  </si>
  <si>
    <t>901688815-7</t>
  </si>
  <si>
    <t xml:space="preserve">Gillary </t>
  </si>
  <si>
    <t>KANNIN CONSTRUCCIONES S.A.S</t>
  </si>
  <si>
    <t>CAMILO CARDENAS</t>
  </si>
  <si>
    <t>gerencia.kannin@gmail.com</t>
  </si>
  <si>
    <t xml:space="preserve">Cordial saludo, por la presente de la manera mas atenta se solicita la suspensión del contrato vigente con ustedes debido al cese de actividades de manera indefinida por la que atraviesa esta empresa motivada por la terminación del proyecto que se ejecutaba hasta el mes de junio del presente año además de una reorganización empresarial  como se le informó en su momento de manera verbal a la asesora que atendía nuestra razón social  por parte de la persona encargada del sistema.
</t>
  </si>
  <si>
    <t xml:space="preserve">El cliente informa que la persona que estaba encargada de las asesorias renuncio y en este momento tienen una situacion financiera muy complicada, por el momento van a suspender el servicio </t>
  </si>
  <si>
    <t xml:space="preserve">Jhon Ferney </t>
  </si>
  <si>
    <t>ESHKOL BAJA VALOR</t>
  </si>
  <si>
    <t>901495248-1</t>
  </si>
  <si>
    <t>MILTON JAVIER GONZALEZ MORA</t>
  </si>
  <si>
    <t>6agroseis@gmail.com</t>
  </si>
  <si>
    <t xml:space="preserve">DEFINIITIVO </t>
  </si>
  <si>
    <t>16 MARZO 2023</t>
  </si>
  <si>
    <t>9 AGOSTO 2024</t>
  </si>
  <si>
    <t>Por medio de la presente solicitamos la cancelación de contrato con el sistema Sistegra SST
que tienen con la empresa AGROSEIS DE COLOMBIA SAS, identificada con NIT.
901.495.28-1.
Agradeciendo de antemano el acompañamiento que nos fue proporcionado durante este
tiempo, especialmente con la asesora Yasmin Andrea Buitrago, la cual destacamos por
excelentes de su servicio.</t>
  </si>
  <si>
    <t xml:space="preserve"> Como la empresa es tan pequeña, necesitan reducir costos, se van a quedar con agrouno y la chica que tienen presencial llevara a cabo lo de agroseis </t>
  </si>
  <si>
    <t>30 AGOSOT 2024</t>
  </si>
  <si>
    <t xml:space="preserve">Se envio correo </t>
  </si>
  <si>
    <t>901144382-5</t>
  </si>
  <si>
    <t>Claudia Yanet</t>
  </si>
  <si>
    <t>ASESORIA Y COMERCIO INTERNACIONAL DE METALES S.A.S</t>
  </si>
  <si>
    <t>YOLANDA RAMIREZ MURIEL</t>
  </si>
  <si>
    <t>yolandaramirez@ascimsas.com</t>
  </si>
  <si>
    <t xml:space="preserve">SUSPENSIÓN </t>
  </si>
  <si>
    <t>18 DICIEMBRE 2023</t>
  </si>
  <si>
    <t>Nunca se conectan, siempre estan de viaje</t>
  </si>
  <si>
    <t>1 AGOSTO 2024</t>
  </si>
  <si>
    <t>SASA CONSULTORIA.COM S.A.S.</t>
  </si>
  <si>
    <t xml:space="preserve">ALEJANDRA </t>
  </si>
  <si>
    <t>facturae@sasaconsultoria.com</t>
  </si>
  <si>
    <t>05 OCTUBRE 20217</t>
  </si>
  <si>
    <t>21 AGOSTO 2024</t>
  </si>
  <si>
    <t xml:space="preserve">Mediante el presente correo le escribo para solicitar la terminación del contrato que actualmente tiene SASA Consultoria con ustedes 
Por favor me puede indicar que tramite debemos seguir y qué documentos le debo enviar 
Muchas gracias y quedo atenta </t>
  </si>
  <si>
    <t xml:space="preserve">Decision gerencial, otra oferta que les ofrecio comfama </t>
  </si>
  <si>
    <t xml:space="preserve">21 SEPTIEMBRE </t>
  </si>
  <si>
    <t xml:space="preserve">1 AGOSTO </t>
  </si>
  <si>
    <t>900347608-2</t>
  </si>
  <si>
    <t xml:space="preserve">Laura Paola </t>
  </si>
  <si>
    <t>NOVA ENTRETENIMIENTO S.A.S</t>
  </si>
  <si>
    <t xml:space="preserve">YANET </t>
  </si>
  <si>
    <t>facturacion@novaentretenimiento.co / comiteycopastsg@gmail.com</t>
  </si>
  <si>
    <t>21 AGOSOTO 2024</t>
  </si>
  <si>
    <t xml:space="preserve">Por medio de la presente solicito cancelación del servicio que la empresa NOVA ENTRETENIMIENTO SAS  ha llevado con ustedes, de antemano agrademos sus servicios, esto seria a partir de julio ya que en agosto no se ha realizado ninguna asesoría , ni uso de la plataforma, solicitamos amablemente el envió de la documentación registrado en sistegra al siguiente correo  comiteycopastsg@gmail.com 
</t>
  </si>
  <si>
    <t xml:space="preserve">No contestan ninguno de los numeros registrados </t>
  </si>
  <si>
    <t xml:space="preserve">15 SEPTIEMBRE </t>
  </si>
  <si>
    <t xml:space="preserve">15 AGOSTO </t>
  </si>
  <si>
    <t>800118901-1</t>
  </si>
  <si>
    <t>AGROPECUARIA PRAGA S A</t>
  </si>
  <si>
    <t>JUAN FERNANDO GIRALDO RESTREPO</t>
  </si>
  <si>
    <t>sistemadegestion@apraga.co</t>
  </si>
  <si>
    <t>19 FEBRERO 2024</t>
  </si>
  <si>
    <t>26 AGOSTO</t>
  </si>
  <si>
    <t>Después de evaluar los gastos y presupuesto, hemos determinado que no podemos continuar con el programa, a pesar de los beneficios que recibimos. Por lo tanto, me gustaría solicitar la cancelación del contrato con efecto inmediato para las siguientes empresas Agropecuaria Praga S,A  con nit: 800.118.901-1, Grandepalma S.A con nit:. 900.800.970-7 y Ganadería de Antioquia con nit: 900.800.616-4.</t>
  </si>
  <si>
    <t>Fernando Mejia</t>
  </si>
  <si>
    <t>900800970-7</t>
  </si>
  <si>
    <t>GRANDEPALMA S.A.S.</t>
  </si>
  <si>
    <t>JULIANA GIRALDO RESTREPO</t>
  </si>
  <si>
    <t xml:space="preserve">26 AGOSOTO </t>
  </si>
  <si>
    <t>900800616-4</t>
  </si>
  <si>
    <t>GANADERIA DE ANTIOQUIA S.A.S.</t>
  </si>
  <si>
    <t xml:space="preserve">26 AGOSTO </t>
  </si>
  <si>
    <t>900162826-6</t>
  </si>
  <si>
    <t xml:space="preserve">Yuranis Gisella </t>
  </si>
  <si>
    <t>G SIMCO SAS</t>
  </si>
  <si>
    <t>JAIME EMILIO ALBARRACIN</t>
  </si>
  <si>
    <t>3239471555/ 3225992955</t>
  </si>
  <si>
    <t>gerencia@gsimco.com</t>
  </si>
  <si>
    <t xml:space="preserve">28 AGOSTO </t>
  </si>
  <si>
    <t xml:space="preserve">Por medio de la presente yo, FRAN JOHAN PELAEZ RIOS, identificado con cedula 1.036.617.235, en
calidad de Representante legal de la empresa GSIMCO SAS, con Nit 900162826, deseo expresar
nuestra intención de terminar con el contrato que actualmente tenemos con su empresa, para el
desarrollo del Sistema de Seguridad Ocupacional SST; por varios motivos.
1. Estamos realizando una reestructuración de la empresa, en cuanto a actividades y personal.
2. Actualmente hace muchos meses no se esta desarrollando el programa, por lo q en el
momento no encontramos rentable tener un programa el cual no se está ejecutando.
Agradecemos la atención prestada y esperamos mas adelante poder estar contando con ustedes
nuevamente
</t>
  </si>
  <si>
    <t>1. Estamos realizando una reestructuración de la empresa, en cuanto a actividades y personal.
2. Actualmente hace muchos meses no se esta desarrollando el programa, por lo q en el
momento no encontramos rentable tener un programa el cual no se está ejecutando.</t>
  </si>
  <si>
    <t xml:space="preserve">28 SEPTIEMBRE </t>
  </si>
  <si>
    <t xml:space="preserve">1 SEPTIEMBRE </t>
  </si>
  <si>
    <t>901084186-1</t>
  </si>
  <si>
    <t>Jose</t>
  </si>
  <si>
    <t>EL EDITOR SAS</t>
  </si>
  <si>
    <t>YENNY MARCELA RAIGOSA FRANCO</t>
  </si>
  <si>
    <t>marcela@eleditor.co</t>
  </si>
  <si>
    <t xml:space="preserve">Les informamos que hemos tomado la decisión de finalizar la prestación del servicio de administración del sistema de seguridad y salud en el trabajo con ustedes a partir de la fecha.
La decisión fue tomada teniendo en cuenta que desde el cambio del primer asesor que nos atendió, la gestión por parte de ustedes decayó notoriamente, los diferentes asesores que han trabajo con nosotros no fueron propositivos y por el contrario, nosotros debíamos estar constantemente pendientes de que se llevara a cabo la comunicación semanal, la cual se encuentra establecida en el contrato. Adjunto se encuentra el correo con la primera reclamación realizada sobre los asesores que hemos tenido, como evidencia que anteriormente ya habíamos reportado inconformidad en el servicio, inclusive se solicito el reintegro del dinero, ya que en el mes no hubo avances de ningún tipo, sin embargo, el reintegro nunca se realizó.
Hoy tomamos la decisión definitiva teniendo en cuenta el historial, y que adicionalmente, no ha sido posible llevar a cabo reuniones de seguimiento en 4 oportunidades durante estos últimos 2 meses, por temas médicos de nuestro asesor, comprendemos que las eventualidades medicas no son programadas, sin embargo, esto también nos retrasa con el plan de trabajo de la organización, aun mas cuando no hay un suplente para este tipo de eventualidades.
Las dos semanas anteriores no fue posible de nuestra parte reunirnos por temas internos de la organización, y esta semana, en la cual teníamos consolidada la información y plan de trabajo, tampoco se pudo llevar a cabo la reunión por parte de ustedes.
Por último, quiero solicitarles que nos compartan la información correspondiente a SST de EL EDITOR SAS, esto con el propósito de continuar con la ejecución de nuestros planes y cumplimiento legal. No requerimos que se realice un empalme en la entrega, únicamente que se realice la entrega de los documentos a través de este correo, en lo posible en carpetas de manera organizada.
Teniendo en cuenta que el pago se encuentra programado como debito automático, requerimos que se realice la cancelación del debito, teniendo en cuenta que no continuaremos con el servicio.
Por otro lado, al consultar sobre el proceso de cancelación, en conversación con Fernando Mejía, nos mencionó que se debe realizar un debito adicional, por el envió de la información y en caso de ser necesario por realizar empalme con la empresa que llevaría a cabo el sistema. En primer lugar no requerimos ningún tipo de empalme como lo mencione anteriormente, y segundo, teniendo en cuenta todas las novedades que se han presentado desde febrero 2024 a la fecha, consideramos que un pago adicional no tendría sentido, teniendo en cuenta todas las ocasiones en que no se prestó el servicio y no hubo reuniones de seguimiento, por lo que, en definitiva, nos abstenemos rotundamente a un pago adicional.
Les agradecemos igualmente su tiempo.
Quedamos atentos a su confirmación de la notificación.
Saludos!
</t>
  </si>
  <si>
    <t>La decisión fue tomada teniendo en cuenta que desde el cambio del primer asesor que nos atendió, la gestión por parte de ustedes decayó notoriamente, los diferentes asesores que han trabajo con nosotros no fueron propositivos y por el contrario, nosotros debíamos estar constantemente pendientes de que se llevara a cabo la comunicación semanal, la cual se encuentra establecida en el contrato. Adjunto se encuentra el correo con la primera reclamación realizada sobre los asesores que hemos tenido, como evidencia que anteriormente ya habíamos reporta</t>
  </si>
  <si>
    <t>30 SEPTIEMBRE</t>
  </si>
  <si>
    <t>15 AGOSTO</t>
  </si>
  <si>
    <t>1036674884-8</t>
  </si>
  <si>
    <t>MEGADROGAS ITAGUI</t>
  </si>
  <si>
    <t>PAULA ANDREA ACEVEDO GIL</t>
  </si>
  <si>
    <t>drogueriamegadrogas32@gmail.com</t>
  </si>
  <si>
    <t xml:space="preserve">17 JULIO 2017 </t>
  </si>
  <si>
    <t>04 DE SEPTIEMBRE</t>
  </si>
  <si>
    <t>El motivo de este correo es solicitar la cancelación del contrato para la droguería mega drogas Itagui con nit número 1036674884 el motivo de La cancelación es por venta de la misma muchas gracias por la atención</t>
  </si>
  <si>
    <t xml:space="preserve">Vendieron la drogueria </t>
  </si>
  <si>
    <t xml:space="preserve">30 SEPTIEMBRE </t>
  </si>
  <si>
    <t xml:space="preserve">31 AGOSTO </t>
  </si>
  <si>
    <t>900293746-7</t>
  </si>
  <si>
    <t>CENTRAL INTEGRADORA DE TRANSPORTE DE LA CEJA S.A</t>
  </si>
  <si>
    <t>LUZ VILMA  ZULUAGA</t>
  </si>
  <si>
    <t>gerencia@centraltte.co</t>
  </si>
  <si>
    <t>16 JULIO 2024</t>
  </si>
  <si>
    <t xml:space="preserve">11 DE SEPTEIMBRE </t>
  </si>
  <si>
    <t xml:space="preserve">María Alejandra, buen día, deseo que te encuentres muy bien al igual que tu equipo de trabajo.
Quiero por este medio agradecer tu acompañamiento y el de tu equipo en esta transición durante la implementación del SG- SST y por apoyarnos en las labores de empalme con el nuevo asesor contratado con la póliza SURA, asegura tu talento.
Por favor envíame cuenta de cobro final de acuerdo a las últimas actividades realizadas por ustedes.
Un saludo,
</t>
  </si>
  <si>
    <t>por una póliza que tiene con  sura, le regalan 32 horas mensuales de profesional sst, pesv y un tema de gestion humana.</t>
  </si>
  <si>
    <t xml:space="preserve">11 SEPTIEMBRE </t>
  </si>
  <si>
    <t>900424409-3</t>
  </si>
  <si>
    <t>DAMSU SAS</t>
  </si>
  <si>
    <t>LINA ROCIO RINCON PEÑUELA</t>
  </si>
  <si>
    <t>gerencia@damsu.com</t>
  </si>
  <si>
    <t>27 MARZO 2024</t>
  </si>
  <si>
    <t xml:space="preserve">12 SEPTIEMBRE </t>
  </si>
  <si>
    <t xml:space="preserve">Estan en una fusion con otra empresa y esta exige tener el sistema interno, Damsu lo compro otra empresa </t>
  </si>
  <si>
    <t xml:space="preserve">27 AGOSTO </t>
  </si>
  <si>
    <t>901393225-4</t>
  </si>
  <si>
    <t>PINTORESCA NAIL BAR S.A.S.</t>
  </si>
  <si>
    <t>MARIA ANGELICA GIL TORO</t>
  </si>
  <si>
    <t>pintorescanailbar@gmail.com</t>
  </si>
  <si>
    <t>28 JULIO 2021</t>
  </si>
  <si>
    <t xml:space="preserve">23 SEPTIEMBRE </t>
  </si>
  <si>
    <t>Te escribo con el fin de cancelar en el servicio que tenemos de plataforma SISTEGRA y del asesoramiento para el SST, esta cancelación será a partir de la facturación del mes de Octubre para que por favor lo tengas en cuenta y no me vayas a facturar.</t>
  </si>
  <si>
    <t>Quiere cambiar de metodologia, le parece costoso, nunca tuvo inconvenientes con la plataforma, ni con el analista pero ya quiere cambiar de empresa</t>
  </si>
  <si>
    <t>23 OCTUBRE</t>
  </si>
  <si>
    <t>ACQUAVIEIRA S.A.S.</t>
  </si>
  <si>
    <t>MARIA ALEJANDRA ZULETA VELEZ</t>
  </si>
  <si>
    <t>comercial@acquavieira.com</t>
  </si>
  <si>
    <t>27 ABRIL 2024</t>
  </si>
  <si>
    <t xml:space="preserve">Solicito muy amablemente la cancelación del servicio que tengo con ustedes  de implementación y mantenimiento  del sistema de  gestión SST.
NIT 900568939-3 ACQUAVIEIRA S.A.S </t>
  </si>
  <si>
    <t>Decsiones de gerencia, no tienen mucho presupuesto</t>
  </si>
  <si>
    <t xml:space="preserve">Deben </t>
  </si>
  <si>
    <t>900739798-6</t>
  </si>
  <si>
    <t xml:space="preserve">Jose Marin </t>
  </si>
  <si>
    <t>SATAREM COLOMBIA S.A.S.</t>
  </si>
  <si>
    <t>CARLOS ALBERTO FERNANDEZ CASTRILLON</t>
  </si>
  <si>
    <t>claudia.lastre@satarem.co</t>
  </si>
  <si>
    <t xml:space="preserve">13 FEBRERO </t>
  </si>
  <si>
    <t>25 SEPTIEMBRE</t>
  </si>
  <si>
    <t>Estimado Fernando
En vista del poco uso que le estamos dando a la herramienta solicito  cancelar el servicio.  La verdad  la herramienta no tiene la aplicabilidad para nuestro sistema.
Nos interesa recibir el acompañamiento en el   PESV .
Agradezco  indicarme pasos a seguir para cancelar este servicio</t>
  </si>
  <si>
    <t xml:space="preserve">Tienen un sistema muy robusto y no ven viable seguir con las asesorias virtuales, seguiran con el pevs </t>
  </si>
  <si>
    <t>25 OCTUBRE</t>
  </si>
  <si>
    <t xml:space="preserve">Claudia Higuita </t>
  </si>
  <si>
    <t>HG DINAMICA EMPRESARIAL SAS</t>
  </si>
  <si>
    <t>FABIOLA GARCIA CARRILLO</t>
  </si>
  <si>
    <t>fabiolagarciac@hotmail.com</t>
  </si>
  <si>
    <t>12 NOVIEMBRE 2021</t>
  </si>
  <si>
    <t xml:space="preserve">27 SEPTIEMBRE </t>
  </si>
  <si>
    <t xml:space="preserve">Buenas tardes:
Atentamente me permito solicitarles se sirvan suspender el servicio mensual que a la fecha estamos recibiendo, por los meses de octubre y noviembre de este año.  Retomaríamos en diciembre. 
El día de mañana sería la última reunión del mes con nuestra asesora Claudia Higuita. 
Cordialmente,   
</t>
  </si>
  <si>
    <t>Se fueron cuatro personas y una de esas era la que llevaba el sistema de gestión</t>
  </si>
  <si>
    <t xml:space="preserve">Maria Elena </t>
  </si>
  <si>
    <t>WE.ORGANIC SAS</t>
  </si>
  <si>
    <t>ANDRES BEDOYA GUTIERREZ</t>
  </si>
  <si>
    <t>abedoya@weorganic.com.co</t>
  </si>
  <si>
    <t>5 FEBRERO 2022</t>
  </si>
  <si>
    <t xml:space="preserve">1 OCTUBRE </t>
  </si>
  <si>
    <t>la empresa We.organic sas con nit 900950475-5 solicta cancelación de el servicio prestado, a partir de hoy mismo para no inicio de nuevo mes.
muchas gracias por el servicio prestado y tiempo compartido</t>
  </si>
  <si>
    <t>Ya no tienen empleados y van a liquidar la empresa</t>
  </si>
  <si>
    <t xml:space="preserve">30 OCTUBRE </t>
  </si>
  <si>
    <t xml:space="preserve">Martha Cecilia Mejia </t>
  </si>
  <si>
    <t>Se envio correo</t>
  </si>
  <si>
    <t>901037371-6</t>
  </si>
  <si>
    <t>Adriana del Carmen</t>
  </si>
  <si>
    <t>DISTRIBUCIONES LA NUEVA CLAVE S.A.S.</t>
  </si>
  <si>
    <t>GLORIA BALLESTEROS BALLESTEROS</t>
  </si>
  <si>
    <t>dlanuevaclave@gmail.com</t>
  </si>
  <si>
    <t>5 DICIEMBRE 2023</t>
  </si>
  <si>
    <t xml:space="preserve">3 OCTUBRE </t>
  </si>
  <si>
    <t>La empresa esta bajando costos y encontraron otro proveedor mucho mas economico</t>
  </si>
  <si>
    <t xml:space="preserve">Lo mas pronto posible </t>
  </si>
  <si>
    <t>900954827-2</t>
  </si>
  <si>
    <t>GESCOL ECONOMIA CIRCULAR SAS BIC</t>
  </si>
  <si>
    <t>NEYLLA AVILA FLOREZ</t>
  </si>
  <si>
    <t>gerencia.gescol@gmail.com</t>
  </si>
  <si>
    <t xml:space="preserve">15 OCTUBRE </t>
  </si>
  <si>
    <t xml:space="preserve">Me comunico con ustedes para informarles que por el momento me veo en la necesidad de suspender el servicio con ustedes, por motivos de flujo de caja. Espero estar retomando el servicio entre enero y febrero del próximo año, fecha en la que me contactaré con ustedes, sin embargo no deseo continuar con el servicio de savanna ya que ha sido complejo adaptarnos a esta modalidad para temas de bienestar.
</t>
  </si>
  <si>
    <t>Por falta de flujo de caja</t>
  </si>
  <si>
    <t>1 OCTUBRE</t>
  </si>
  <si>
    <t>SOLUCIONES COMERCIALES Y CONSTRUCTIVAS S.A.S</t>
  </si>
  <si>
    <t>MADELEY LEON</t>
  </si>
  <si>
    <t>skcgerencia@hotmail.com</t>
  </si>
  <si>
    <t>28 FEBRERO 2023</t>
  </si>
  <si>
    <t>NASSIF ABUITA NASSAR, mayor de edad identificado con ce dula de ciudadaní a No.
73.089.485 de Cartagena, representante legal de SOLUCIONES COMERCIALES Y
CONSTRUCTIVAS S.A.S, con establecimiento de comercio principal denominado
SUCASA INMOBILIARIA, por medio de la presente, solicitamos la anulacio n de
suscripcio n a la plataforma SISTEGRA SST, lo anterior teniendo en cuenta que desde
hace meses no se esta haciendo uso de esta.
Agradecemos grandemente el apoyo brindado desde el comienzo de la suscripcio n,
quedamos atentos a su respuesta.</t>
  </si>
  <si>
    <t xml:space="preserve">La plataforma de la arl es gratuita y asi se ahorran mas dinero ya que tienen un tecnologo para el cargo en la compañia </t>
  </si>
  <si>
    <t>15 Noviembre</t>
  </si>
  <si>
    <t xml:space="preserve">29 SEPTIEMBRE </t>
  </si>
  <si>
    <t>900163925-1</t>
  </si>
  <si>
    <t>ASOCIACION DE PRODUCTORES DE AGUACATE HASS COLOMBIA S.A.S</t>
  </si>
  <si>
    <t>JUAN RESTREPO</t>
  </si>
  <si>
    <t>alejandravalencia@hass-colombia.com</t>
  </si>
  <si>
    <t>12 FEBRERO 2020</t>
  </si>
  <si>
    <t xml:space="preserve">16 OCTUBRE </t>
  </si>
  <si>
    <t xml:space="preserve">Cordial saludo Fernando.
Por medio del presente solicito me indiques le procedimiento a seguir para la cancelación de los servicios que tenemos con ustedes, lo anterior en concordancia con el ejerció de restructuración que está realizando la compañía.
Quedo atento.
 </t>
  </si>
  <si>
    <t xml:space="preserve">Contrataron un presencial </t>
  </si>
  <si>
    <t>20 Noviembre</t>
  </si>
  <si>
    <t>900670137-9</t>
  </si>
  <si>
    <t xml:space="preserve">Monica Marin </t>
  </si>
  <si>
    <t>LABORATORIOS DENTAID S.A.S</t>
  </si>
  <si>
    <t>JORGE FIGUERAS MAGRIÑA</t>
  </si>
  <si>
    <t>dentaid@dentaid.co</t>
  </si>
  <si>
    <t xml:space="preserve">DEFINTIVO  </t>
  </si>
  <si>
    <t>31 ENERO 2024</t>
  </si>
  <si>
    <t>16 OCTUBRE</t>
  </si>
  <si>
    <t xml:space="preserve">Por medio de la presente damos aviso de la terminación unilateral de la prestación del
servicio brindado por ustedes en el Sistema de Gestión de Salud y Seguridad en el
Trabajo y el Plan Estratégico de Seguridad Vial en modalidad virtual, respetando los
treinta (30) días de anticipación que exige el acuerdo de aceptación.
Quedamos atentos para coordinar la entrega de la documentación pendiente y
proceder con el empalme necesario. Asimismo, agradecemos gestionar cualquier
asunto administrativo o financiero que quede por resolver antes de la fecha de
terminación del contrato.
Reiteramos nuestro agradecimiento por el apoyo y acompañamiento brindado durante
los últimos meses.
</t>
  </si>
  <si>
    <t xml:space="preserve">El tiempo es muy corto, es una vez al mes presencial y sienten que no han avanzado, la comunicacion no ha sido tan fluida, el gerente se reunio con Monica Marin en Agosto y la matriz de riesgo no estaba lista y eso no le gusto mucho, Dani el coomercial le planteo varias propuestas para tener mas conexiones ya sea virtuales o presenciales pero la decision final es no seguir con nosotros </t>
  </si>
  <si>
    <t>Dani Murillo</t>
  </si>
  <si>
    <t>900291748-2</t>
  </si>
  <si>
    <t>ELIPTICA SAS</t>
  </si>
  <si>
    <t>JORGE OCAMPO</t>
  </si>
  <si>
    <t>4310053/ 3152200420</t>
  </si>
  <si>
    <t>gerencia@elipticapisos.com</t>
  </si>
  <si>
    <t>29 JULIO 2023</t>
  </si>
  <si>
    <t xml:space="preserve">18 OCTUBRE </t>
  </si>
  <si>
    <t>Buenas tardes,
Por medio de la presente, solicitamos suspender el servicio que se venía prestando a la empresa ELIPTICA SAS 900291748-2 por motivos económicos, a partir de la fecha y hasta el mes de febrero aproximadamente, donde retomaremos nuevamente dichos servicios.
De antemano les agradecemos su comprensión y pronta respuesta
Cordialmente,</t>
  </si>
  <si>
    <t>Falta de flujo de caja</t>
  </si>
  <si>
    <t>901401683-1</t>
  </si>
  <si>
    <t>AGRO UNO DE COLOMBIA S.A.S</t>
  </si>
  <si>
    <t>MILTON JAVIER GONZALES MORA</t>
  </si>
  <si>
    <t>agrofertilvillavicencio@hotmail.com</t>
  </si>
  <si>
    <t>15 AGOSTO 2023</t>
  </si>
  <si>
    <t xml:space="preserve"> 21 OCTUBRE </t>
  </si>
  <si>
    <t>Por medio de la presente solicitamos la cancelación del contrato con el sistema Sistegra SST que tienen con la empresa Agro Uno de Colombia S.A.S, identificada con el NIT 901401683-1.
Agradecemos de antemano el acompañamiento que nos fue proporcionado durante este tiempo, especialmente con la asesora Yasmin Andrea Buitrago, la cual destacamos por su excelente servicio.</t>
  </si>
  <si>
    <t xml:space="preserve">Tuvieron un accidente laboral y debian contratar con nosotros la investigacion entonces decidieron contratar una profesional que pueda hacer auditorias y las investigacion de los accidentes </t>
  </si>
  <si>
    <t>901270548-1</t>
  </si>
  <si>
    <t>FIBRARDO INC SAS</t>
  </si>
  <si>
    <t>JAVIER ENRIQUE GARZON CIFUENTE</t>
  </si>
  <si>
    <t>admon@fibrardo.com</t>
  </si>
  <si>
    <t>2 JUNIO 2023</t>
  </si>
  <si>
    <t xml:space="preserve">23 OCTUBRE </t>
  </si>
  <si>
    <t xml:space="preserve">Estimados senores:
Por medio de la presente, me permito notificarles formalmente la decision de Fibrardo INC S.A.S.
de dar por terminado el contrato que mantenemos con su empresa, de acuerdo con los terminos
establecidos en el mismo.
Senores: TALENTO CONSULTORES
DAVID PARRA
Agradecemos el servicio prestado hasta la fecha dando cumpliendo con nuestras obligaciones
economicas a la finalizacion de este contrato.
Por favor, haganme saber si es necesario coordinar alguna accion adicional o si requieren
informacion adicional para llevar a cabo un cierre ordenado del contrato.
</t>
  </si>
  <si>
    <t>Imposible de contactar</t>
  </si>
  <si>
    <t xml:space="preserve">30 Noviembre </t>
  </si>
  <si>
    <t>1 NOVIEMBRE</t>
  </si>
  <si>
    <t>901143679-2</t>
  </si>
  <si>
    <t>BOLSAS ULTRA &amp; LA HOGAREÑA SAS</t>
  </si>
  <si>
    <t>EDNA ESPERANZA TRUJILLO</t>
  </si>
  <si>
    <t>fael.bolsasultra@gmail.com</t>
  </si>
  <si>
    <t xml:space="preserve">29 OCTUBRE </t>
  </si>
  <si>
    <t xml:space="preserve">La persona que estaba coordinando este servicio ya no esta en la empresa y ya no les interesa tener ningun servicio con nosotros </t>
  </si>
  <si>
    <t>900122602 – 2</t>
  </si>
  <si>
    <t>PARQUEADERO EL HUECO SAS</t>
  </si>
  <si>
    <t>FABIO CARDENAS BERNAL</t>
  </si>
  <si>
    <t>5 ENERO 2017</t>
  </si>
  <si>
    <t>7 NOVIEMBRE</t>
  </si>
  <si>
    <t>Agradezco me colaboren con la suspensión de las conexiones del mes de DICIEMBRE 2024 estamos en temporada alta y me queda muy difícil las intervenciones</t>
  </si>
  <si>
    <t>15 NOVIEMBRE 2024</t>
  </si>
  <si>
    <t>900167429-8</t>
  </si>
  <si>
    <t xml:space="preserve">Javier </t>
  </si>
  <si>
    <t>COMNAPAC</t>
  </si>
  <si>
    <t>HERNANDO PADILLA CUELLAR</t>
  </si>
  <si>
    <t>gerencia@comnapac.com.co</t>
  </si>
  <si>
    <t>14 NOVIEMBRE</t>
  </si>
  <si>
    <t xml:space="preserve">SOLO CANCELO EL PESV Ya no necesitan el servicio </t>
  </si>
  <si>
    <t>9725032-0</t>
  </si>
  <si>
    <t>INVERTIR BIEN INMOBILIARIA</t>
  </si>
  <si>
    <t>JULIAN ANDRES JIMENEZ G</t>
  </si>
  <si>
    <t>gerencia@invertirbieninmobiliaria.com</t>
  </si>
  <si>
    <t>27 DICIEMBRE 2023</t>
  </si>
  <si>
    <t xml:space="preserve">15 NOVIEMBRE </t>
  </si>
  <si>
    <t xml:space="preserve">La empresa va liquidar </t>
  </si>
  <si>
    <t>15 Diciembre</t>
  </si>
  <si>
    <t>900696962-1</t>
  </si>
  <si>
    <t>DECORACIONES Y ACABADOS FON SAS</t>
  </si>
  <si>
    <t>FERNANDO ORTIZ NARANJO</t>
  </si>
  <si>
    <t>decoyacabadosfonsas@gmail.com</t>
  </si>
  <si>
    <t>05 ABRIL 2024</t>
  </si>
  <si>
    <t xml:space="preserve">25 NOVIEMBRE </t>
  </si>
  <si>
    <t>Agradecemos profundamente los servicios prestados hasta la fecha. Sin embargo, en este momento no contamos con contratos activos con su empresa y hemos optado por no renovar. Cuando tengamos nuevas necesidades o contratos, nos comunicaremos nuevamente con ustedes.</t>
  </si>
  <si>
    <t xml:space="preserve">Se les acabaron todos los contratos </t>
  </si>
  <si>
    <t>25 Diciembre</t>
  </si>
  <si>
    <t xml:space="preserve">1 NOVIEMBRE </t>
  </si>
  <si>
    <t>860056702-3</t>
  </si>
  <si>
    <t>INDUSTRIAS ROCAS SAS</t>
  </si>
  <si>
    <t>ALVARO PEREZ PELAEZ</t>
  </si>
  <si>
    <t>tesoreria@artepack.co</t>
  </si>
  <si>
    <t>17 ENERO 2024</t>
  </si>
  <si>
    <t>28 NOVIEMBRE</t>
  </si>
  <si>
    <t>Me permito la presente para solicitar formalmente la cancelación del servicio que actualmente mantenemos con la empresa INDUSTRIAS ROCAS SAS, NIT 860056702-3, debido a que dicha empresa ha iniciado el proceso de liquidación. En este sentido, la gerencia ha decidido que no se continuará con el sistema de gestión a partir de este mes, ya que se ha optado por no asumir el costo correspondiente al mes de diciembre.
Adicionalmente, quisiera consultar sobre el procedimiento y los documentos necesarios para iniciar el servicio con la empresa AXCA COLOMBIA SAS a partir del próximo año. Agradeceríamos nos informaran los pasos a seguir y cualquier requerimiento para realizar este cambio de proveedor sin inconvenientes.</t>
  </si>
  <si>
    <t>dicha empresa ha iniciado el proceso de liquidación</t>
  </si>
  <si>
    <t>28 Diciembre</t>
  </si>
  <si>
    <t>15 NOVIEMBRE</t>
  </si>
  <si>
    <t>LUIS GABRIEL ARISTIZABAL FIALLO</t>
  </si>
  <si>
    <t>materialesarquitectonicossas@gmail.com</t>
  </si>
  <si>
    <t>26 DICIEMBRE 2021</t>
  </si>
  <si>
    <t>Yo LUIS GABRIEL ARISTIZABAL FIALLO identificado con cedula de ciudadanía No. 98.620.366
representante legal de la compañía MATERIALES ARQUITECTONICOS SAS identificada con NIT
901.220.616-9,solicito la cancelación de la mensualidad servicio en la nube software sistegra sst
y plan de bienestar savanna.</t>
  </si>
  <si>
    <t>se contrato una persona que viene a la oficina una vez a la semana y es mas personalizado (cambio de proveedor)</t>
  </si>
  <si>
    <t>30 Diciembre</t>
  </si>
  <si>
    <t xml:space="preserve">1 DICIEMRE </t>
  </si>
  <si>
    <t>900028728-1</t>
  </si>
  <si>
    <t xml:space="preserve">Adriana </t>
  </si>
  <si>
    <t>MASO CONSULTORES  ASOCIADOS Y CIA SAS</t>
  </si>
  <si>
    <t>JHON JAIRO MORALES RENDÓN</t>
  </si>
  <si>
    <t>jamaris@masoconsultores.com.co</t>
  </si>
  <si>
    <t>4 OCTUBRE 2024</t>
  </si>
  <si>
    <t xml:space="preserve">2 DICIEMBRE </t>
  </si>
  <si>
    <t>Buenos días,
Por este medio nos gustaría solicitar la cancelación del servicio de SISTEGRA, para que NO sea facturado en el mes de enero.
Agradecemos su colaboración.
Cordial Saludo,</t>
  </si>
  <si>
    <t xml:space="preserve">Ya cumplieron con los requisitos que necesitaban para obtener un contrato y ya no necesitan mas el servicio </t>
  </si>
  <si>
    <t>30 DICIEMBRE</t>
  </si>
  <si>
    <t xml:space="preserve">1 DICIEMBRE </t>
  </si>
  <si>
    <t>891201428-4</t>
  </si>
  <si>
    <t>Javier</t>
  </si>
  <si>
    <t>AGROGANADERO S.A.S. EN PROCESO DE REORGANIZACION</t>
  </si>
  <si>
    <t>PASTORA TAPIAS</t>
  </si>
  <si>
    <t>agroganaderoltda@hotmail.com</t>
  </si>
  <si>
    <t>8 NOVIEMBRE 2024</t>
  </si>
  <si>
    <t xml:space="preserve">3 DICIEMBRE </t>
  </si>
  <si>
    <t>Le comento que no deseo continuar con el programa de vehículo
No me gustó
Y no pude conectarme los dos días siguientes para la reunión.
LE PIDO EL FAVOR SU AYUDA PARA CANCELARLO PORQUE NO ES VIABLE.</t>
  </si>
  <si>
    <t>Le comento que no deseo continuar con el programa,
No me gustó
Y no pude conectarme los dos días siguientes para la reunión. Estoy muuy ocupado
LE PIDO EL FAVOR SU AYUDA PARA CANCELARLO PORQUE NO ES VIABLE.</t>
  </si>
  <si>
    <t>8 NOVIEMBRE</t>
  </si>
  <si>
    <t>AGRORA GO SAS</t>
  </si>
  <si>
    <t>CARLOS NICOLAS MAPURA BORJA</t>
  </si>
  <si>
    <t>contactoagrora@gmail.com</t>
  </si>
  <si>
    <t>26 JULIO 2023</t>
  </si>
  <si>
    <t>02 DICIEMBRE</t>
  </si>
  <si>
    <t xml:space="preserve">Buenas tardes 
Cordial saludo 
Adjuntamos Carta de Notificación de proceso de Fusión de la empresa Agrora GO SAS, solicitamos amablemente que la próxima factura sea a la compañía In-Ova SAS. 
Estaremos atentos a cualquier observación o requerimiento 
Muchas gracias 
Feliz tarde </t>
  </si>
  <si>
    <t>29 DICIEMBRE</t>
  </si>
  <si>
    <t>901162753-0</t>
  </si>
  <si>
    <t>Maribel</t>
  </si>
  <si>
    <t>DISTRIBUIDORA CANAÁN CARNE DE RAZA SAS</t>
  </si>
  <si>
    <t>HERNANDO BUILES</t>
  </si>
  <si>
    <t>canaancarnederaza@gmail.com</t>
  </si>
  <si>
    <t>30 MARZO 2022</t>
  </si>
  <si>
    <t xml:space="preserve">9 DICIEMBRE </t>
  </si>
  <si>
    <t>Estimados Sres. Talento de Consultores.
Por medio de este correo, queremos informarles que hemos decidido el contrato que tenemos con ustedes a partir del 01 de enero 2025.
Por favor, solicitamos los pasos necesarios para formalizar esta cancelación.
Agradecemos mucho el trabajo que hemos realizado juntos y espero que podamos colaborar nuevamente en el futuro.</t>
  </si>
  <si>
    <t xml:space="preserve">Estaban con la señora Monica, una excelente profesional pero en el momento la señora Leidy tiene todas las funciones y no tiene tiempo para reunirse en las conexiones y le queda muy dificil cumplir con todas las tareas </t>
  </si>
  <si>
    <t>15 ENERO</t>
  </si>
  <si>
    <t>15 DICIEMBRE</t>
  </si>
  <si>
    <t>900800050-6</t>
  </si>
  <si>
    <t xml:space="preserve">Kelly </t>
  </si>
  <si>
    <t>VALVER COLOMBIA SAS</t>
  </si>
  <si>
    <t>CARLOS VALCARCE DE PONTE</t>
  </si>
  <si>
    <t>administracion@valver.co</t>
  </si>
  <si>
    <t>25 OCTUBRE 2024</t>
  </si>
  <si>
    <t xml:space="preserve">26 NOVIEMBRE </t>
  </si>
  <si>
    <t xml:space="preserve">Cambiaron de proveedor </t>
  </si>
  <si>
    <t>26 DICIEMBRE</t>
  </si>
  <si>
    <t xml:space="preserve">11 DICIEMBRE </t>
  </si>
  <si>
    <t>901386420-5</t>
  </si>
  <si>
    <t>SOCIEDAD CONSTRUCTORA DE PROYECTOS DE INGENIERIA Y ARQUITECTURA ALTOS DEL HORIZONTE S.A.S</t>
  </si>
  <si>
    <t>EDGAR ROJAS ROJAS</t>
  </si>
  <si>
    <t>gerenteadminobra@icasalid.com</t>
  </si>
  <si>
    <t>26 JUNIO 2024</t>
  </si>
  <si>
    <t xml:space="preserve">21 NOVIEMBRE </t>
  </si>
  <si>
    <t xml:space="preserve">Siente que no avanza y realmente mandaba al asesor a hacer vueltas de bancos y otros pendiente y por ende no avanzaban </t>
  </si>
  <si>
    <t xml:space="preserve">31 DICIEMBRE </t>
  </si>
  <si>
    <t>26 NOVIEMBRE 2024</t>
  </si>
  <si>
    <t>901669118-0</t>
  </si>
  <si>
    <t>Alexander</t>
  </si>
  <si>
    <t>OGM GROUP SAS</t>
  </si>
  <si>
    <t>GLORIA GIRALDO VARGAS</t>
  </si>
  <si>
    <t>ogmgroupsas@gmail.com</t>
  </si>
  <si>
    <t xml:space="preserve">12 DICIEMBRE </t>
  </si>
  <si>
    <t xml:space="preserve">Buenas Tardes,
Cordial Saludo,
Por medio de la presente solicitamos la cancelación definitiva del servicio presencial de implementación y mantenimiento del sistema de Gestión SST. 
Requerimos cancelar este servicio el día 31 de Diciembre del presente año, fecha en la cual solicitamos la terminación de este, decisión tomada por la alta dirección de la empresa. 
De antemano queremos agradecerles por los servicios prestados durante este tiempo. </t>
  </si>
  <si>
    <t>Inconformidades por fallas de la plataforma (principalmente las firmas)</t>
  </si>
  <si>
    <t xml:space="preserve">12 ENERO </t>
  </si>
  <si>
    <t>901733623-2</t>
  </si>
  <si>
    <t>BLACK RIVER PRODUCCIONES S.A.S.</t>
  </si>
  <si>
    <t>ALEJANDRO CAÑAS</t>
  </si>
  <si>
    <t>info@blackriver.com</t>
  </si>
  <si>
    <t>Cordial saludo,
Solicitamos cancelacion de servicio de la empresa Black River Producciones identificada con NIT 901733623-2
Muchas gracias</t>
  </si>
  <si>
    <t xml:space="preserve">Contrataron una persona que lleva el sistema de gestion de manera presencial y tiempo completo </t>
  </si>
  <si>
    <t xml:space="preserve">Yasmin </t>
  </si>
  <si>
    <t>EMILSE DEL SOCORRO VEGA SIERRA</t>
  </si>
  <si>
    <t>emilse.vegasierra@gmail.com</t>
  </si>
  <si>
    <t>6 ENERO 20217</t>
  </si>
  <si>
    <t xml:space="preserve">13 DICIEMBRE </t>
  </si>
  <si>
    <t xml:space="preserve">Respetados señores , la droguería la ponzoña agradece todo el apoyo y acompañamiento durante esta década. 
Por motivos de renuncia de la colaboradora a partir del 15 de diciembre del año en curso. He decidido cancelar el programa con talento consultores.
Un Dios le.pague y quedo atenta al proceso para finiquitar la actividad que ustedes dignamente dirigen en materia de seguridad laboral.
</t>
  </si>
  <si>
    <t xml:space="preserve">Tienen muy poco flujo de caja, renuncio la persona encargada, son excelentes en los que hacen </t>
  </si>
  <si>
    <t xml:space="preserve">15 ENERO </t>
  </si>
  <si>
    <t xml:space="preserve">15 DICIEMBRE </t>
  </si>
  <si>
    <t xml:space="preserve">Lina Sierra </t>
  </si>
  <si>
    <t>900195266-3</t>
  </si>
  <si>
    <t>ALTOTRAFICO S.A.S</t>
  </si>
  <si>
    <t>PEDRO SOTO</t>
  </si>
  <si>
    <t>administrativa@altotrafico.co</t>
  </si>
  <si>
    <t xml:space="preserve">19 DICIEMBRE </t>
  </si>
  <si>
    <t xml:space="preserve">Falta de flujo de caja </t>
  </si>
  <si>
    <t>27 NOVIEMBRE</t>
  </si>
  <si>
    <t>901085854-6</t>
  </si>
  <si>
    <t>RETINOLOGOS DE OCCIDENTE SAS</t>
  </si>
  <si>
    <t>REINALDO ALFREDO GARCIA ARISMENDI</t>
  </si>
  <si>
    <t>veronicaoria@hotmail.com</t>
  </si>
  <si>
    <t xml:space="preserve">15 OCTUBRE 2021 </t>
  </si>
  <si>
    <t>20 DICIEMBRE</t>
  </si>
  <si>
    <t>Falta de flujo de caja y cambio de proveedor</t>
  </si>
  <si>
    <t xml:space="preserve">16 DICIEMBRE </t>
  </si>
  <si>
    <t>900526198-2</t>
  </si>
  <si>
    <t xml:space="preserve">Yuliana </t>
  </si>
  <si>
    <t>HOTELES PORTOBELO SAI SAS</t>
  </si>
  <si>
    <t>LUZALVA VIKY ALVAREZ BUSTILLO</t>
  </si>
  <si>
    <t>3003349419/ 5127401</t>
  </si>
  <si>
    <t>aux.rh@hotelesportobelo.com</t>
  </si>
  <si>
    <t xml:space="preserve">DEFINTIIVO </t>
  </si>
  <si>
    <t>21 OCTUBRE 2021</t>
  </si>
  <si>
    <t xml:space="preserve">26 DICIEMBRE </t>
  </si>
  <si>
    <t>Debido a los recientes cambios en nuestra empresa, hemos tenido que tomar la decisión de concluir las asesorías con talento consultores Esta decisión se debe a que Hoteles On Vacation continuará con el proceso en curso, de antemano agradeciéndoles todo el apoyo brindado.</t>
  </si>
  <si>
    <t xml:space="preserve">15 ENERO  </t>
  </si>
  <si>
    <t>16 DICIEMBRE</t>
  </si>
  <si>
    <t>Gillary</t>
  </si>
  <si>
    <t xml:space="preserve">DELICIAS DEL CAMPO </t>
  </si>
  <si>
    <t xml:space="preserve">CESAR ANDRES LOBO </t>
  </si>
  <si>
    <t>DELICIASDELCAMPONo1@hotmail.com</t>
  </si>
  <si>
    <t>17 JULIO 2023</t>
  </si>
  <si>
    <t>31 DICIEMBRE</t>
  </si>
  <si>
    <t xml:space="preserve">Cambiaran de razon social </t>
  </si>
  <si>
    <t>Cambiaran de razon social y proveedores</t>
  </si>
  <si>
    <t>Yasmin</t>
  </si>
  <si>
    <t>REPRESENTACIONES CUARZO LTDA</t>
  </si>
  <si>
    <t>CARLOS ANTONIO LAVERDE</t>
  </si>
  <si>
    <t>316 4817884</t>
  </si>
  <si>
    <t>comercial@hosteriadelaplazamenor.com</t>
  </si>
  <si>
    <t>6 ENERO 2017</t>
  </si>
  <si>
    <t>30 DICIEMBRE 2024</t>
  </si>
  <si>
    <t xml:space="preserve">ANA CRISTINA LVERDE GALLEGO, en calidad de Representante Legal de la sociedad Representaciones
Cuarzo Ltda, solicito la suspensión a partir del 30 de enero próximo, del Contrato de implementación del
Sistema de Seguridad y Alud en el Trabajo, atendiendo a que, mediante la figura jurídica de sustitución
patronal, los trabajadores del establecimiento HOSTERÍA DE LA PLAZA MENOR pasaron a depender
laboralmente del establecimiento HOTEL VILLA LASSOI.
</t>
  </si>
  <si>
    <t>La empresa cerrara</t>
  </si>
  <si>
    <t>30 ENERO 2025</t>
  </si>
  <si>
    <t>1 ENERO 2025</t>
  </si>
  <si>
    <t>900145045-9</t>
  </si>
  <si>
    <t>TECH - DISTRIBUCIONES LIMITADA</t>
  </si>
  <si>
    <t>ARGEMIRO RODRIGUEZ</t>
  </si>
  <si>
    <t>compras@techdistribuciones.com</t>
  </si>
  <si>
    <t>5 AGOSTO 2022</t>
  </si>
  <si>
    <t>7 ENERO 2025</t>
  </si>
  <si>
    <t xml:space="preserve">Adjunto pago de la mensualidad del mes de enero, adicionalmente según sus políticas solicito la cancelación del servicio, es decir llegaríamos con ustedes hasta las 2 sesiones de febrero.
 </t>
  </si>
  <si>
    <t xml:space="preserve">Son una empresa pequeña, de tres personas, entonces mantener el sistema de gestion de muy costoso, ellos se dedican a  importar y vender entonces nos contratan por cumplir en unos certificados que les piden los clientes, por ende el de manera anual nos contrata para que ante el ministerio quede todo correcto, siempre toma nuestro servicio en Agosto y se retira en Enero o Febrero, indica que siempre le ha ido super bien con nosotros y nuestra atención </t>
  </si>
  <si>
    <t xml:space="preserve">28 FEBRERO </t>
  </si>
  <si>
    <t>31 ENERO 2025</t>
  </si>
  <si>
    <t>MANUFACTURA FLEXIBLE SAS</t>
  </si>
  <si>
    <t>RUBEN DARIO BARINAS ESPINAL</t>
  </si>
  <si>
    <t>gestionhumanamanuflex@gmail.com</t>
  </si>
  <si>
    <t>14 ENERO 2023</t>
  </si>
  <si>
    <t>Quisiera solicitar información del paso a seguir para solicitar la cancelación del servicio que se encuentra a nombre de MANUFACTURA FLEXIBLE SAS. Y teniendo en cuenta que aun no se ha habilitado la plataforma del ministerio para el reporte del año 2024 y si pasado enero se habilita, que podemos hacer en este caso si ya no contamos con el servicio.</t>
  </si>
  <si>
    <t xml:space="preserve">Llevan dos años y media sin contratos, estan haciendo reduccion de costos y adicional tienen una compañera que esta estudiando seguridad y salud y ella sera la encargada </t>
  </si>
  <si>
    <t>CARLOS ALBERTO ORTIZ RESTREPO</t>
  </si>
  <si>
    <t>ortiz_87r@hotmail.es</t>
  </si>
  <si>
    <t>28 ENERO 2022</t>
  </si>
  <si>
    <t>16 ENERO 2025</t>
  </si>
  <si>
    <t>Buenas tardes lo siguiente es para informar el retiro de la empresa Droguería el 41 para que por favor nos desvinculen del programa muchas gracias.                                                                             Carlos Alberto Ortiz</t>
  </si>
  <si>
    <t>15 ENERO 2025</t>
  </si>
  <si>
    <t>901495799-8</t>
  </si>
  <si>
    <t xml:space="preserve">Juan Diego </t>
  </si>
  <si>
    <t>LUSEO COLOMBIA S.A.S.</t>
  </si>
  <si>
    <t>KEVIN ALAN GOLDSTEIN</t>
  </si>
  <si>
    <t>colombia@luseogroup.com</t>
  </si>
  <si>
    <t>17 ENERO 2025</t>
  </si>
  <si>
    <t>Buen día,
En correos previos, se manifestó la intención de finalizar la relación comercial con Talento Consultores, por lo que a partir de hoy 17 de enero del 2025 daremos por concluido nuestro vínculo.
Con juan diego, estamos dejando al día lo faltante para generar el reporte Ante la ARL, quedamos atentas al envío final de las evidencias.
Adjunto la grabación de la reunión:
📌 Reunión SGSST-Talento Consultores-Entrega LUSEO-20250117_092731-Grabación de la reunión.mp4
@Andrés Sierra Mejía, nos gustaría coordinar una reunión contigo para revisar el tema de cartera, ya que hemos recibido la factura de este mes y queremos dejar todo el proceso debidamente cerrado.
Junto con la revisión de la factura generada el mes pasado.
Quedo atenta a tu confirmación.
Cordialmente,</t>
  </si>
  <si>
    <t>No les gusto la virtualidad</t>
  </si>
  <si>
    <t>901763301-4</t>
  </si>
  <si>
    <t>INVERSIONES H&amp;V COL S.A.S.</t>
  </si>
  <si>
    <t>HERNANDO DE JESUS TRUJILLO</t>
  </si>
  <si>
    <t>drogueriaotraparte@hotmail.com</t>
  </si>
  <si>
    <t>15 JUNIO 2021</t>
  </si>
  <si>
    <t>20 ENERO 2025</t>
  </si>
  <si>
    <t xml:space="preserve">Buenas tardes, 
Por medio de la presente notifico, a partir de la fecha, la cancelación del contrato que la Droguería Otraparte tiene con ustedes por el servicio de SST.
Muchas gracias por los servicios prestados y quedo atenta de su confirmación. 
¡Feliz tarde!
</t>
  </si>
  <si>
    <t xml:space="preserve">Falta de flujo de caja, solo quedaron con un empleado </t>
  </si>
  <si>
    <t>30 ENERO</t>
  </si>
  <si>
    <t>Alejandro Obed</t>
  </si>
  <si>
    <t>830087817-5</t>
  </si>
  <si>
    <t xml:space="preserve">Adriana Romero </t>
  </si>
  <si>
    <t>OVANTE SOCIEDAD POR ACCIONES SIMPLIFICADA</t>
  </si>
  <si>
    <t>CLARA INES VIDAL LOZANO</t>
  </si>
  <si>
    <t>g.administrativa@ovante-distribuciones.com</t>
  </si>
  <si>
    <t>28 ENERO 2025</t>
  </si>
  <si>
    <t>Porque uno de los trabajos estaba estudiando y ya tiene licencia y puede hacer todo el proceso en planta y con las funciones que tenia anteriormente</t>
  </si>
  <si>
    <t>28 FEBRERO</t>
  </si>
  <si>
    <t>901505559-1</t>
  </si>
  <si>
    <t>INVERDAC S.A.S</t>
  </si>
  <si>
    <t>ANDRES FELIPE GUZMAN GONZALES</t>
  </si>
  <si>
    <t>inverdacsas@gmail.com</t>
  </si>
  <si>
    <t>30 NOVIEMBRE 2024</t>
  </si>
  <si>
    <t>íbamos a cambiar el cambio de asesor para validar los métodos de trabajo porque teníamos algunas dudas, pero...la chica de T.H. luego nos dijo que no era necesario solicitar el cambio. En una reunión con con los socios decidimos contratar una persona de planta para el manejo de SST porque se nos facilita más todos los procesos y esa persona se encargaría de todo sin que haya otra persona haciendo el acompañamiento.</t>
  </si>
  <si>
    <t>901853820-1</t>
  </si>
  <si>
    <t>INVERDOGGIS S.A.S</t>
  </si>
  <si>
    <t>facturacion@inverdoggis.com</t>
  </si>
  <si>
    <t>900810485-9</t>
  </si>
  <si>
    <t>FOODIE GROUP S.A.S</t>
  </si>
  <si>
    <t>JUAN ESTEBAN OSPINA GALLEGO</t>
  </si>
  <si>
    <t>facturacion@foodiegroup.co</t>
  </si>
  <si>
    <t>28FEBRERO</t>
  </si>
  <si>
    <t>800074822-7</t>
  </si>
  <si>
    <t>PLASTISOL S.A.S</t>
  </si>
  <si>
    <t>SANTIAGO CONTRERAS VILLEGAS</t>
  </si>
  <si>
    <t>info@plastisol.com.co</t>
  </si>
  <si>
    <t>14 NOVIEMBRE 2019</t>
  </si>
  <si>
    <t xml:space="preserve">3 DE FEBRERO </t>
  </si>
  <si>
    <t xml:space="preserve">Cordial saludo,
La siguiente es con el fin de informarles que a partir de la fecha PLASTISOL SAS identificada con NIT: 800074822-7 no continua con el servicio prestado por parte de sistegra.
Quedo atenta muchas gracias
 </t>
  </si>
  <si>
    <t xml:space="preserve">Habia una persona dentro de la organizacion que estaba estudiando seguridad y salud en el trabajo y ya se graduo, por ende puede llevar el sistema de manera autonoma </t>
  </si>
  <si>
    <t>1 FEBRERO 2025</t>
  </si>
  <si>
    <t>HELADERIA BOLTON SAS</t>
  </si>
  <si>
    <t>MARIA JOSE BOTERO VARGAS</t>
  </si>
  <si>
    <t>mariajose@bolton.com.co</t>
  </si>
  <si>
    <t>04 JUNIO 2019</t>
  </si>
  <si>
    <t>6 DE FEBRERO</t>
  </si>
  <si>
    <t xml:space="preserve">Buenas tardes Isabella! como estas?
Soy Adriana Giraldo administradora de la Heladeria, te escribo con el fin de notificar el cierre definitivo de la empresa HELADERIA BOLTON nit 901111226-2 para el 15 de marzo de 2025, por tal motivo solicito la cancelación del servicio a partir de dicho mes.
Se notifica con un mes y medio de antelación para iniciar la gestión correspondiente al retiro.
Me gustaría aprovechar esta oportunidad para expresarles nuestro agradecimiento por su excelente asesoría y resaltar la labor que realizó de forma oportuna y eficiente nuestra asesora Maria Elena Loaiza, con quien trabajé durante varios años.
Muchas gracias,
</t>
  </si>
  <si>
    <t>Van a cerrar de manera definitiva la empresa</t>
  </si>
  <si>
    <t>901531642-5</t>
  </si>
  <si>
    <t>EMPAQUES Y COSTALES BGA SAS</t>
  </si>
  <si>
    <t>FREDDY YAIR MADRID</t>
  </si>
  <si>
    <t>empaquesbga@gmail.com</t>
  </si>
  <si>
    <t xml:space="preserve">11 DICIEMBRE 2023 </t>
  </si>
  <si>
    <t xml:space="preserve">10 FEBRERO </t>
  </si>
  <si>
    <t xml:space="preserve">Buen día 
Recibe un cordial saludo de parte del equipo de Empaques Y Costales BGA SAS, identificados con NIT. 901531642-5. Esperamos que te encuentres muy bien al momento de leer este correo. 
El motivo de este mensaje es solicitar amablemente él retiró del débito automático  del plan que tenemos actualmente con ustedes, las razones son netamente financieras. Actualmente, necesitamos cubrir una importante de que tenemos con la DIAN y es por eso que todos nuestros recursos se van a destinar para esto. 
</t>
  </si>
  <si>
    <t xml:space="preserve">Tienen una deuda con la Dian y para pagarla deben terminar todas las relaciones ocn proveedores </t>
  </si>
  <si>
    <t>15 FEBRERO 2025</t>
  </si>
  <si>
    <t>MUNDOCERAMICA S.A.S.</t>
  </si>
  <si>
    <t>FERNANDO MAURICIO GUAMA VALENCIA</t>
  </si>
  <si>
    <t>mundoceramicasas@gmail.com</t>
  </si>
  <si>
    <t>18 DICIEMBRE 2021</t>
  </si>
  <si>
    <t xml:space="preserve">12 FEBRERO </t>
  </si>
  <si>
    <t>Llevan 1 año sin contratos</t>
  </si>
  <si>
    <t>900140884-9</t>
  </si>
  <si>
    <t>BMZ S A S</t>
  </si>
  <si>
    <t>ALEJANDRO ARENAS</t>
  </si>
  <si>
    <t>milena@bmz.com.co</t>
  </si>
  <si>
    <t>14 FEBRERO 2023</t>
  </si>
  <si>
    <t>13 FEBRERO</t>
  </si>
  <si>
    <t>La empresa BMZ SAS NIT 900.140.884-9, solicita la cancelación con la empresa Talento
Consultores para la asesoría del sistema de gestión a partir del 28 de febrero de 2025. A
partir de esta fecha, BMZ SAS no continuará con los servicios de asesoría proporcionados
por ustedes ya que no se renovará ni se prorrogará la relación contractual para la asesoría
del sistema de gestión.
Por lo tanto, agradecemos antes de esta fecha, en la entrega por parte de ustedes, de los
documentos, y/o carpetas que debamos tener para nuestro archivo.
De antemano, agradecemos su colaboración y total apoyo durante este tiempo, que ha sido
fundamental para el desarrollo y mejora de nuestro sistema de gestión.</t>
  </si>
  <si>
    <t xml:space="preserve">Cambio la gerencia y decidio cambiar los proveedores y algunos empleados </t>
  </si>
  <si>
    <t>MANUFACTURAS RIMALES CYJ SAS</t>
  </si>
  <si>
    <t>YHON EDUARD OCHOA PEÑA</t>
  </si>
  <si>
    <t>manufacturasrimalessas@hotmail.com</t>
  </si>
  <si>
    <t xml:space="preserve">16 FEBRERO </t>
  </si>
  <si>
    <t xml:space="preserve">Buen día, necesitamos por favor cancelar la suscripción y que no no hagan más el débito automático, pues la empresa ya dejo de operar, entonces para que por favor no no realicen más débitos  a la empresa Manufacturas Rimales CYJ  Sas. Con nit: 901558053-4
</t>
  </si>
  <si>
    <t xml:space="preserve">La empresa dejara de operar debido a la situacion economica </t>
  </si>
  <si>
    <t xml:space="preserve">Debe </t>
  </si>
  <si>
    <t>901122463-9</t>
  </si>
  <si>
    <t>SEVEN ELEPHANTS S.A.S.</t>
  </si>
  <si>
    <t>RAFAEL TOBON ARANGO</t>
  </si>
  <si>
    <t>admin@sevenelephants.co</t>
  </si>
  <si>
    <t xml:space="preserve">17 FEBRERO </t>
  </si>
  <si>
    <t>Buenas tardes
Por medio de la presente, le informamos que hemos decidido cancelar la suscripción a la plataforma SISTEGRA a partir del 1 de marzo de 2025.
Agradecemos nos indiquen el procedimiento a seguir para formalizar la terminación del servicio y garantizar la entrega de cualquier archivo o información relevante antes de la fecha mencionada.
Quedamos atentos a su confirmación y a cualquier instrucción adicional.
Cordialmente,</t>
  </si>
  <si>
    <t>Decisión por parte de gerencia al ver la situación económica de la empresa</t>
  </si>
  <si>
    <t>900084994-0</t>
  </si>
  <si>
    <t>ENVASES PLASTICOS LOGOPLASTIK E.U.</t>
  </si>
  <si>
    <t>CONSTANTINO CONSUEGRA LOZANO</t>
  </si>
  <si>
    <t>sstlogoplastik@hotmail.com</t>
  </si>
  <si>
    <t xml:space="preserve">Por parte de gerencia hicieron el presupuesto anual y se dieron cuenta que no cuentan con el flujo de caja suficiente para seguir con nosotros, por ende deben cancelar el servicio y no fuimos los unicos proveedores que les toco cancelar el servicio </t>
  </si>
  <si>
    <t>890917172-4</t>
  </si>
  <si>
    <t>PROCOLORES SAS</t>
  </si>
  <si>
    <t>FRANCISCO QUIÑONES</t>
  </si>
  <si>
    <t>saludocupacional@procolores.com.co</t>
  </si>
  <si>
    <t>1 ENERO 2017</t>
  </si>
  <si>
    <t>20 FEBRERO</t>
  </si>
  <si>
    <t>Apreciados señores,
SISTEGRA
Por medio de la presente, queremos informarles que hemos tomado la decisión de retirar  el  servicio de asesorías del  Sistema de Gestión de la Seguridad y Salud en el Trabajo (SG-SST), a partir de 19/02/2025. Agradecemos profundamente la gestión  y el compromiso que tuvieron con nosotros durante todo este tiempo,
De antemano les pido encarecidamente que me   indiquen  cómo sería el proceso de entrega del SG-SST . 
Quedo atento a sus comentarios</t>
  </si>
  <si>
    <t xml:space="preserve">En el momento estan en proceso de reorganizacion </t>
  </si>
  <si>
    <t>811038064-8</t>
  </si>
  <si>
    <t xml:space="preserve">Maribel </t>
  </si>
  <si>
    <t>POWERSEAL</t>
  </si>
  <si>
    <t>VALENTINA FRANCO</t>
  </si>
  <si>
    <t>recursoshumanos@powerseal.com</t>
  </si>
  <si>
    <t>30 JUNIO 2021</t>
  </si>
  <si>
    <t>Los dueños de la empresa tienen otra empresa en Antioquia y tienen un profesional o in house que lleva el sistema de seguridad y salud en el trabajo con las otras empresas, entonces acordaron en que lleve el sistema de gestión de powersel, la retención se hizo por un mes</t>
  </si>
  <si>
    <t>901856821-2</t>
  </si>
  <si>
    <t>UNIFYCX COLOMBIA S.A.S</t>
  </si>
  <si>
    <t>JARRED CALE COOK</t>
  </si>
  <si>
    <t>Andrea.bockelmann@unifycx.com</t>
  </si>
  <si>
    <t>5 NOVIEMBRE 2024</t>
  </si>
  <si>
    <t>18 FEBRERO</t>
  </si>
  <si>
    <t xml:space="preserve">La cliente informó que no les funcionó la metodología virtual y que la propuesta que le envio el comercial para la presencialidad es muy costoso </t>
  </si>
  <si>
    <t>77027088-5</t>
  </si>
  <si>
    <t>CARLOS DANIEL QUINTERO OBREGON</t>
  </si>
  <si>
    <t>edslaesmeralda3@outlook.com</t>
  </si>
  <si>
    <t xml:space="preserve">25 FEBRERO </t>
  </si>
  <si>
    <t>Después de una evaluación interna y considerando diversos factores operativos, hemos decidido finalizar la relación contractual a partir del 1 de mazo del año 2025. Solicitamos que se dé por concluido el servicio de asesoría en Seguridad y Salud en el Trabajo, y que se tomen las medidas necesarias para cerrar cualquier proceso pendiente.</t>
  </si>
  <si>
    <t xml:space="preserve">Después de una evaluación interna decidieron no continuar porque en estos momentos no tienen flujo de caja, marta los intento retener y no fue posible, dice que les agrado nuestra metodologia y nos tendran en cuenta </t>
  </si>
  <si>
    <t xml:space="preserve">25 MARZO </t>
  </si>
  <si>
    <t xml:space="preserve">1 MARZO </t>
  </si>
  <si>
    <t>51800492-9</t>
  </si>
  <si>
    <t>MARIA PIA DAZA MARTINEZ</t>
  </si>
  <si>
    <t>MARIA PIA DAZA</t>
  </si>
  <si>
    <t>mapidama@hotmail.com</t>
  </si>
  <si>
    <t>11 JUNIO 2024</t>
  </si>
  <si>
    <t>901863715-9</t>
  </si>
  <si>
    <t>BRIGUER SERVICIOS AUTOMOTRICES SAS</t>
  </si>
  <si>
    <t>JULIETH GUERRA</t>
  </si>
  <si>
    <t>direccionadministrativa@briguersas.com</t>
  </si>
  <si>
    <t>10 OCTUBRE 2024</t>
  </si>
  <si>
    <t xml:space="preserve">27 FEBRERO </t>
  </si>
  <si>
    <t xml:space="preserve">Cordial saludo
Solicitamos la desvinculación de Sistegra debido a inconvenientes financieros. Por lo cual solicitamos no elaborar factura por servicios prestados a partir del mes de marzo de 2025.
Así mismo solicitamos el envío de toda la información correspondiente al SGSST realizada en la plataforma. Mil gracias
Julieth Guerra Álvarez
Representante Legal
</t>
  </si>
  <si>
    <t xml:space="preserve">Estan demasiado mal financieramente, ya se intento retener por parte de Martha </t>
  </si>
  <si>
    <t>901011222-4</t>
  </si>
  <si>
    <t>DIVERXO SAS</t>
  </si>
  <si>
    <t>MARIA ALEJANDRA CORTES YEPES</t>
  </si>
  <si>
    <t>mercadeodiverxo@gmail.com</t>
  </si>
  <si>
    <t>8 OCTUBRE 2020</t>
  </si>
  <si>
    <t xml:space="preserve">Solo quedaron con un empleado y no ven la necesidad, ni cuentan con el presupuesto para seguir con el sistema </t>
  </si>
  <si>
    <t>800045416-6</t>
  </si>
  <si>
    <t xml:space="preserve">Laura Lopez </t>
  </si>
  <si>
    <t>CONJUNTO RESIDENCIAL POBLADO REAL PH</t>
  </si>
  <si>
    <t>FABIO LEON TORRES GAVIRIA</t>
  </si>
  <si>
    <t>pobladoreal@outlook.com</t>
  </si>
  <si>
    <t>5 JUNIO 2020</t>
  </si>
  <si>
    <t>Indica que la llame el lunes porque no puede atender llamadas</t>
  </si>
  <si>
    <t>DEFNITIVO</t>
  </si>
  <si>
    <t>25 NOVIEMBRE 2020</t>
  </si>
  <si>
    <t>Te cuento que la semana pasada estuvimos con reuniones muy intensas con nuestra ARL Sura exigiendo varios servicios como retribución a nuestros aportes, ha sido un tema bastante difícil, por eso nuestra coordinadora de SST Maritza nos había solicitado que tomáramos más horas para adelantar el tema del PESV , pero logramos que ellos nos dieran el apoyo para poder montarlo e implementarlo, por eso solo hasta ahora te puedo informar la cancelación del servicio, en el mes de Febrero pagamos todo el servicio inclusive el adicional porque queríamos dejar adelantado el diagnostico con el apoyo de ustedes, te agradezco de antemano toda la colaboración bridada a la fecha y esperamos poder contar con ustedes más adelante, como sabes en estos procesos en cualquier momento se requiere apoyo de proveedores externos.</t>
  </si>
  <si>
    <t>Por inconvenientes con la ARL, lograron que ellos les dieran un espacio para hacer el pesv con ellos de manera gratuita, pero espera volver con nosotros (SURA)</t>
  </si>
  <si>
    <t>830096741-2</t>
  </si>
  <si>
    <t>AUDIOVISUALES IMAGEN Y SONIDO SAS</t>
  </si>
  <si>
    <t>CLAUDIA MILENA CORTES BELTRAN</t>
  </si>
  <si>
    <t>facturaelectronica@imagenysonido.com.co</t>
  </si>
  <si>
    <t xml:space="preserve">5 MARZO </t>
  </si>
  <si>
    <t xml:space="preserve">Buenas tardes
Amablemente me permito informar que no vamos a continuar con el programa de salud y seguridad en el trabajo.
Agradezco su colaboración y atención.
</t>
  </si>
  <si>
    <t xml:space="preserve">Cambiaron de proveedor, no me quisieron decir que empresa es pero les dan mas conexiones y el precio es mas economico </t>
  </si>
  <si>
    <t>1 MARZO 2025</t>
  </si>
  <si>
    <t>900829172-2</t>
  </si>
  <si>
    <t xml:space="preserve">Yuranis </t>
  </si>
  <si>
    <t>FOUR LLANTAS PLUS SAS</t>
  </si>
  <si>
    <t xml:space="preserve">LEIDY CONTRERAS </t>
  </si>
  <si>
    <t>fourllantas.sas@gmail.com</t>
  </si>
  <si>
    <t>10 NOVIEMBRE 2023</t>
  </si>
  <si>
    <t xml:space="preserve">4 MARZO </t>
  </si>
  <si>
    <t xml:space="preserve">Necesitan un presencial, ya le notifique al comercial que envie propuesta </t>
  </si>
  <si>
    <t>Necesitan un presencial, ya le notifique al comercial que envie propuesta, envio y no acepto por el precio</t>
  </si>
  <si>
    <t>901282000-8</t>
  </si>
  <si>
    <t>CAMPIHUEVOS SAS</t>
  </si>
  <si>
    <t>MARTHA CAROLINA CHISCO</t>
  </si>
  <si>
    <t>campihuevos@gmail.com</t>
  </si>
  <si>
    <t>5 MARZO</t>
  </si>
  <si>
    <t xml:space="preserve">
Te envío correo notificando que hemos decidido terminar con el servicio que tenemos con ustedes, ya que la empresa requiere de una presencialidad, por el tipo de trabajo y perfil de los colaboradores. El tema virtual para capacitaciones y seguimientos en los perfiles de personas que trabajan en campo y que no cuentan con amplios conocimientos tecnológicos, nos ha generado fallas en el proceso, sobre todo en capacitaciones y nosotros no podemos asumir riesgos y tampoco la responsabilidad de capacitarlos. </t>
  </si>
  <si>
    <t xml:space="preserve">Requieren un presencial, ya tienen la persona encargada del sistema </t>
  </si>
  <si>
    <t>15 MARZO 2025</t>
  </si>
  <si>
    <t>900025279-0</t>
  </si>
  <si>
    <t>Jose Gallego</t>
  </si>
  <si>
    <t>PRESTIGE FLOORING SAS</t>
  </si>
  <si>
    <t>MARTHA LIGIA YEPES BUSTAMANTE</t>
  </si>
  <si>
    <t>sst@pisosprestige.com</t>
  </si>
  <si>
    <t>28 ABRIL 2020</t>
  </si>
  <si>
    <t>Gracias por la información. Confirmamos que Yina Paola trabajará hasta el 26 de marzo.
Adicionalmente, nos gustaría compartir que, dado el crecimiento del volumen de obras en Bogotá, queremos garantizar que desde nuestra empresa cumplimos con todos los requerimientos de las constructoras. Por esta razón, reforzaremos el equipo SST con personal propio para asegurar un servicio de calidad y cumplir con las expectativas.</t>
  </si>
  <si>
    <t xml:space="preserve">Debido al crecimiento de obras, decidieron contratar el servicio de manera propia </t>
  </si>
  <si>
    <t>26 MARZO</t>
  </si>
  <si>
    <t>901386565-4</t>
  </si>
  <si>
    <t>BLC COLOMBIA S.A.S.</t>
  </si>
  <si>
    <t>DANIEL LOPERA</t>
  </si>
  <si>
    <t>d.lopera@blcglobal.net</t>
  </si>
  <si>
    <t>9 JULIO 2024</t>
  </si>
  <si>
    <t>11 MARZO</t>
  </si>
  <si>
    <t>Buenas tardes,
De acuerdo con la conversación que tuvimos por WhatsApp, y para dar cumplimiento a los parámetros del contrato, te informo que tomaremos asesorías hasta el 11 de abril del presente año. Esto se debe a que, en la reunión que tuve hoy con el profesional de SISTEGRA, se acordó que ya el proceso está en su etapa final, por lo que no sería necesario extender las asesorías por más tiempo.
De antemano, te agradezco el apoyo con tu gestión para finalizar con el proceso.
Cordialmente,</t>
  </si>
  <si>
    <t>Indican que ya cumplieron con los objetivos que tenian de sst y no desean continuar por temas financieros</t>
  </si>
  <si>
    <t>11 ABRIL</t>
  </si>
  <si>
    <t>1 ABRIL 2025</t>
  </si>
  <si>
    <t>901639022-4</t>
  </si>
  <si>
    <t>Adriana del carmen</t>
  </si>
  <si>
    <t>ASESORIAS EMPRESARIALES INTEGRADAS - ACT S.A.S.</t>
  </si>
  <si>
    <t>ANDRES FELIPE EUSSE LOAIZA</t>
  </si>
  <si>
    <t>gerencia@act.com.co</t>
  </si>
  <si>
    <t>Nosotros Asesorias Empresariales Integradas ACT S.A.S, con nit 901.639.022 nos dirigimos por medio de este correo para solicitar formalmente la cancelación del servicio que venimos manejando de asesoría en seguridad en el trabajo.
Quedamos atentos a sus comentarios.</t>
  </si>
  <si>
    <t xml:space="preserve">El cliente solo me indica que fue decision por parte de gerencia y tienen motivos internos </t>
  </si>
  <si>
    <t>900774496-5</t>
  </si>
  <si>
    <t>MANA COLORADA SAS</t>
  </si>
  <si>
    <t>JUAN FELIPE CASTRO</t>
  </si>
  <si>
    <t>juanfipo@hotmail.com</t>
  </si>
  <si>
    <t>23 SEPTIEMBRE 2023</t>
  </si>
  <si>
    <t>Reciban un cordial saludo,
Con presente solicitamos la cancelación del servicio SOFTWARE SISTEGRA SST que actualmente se tiene contratado con ustedes. La razón principal de esta solicitud es que requerimos atención y seguimiento presencial en lugar de virtual, es decir nuestro requerimiento es un acompañamiento y una persona encargada directa para que gestione los siguientes puntos:
Diseño documental e implementación (Actualmente no contamos con el soporte, si no es en una plataforma).
Actualización de documentos y procesos (Necesitamos una persona que realice las funciones y lidere este proceso)
Administración anual (Necesitamos una persona que realice las funciones y lidere este proceso y nos entregue informes)
Plan de Emergencia (Capacitación presencial y dirección en puntos estratégicos, especialmente diseñados para la empresa).
Agradecemos de antemano su comprensión y apoyo en este asunto. Por favor, confirmen la recepción de este correo y los pasos a seguir para completar la cancelación.
Cordialmente,</t>
  </si>
  <si>
    <t>Necesitan un presencial, ya le notifique al comercial que envie propuesta, Como son de cundinamarca y requieren pocos dias, no es viable para sistegra</t>
  </si>
  <si>
    <t>26 ABRIL</t>
  </si>
  <si>
    <t>901021067-1</t>
  </si>
  <si>
    <t>INDUSTRIA BERAKAH SAS</t>
  </si>
  <si>
    <t>JONATHAN RODRIGUEZ</t>
  </si>
  <si>
    <t>asistegerencia@industriaberakah.com</t>
  </si>
  <si>
    <t xml:space="preserve">31 MARZO </t>
  </si>
  <si>
    <t xml:space="preserve">Por medio del presente, muy amablemente solicito la gestión de la cancelación del servicio que nuestra empresa INDUSTRIA BERAKAH SAS con NIT 901.021.067 tiene contratado con ustedes, en la medida que la empresa entrara en proceso de liquidación, por lo cual ya no será necesario el servicio que ustedes nos brinda. 
De antemano queremos agradecer por el servicio prestado. </t>
  </si>
  <si>
    <t>Proceso de liquidacion</t>
  </si>
  <si>
    <t>30 Abril</t>
  </si>
  <si>
    <t>901679393-2</t>
  </si>
  <si>
    <t>DISTRIBUIDORA MULTIMARCAS AM SAS</t>
  </si>
  <si>
    <t>ANDRES FERNANDO AGUDELO MORENO</t>
  </si>
  <si>
    <t>distribuidoramultimarcasam@hotmail.com</t>
  </si>
  <si>
    <t>DFINITIVO</t>
  </si>
  <si>
    <t>7 FEBRERO 2024</t>
  </si>
  <si>
    <t xml:space="preserve">Buenos días, solicito amablemente se sirva revisar el caso de la distribuidora multimarca sas, identificada con el nit 901.679.393 la cual estaba integrada con el grupo de transportando am y comercializadora la caucana. El día 27 de diciembre se notifico vía watts app a la señora Laura que la empresa iba a tener un cambio de razón social, y por eso no se continuó recibiendo las capacitaciones, que se ratificó esa información el 12 de febrero en otra conversación y el 10 de marzo de nuevo. Por lo tanto, solicito amablemente se sirva cancelar por completo la suscripción de la empresa distribuidora multimarca sas hasta que sea de nuevo puesta en servicio. Adicional, no tener en cuenta los cobros de los meses del año 2025 ya que no hemos tenido ninguna capacitación ni continuidad en el servicio. Quedo atenta a sus comentarios.
</t>
  </si>
  <si>
    <t>Buenas tardes, como le había informado a cartera, en el mes de diciembre vía watts app se le indico a la señora Laura que la empresa iba a tener unos cambios y que el proceso no continuaba por el momento, solo para la empresa de distribuidora multimarca. Entonces, solicito amablemente por un lado que se cancele la inscripción de la empresa en mención y que revalúen el cobro de los dos meses febrero y marzo que están pendientes. Ya que no se hizo uso de la plataforma, ni del servicio del asesor desde diciembre a la fecha. Agradezco su colaboración.</t>
  </si>
  <si>
    <t>SJ CONTRUCCIONES Y ACABADOS SAS</t>
  </si>
  <si>
    <t>SANTIAGO QUINTERO ZAPATA</t>
  </si>
  <si>
    <t>directorsj.santiago@gmail.com</t>
  </si>
  <si>
    <t>11 FEBRERO 2021</t>
  </si>
  <si>
    <t xml:space="preserve">3 DE ABRIL </t>
  </si>
  <si>
    <t xml:space="preserve">Esta decisión se ha tomado tras un análisis de nuestras necesidades y estrategias empresariales. Agradecemos los servicios prestados hasta la fecha y valoramos la colaboración que hemos mantenido.
Le solicitamos que, hasta la fecha mencionada, se cumplan todas las obligaciones pendientes y se realicen los trámites necesarios para cerrar cualquier cuenta o contrato en curso. De igual forma, agradecemos su apoyo para garantizar una transición ordenada.
por favor adjuntar toda la información recopilada en el tiempo que estuvo la profesional yuliana  para quedar al dia </t>
  </si>
  <si>
    <t xml:space="preserve">No contestan mis llamadas y cuando me contestan y me presento me cuelgan </t>
  </si>
  <si>
    <t xml:space="preserve">30 Abril </t>
  </si>
  <si>
    <t>Deben</t>
  </si>
  <si>
    <t>19190461-5</t>
  </si>
  <si>
    <t>Daniela Preciado</t>
  </si>
  <si>
    <t>LUIS ALBERTO MOLINA</t>
  </si>
  <si>
    <t>milyc041000@hotmail.com</t>
  </si>
  <si>
    <t>27 MARZO 2021</t>
  </si>
  <si>
    <t>La secretaria de salud de Bogota les ofrecieron las capacitaciones de manera presencial, y muy economico</t>
  </si>
  <si>
    <t xml:space="preserve">Erik Ramirezque trabaja con copidrogas, se transladan aveces a las empresas y les dan visitas, pausas activas presenciales </t>
  </si>
  <si>
    <t>900349349-9</t>
  </si>
  <si>
    <t>ALIANZA BSH SAS</t>
  </si>
  <si>
    <t>DIEGO ALEJANDRO BUITRAGO SERNA</t>
  </si>
  <si>
    <t>gestionhuumana@dyaboo.com</t>
  </si>
  <si>
    <t>27 MARZO 2019</t>
  </si>
  <si>
    <t xml:space="preserve">9 ABRIL </t>
  </si>
  <si>
    <t xml:space="preserve">De acuerdo a lo conversado con Andrés Sierra, les informo que la empresa Alianza BSH S.A.S Nit 900349349-9 a partir de la fecha solicita dar por finalizada la relación comercial con Talento Consultores, debido a que ya contamos con un profesional en SST vinculado directamente con la empresa, por lo cual se considera que no es necesario continuar con los servicios.
Solicito por favor me informes como se procede y como se entregaría a la empresa la información que se tiene cargada en Sistegra, de igual manera saber hasta que fecha se debe realizar el pago del servicio que se tiene actualmente.
De ante mano muchas gracias por su apoyo y colaboración, esperamos  en un futuro tener las puertas abiertas con ustedes, ya sea para Alianza o para otra sociedad.
</t>
  </si>
  <si>
    <t xml:space="preserve">Una persona de la organizacion era tecnologa, ya culmino sus estudios y tiene tarjeta profesional </t>
  </si>
  <si>
    <t>901410476-1</t>
  </si>
  <si>
    <t>COLLECTIVE MINING LIMITED SUCURSAL COLOMBIA</t>
  </si>
  <si>
    <t>OMAR DAVID OSSMA GOMEZ</t>
  </si>
  <si>
    <t>m.carmona@collectivemining.com</t>
  </si>
  <si>
    <t>4 MAYO 2024</t>
  </si>
  <si>
    <t>9 ABRIL</t>
  </si>
  <si>
    <t>De manera atenta solicito la suspencio/cancelación del servicio (software sistegra) facturado a nombre de WAYBROKERS LTDA y que se brinda en la empresa COLLECTIVE MINING LIMITED SUCURSAL COLOMBIA, me informa el contacto en la empresa Sr. Mario Carmona que ya no se continua con este servicio, es por este motivo se solicita no se generen mas facturas y que se proceda al empalme y cierre del proceso con el cliente.</t>
  </si>
  <si>
    <t xml:space="preserve">Contrataron un presencial porque sentian que con nosotros no avanzaban, se intento retener y no fue posible, me indica que no le gusto mucho la virtualidad </t>
  </si>
  <si>
    <t xml:space="preserve">5 ABRIL </t>
  </si>
  <si>
    <t>901473121-0</t>
  </si>
  <si>
    <t>ARKINCO SOLUCIONES INTEGRALES S.A.S</t>
  </si>
  <si>
    <t>JUAN FERNANDO SANCHEZ CASAS</t>
  </si>
  <si>
    <t>ARKINCOSOLUCIONESINTEGRALES@HOTMAIL.COM</t>
  </si>
  <si>
    <t>15 JULIO 2023</t>
  </si>
  <si>
    <t>14 ABRIL</t>
  </si>
  <si>
    <t>Después de una revisión interna con el gerente, tomamos la decisión de darle continuidad al SG-SST con otro tercero de manera presencial y quien se hará cargo de todo lo relacionado con el sistema, ya que me esta quedando imposible conectarme y cumplir con la tareas que se desarrollan del plan de trabajo.</t>
  </si>
  <si>
    <t xml:space="preserve">Les encanto las asesorias, felicito a Gillary por su acompañamiento, pero contrataron un presencial </t>
  </si>
  <si>
    <t>15 Mayo</t>
  </si>
  <si>
    <t>901244514-1</t>
  </si>
  <si>
    <t>INVERSIONES PAIVA GARZON SAS</t>
  </si>
  <si>
    <t>NOHORA HERNANDEZ</t>
  </si>
  <si>
    <t>inversionespaivagarzonsas@gmail.com</t>
  </si>
  <si>
    <t>24 FEBRERO 20203</t>
  </si>
  <si>
    <t>22 ABRIL</t>
  </si>
  <si>
    <t>La minería esta muy quieta, han echado trabajadores,
Muy parado todo sin presupuesto, le ofrecí pasar a dos
Conexiones pero ni eso acepto, mal económicamente.</t>
  </si>
  <si>
    <t>901042268-5</t>
  </si>
  <si>
    <t>TECNOAIRE SAS</t>
  </si>
  <si>
    <t>MABEL XIOMARA CAMPOS</t>
  </si>
  <si>
    <t>312 5814176</t>
  </si>
  <si>
    <t>contabilidad@tecnoairesas.com</t>
  </si>
  <si>
    <t>3 OCTUBRE 2023</t>
  </si>
  <si>
    <t xml:space="preserve">El cliente destaca muy positivamente el acompañamiento de Gillary, resaltando su actitud profesional, atención, y excelente manejo con los clientes. También la reconocen como una mentora ejemplar.
Así mismo, se reconoce que la plataforma está muy bien estructurada, lo cual fue valorado favorablemente.
En diciembre, Javier realizó una primera reunión con el cliente, quedando algunas tareas por desarrollar. Sin embargo, el proceso quedó suspendido hasta enero debido a que la empresa entró en vacaciones. Al regresar en enero, no fue posible concretar una nueva reunión, ya que en varias ocasiones no se obtuvo respuesta a los mensajes enviados. Además, en una oportunidad, se agendó una reunión un domingo, lo cual fue mal recibido por no ser un día hábil.
Ya contrataron un profesional de manera presencial, ofrecí alquiler de plataforma y también fue rechazado, indican que no les gusta mucho la virtualidad para llevar este tipo de procesos </t>
  </si>
  <si>
    <t xml:space="preserve">Daniela Durango </t>
  </si>
  <si>
    <t xml:space="preserve">DISTRIBUIDORA MADEXITO </t>
  </si>
  <si>
    <t xml:space="preserve">JAIME VELASQUEZ </t>
  </si>
  <si>
    <t>311 7614672</t>
  </si>
  <si>
    <t>Mcvelasquez@hotmail.com</t>
  </si>
  <si>
    <t>Era una cajera y no les gusto muchas cosas, asi que decidieron contratar internamente</t>
  </si>
  <si>
    <t>901298002-2</t>
  </si>
  <si>
    <t>Yuliana</t>
  </si>
  <si>
    <t>FEEL GOOD NOW S.A.S</t>
  </si>
  <si>
    <t>NATALIA MUÑOZ GIL</t>
  </si>
  <si>
    <t>info@feelgoodnow.com.co</t>
  </si>
  <si>
    <t>24 ABRIL</t>
  </si>
  <si>
    <t xml:space="preserve">Van a liquidar </t>
  </si>
  <si>
    <t>Van a liquidar</t>
  </si>
  <si>
    <t xml:space="preserve">15 Mayo </t>
  </si>
  <si>
    <t>Adriana</t>
  </si>
  <si>
    <t>COMERCIALIZADORA GOMEZ BOTERO SAS</t>
  </si>
  <si>
    <t>DIEGO BOTERO MESA</t>
  </si>
  <si>
    <t>diego.botero@cgbsas.com</t>
  </si>
  <si>
    <t>30 ENERO 2020</t>
  </si>
  <si>
    <t xml:space="preserve">28 ABRIL </t>
  </si>
  <si>
    <t>30 Mayo</t>
  </si>
  <si>
    <t>900281103-1</t>
  </si>
  <si>
    <t>MERKUR GAMING COLOMBIA SAS</t>
  </si>
  <si>
    <t>JUAN GUILLERMO DIAZ BLACKBURN</t>
  </si>
  <si>
    <t>jgdiaz@merkur-gaming.com.co</t>
  </si>
  <si>
    <t>23 AGOSTO 2022</t>
  </si>
  <si>
    <t>28 ABRIL</t>
  </si>
  <si>
    <t xml:space="preserve">30 Mayo </t>
  </si>
  <si>
    <t>No especifica</t>
  </si>
  <si>
    <t>Inconformidad con el área de cartera</t>
  </si>
  <si>
    <t>Reemplazo del servicio por la contratación de un profesional SST</t>
  </si>
  <si>
    <t>Firmaron con otra empresa</t>
  </si>
  <si>
    <t>Decisión tomada por gerencia</t>
  </si>
  <si>
    <t>La empresa se encuentra en proceso de liquidación</t>
  </si>
  <si>
    <t>La empresa para la producción temporalmente</t>
  </si>
  <si>
    <t>Inconformidad con el servicio prestado</t>
  </si>
  <si>
    <t>La empresa se encuentra en proceso de venta</t>
  </si>
  <si>
    <t>Proceso de auditoría en la empresa</t>
  </si>
  <si>
    <t>CAUSAL EXPLICACION</t>
  </si>
  <si>
    <t>No tiene presupuesto</t>
  </si>
  <si>
    <t>Carga de actividades muy pesada</t>
  </si>
  <si>
    <t>La empresa cierra definitivamente</t>
  </si>
  <si>
    <t>Múltiples cambios de personal encargado del área de SST</t>
  </si>
  <si>
    <t>La empresa se encuentra sin empleados</t>
  </si>
  <si>
    <t>No se tuvo en cuenta el sistema de gestión adelantado por la empresa y se inicio desde cero</t>
  </si>
  <si>
    <t>Reorganización administrativa interna</t>
  </si>
  <si>
    <t>No se cumplió el requerimiento para cargue ante el ministerio de trabajo</t>
  </si>
  <si>
    <t>No refleja insatisfacción con el servicio prestado ni el asesor</t>
  </si>
  <si>
    <t>Inconformidad con el asesor</t>
  </si>
  <si>
    <t>Decisión interna de la empresa</t>
  </si>
  <si>
    <t>Contratación de otro servicio como reemplazo</t>
  </si>
  <si>
    <t>Motivos economicos</t>
  </si>
  <si>
    <t>Necesita mayor acompañamiento</t>
  </si>
  <si>
    <t>No se especifica</t>
  </si>
  <si>
    <t>Motivos económicos</t>
  </si>
  <si>
    <t>No informa</t>
  </si>
  <si>
    <t>No realizan asesorías hace mucho tiempo</t>
  </si>
  <si>
    <t>Retraso en cartera</t>
  </si>
  <si>
    <t>No se realizó ninguna asesoria</t>
  </si>
  <si>
    <t>La empresa cierra de forma definitiva</t>
  </si>
  <si>
    <t>No se necesita la prestación del servicio</t>
  </si>
  <si>
    <t>No es suficiente con la tercerización del área</t>
  </si>
  <si>
    <t>Inasistencia debido a imposibilidad de contactar con el analista</t>
  </si>
  <si>
    <t>Falta de pagos</t>
  </si>
  <si>
    <t>Cancelan asesorias, pero continuan con el alquiler de la plataforma</t>
  </si>
  <si>
    <t>Todos los empleados pasaran a otra empresa</t>
  </si>
  <si>
    <t>Suspende el servicio de forma temporal, por motivos economicos</t>
  </si>
  <si>
    <t>No cuentan con el personal para hacerse cargo de este proceso</t>
  </si>
  <si>
    <t>Fueron adquiridos por otra empresa, por tanto se deben adherir a las politicas y direccionamiento.</t>
  </si>
  <si>
    <t>Cambió de proveedor</t>
  </si>
  <si>
    <t>Motivos económicos e internos</t>
  </si>
  <si>
    <t>Reducción de presupuesto, debido al tamaño de la empresa</t>
  </si>
  <si>
    <t>Decision gerencial, otra oferta que les ofrecio comfama</t>
  </si>
  <si>
    <t>No realizan asesorías ni conexiones a la plataforma hace mucho tiempo</t>
  </si>
  <si>
    <t>Falta de comunicación constante por parte de los asesores</t>
  </si>
  <si>
    <t>Venta del negocio</t>
  </si>
  <si>
    <t>Obtiene servicios de forma gratuita debido a una poliza</t>
  </si>
  <si>
    <t>Esta en fusión con otra empresa que exige el manejo interno</t>
  </si>
  <si>
    <t>Quiere cambiar de proveedor, debido al costo</t>
  </si>
  <si>
    <t>No tiene mucho presupuesto</t>
  </si>
  <si>
    <t>Poco uso de la herramienta, debido a que no aplica en su sistema</t>
  </si>
  <si>
    <t>Se fue la persona encargada del sistema de gestión</t>
  </si>
  <si>
    <t>Cambio de proveedor, debido a motivos económicos.</t>
  </si>
  <si>
    <t>Suspende temporalmente, por falta de flujo de caja</t>
  </si>
  <si>
    <t>Inactividad de muchos meses en la plataforma</t>
  </si>
  <si>
    <t>Sienten que no avanzan debido al poco tiempo de conexión</t>
  </si>
  <si>
    <t>Contrataron los servicios temporalmente para realizar la investigación de un accidente</t>
  </si>
  <si>
    <t>La persona encargada del sistema de gestión ya no trabaja en la empresa</t>
  </si>
  <si>
    <t>Suspensión temporal, debido a alta carga laboral</t>
  </si>
  <si>
    <t>No desean renovar los contratos por el momento</t>
  </si>
  <si>
    <t>No se necesita mas la prestación del servicio, después de cumplir los requesitos para obtener un contrato</t>
  </si>
  <si>
    <t>No tienen tiempo para cumplir con todas las actividades</t>
  </si>
  <si>
    <t>Cambio de proveedor</t>
  </si>
  <si>
    <t>Sienten que no avanzaban</t>
  </si>
  <si>
    <t>Renuncio la persona encargada y tienen problemas de flujo de caja</t>
  </si>
  <si>
    <t>Cambios internos en la empresa</t>
  </si>
  <si>
    <t>Siempre toman el servicio y se vuelven a retirar a los meses por cumplimiento de requisitos</t>
  </si>
  <si>
    <t>Se va a encargar del proceso una persona de la empresa, debido a recortes economicos</t>
  </si>
  <si>
    <t>Tienen una persona en la empresa para encargarse de todo el proceso en planta</t>
  </si>
  <si>
    <t>Decidieron contratar a un persona presencial para encargarse del manejo del SST</t>
  </si>
  <si>
    <t xml:space="preserve">Tienen una persona dentro de la organización que se va a encargar del sistema </t>
  </si>
  <si>
    <t>La empresa va a cerrar de forma definitiva</t>
  </si>
  <si>
    <t>Deben terminar relación con los proveedores para pagar una deuda</t>
  </si>
  <si>
    <t>Cambio de gerencia y se decidio cambiar de proveedor</t>
  </si>
  <si>
    <t>La empresa dejara de operar</t>
  </si>
  <si>
    <t>No tienen el flujo de caja suficiente para continuar con el proceso</t>
  </si>
  <si>
    <t>Están en proceso de reorganización</t>
  </si>
  <si>
    <t>No les gustó la virtualidad y la opción presencial les parece muy costosa</t>
  </si>
  <si>
    <t>Suspenden temporalmente el servicio por falta de flujo de caja, pero están satisfechos con el servicio</t>
  </si>
  <si>
    <t>Problemas económicos</t>
  </si>
  <si>
    <t>No se necesita la prestación del servicio y no tienen el flujo de caja para pagarlo</t>
  </si>
  <si>
    <t>Requieren un presencial, ya tienen la persona encargada del sistema</t>
  </si>
  <si>
    <t>Cambiaron de proveedor, por un servicio más económico</t>
  </si>
  <si>
    <t>Nececita un presencial, pero no acepto la propuesta por el precio.</t>
  </si>
  <si>
    <t>Ya cumplieron con los objetivos SST y no desean continuar por temas económicos</t>
  </si>
  <si>
    <t>Decisión desde gerencia por motivos internos</t>
  </si>
  <si>
    <t>Necesitan un presencial, y debido a que es en Pereira y son pocos días no es viable la propuesta</t>
  </si>
  <si>
    <t>La empresa tuvo un cambio de razon social, por lo que no se siguieron tomando las capacitaciones</t>
  </si>
  <si>
    <t>Se va a encargar de la gestión una persona de la empresa que recibio la tarjeta profesional</t>
  </si>
  <si>
    <t>Reemplazo del servicio por la contratación de un profesional SST, debido a que no le gustaba la virtualidad</t>
  </si>
  <si>
    <t>Reemplazo del servicio por la contratación de un profesional SST, debido a cuestiones de tiempo</t>
  </si>
  <si>
    <t xml:space="preserve">No pueden destinar presupuesto al servicio por problemas económicos </t>
  </si>
  <si>
    <t>Contrataron a un presencial y destacan que no les gusto la virtualidad para llevar este tipo de procesos</t>
  </si>
  <si>
    <t>Decidieron contratar internamente</t>
  </si>
  <si>
    <t>Contrataron a un presencial</t>
  </si>
  <si>
    <t>MOTIVO</t>
  </si>
  <si>
    <t>Obtuvieron un beneficio para tener el servicio de forma gratuita</t>
  </si>
  <si>
    <t>Contrataron un presencial como reemplazo del servicio</t>
  </si>
  <si>
    <t>Liquidación o cierre de la empresa</t>
  </si>
  <si>
    <t>Obtuvieron un beneficio para tener el servicio de forma gratuit</t>
  </si>
  <si>
    <t>No les gusta el precio del servicio</t>
  </si>
  <si>
    <t>No necesitan más el servicio</t>
  </si>
  <si>
    <t>No les sirve la propuesta del servicio</t>
  </si>
  <si>
    <t>No hacen uso del servicio</t>
  </si>
  <si>
    <t>Reorganización interna en la empresa</t>
  </si>
  <si>
    <t>No les gusta el servicio virtual</t>
  </si>
  <si>
    <t>Disconformidad con el servicio</t>
  </si>
  <si>
    <t>No tienen tiempo para cumplir con la carga de actividades</t>
  </si>
  <si>
    <t>Sienten poco avance</t>
  </si>
  <si>
    <t>No tienen a nadie interno para encargarse del sistema de gestión</t>
  </si>
  <si>
    <t>Venta de la empresa</t>
  </si>
  <si>
    <t>Disconformidad con el asesor</t>
  </si>
  <si>
    <t>Suspende el servicio de forma temporal por problemas económicos</t>
  </si>
  <si>
    <t>No desean continuar, porque sienten que hacen doble trabajo</t>
  </si>
  <si>
    <t>Decisión interna de la empresa, debido a que sentian poco avance</t>
  </si>
  <si>
    <t>No desea continuar con el servicio de forma virtual</t>
  </si>
  <si>
    <t>Ya no reciben el apoyo económico de buen comienzo</t>
  </si>
  <si>
    <t>La empresa ha crecido mucho y necesitaba un presencial</t>
  </si>
  <si>
    <t>Motivos económicos, y poco personal en la empresa</t>
  </si>
  <si>
    <t>Decisión interna de la empresa, por falta de presupuesto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</si>
</sst>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
    <numFmt numFmtId="165" formatCode="&quot;$&quot;#,##0.00"/>
    <numFmt numFmtId="166" formatCode="_(&quot;$&quot;* #,##0_);_(&quot;$&quot;* \(#,##0\);_(&quot;$&quot;* &quot;-&quot;??_);_(@_)"/>
    <numFmt numFmtId="167" formatCode="mm/dd/yyyy"/>
    <numFmt numFmtId="168" formatCode="m/d/yyyy"/>
    <numFmt numFmtId="169" formatCode="d\ mmm\ yyyy"/>
    <numFmt numFmtId="170" formatCode="mmm\ yyyy"/>
    <numFmt numFmtId="171" formatCode="&quot;$&quot;#,##0.000"/>
    <numFmt numFmtId="172" formatCode="d\ mmm"/>
  </numFmts>
  <fonts count="60">
    <font>
      <sz val="10"/>
      <color rgb="FF000000"/>
      <name val="Arial"/>
      <scheme val="minor"/>
    </font>
    <font>
      <b/>
      <sz val="10"/>
      <color rgb="FFFFFFFF"/>
      <name val="Arial"/>
      <scheme val="minor"/>
    </font>
    <font>
      <sz val="10"/>
      <color theme="1"/>
      <name val="Arial"/>
      <scheme val="minor"/>
    </font>
    <font>
      <b/>
      <sz val="10"/>
      <color rgb="FF0000FF"/>
      <name val="Arial"/>
      <scheme val="minor"/>
    </font>
    <font>
      <b/>
      <sz val="10"/>
      <color theme="1"/>
      <name val="Arial"/>
      <scheme val="minor"/>
    </font>
    <font>
      <sz val="10"/>
      <color theme="1"/>
      <name val="Arial"/>
    </font>
    <font>
      <b/>
      <sz val="10"/>
      <color rgb="FF000000"/>
      <name val="Arial"/>
      <scheme val="minor"/>
    </font>
    <font>
      <sz val="10"/>
      <color theme="1"/>
      <name val="Arial"/>
    </font>
    <font>
      <sz val="11"/>
      <color rgb="FF000000"/>
      <name val="&quot;Helvetica Neue&quot;"/>
    </font>
    <font>
      <sz val="10"/>
      <color rgb="FF005A95"/>
      <name val="Arial"/>
    </font>
    <font>
      <sz val="10"/>
      <color rgb="FF000000"/>
      <name val="Arial"/>
    </font>
    <font>
      <sz val="12"/>
      <color rgb="FF333333"/>
      <name val="&quot;Helvetica Neue&quot;"/>
    </font>
    <font>
      <sz val="9"/>
      <color rgb="FF1F1F1F"/>
      <name val="&quot;Google Sans&quot;"/>
    </font>
    <font>
      <sz val="9"/>
      <color rgb="FF005A95"/>
      <name val="Arial"/>
    </font>
    <font>
      <sz val="10"/>
      <color rgb="FFFF0000"/>
      <name val="Arial"/>
      <scheme val="minor"/>
    </font>
    <font>
      <sz val="10"/>
      <color theme="1"/>
      <name val="Arial"/>
      <scheme val="minor"/>
    </font>
    <font>
      <sz val="11"/>
      <color theme="1"/>
      <name val="&quot;open sans&quot;"/>
    </font>
    <font>
      <sz val="11"/>
      <color theme="1"/>
      <name val="Arial"/>
    </font>
    <font>
      <sz val="11"/>
      <color rgb="FF21232C"/>
      <name val="Inter"/>
    </font>
    <font>
      <sz val="10"/>
      <color rgb="FFFFFFFF"/>
      <name val="Arial"/>
      <scheme val="minor"/>
    </font>
    <font>
      <sz val="10"/>
      <color rgb="FF1F1F1F"/>
      <name val="Arial"/>
      <scheme val="minor"/>
    </font>
    <font>
      <sz val="10"/>
      <color rgb="FF333333"/>
      <name val="Arial"/>
      <scheme val="minor"/>
    </font>
    <font>
      <sz val="10"/>
      <color rgb="FF21232C"/>
      <name val="Arial"/>
      <scheme val="minor"/>
    </font>
    <font>
      <sz val="11"/>
      <color rgb="FF000000"/>
      <name val="&quot;aptos narrow&quot;"/>
    </font>
    <font>
      <u/>
      <sz val="11"/>
      <color rgb="FF000000"/>
      <name val="Arial"/>
    </font>
    <font>
      <sz val="11"/>
      <color rgb="FF000000"/>
      <name val="Calibri"/>
    </font>
    <font>
      <sz val="10"/>
      <color theme="1"/>
      <name val="&quot;Helvetica Neue&quot;"/>
    </font>
    <font>
      <sz val="12"/>
      <color rgb="FF000000"/>
      <name val="Arial"/>
    </font>
    <font>
      <b/>
      <sz val="10"/>
      <color theme="1"/>
      <name val="Arial"/>
      <scheme val="minor"/>
    </font>
    <font>
      <b/>
      <sz val="10"/>
      <color rgb="FF000000"/>
      <name val="Arial"/>
      <scheme val="minor"/>
    </font>
    <font>
      <sz val="12"/>
      <color rgb="FF000000"/>
      <name val="Calibri"/>
    </font>
    <font>
      <sz val="10"/>
      <color rgb="FF000000"/>
      <name val="Arial"/>
      <scheme val="minor"/>
    </font>
    <font>
      <sz val="10"/>
      <color rgb="FFFFFFFF"/>
      <name val="Arial"/>
    </font>
    <font>
      <b/>
      <sz val="10"/>
      <color rgb="FFFFFFFF"/>
      <name val="Arial"/>
    </font>
    <font>
      <sz val="9"/>
      <color theme="1"/>
      <name val="Arial"/>
    </font>
    <font>
      <sz val="10"/>
      <color rgb="FF21232C"/>
      <name val="Arial"/>
    </font>
    <font>
      <b/>
      <sz val="10"/>
      <color theme="1"/>
      <name val="Arial"/>
    </font>
    <font>
      <b/>
      <sz val="10"/>
      <color rgb="FF000000"/>
      <name val="Arial"/>
    </font>
    <font>
      <sz val="10"/>
      <color rgb="FF333333"/>
      <name val="Arial"/>
    </font>
    <font>
      <sz val="10"/>
      <color rgb="FF000000"/>
      <name val="Arial"/>
    </font>
    <font>
      <u/>
      <sz val="10"/>
      <color theme="1"/>
      <name val="Arial"/>
    </font>
    <font>
      <b/>
      <sz val="10"/>
      <color theme="1"/>
      <name val="Arial"/>
    </font>
    <font>
      <sz val="10"/>
      <color rgb="FFFFFFFF"/>
      <name val="&quot;Helvetica Neue&quot;"/>
    </font>
    <font>
      <u/>
      <sz val="10"/>
      <color rgb="FF000000"/>
      <name val="Arial"/>
    </font>
    <font>
      <u/>
      <sz val="10"/>
      <color rgb="FF005A95"/>
      <name val="Arial"/>
    </font>
    <font>
      <b/>
      <sz val="10"/>
      <color rgb="FF000000"/>
      <name val="&quot;century gothic&quot;"/>
    </font>
    <font>
      <b/>
      <sz val="10"/>
      <color rgb="FF000000"/>
      <name val="Arial"/>
    </font>
    <font>
      <sz val="12"/>
      <color theme="1"/>
      <name val="Aptos"/>
    </font>
    <font>
      <sz val="10"/>
      <color rgb="FF000000"/>
      <name val="&quot;Google Sans&quot;"/>
    </font>
    <font>
      <sz val="10"/>
      <color rgb="FF000000"/>
      <name val="Aptos"/>
    </font>
    <font>
      <sz val="12"/>
      <color rgb="FF000000"/>
      <name val="Aptos"/>
    </font>
    <font>
      <u/>
      <sz val="10"/>
      <color theme="1"/>
      <name val="Arial"/>
    </font>
    <font>
      <sz val="11"/>
      <color rgb="FF000000"/>
      <name val="Arial"/>
      <scheme val="minor"/>
    </font>
    <font>
      <sz val="10"/>
      <color theme="1"/>
      <name val="Arial"/>
      <family val="2"/>
    </font>
    <font>
      <u/>
      <sz val="10"/>
      <color rgb="FF000000"/>
      <name val="Arial"/>
      <family val="2"/>
    </font>
    <font>
      <sz val="10"/>
      <color rgb="FF000000"/>
      <name val="Arial"/>
      <family val="2"/>
    </font>
    <font>
      <sz val="12"/>
      <color theme="1"/>
      <name val="Aptos"/>
      <family val="2"/>
    </font>
    <font>
      <sz val="10"/>
      <color rgb="FF000000"/>
      <name val="Verdana"/>
      <family val="2"/>
    </font>
    <font>
      <sz val="11"/>
      <color rgb="FF000000"/>
      <name val="Calibri"/>
      <family val="2"/>
    </font>
    <font>
      <sz val="10"/>
      <color theme="1"/>
      <name val="Arial"/>
      <family val="2"/>
      <scheme val="minor"/>
    </font>
  </fonts>
  <fills count="26">
    <fill>
      <patternFill patternType="none"/>
    </fill>
    <fill>
      <patternFill patternType="gray125"/>
    </fill>
    <fill>
      <patternFill patternType="solid">
        <fgColor rgb="FF4A86E8"/>
        <bgColor rgb="FF4A86E8"/>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000000"/>
        <bgColor rgb="FF000000"/>
      </patternFill>
    </fill>
    <fill>
      <patternFill patternType="solid">
        <fgColor rgb="FFFFF2CC"/>
        <bgColor rgb="FFFFF2CC"/>
      </patternFill>
    </fill>
    <fill>
      <patternFill patternType="solid">
        <fgColor rgb="FFFF9900"/>
        <bgColor rgb="FFFF9900"/>
      </patternFill>
    </fill>
    <fill>
      <patternFill patternType="solid">
        <fgColor rgb="FFFFD966"/>
        <bgColor rgb="FFFFD966"/>
      </patternFill>
    </fill>
    <fill>
      <patternFill patternType="solid">
        <fgColor rgb="FFFCE5CD"/>
        <bgColor rgb="FFFCE5CD"/>
      </patternFill>
    </fill>
    <fill>
      <patternFill patternType="solid">
        <fgColor rgb="FFFFE599"/>
        <bgColor rgb="FFFFE599"/>
      </patternFill>
    </fill>
    <fill>
      <patternFill patternType="solid">
        <fgColor rgb="FFF3F3F3"/>
        <bgColor rgb="FFF3F3F3"/>
      </patternFill>
    </fill>
    <fill>
      <patternFill patternType="solid">
        <fgColor rgb="FFD9D2E9"/>
        <bgColor rgb="FFD9D2E9"/>
      </patternFill>
    </fill>
    <fill>
      <patternFill patternType="solid">
        <fgColor rgb="FF666666"/>
        <bgColor rgb="FF666666"/>
      </patternFill>
    </fill>
    <fill>
      <patternFill patternType="solid">
        <fgColor rgb="FFF1C232"/>
        <bgColor rgb="FFF1C232"/>
      </patternFill>
    </fill>
    <fill>
      <patternFill patternType="solid">
        <fgColor rgb="FFF9F9F9"/>
        <bgColor rgb="FFF9F9F9"/>
      </patternFill>
    </fill>
    <fill>
      <patternFill patternType="solid">
        <fgColor theme="4"/>
        <bgColor theme="4"/>
      </patternFill>
    </fill>
    <fill>
      <patternFill patternType="solid">
        <fgColor rgb="FFFF00FF"/>
        <bgColor rgb="FFFF00FF"/>
      </patternFill>
    </fill>
    <fill>
      <patternFill patternType="solid">
        <fgColor rgb="FF00F2D9"/>
        <bgColor rgb="FF00F2D9"/>
      </patternFill>
    </fill>
    <fill>
      <patternFill patternType="solid">
        <fgColor rgb="FFE66FFF"/>
        <bgColor rgb="FFE66FFF"/>
      </patternFill>
    </fill>
    <fill>
      <patternFill patternType="solid">
        <fgColor rgb="FFFF0000"/>
        <bgColor rgb="FFFF0000"/>
      </patternFill>
    </fill>
    <fill>
      <patternFill patternType="solid">
        <fgColor rgb="FF42F4F0"/>
        <bgColor rgb="FF42F4F0"/>
      </patternFill>
    </fill>
    <fill>
      <patternFill patternType="solid">
        <fgColor rgb="FF00FFFF"/>
        <bgColor rgb="FF00FFFF"/>
      </patternFill>
    </fill>
    <fill>
      <patternFill patternType="solid">
        <fgColor rgb="FFF60072"/>
        <bgColor rgb="FFF60072"/>
      </patternFill>
    </fill>
    <fill>
      <patternFill patternType="solid">
        <fgColor rgb="FFD5A6BD"/>
        <bgColor rgb="FFD5A6BD"/>
      </patternFill>
    </fill>
  </fills>
  <borders count="3">
    <border>
      <left/>
      <right/>
      <top/>
      <bottom/>
      <diagonal/>
    </border>
    <border>
      <left style="thin">
        <color rgb="FFDDDDDD"/>
      </left>
      <right style="thin">
        <color rgb="FFDDDDDD"/>
      </right>
      <top style="thin">
        <color rgb="FFDDDDDD"/>
      </top>
      <bottom style="thin">
        <color rgb="FF111111"/>
      </bottom>
      <diagonal/>
    </border>
    <border>
      <left/>
      <right style="thin">
        <color rgb="FFDDDDDD"/>
      </right>
      <top style="thin">
        <color rgb="FFDDDDDD"/>
      </top>
      <bottom style="thin">
        <color rgb="FF111111"/>
      </bottom>
      <diagonal/>
    </border>
  </borders>
  <cellStyleXfs count="1">
    <xf numFmtId="0" fontId="0" fillId="0" borderId="0"/>
  </cellStyleXfs>
  <cellXfs count="398">
    <xf numFmtId="0" fontId="0" fillId="0" borderId="0" xfId="0"/>
    <xf numFmtId="0" fontId="1" fillId="2" borderId="0" xfId="0" applyFont="1" applyFill="1" applyAlignment="1">
      <alignment horizontal="center"/>
    </xf>
    <xf numFmtId="0" fontId="1" fillId="2" borderId="0" xfId="0" applyFont="1" applyFill="1" applyAlignment="1">
      <alignment horizontal="right"/>
    </xf>
    <xf numFmtId="0" fontId="1" fillId="2" borderId="0" xfId="0" applyFont="1" applyFill="1"/>
    <xf numFmtId="0" fontId="2" fillId="0" borderId="0" xfId="0" applyFont="1" applyAlignment="1">
      <alignment horizontal="center"/>
    </xf>
    <xf numFmtId="0" fontId="2" fillId="0" borderId="0" xfId="0" applyFont="1" applyAlignment="1">
      <alignment horizontal="right"/>
    </xf>
    <xf numFmtId="0" fontId="2" fillId="0" borderId="0" xfId="0" applyFont="1"/>
    <xf numFmtId="0" fontId="3" fillId="0" borderId="0" xfId="0" applyFont="1" applyAlignment="1">
      <alignment horizontal="center"/>
    </xf>
    <xf numFmtId="0" fontId="3" fillId="0" borderId="0" xfId="0" applyFont="1" applyAlignment="1">
      <alignment horizontal="right"/>
    </xf>
    <xf numFmtId="0" fontId="3" fillId="0" borderId="0" xfId="0" applyFont="1"/>
    <xf numFmtId="0" fontId="4" fillId="0" borderId="0" xfId="0" applyFont="1" applyAlignment="1">
      <alignment horizontal="center"/>
    </xf>
    <xf numFmtId="0" fontId="4" fillId="0" borderId="0" xfId="0" applyFont="1"/>
    <xf numFmtId="0" fontId="2" fillId="3" borderId="0" xfId="0" applyFont="1" applyFill="1"/>
    <xf numFmtId="164" fontId="2" fillId="0" borderId="0" xfId="0" applyNumberFormat="1" applyFont="1" applyAlignment="1">
      <alignment horizontal="center"/>
    </xf>
    <xf numFmtId="0" fontId="2" fillId="3" borderId="0" xfId="0" applyFont="1" applyFill="1" applyAlignment="1">
      <alignment horizontal="center"/>
    </xf>
    <xf numFmtId="0" fontId="2" fillId="3" borderId="0" xfId="0" applyFont="1" applyFill="1" applyAlignment="1">
      <alignment horizontal="right"/>
    </xf>
    <xf numFmtId="0" fontId="2" fillId="4" borderId="0" xfId="0" applyFont="1" applyFill="1" applyAlignment="1">
      <alignment horizontal="center"/>
    </xf>
    <xf numFmtId="0" fontId="2" fillId="4" borderId="0" xfId="0" applyFont="1" applyFill="1" applyAlignment="1">
      <alignment horizontal="right"/>
    </xf>
    <xf numFmtId="0" fontId="2" fillId="4" borderId="0" xfId="0" applyFont="1" applyFill="1"/>
    <xf numFmtId="0" fontId="2" fillId="5" borderId="0" xfId="0" applyFont="1" applyFill="1"/>
    <xf numFmtId="0" fontId="5" fillId="0" borderId="0" xfId="0" applyFont="1" applyAlignment="1">
      <alignment horizontal="center"/>
    </xf>
    <xf numFmtId="0" fontId="5" fillId="0" borderId="0" xfId="0" applyFont="1"/>
    <xf numFmtId="0" fontId="2" fillId="5" borderId="0" xfId="0" applyFont="1" applyFill="1" applyAlignment="1">
      <alignment horizontal="center"/>
    </xf>
    <xf numFmtId="0" fontId="2" fillId="6" borderId="0" xfId="0" applyFont="1" applyFill="1" applyAlignment="1">
      <alignment horizontal="center"/>
    </xf>
    <xf numFmtId="0" fontId="2" fillId="6" borderId="0" xfId="0" applyFont="1" applyFill="1" applyAlignment="1">
      <alignment horizontal="right"/>
    </xf>
    <xf numFmtId="0" fontId="2" fillId="6" borderId="0" xfId="0" applyFont="1" applyFill="1"/>
    <xf numFmtId="165" fontId="2" fillId="0" borderId="0" xfId="0" applyNumberFormat="1" applyFont="1" applyAlignment="1">
      <alignment horizontal="right"/>
    </xf>
    <xf numFmtId="0" fontId="2" fillId="0" borderId="0" xfId="0" applyFont="1" applyAlignment="1">
      <alignment horizontal="left"/>
    </xf>
    <xf numFmtId="165" fontId="1" fillId="2" borderId="0" xfId="0" applyNumberFormat="1" applyFont="1" applyFill="1" applyAlignment="1">
      <alignment horizontal="center"/>
    </xf>
    <xf numFmtId="165" fontId="2" fillId="0" borderId="0" xfId="0" applyNumberFormat="1" applyFont="1" applyAlignment="1">
      <alignment horizontal="center"/>
    </xf>
    <xf numFmtId="0" fontId="6" fillId="6" borderId="0" xfId="0" applyFont="1" applyFill="1" applyAlignment="1">
      <alignment horizontal="right"/>
    </xf>
    <xf numFmtId="165" fontId="6" fillId="6" borderId="0" xfId="0" applyNumberFormat="1" applyFont="1" applyFill="1" applyAlignment="1">
      <alignment horizontal="center"/>
    </xf>
    <xf numFmtId="0" fontId="6" fillId="6" borderId="0" xfId="0" applyFont="1" applyFill="1"/>
    <xf numFmtId="0" fontId="6" fillId="6" borderId="0" xfId="0" applyFont="1" applyFill="1" applyAlignment="1">
      <alignment horizontal="center"/>
    </xf>
    <xf numFmtId="165" fontId="2" fillId="0" borderId="0" xfId="0" applyNumberFormat="1" applyFont="1"/>
    <xf numFmtId="165"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1" fillId="2" borderId="0" xfId="0" applyFont="1" applyFill="1" applyAlignment="1">
      <alignment horizontal="right" wrapText="1"/>
    </xf>
    <xf numFmtId="166" fontId="1" fillId="2" borderId="0" xfId="0" applyNumberFormat="1" applyFont="1" applyFill="1" applyAlignment="1">
      <alignment horizontal="right" wrapText="1"/>
    </xf>
    <xf numFmtId="0" fontId="1" fillId="2" borderId="0" xfId="0" applyFont="1" applyFill="1" applyAlignment="1">
      <alignment wrapText="1"/>
    </xf>
    <xf numFmtId="0" fontId="1" fillId="2" borderId="0" xfId="0" applyFont="1" applyFill="1" applyAlignment="1">
      <alignment horizontal="left" wrapText="1"/>
    </xf>
    <xf numFmtId="0" fontId="1" fillId="2" borderId="0" xfId="0" applyFont="1" applyFill="1" applyAlignment="1">
      <alignment horizontal="center" wrapText="1"/>
    </xf>
    <xf numFmtId="0" fontId="2" fillId="0" borderId="0" xfId="0" applyFont="1" applyAlignment="1">
      <alignment wrapText="1"/>
    </xf>
    <xf numFmtId="0" fontId="7" fillId="0" borderId="0" xfId="0" applyFont="1"/>
    <xf numFmtId="0" fontId="7" fillId="0" borderId="0" xfId="0" applyFont="1" applyAlignment="1">
      <alignment horizontal="left"/>
    </xf>
    <xf numFmtId="167" fontId="7" fillId="0" borderId="0" xfId="0" applyNumberFormat="1" applyFont="1"/>
    <xf numFmtId="0" fontId="7" fillId="0" borderId="0" xfId="0" applyFont="1" applyAlignment="1">
      <alignment wrapText="1"/>
    </xf>
    <xf numFmtId="168" fontId="7" fillId="0" borderId="0" xfId="0" applyNumberFormat="1" applyFont="1"/>
    <xf numFmtId="0" fontId="7" fillId="0" borderId="0" xfId="0" applyFont="1" applyAlignment="1">
      <alignment horizontal="center"/>
    </xf>
    <xf numFmtId="0" fontId="7" fillId="0" borderId="0" xfId="0" applyFont="1" applyAlignment="1">
      <alignment horizontal="center" wrapText="1"/>
    </xf>
    <xf numFmtId="165" fontId="2" fillId="5" borderId="0" xfId="0" applyNumberFormat="1" applyFont="1" applyFill="1" applyAlignment="1">
      <alignment horizontal="right" wrapText="1"/>
    </xf>
    <xf numFmtId="0" fontId="2" fillId="5" borderId="0" xfId="0" applyFont="1" applyFill="1" applyAlignment="1">
      <alignment wrapText="1"/>
    </xf>
    <xf numFmtId="0" fontId="7" fillId="5" borderId="0" xfId="0" applyFont="1" applyFill="1" applyAlignment="1">
      <alignment wrapText="1"/>
    </xf>
    <xf numFmtId="0" fontId="7" fillId="5" borderId="0" xfId="0" applyFont="1" applyFill="1" applyAlignment="1">
      <alignment horizontal="left" wrapText="1"/>
    </xf>
    <xf numFmtId="0" fontId="7" fillId="5" borderId="0" xfId="0" applyFont="1" applyFill="1"/>
    <xf numFmtId="167" fontId="7" fillId="5" borderId="0" xfId="0" applyNumberFormat="1" applyFont="1" applyFill="1"/>
    <xf numFmtId="168" fontId="7" fillId="5" borderId="0" xfId="0" applyNumberFormat="1" applyFont="1" applyFill="1"/>
    <xf numFmtId="169" fontId="7" fillId="5" borderId="0" xfId="0" applyNumberFormat="1" applyFont="1" applyFill="1" applyAlignment="1">
      <alignment horizontal="center"/>
    </xf>
    <xf numFmtId="0" fontId="7" fillId="5" borderId="0" xfId="0" applyFont="1" applyFill="1" applyAlignment="1">
      <alignment horizontal="center" wrapText="1"/>
    </xf>
    <xf numFmtId="165" fontId="2" fillId="7" borderId="0" xfId="0" applyNumberFormat="1" applyFont="1" applyFill="1" applyAlignment="1">
      <alignment horizontal="right" wrapText="1"/>
    </xf>
    <xf numFmtId="0" fontId="7" fillId="4" borderId="0" xfId="0" applyFont="1" applyFill="1" applyAlignment="1">
      <alignment wrapText="1"/>
    </xf>
    <xf numFmtId="169" fontId="7" fillId="0" borderId="0" xfId="0" applyNumberFormat="1" applyFont="1" applyAlignment="1">
      <alignment horizontal="center"/>
    </xf>
    <xf numFmtId="0" fontId="7" fillId="4" borderId="0" xfId="0" applyFont="1" applyFill="1" applyAlignment="1">
      <alignment horizontal="center" wrapText="1"/>
    </xf>
    <xf numFmtId="0" fontId="8" fillId="5" borderId="0" xfId="0" applyFont="1" applyFill="1"/>
    <xf numFmtId="0" fontId="7" fillId="5" borderId="0" xfId="0" applyFont="1" applyFill="1" applyAlignment="1">
      <alignment horizontal="left"/>
    </xf>
    <xf numFmtId="0" fontId="7" fillId="0" borderId="0" xfId="0" applyFont="1" applyAlignment="1">
      <alignment horizontal="left" wrapText="1"/>
    </xf>
    <xf numFmtId="0" fontId="7" fillId="7" borderId="0" xfId="0" applyFont="1" applyFill="1" applyAlignment="1">
      <alignment wrapText="1"/>
    </xf>
    <xf numFmtId="0" fontId="7" fillId="8" borderId="0" xfId="0" applyFont="1" applyFill="1" applyAlignment="1">
      <alignment horizontal="center" wrapText="1"/>
    </xf>
    <xf numFmtId="0" fontId="7" fillId="9" borderId="0" xfId="0" applyFont="1" applyFill="1" applyAlignment="1">
      <alignment horizontal="left" wrapText="1"/>
    </xf>
    <xf numFmtId="165" fontId="5" fillId="0" borderId="0" xfId="0" applyNumberFormat="1" applyFont="1" applyAlignment="1">
      <alignment horizontal="right"/>
    </xf>
    <xf numFmtId="170" fontId="7" fillId="0" borderId="0" xfId="0" applyNumberFormat="1" applyFont="1" applyAlignment="1">
      <alignment horizontal="left"/>
    </xf>
    <xf numFmtId="166" fontId="2" fillId="0" borderId="0" xfId="0" applyNumberFormat="1" applyFont="1" applyAlignment="1">
      <alignment horizontal="right"/>
    </xf>
    <xf numFmtId="0" fontId="9" fillId="0" borderId="0" xfId="0" applyFont="1" applyAlignment="1">
      <alignment wrapText="1"/>
    </xf>
    <xf numFmtId="0" fontId="2" fillId="0" borderId="0" xfId="0" applyFont="1" applyAlignment="1">
      <alignment horizontal="center" wrapText="1"/>
    </xf>
    <xf numFmtId="0" fontId="10" fillId="0" borderId="0" xfId="0" applyFont="1" applyAlignment="1">
      <alignment horizontal="right"/>
    </xf>
    <xf numFmtId="0" fontId="11" fillId="0" borderId="0" xfId="0" applyFont="1"/>
    <xf numFmtId="0" fontId="2" fillId="0" borderId="0" xfId="0" applyFont="1" applyAlignment="1">
      <alignment horizontal="left" vertical="center" wrapText="1"/>
    </xf>
    <xf numFmtId="170" fontId="2" fillId="0" borderId="0" xfId="0" applyNumberFormat="1" applyFont="1"/>
    <xf numFmtId="170" fontId="12" fillId="4" borderId="0" xfId="0" applyNumberFormat="1" applyFont="1" applyFill="1"/>
    <xf numFmtId="167" fontId="2" fillId="0" borderId="0" xfId="0" applyNumberFormat="1" applyFont="1" applyAlignment="1">
      <alignment horizontal="right"/>
    </xf>
    <xf numFmtId="0" fontId="1" fillId="2" borderId="0" xfId="0" applyFont="1" applyFill="1" applyAlignment="1">
      <alignment horizontal="left" vertical="center" wrapText="1"/>
    </xf>
    <xf numFmtId="0" fontId="5" fillId="0" borderId="0" xfId="0" applyFont="1" applyAlignment="1">
      <alignment wrapText="1"/>
    </xf>
    <xf numFmtId="0" fontId="7" fillId="0" borderId="0" xfId="0" applyFont="1" applyAlignment="1">
      <alignment horizontal="left" vertical="center" wrapText="1"/>
    </xf>
    <xf numFmtId="0" fontId="2" fillId="0" borderId="0" xfId="0" applyFont="1" applyAlignment="1">
      <alignment horizontal="left" vertical="center"/>
    </xf>
    <xf numFmtId="0" fontId="13" fillId="4" borderId="0" xfId="0" applyFont="1" applyFill="1"/>
    <xf numFmtId="0" fontId="7" fillId="4" borderId="0" xfId="0" applyFont="1" applyFill="1"/>
    <xf numFmtId="169" fontId="2" fillId="0" borderId="0" xfId="0" applyNumberFormat="1" applyFont="1"/>
    <xf numFmtId="0" fontId="2" fillId="4" borderId="0" xfId="0" applyFont="1" applyFill="1" applyAlignment="1">
      <alignment vertical="center"/>
    </xf>
    <xf numFmtId="165" fontId="2" fillId="4" borderId="0" xfId="0" applyNumberFormat="1" applyFont="1" applyFill="1" applyAlignment="1">
      <alignment horizontal="right" vertical="center"/>
    </xf>
    <xf numFmtId="0" fontId="2" fillId="4" borderId="0" xfId="0" applyFont="1" applyFill="1" applyAlignment="1">
      <alignment vertical="center" wrapText="1"/>
    </xf>
    <xf numFmtId="0" fontId="2" fillId="4" borderId="0" xfId="0" applyFont="1" applyFill="1" applyAlignment="1">
      <alignment horizontal="left" vertical="center" wrapText="1"/>
    </xf>
    <xf numFmtId="0" fontId="7" fillId="4" borderId="0" xfId="0" applyFont="1" applyFill="1" applyAlignment="1">
      <alignment vertical="center"/>
    </xf>
    <xf numFmtId="170" fontId="2" fillId="4" borderId="0" xfId="0" applyNumberFormat="1" applyFont="1" applyFill="1" applyAlignment="1">
      <alignment vertical="center"/>
    </xf>
    <xf numFmtId="168" fontId="2" fillId="4" borderId="0" xfId="0" applyNumberFormat="1" applyFont="1" applyFill="1" applyAlignment="1">
      <alignment vertical="center"/>
    </xf>
    <xf numFmtId="167" fontId="7" fillId="4" borderId="0" xfId="0" applyNumberFormat="1" applyFont="1" applyFill="1" applyAlignment="1">
      <alignment vertical="center"/>
    </xf>
    <xf numFmtId="0" fontId="2" fillId="4" borderId="0" xfId="0" applyFont="1" applyFill="1" applyAlignment="1">
      <alignment horizontal="center" vertical="center" wrapText="1"/>
    </xf>
    <xf numFmtId="0" fontId="5" fillId="4" borderId="0" xfId="0" applyFont="1" applyFill="1" applyAlignment="1">
      <alignment vertical="center"/>
    </xf>
    <xf numFmtId="0" fontId="2" fillId="4" borderId="0" xfId="0" applyFont="1" applyFill="1" applyAlignment="1">
      <alignment horizontal="right" vertical="center"/>
    </xf>
    <xf numFmtId="0" fontId="2" fillId="10" borderId="0" xfId="0" applyFont="1" applyFill="1" applyAlignment="1">
      <alignment vertical="center" wrapText="1"/>
    </xf>
    <xf numFmtId="167" fontId="2" fillId="4" borderId="0" xfId="0" applyNumberFormat="1" applyFont="1" applyFill="1" applyAlignment="1">
      <alignment vertical="center"/>
    </xf>
    <xf numFmtId="0" fontId="7" fillId="10" borderId="0" xfId="0" applyFont="1" applyFill="1" applyAlignment="1">
      <alignment vertical="center" wrapText="1"/>
    </xf>
    <xf numFmtId="170" fontId="2" fillId="4" borderId="0" xfId="0" applyNumberFormat="1" applyFont="1" applyFill="1" applyAlignment="1">
      <alignment vertical="center" wrapText="1"/>
    </xf>
    <xf numFmtId="165" fontId="2" fillId="4" borderId="0" xfId="0" applyNumberFormat="1" applyFont="1" applyFill="1" applyAlignment="1">
      <alignment vertical="center"/>
    </xf>
    <xf numFmtId="0" fontId="2" fillId="4" borderId="0" xfId="0" applyFont="1" applyFill="1" applyAlignment="1">
      <alignment horizontal="left" vertical="center"/>
    </xf>
    <xf numFmtId="0" fontId="7" fillId="10" borderId="0" xfId="0" applyFont="1" applyFill="1" applyAlignment="1">
      <alignment vertical="center"/>
    </xf>
    <xf numFmtId="0" fontId="14" fillId="4" borderId="0" xfId="0" applyFont="1" applyFill="1" applyAlignment="1">
      <alignment horizontal="center" vertical="center" wrapText="1"/>
    </xf>
    <xf numFmtId="0" fontId="2" fillId="11" borderId="0" xfId="0" applyFont="1" applyFill="1" applyAlignment="1">
      <alignment horizontal="left"/>
    </xf>
    <xf numFmtId="166" fontId="2" fillId="11" borderId="0" xfId="0" applyNumberFormat="1" applyFont="1" applyFill="1" applyAlignment="1">
      <alignment horizontal="right"/>
    </xf>
    <xf numFmtId="0" fontId="2" fillId="11" borderId="0" xfId="0" applyFont="1" applyFill="1" applyAlignment="1">
      <alignment wrapText="1"/>
    </xf>
    <xf numFmtId="0" fontId="7" fillId="11" borderId="0" xfId="0" applyFont="1" applyFill="1" applyAlignment="1">
      <alignment horizontal="left" vertical="center" wrapText="1"/>
    </xf>
    <xf numFmtId="0" fontId="7" fillId="11" borderId="0" xfId="0" applyFont="1" applyFill="1" applyAlignment="1">
      <alignment horizontal="left"/>
    </xf>
    <xf numFmtId="0" fontId="7" fillId="11" borderId="0" xfId="0" applyFont="1" applyFill="1"/>
    <xf numFmtId="167" fontId="7" fillId="11" borderId="0" xfId="0" applyNumberFormat="1" applyFont="1" applyFill="1"/>
    <xf numFmtId="0" fontId="7" fillId="11" borderId="0" xfId="0" applyFont="1" applyFill="1" applyAlignment="1">
      <alignment wrapText="1"/>
    </xf>
    <xf numFmtId="0" fontId="7" fillId="11" borderId="0" xfId="0" applyFont="1" applyFill="1" applyAlignment="1">
      <alignment horizontal="center"/>
    </xf>
    <xf numFmtId="0" fontId="7" fillId="11" borderId="0" xfId="0" applyFont="1" applyFill="1" applyAlignment="1">
      <alignment horizontal="center" wrapText="1"/>
    </xf>
    <xf numFmtId="0" fontId="2" fillId="11" borderId="0" xfId="0" applyFont="1" applyFill="1"/>
    <xf numFmtId="0" fontId="1" fillId="2" borderId="0" xfId="0" applyFont="1" applyFill="1" applyAlignment="1">
      <alignment horizontal="right" vertical="center" wrapText="1"/>
    </xf>
    <xf numFmtId="166" fontId="1" fillId="2" borderId="0" xfId="0" applyNumberFormat="1" applyFont="1" applyFill="1" applyAlignment="1">
      <alignment horizontal="right" vertical="center"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2" fillId="0" borderId="0" xfId="0" applyFont="1" applyAlignment="1">
      <alignment vertical="center" wrapText="1"/>
    </xf>
    <xf numFmtId="0" fontId="15" fillId="0" borderId="0" xfId="0" applyFont="1" applyAlignment="1">
      <alignment horizontal="left" vertical="center" wrapText="1"/>
    </xf>
    <xf numFmtId="165" fontId="15" fillId="0" borderId="0" xfId="0" applyNumberFormat="1" applyFont="1" applyAlignment="1">
      <alignment horizontal="left" vertical="center" wrapText="1"/>
    </xf>
    <xf numFmtId="0" fontId="15" fillId="8" borderId="0" xfId="0" applyFont="1" applyFill="1" applyAlignment="1">
      <alignment horizontal="left" vertical="center" wrapText="1"/>
    </xf>
    <xf numFmtId="0" fontId="15" fillId="12" borderId="0" xfId="0" applyFont="1" applyFill="1" applyAlignment="1">
      <alignment horizontal="left" vertical="center" wrapText="1"/>
    </xf>
    <xf numFmtId="167" fontId="15" fillId="4" borderId="0" xfId="0" applyNumberFormat="1" applyFont="1" applyFill="1" applyAlignment="1">
      <alignment horizontal="left" vertical="center" wrapText="1"/>
    </xf>
    <xf numFmtId="167" fontId="15" fillId="3" borderId="0" xfId="0" applyNumberFormat="1" applyFont="1" applyFill="1" applyAlignment="1">
      <alignment horizontal="left" vertical="center" wrapText="1"/>
    </xf>
    <xf numFmtId="167" fontId="15" fillId="0" borderId="0" xfId="0" applyNumberFormat="1" applyFont="1" applyAlignment="1">
      <alignment horizontal="left" vertical="center" wrapText="1"/>
    </xf>
    <xf numFmtId="0" fontId="15" fillId="0" borderId="0" xfId="0" applyFont="1" applyAlignment="1">
      <alignment vertical="center" wrapText="1"/>
    </xf>
    <xf numFmtId="165" fontId="2" fillId="4" borderId="0" xfId="0" applyNumberFormat="1" applyFont="1" applyFill="1" applyAlignment="1">
      <alignment horizontal="right" vertical="center" wrapText="1"/>
    </xf>
    <xf numFmtId="0" fontId="16" fillId="4" borderId="0" xfId="0" applyFont="1" applyFill="1" applyAlignment="1">
      <alignment vertical="center" wrapText="1"/>
    </xf>
    <xf numFmtId="0" fontId="17" fillId="4" borderId="0" xfId="0" applyFont="1" applyFill="1" applyAlignment="1">
      <alignment vertical="center" wrapText="1"/>
    </xf>
    <xf numFmtId="165" fontId="2" fillId="4" borderId="0" xfId="0" applyNumberFormat="1" applyFont="1" applyFill="1" applyAlignment="1">
      <alignment vertical="center" wrapText="1"/>
    </xf>
    <xf numFmtId="167" fontId="2" fillId="4" borderId="0" xfId="0" applyNumberFormat="1" applyFont="1" applyFill="1" applyAlignment="1">
      <alignment vertical="center" wrapText="1"/>
    </xf>
    <xf numFmtId="0" fontId="5" fillId="4" borderId="0" xfId="0" applyFont="1" applyFill="1" applyAlignment="1">
      <alignment vertical="center" wrapText="1"/>
    </xf>
    <xf numFmtId="165" fontId="2" fillId="0" borderId="0" xfId="0" applyNumberFormat="1" applyFont="1" applyAlignment="1">
      <alignment horizontal="right" vertical="center"/>
    </xf>
    <xf numFmtId="167" fontId="2" fillId="0" borderId="0" xfId="0" applyNumberFormat="1" applyFont="1" applyAlignment="1">
      <alignment vertical="center" wrapText="1"/>
    </xf>
    <xf numFmtId="0" fontId="2" fillId="0" borderId="0" xfId="0" applyFont="1" applyAlignment="1">
      <alignment horizontal="center" vertical="center" wrapText="1"/>
    </xf>
    <xf numFmtId="165" fontId="2" fillId="0" borderId="0" xfId="0" applyNumberFormat="1" applyFont="1" applyAlignment="1">
      <alignment horizontal="right" vertical="center" wrapText="1"/>
    </xf>
    <xf numFmtId="170" fontId="2" fillId="0" borderId="0" xfId="0" applyNumberFormat="1" applyFont="1" applyAlignment="1">
      <alignment vertical="center" wrapText="1"/>
    </xf>
    <xf numFmtId="0" fontId="5" fillId="0" borderId="0" xfId="0" applyFont="1" applyAlignment="1">
      <alignment vertical="center" wrapText="1"/>
    </xf>
    <xf numFmtId="0" fontId="2" fillId="4" borderId="0" xfId="0" applyFont="1" applyFill="1" applyAlignment="1">
      <alignment wrapText="1"/>
    </xf>
    <xf numFmtId="0" fontId="5" fillId="4" borderId="0" xfId="0" applyFont="1" applyFill="1"/>
    <xf numFmtId="0" fontId="11" fillId="4" borderId="0" xfId="0" applyFont="1" applyFill="1" applyAlignment="1">
      <alignment wrapText="1"/>
    </xf>
    <xf numFmtId="0" fontId="2" fillId="4" borderId="0" xfId="0" applyFont="1" applyFill="1" applyAlignment="1">
      <alignment vertical="top" wrapText="1"/>
    </xf>
    <xf numFmtId="0" fontId="2" fillId="4" borderId="0" xfId="0" applyFont="1" applyFill="1" applyAlignment="1">
      <alignment horizontal="left"/>
    </xf>
    <xf numFmtId="165" fontId="18" fillId="4" borderId="0" xfId="0" applyNumberFormat="1" applyFont="1" applyFill="1" applyAlignment="1">
      <alignment horizontal="left"/>
    </xf>
    <xf numFmtId="0" fontId="2" fillId="4" borderId="0" xfId="0" applyFont="1" applyFill="1" applyAlignment="1">
      <alignment horizontal="left" wrapText="1"/>
    </xf>
    <xf numFmtId="0" fontId="5" fillId="4" borderId="0" xfId="0" applyFont="1" applyFill="1" applyAlignment="1">
      <alignment wrapText="1"/>
    </xf>
    <xf numFmtId="166" fontId="2" fillId="0" borderId="0" xfId="0" applyNumberFormat="1" applyFont="1" applyAlignment="1">
      <alignment horizontal="right" vertical="center"/>
    </xf>
    <xf numFmtId="0" fontId="2" fillId="6" borderId="0" xfId="0" applyFont="1" applyFill="1" applyAlignment="1">
      <alignment vertical="center"/>
    </xf>
    <xf numFmtId="166" fontId="2" fillId="6" borderId="0" xfId="0" applyNumberFormat="1" applyFont="1" applyFill="1" applyAlignment="1">
      <alignment horizontal="right" vertical="center"/>
    </xf>
    <xf numFmtId="0" fontId="2" fillId="6" borderId="0" xfId="0" applyFont="1" applyFill="1" applyAlignment="1">
      <alignment vertical="center" wrapText="1"/>
    </xf>
    <xf numFmtId="0" fontId="2" fillId="6" borderId="0" xfId="0" applyFont="1" applyFill="1" applyAlignment="1">
      <alignment horizontal="left" vertical="center"/>
    </xf>
    <xf numFmtId="0" fontId="2" fillId="6" borderId="0" xfId="0" applyFont="1" applyFill="1" applyAlignment="1">
      <alignment horizontal="left" vertical="center" wrapText="1"/>
    </xf>
    <xf numFmtId="0" fontId="2" fillId="6" borderId="0" xfId="0" applyFont="1" applyFill="1" applyAlignment="1">
      <alignment horizontal="center" vertical="center" wrapText="1"/>
    </xf>
    <xf numFmtId="0" fontId="2" fillId="13" borderId="0" xfId="0" applyFont="1" applyFill="1" applyAlignment="1">
      <alignment vertical="center"/>
    </xf>
    <xf numFmtId="166" fontId="2" fillId="13" borderId="0" xfId="0" applyNumberFormat="1" applyFont="1" applyFill="1" applyAlignment="1">
      <alignment horizontal="right" vertical="center"/>
    </xf>
    <xf numFmtId="0" fontId="2" fillId="13" borderId="0" xfId="0" applyFont="1" applyFill="1" applyAlignment="1">
      <alignment vertical="center" wrapText="1"/>
    </xf>
    <xf numFmtId="0" fontId="2" fillId="13" borderId="0" xfId="0" applyFont="1" applyFill="1" applyAlignment="1">
      <alignment horizontal="left" vertical="center" wrapText="1"/>
    </xf>
    <xf numFmtId="0" fontId="2" fillId="13" borderId="0" xfId="0" applyFont="1" applyFill="1" applyAlignment="1">
      <alignment wrapText="1"/>
    </xf>
    <xf numFmtId="0" fontId="2" fillId="13" borderId="0" xfId="0" applyFont="1" applyFill="1" applyAlignment="1">
      <alignment horizontal="center" vertical="center" wrapText="1"/>
    </xf>
    <xf numFmtId="0" fontId="2" fillId="12" borderId="0" xfId="0" applyFont="1" applyFill="1" applyAlignment="1">
      <alignment vertical="center"/>
    </xf>
    <xf numFmtId="166" fontId="2" fillId="12" borderId="0" xfId="0" applyNumberFormat="1" applyFont="1" applyFill="1" applyAlignment="1">
      <alignment horizontal="right" vertical="center"/>
    </xf>
    <xf numFmtId="0" fontId="2" fillId="12" borderId="0" xfId="0" applyFont="1" applyFill="1" applyAlignment="1">
      <alignment vertical="center" wrapText="1"/>
    </xf>
    <xf numFmtId="0" fontId="2" fillId="12" borderId="0" xfId="0" applyFont="1" applyFill="1" applyAlignment="1">
      <alignment horizontal="left" vertical="center" wrapText="1"/>
    </xf>
    <xf numFmtId="0" fontId="7" fillId="12" borderId="0" xfId="0" applyFont="1" applyFill="1" applyAlignment="1">
      <alignment vertical="center"/>
    </xf>
    <xf numFmtId="168" fontId="2" fillId="12" borderId="0" xfId="0" applyNumberFormat="1" applyFont="1" applyFill="1" applyAlignment="1">
      <alignment vertical="center"/>
    </xf>
    <xf numFmtId="0" fontId="2" fillId="12" borderId="0" xfId="0" applyFont="1" applyFill="1" applyAlignment="1">
      <alignment horizontal="center" vertical="center" wrapText="1"/>
    </xf>
    <xf numFmtId="0" fontId="2" fillId="14" borderId="0" xfId="0" applyFont="1" applyFill="1" applyAlignment="1">
      <alignment vertical="center"/>
    </xf>
    <xf numFmtId="166" fontId="2" fillId="14" borderId="0" xfId="0" applyNumberFormat="1" applyFont="1" applyFill="1" applyAlignment="1">
      <alignment horizontal="right" vertical="center"/>
    </xf>
    <xf numFmtId="0" fontId="2" fillId="14" borderId="0" xfId="0" applyFont="1" applyFill="1" applyAlignment="1">
      <alignment vertical="center" wrapText="1"/>
    </xf>
    <xf numFmtId="0" fontId="2" fillId="14" borderId="0" xfId="0" applyFont="1" applyFill="1" applyAlignment="1">
      <alignment horizontal="left" vertical="center"/>
    </xf>
    <xf numFmtId="0" fontId="2" fillId="14" borderId="0" xfId="0" applyFont="1" applyFill="1" applyAlignment="1">
      <alignment horizontal="left" vertical="center" wrapText="1"/>
    </xf>
    <xf numFmtId="0" fontId="2" fillId="14" borderId="0" xfId="0" applyFont="1" applyFill="1" applyAlignment="1">
      <alignment horizontal="center" vertical="center" wrapText="1"/>
    </xf>
    <xf numFmtId="0" fontId="19" fillId="2" borderId="0" xfId="0" applyFont="1" applyFill="1" applyAlignment="1">
      <alignment horizontal="left" vertical="center" wrapText="1"/>
    </xf>
    <xf numFmtId="166" fontId="19" fillId="2" borderId="0" xfId="0" applyNumberFormat="1" applyFont="1" applyFill="1" applyAlignment="1">
      <alignment horizontal="left" vertical="center" wrapText="1"/>
    </xf>
    <xf numFmtId="0" fontId="0" fillId="2" borderId="0" xfId="0" applyFill="1" applyAlignment="1">
      <alignment horizontal="left" vertical="center" wrapText="1"/>
    </xf>
    <xf numFmtId="0" fontId="15" fillId="0" borderId="0" xfId="0" applyFont="1" applyAlignment="1">
      <alignment horizontal="left" vertical="center"/>
    </xf>
    <xf numFmtId="0" fontId="0" fillId="4" borderId="0" xfId="0" applyFill="1" applyAlignment="1">
      <alignment horizontal="left" vertical="center"/>
    </xf>
    <xf numFmtId="165" fontId="15" fillId="0" borderId="0" xfId="0" applyNumberFormat="1" applyFont="1" applyAlignment="1">
      <alignment horizontal="left" vertical="center"/>
    </xf>
    <xf numFmtId="0" fontId="0" fillId="0" borderId="0" xfId="0" applyAlignment="1">
      <alignment horizontal="left" vertical="center" wrapText="1"/>
    </xf>
    <xf numFmtId="0" fontId="15" fillId="4" borderId="0" xfId="0" applyFont="1" applyFill="1" applyAlignment="1">
      <alignment horizontal="left" vertical="center"/>
    </xf>
    <xf numFmtId="168" fontId="15" fillId="4" borderId="0" xfId="0" applyNumberFormat="1" applyFont="1" applyFill="1" applyAlignment="1">
      <alignment horizontal="left" vertical="center"/>
    </xf>
    <xf numFmtId="167" fontId="15" fillId="15" borderId="0" xfId="0" applyNumberFormat="1" applyFont="1" applyFill="1" applyAlignment="1">
      <alignment horizontal="left" vertical="center" wrapText="1"/>
    </xf>
    <xf numFmtId="166" fontId="15" fillId="4" borderId="0" xfId="0" applyNumberFormat="1" applyFont="1" applyFill="1" applyAlignment="1">
      <alignment horizontal="left" vertical="center"/>
    </xf>
    <xf numFmtId="166" fontId="15" fillId="4" borderId="0" xfId="0" applyNumberFormat="1" applyFont="1" applyFill="1" applyAlignment="1">
      <alignment horizontal="left" vertical="center" wrapText="1"/>
    </xf>
    <xf numFmtId="0" fontId="0" fillId="4" borderId="0" xfId="0" applyFill="1" applyAlignment="1">
      <alignment horizontal="left" vertical="center" wrapText="1"/>
    </xf>
    <xf numFmtId="0" fontId="20" fillId="4" borderId="0" xfId="0" applyFont="1" applyFill="1" applyAlignment="1">
      <alignment horizontal="left" vertical="center"/>
    </xf>
    <xf numFmtId="0" fontId="21" fillId="16" borderId="0" xfId="0" applyFont="1" applyFill="1" applyAlignment="1">
      <alignment horizontal="left" vertical="center"/>
    </xf>
    <xf numFmtId="0" fontId="21" fillId="4" borderId="0" xfId="0" applyFont="1" applyFill="1" applyAlignment="1">
      <alignment horizontal="left" vertical="center"/>
    </xf>
    <xf numFmtId="165" fontId="22" fillId="4" borderId="0" xfId="0" applyNumberFormat="1" applyFont="1" applyFill="1" applyAlignment="1">
      <alignment horizontal="left" vertical="center"/>
    </xf>
    <xf numFmtId="0" fontId="15" fillId="4" borderId="0" xfId="0" applyFont="1" applyFill="1" applyAlignment="1">
      <alignment horizontal="left" vertical="center" wrapText="1"/>
    </xf>
    <xf numFmtId="0" fontId="23" fillId="4" borderId="0" xfId="0" applyFont="1" applyFill="1" applyAlignment="1">
      <alignment vertical="center"/>
    </xf>
    <xf numFmtId="0" fontId="15" fillId="4" borderId="0" xfId="0" applyFont="1" applyFill="1" applyAlignment="1">
      <alignment vertical="center" wrapText="1"/>
    </xf>
    <xf numFmtId="0" fontId="0" fillId="4" borderId="0" xfId="0" applyFill="1" applyAlignment="1">
      <alignment vertical="center" wrapText="1"/>
    </xf>
    <xf numFmtId="170" fontId="15" fillId="0" borderId="0" xfId="0" applyNumberFormat="1" applyFont="1" applyAlignment="1">
      <alignment horizontal="left" vertical="center" wrapText="1"/>
    </xf>
    <xf numFmtId="0" fontId="0" fillId="4" borderId="0" xfId="0" applyFill="1" applyAlignment="1">
      <alignment vertical="center"/>
    </xf>
    <xf numFmtId="0" fontId="21" fillId="16" borderId="0" xfId="0" applyFont="1" applyFill="1" applyAlignment="1">
      <alignment vertical="center"/>
    </xf>
    <xf numFmtId="0" fontId="21" fillId="4" borderId="0" xfId="0" applyFont="1" applyFill="1" applyAlignment="1">
      <alignment vertical="center" wrapText="1"/>
    </xf>
    <xf numFmtId="167" fontId="15" fillId="4" borderId="0" xfId="0" applyNumberFormat="1" applyFont="1" applyFill="1" applyAlignment="1">
      <alignment horizontal="left" vertical="center"/>
    </xf>
    <xf numFmtId="167" fontId="15" fillId="0" borderId="0" xfId="0" applyNumberFormat="1" applyFont="1" applyAlignment="1">
      <alignment horizontal="left" vertical="center"/>
    </xf>
    <xf numFmtId="0" fontId="24" fillId="4" borderId="0" xfId="0" applyFont="1" applyFill="1" applyAlignment="1">
      <alignment vertical="center"/>
    </xf>
    <xf numFmtId="168" fontId="15" fillId="4" borderId="0" xfId="0" applyNumberFormat="1" applyFont="1" applyFill="1" applyAlignment="1">
      <alignment horizontal="left" vertical="center" wrapText="1"/>
    </xf>
    <xf numFmtId="0" fontId="15" fillId="0" borderId="0" xfId="0" applyFont="1" applyAlignment="1">
      <alignment vertical="center"/>
    </xf>
    <xf numFmtId="165" fontId="15" fillId="4" borderId="0" xfId="0" applyNumberFormat="1" applyFont="1" applyFill="1" applyAlignment="1">
      <alignment horizontal="left" vertical="center" wrapText="1"/>
    </xf>
    <xf numFmtId="0" fontId="0" fillId="4" borderId="0" xfId="0" applyFill="1" applyAlignment="1">
      <alignment horizontal="right" vertical="center"/>
    </xf>
    <xf numFmtId="0" fontId="25" fillId="4" borderId="0" xfId="0" applyFont="1" applyFill="1" applyAlignment="1">
      <alignment vertical="center"/>
    </xf>
    <xf numFmtId="0" fontId="0" fillId="0" borderId="0" xfId="0" applyAlignment="1">
      <alignment horizontal="right" vertical="center"/>
    </xf>
    <xf numFmtId="0" fontId="15" fillId="3" borderId="0" xfId="0" applyFont="1" applyFill="1" applyAlignment="1">
      <alignment horizontal="left" vertical="center"/>
    </xf>
    <xf numFmtId="0" fontId="15" fillId="15" borderId="0" xfId="0" applyFont="1" applyFill="1" applyAlignment="1">
      <alignment horizontal="left" vertical="center"/>
    </xf>
    <xf numFmtId="0" fontId="26" fillId="16" borderId="1" xfId="0" applyFont="1" applyFill="1" applyBorder="1" applyAlignment="1">
      <alignment vertical="center"/>
    </xf>
    <xf numFmtId="171" fontId="15" fillId="0" borderId="0" xfId="0" applyNumberFormat="1" applyFont="1" applyAlignment="1">
      <alignment horizontal="left" vertical="center"/>
    </xf>
    <xf numFmtId="0" fontId="27" fillId="4" borderId="0" xfId="0" applyFont="1" applyFill="1" applyAlignment="1">
      <alignment vertical="center"/>
    </xf>
    <xf numFmtId="0" fontId="28" fillId="5" borderId="0" xfId="0" applyFont="1" applyFill="1" applyAlignment="1">
      <alignment horizontal="left" vertical="center"/>
    </xf>
    <xf numFmtId="165" fontId="28" fillId="5" borderId="0" xfId="0" applyNumberFormat="1" applyFont="1" applyFill="1" applyAlignment="1">
      <alignment horizontal="left" vertical="center"/>
    </xf>
    <xf numFmtId="0" fontId="29" fillId="5" borderId="0" xfId="0" applyFont="1" applyFill="1" applyAlignment="1">
      <alignment horizontal="left" vertical="center"/>
    </xf>
    <xf numFmtId="0" fontId="27" fillId="5" borderId="0" xfId="0" applyFont="1" applyFill="1" applyAlignment="1">
      <alignment vertical="center"/>
    </xf>
    <xf numFmtId="0" fontId="15" fillId="5" borderId="0" xfId="0" applyFont="1" applyFill="1" applyAlignment="1">
      <alignment horizontal="left" vertical="center" wrapText="1"/>
    </xf>
    <xf numFmtId="0" fontId="15" fillId="5" borderId="0" xfId="0" applyFont="1" applyFill="1" applyAlignment="1">
      <alignment horizontal="left" vertical="center"/>
    </xf>
    <xf numFmtId="0" fontId="28" fillId="4" borderId="0" xfId="0" applyFont="1" applyFill="1" applyAlignment="1">
      <alignment horizontal="left" vertical="center"/>
    </xf>
    <xf numFmtId="0" fontId="29" fillId="4" borderId="0" xfId="0" applyFont="1" applyFill="1" applyAlignment="1">
      <alignment horizontal="left" vertical="center"/>
    </xf>
    <xf numFmtId="0" fontId="30" fillId="4" borderId="0" xfId="0" applyFont="1" applyFill="1" applyAlignment="1">
      <alignment vertical="center"/>
    </xf>
    <xf numFmtId="0" fontId="0" fillId="0" borderId="0" xfId="0" applyAlignment="1">
      <alignment horizontal="left" vertical="center"/>
    </xf>
    <xf numFmtId="164" fontId="15" fillId="0" borderId="0" xfId="0" applyNumberFormat="1" applyFont="1" applyAlignment="1">
      <alignment horizontal="left" vertical="center" wrapText="1"/>
    </xf>
    <xf numFmtId="0" fontId="31" fillId="4" borderId="0" xfId="0" applyFont="1" applyFill="1" applyAlignment="1">
      <alignment vertical="center"/>
    </xf>
    <xf numFmtId="0" fontId="31" fillId="0" borderId="0" xfId="0" applyFont="1" applyAlignment="1">
      <alignment vertical="center"/>
    </xf>
    <xf numFmtId="0" fontId="2" fillId="3" borderId="0" xfId="0" applyFont="1" applyFill="1" applyAlignment="1">
      <alignment vertical="center"/>
    </xf>
    <xf numFmtId="0" fontId="2" fillId="15" borderId="0" xfId="0" applyFont="1" applyFill="1" applyAlignment="1">
      <alignment vertical="center"/>
    </xf>
    <xf numFmtId="166" fontId="32" fillId="2" borderId="0" xfId="0" applyNumberFormat="1" applyFont="1" applyFill="1" applyAlignment="1">
      <alignment horizontal="center" vertical="center" wrapText="1"/>
    </xf>
    <xf numFmtId="164" fontId="32" fillId="2" borderId="0" xfId="0" applyNumberFormat="1" applyFont="1" applyFill="1" applyAlignment="1">
      <alignment horizontal="center" vertical="center" wrapText="1"/>
    </xf>
    <xf numFmtId="0" fontId="32" fillId="2" borderId="0" xfId="0" applyFont="1" applyFill="1" applyAlignment="1">
      <alignment horizontal="center" vertical="center" wrapText="1"/>
    </xf>
    <xf numFmtId="0" fontId="33" fillId="17" borderId="0" xfId="0" applyFont="1" applyFill="1" applyAlignment="1">
      <alignment horizontal="left" vertical="center" wrapText="1"/>
    </xf>
    <xf numFmtId="0" fontId="32" fillId="2" borderId="0" xfId="0" applyFont="1" applyFill="1" applyAlignment="1">
      <alignment horizontal="left" vertical="center" wrapText="1"/>
    </xf>
    <xf numFmtId="0" fontId="34"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horizontal="center" vertical="center"/>
    </xf>
    <xf numFmtId="164" fontId="35" fillId="4" borderId="0" xfId="0" applyNumberFormat="1" applyFont="1" applyFill="1" applyAlignment="1">
      <alignment horizontal="center" vertical="center"/>
    </xf>
    <xf numFmtId="0" fontId="7" fillId="0" borderId="0" xfId="0" applyFont="1" applyAlignment="1">
      <alignment horizontal="center" vertical="center" wrapText="1"/>
    </xf>
    <xf numFmtId="0" fontId="36" fillId="18" borderId="0" xfId="0" applyFont="1" applyFill="1" applyAlignment="1">
      <alignment horizontal="left" vertical="center" wrapText="1"/>
    </xf>
    <xf numFmtId="0" fontId="7" fillId="4" borderId="0" xfId="0" applyFont="1" applyFill="1" applyAlignment="1">
      <alignment horizontal="center" vertical="center" wrapText="1"/>
    </xf>
    <xf numFmtId="0" fontId="7" fillId="19" borderId="0" xfId="0" applyFont="1" applyFill="1" applyAlignment="1">
      <alignment horizontal="center" vertical="center" wrapText="1"/>
    </xf>
    <xf numFmtId="169" fontId="7" fillId="20" borderId="0" xfId="0" applyNumberFormat="1" applyFont="1" applyFill="1" applyAlignment="1">
      <alignment horizontal="center" vertical="center"/>
    </xf>
    <xf numFmtId="169" fontId="7" fillId="0" borderId="0" xfId="0" applyNumberFormat="1" applyFont="1" applyAlignment="1">
      <alignment horizontal="center" vertical="center" wrapText="1"/>
    </xf>
    <xf numFmtId="164" fontId="7" fillId="0" borderId="0" xfId="0" applyNumberFormat="1" applyFont="1" applyAlignment="1">
      <alignment horizontal="center" vertical="center" wrapText="1"/>
    </xf>
    <xf numFmtId="0" fontId="37" fillId="18" borderId="0" xfId="0" applyFont="1" applyFill="1" applyAlignment="1">
      <alignment horizontal="left" vertical="center"/>
    </xf>
    <xf numFmtId="0" fontId="7" fillId="19" borderId="0" xfId="0" applyFont="1" applyFill="1" applyAlignment="1">
      <alignment horizontal="center" vertical="center"/>
    </xf>
    <xf numFmtId="0" fontId="7" fillId="20" borderId="0" xfId="0" applyFont="1" applyFill="1" applyAlignment="1">
      <alignment horizontal="center" vertical="center"/>
    </xf>
    <xf numFmtId="0" fontId="36" fillId="18" borderId="0" xfId="0" applyFont="1" applyFill="1" applyAlignment="1">
      <alignment horizontal="left" vertical="center"/>
    </xf>
    <xf numFmtId="0" fontId="7" fillId="4" borderId="0" xfId="0" applyFont="1" applyFill="1" applyAlignment="1">
      <alignment horizontal="center" vertical="center"/>
    </xf>
    <xf numFmtId="164" fontId="7" fillId="0" borderId="0" xfId="0" applyNumberFormat="1" applyFont="1" applyAlignment="1">
      <alignment horizontal="center" vertical="center"/>
    </xf>
    <xf numFmtId="0" fontId="38" fillId="4" borderId="0" xfId="0" applyFont="1" applyFill="1" applyAlignment="1">
      <alignment horizontal="left" vertical="center"/>
    </xf>
    <xf numFmtId="172" fontId="7" fillId="20" borderId="0" xfId="0" applyNumberFormat="1" applyFont="1" applyFill="1" applyAlignment="1">
      <alignment horizontal="center" vertical="center"/>
    </xf>
    <xf numFmtId="0" fontId="7" fillId="4" borderId="0" xfId="0" applyFont="1" applyFill="1" applyAlignment="1">
      <alignment horizontal="left" vertical="center" wrapText="1"/>
    </xf>
    <xf numFmtId="0" fontId="39" fillId="4" borderId="0" xfId="0" applyFont="1" applyFill="1" applyAlignment="1">
      <alignment horizontal="center" vertical="center"/>
    </xf>
    <xf numFmtId="164" fontId="39" fillId="0" borderId="0" xfId="0" applyNumberFormat="1" applyFont="1" applyAlignment="1">
      <alignment horizontal="center" vertical="center"/>
    </xf>
    <xf numFmtId="0" fontId="39" fillId="0" borderId="0" xfId="0" applyFont="1" applyAlignment="1">
      <alignment horizontal="center" vertical="center"/>
    </xf>
    <xf numFmtId="0" fontId="37" fillId="18" borderId="0" xfId="0" applyFont="1" applyFill="1" applyAlignment="1">
      <alignment vertical="center"/>
    </xf>
    <xf numFmtId="0" fontId="8" fillId="4" borderId="0" xfId="0" applyFont="1" applyFill="1" applyAlignment="1">
      <alignment horizontal="left" vertical="center"/>
    </xf>
    <xf numFmtId="0" fontId="39" fillId="19" borderId="0" xfId="0" applyFont="1" applyFill="1" applyAlignment="1">
      <alignment horizontal="center" vertical="center"/>
    </xf>
    <xf numFmtId="0" fontId="39" fillId="0" borderId="0" xfId="0" applyFont="1" applyAlignment="1">
      <alignment horizontal="left" vertical="center" wrapText="1"/>
    </xf>
    <xf numFmtId="172" fontId="39" fillId="20" borderId="0" xfId="0" applyNumberFormat="1" applyFont="1" applyFill="1" applyAlignment="1">
      <alignment horizontal="center" vertical="center"/>
    </xf>
    <xf numFmtId="0" fontId="39" fillId="0" borderId="0" xfId="0" applyFont="1" applyAlignment="1">
      <alignment horizontal="center" vertical="center" wrapText="1"/>
    </xf>
    <xf numFmtId="0" fontId="39" fillId="0" borderId="0" xfId="0" applyFont="1" applyAlignment="1">
      <alignment horizontal="left" vertical="center"/>
    </xf>
    <xf numFmtId="0" fontId="39" fillId="4" borderId="0" xfId="0" applyFont="1" applyFill="1" applyAlignment="1">
      <alignment horizontal="left" vertical="center" wrapText="1"/>
    </xf>
    <xf numFmtId="164" fontId="7" fillId="4" borderId="0" xfId="0" applyNumberFormat="1" applyFont="1" applyFill="1" applyAlignment="1">
      <alignment horizontal="center" vertical="center"/>
    </xf>
    <xf numFmtId="0" fontId="7" fillId="4" borderId="0" xfId="0" applyFont="1" applyFill="1" applyAlignment="1">
      <alignment horizontal="left" vertical="center"/>
    </xf>
    <xf numFmtId="169" fontId="7" fillId="0" borderId="0" xfId="0" applyNumberFormat="1" applyFont="1" applyAlignment="1">
      <alignment horizontal="center" vertical="center"/>
    </xf>
    <xf numFmtId="0" fontId="7" fillId="0" borderId="0" xfId="0" applyFont="1" applyAlignment="1">
      <alignment vertical="center"/>
    </xf>
    <xf numFmtId="0" fontId="38" fillId="16" borderId="0" xfId="0" applyFont="1" applyFill="1" applyAlignment="1">
      <alignment horizontal="center" vertical="center"/>
    </xf>
    <xf numFmtId="0" fontId="40" fillId="0" borderId="0" xfId="0" applyFont="1" applyAlignment="1">
      <alignment horizontal="left" vertical="center"/>
    </xf>
    <xf numFmtId="171" fontId="7" fillId="0" borderId="0" xfId="0" applyNumberFormat="1" applyFont="1" applyAlignment="1">
      <alignment horizontal="center" vertical="center"/>
    </xf>
    <xf numFmtId="0" fontId="38" fillId="4" borderId="0" xfId="0" applyFont="1" applyFill="1" applyAlignment="1">
      <alignment horizontal="center" vertical="center"/>
    </xf>
    <xf numFmtId="0" fontId="39" fillId="4" borderId="0" xfId="0" applyFont="1" applyFill="1" applyAlignment="1">
      <alignment vertical="center"/>
    </xf>
    <xf numFmtId="0" fontId="39" fillId="21" borderId="0" xfId="0" applyFont="1" applyFill="1" applyAlignment="1">
      <alignment horizontal="center" vertical="center"/>
    </xf>
    <xf numFmtId="171" fontId="39" fillId="21" borderId="0" xfId="0" applyNumberFormat="1" applyFont="1" applyFill="1" applyAlignment="1">
      <alignment horizontal="center" vertical="center"/>
    </xf>
    <xf numFmtId="164" fontId="37" fillId="21" borderId="0" xfId="0" applyNumberFormat="1" applyFont="1" applyFill="1" applyAlignment="1">
      <alignment horizontal="left" vertical="center"/>
    </xf>
    <xf numFmtId="0" fontId="39" fillId="21" borderId="0" xfId="0" applyFont="1" applyFill="1" applyAlignment="1">
      <alignment horizontal="left" vertical="center"/>
    </xf>
    <xf numFmtId="0" fontId="39" fillId="21" borderId="0" xfId="0" applyFont="1" applyFill="1" applyAlignment="1">
      <alignment vertical="center"/>
    </xf>
    <xf numFmtId="0" fontId="39" fillId="21" borderId="0" xfId="0" applyFont="1" applyFill="1" applyAlignment="1">
      <alignment horizontal="left" vertical="center" wrapText="1"/>
    </xf>
    <xf numFmtId="0" fontId="41" fillId="19" borderId="0" xfId="0" applyFont="1" applyFill="1" applyAlignment="1">
      <alignment vertical="center"/>
    </xf>
    <xf numFmtId="164" fontId="36" fillId="22" borderId="0" xfId="0" applyNumberFormat="1" applyFont="1" applyFill="1" applyAlignment="1">
      <alignment horizontal="center" vertical="center"/>
    </xf>
    <xf numFmtId="0" fontId="7" fillId="22" borderId="0" xfId="0" applyFont="1" applyFill="1" applyAlignment="1">
      <alignment horizontal="center" vertical="center"/>
    </xf>
    <xf numFmtId="0" fontId="26" fillId="19" borderId="0" xfId="0" applyFont="1" applyFill="1" applyAlignment="1">
      <alignment vertical="center"/>
    </xf>
    <xf numFmtId="0" fontId="7" fillId="22" borderId="0" xfId="0" applyFont="1" applyFill="1" applyAlignment="1">
      <alignment horizontal="left" vertical="center"/>
    </xf>
    <xf numFmtId="0" fontId="39" fillId="22" borderId="0" xfId="0" applyFont="1" applyFill="1" applyAlignment="1">
      <alignment vertical="center"/>
    </xf>
    <xf numFmtId="0" fontId="7" fillId="22" borderId="0" xfId="0" applyFont="1" applyFill="1" applyAlignment="1">
      <alignment vertical="center"/>
    </xf>
    <xf numFmtId="0" fontId="7" fillId="4" borderId="2" xfId="0" applyFont="1" applyFill="1" applyBorder="1" applyAlignment="1">
      <alignment horizontal="center" vertical="center"/>
    </xf>
    <xf numFmtId="0" fontId="36" fillId="4" borderId="0" xfId="0" applyFont="1" applyFill="1" applyAlignment="1">
      <alignment horizontal="left" vertical="center"/>
    </xf>
    <xf numFmtId="0" fontId="37" fillId="4" borderId="0" xfId="0" applyFont="1" applyFill="1" applyAlignment="1">
      <alignment horizontal="left" vertical="center"/>
    </xf>
    <xf numFmtId="164" fontId="2" fillId="0" borderId="0" xfId="0" applyNumberFormat="1" applyFont="1" applyAlignment="1">
      <alignment horizontal="center" vertical="center"/>
    </xf>
    <xf numFmtId="0" fontId="2" fillId="4" borderId="0" xfId="0" applyFont="1" applyFill="1" applyAlignment="1">
      <alignment horizontal="center" vertical="center"/>
    </xf>
    <xf numFmtId="0" fontId="39" fillId="16" borderId="0" xfId="0" applyFont="1" applyFill="1" applyAlignment="1">
      <alignment horizontal="center" vertical="center"/>
    </xf>
    <xf numFmtId="0" fontId="37" fillId="18" borderId="0" xfId="0" applyFont="1" applyFill="1" applyAlignment="1">
      <alignment horizontal="center" vertical="center"/>
    </xf>
    <xf numFmtId="0" fontId="7" fillId="5" borderId="0" xfId="0" applyFont="1" applyFill="1" applyAlignment="1">
      <alignment horizontal="center" vertical="center"/>
    </xf>
    <xf numFmtId="0" fontId="39" fillId="4" borderId="0" xfId="0" applyFont="1" applyFill="1" applyAlignment="1">
      <alignment horizontal="left" vertical="center"/>
    </xf>
    <xf numFmtId="0" fontId="7" fillId="3" borderId="0" xfId="0" applyFont="1" applyFill="1" applyAlignment="1">
      <alignment horizontal="center" vertical="center" wrapText="1"/>
    </xf>
    <xf numFmtId="0" fontId="7" fillId="16" borderId="0" xfId="0" applyFont="1" applyFill="1" applyAlignment="1">
      <alignment horizontal="center" vertical="center"/>
    </xf>
    <xf numFmtId="0" fontId="36" fillId="18" borderId="0" xfId="0" applyFont="1" applyFill="1" applyAlignment="1">
      <alignment horizontal="center" vertical="center"/>
    </xf>
    <xf numFmtId="165" fontId="39" fillId="0" borderId="0" xfId="0" applyNumberFormat="1" applyFont="1" applyAlignment="1">
      <alignment horizontal="center" vertical="center"/>
    </xf>
    <xf numFmtId="0" fontId="39" fillId="5" borderId="0" xfId="0" applyFont="1" applyFill="1" applyAlignment="1">
      <alignment horizontal="center" vertical="center"/>
    </xf>
    <xf numFmtId="0" fontId="39" fillId="23" borderId="0" xfId="0" applyFont="1" applyFill="1" applyAlignment="1">
      <alignment horizontal="center" vertical="center"/>
    </xf>
    <xf numFmtId="0" fontId="39" fillId="20" borderId="0" xfId="0" applyFont="1" applyFill="1" applyAlignment="1">
      <alignment horizontal="center" vertical="center"/>
    </xf>
    <xf numFmtId="165" fontId="7" fillId="0" borderId="0" xfId="0" applyNumberFormat="1" applyFont="1" applyAlignment="1">
      <alignment horizontal="center" vertical="center"/>
    </xf>
    <xf numFmtId="171" fontId="39" fillId="0" borderId="0" xfId="0" applyNumberFormat="1" applyFont="1" applyAlignment="1">
      <alignment horizontal="center" vertical="center"/>
    </xf>
    <xf numFmtId="0" fontId="7" fillId="23" borderId="0" xfId="0" applyFont="1" applyFill="1" applyAlignment="1">
      <alignment horizontal="center" vertical="center"/>
    </xf>
    <xf numFmtId="171" fontId="39" fillId="4" borderId="0" xfId="0" applyNumberFormat="1" applyFont="1" applyFill="1" applyAlignment="1">
      <alignment horizontal="center" vertical="center"/>
    </xf>
    <xf numFmtId="0" fontId="10" fillId="16" borderId="0" xfId="0" applyFont="1" applyFill="1" applyAlignment="1">
      <alignment horizontal="center" vertical="center"/>
    </xf>
    <xf numFmtId="164" fontId="39" fillId="4" borderId="0" xfId="0" applyNumberFormat="1" applyFont="1" applyFill="1" applyAlignment="1">
      <alignment horizontal="center" vertical="center"/>
    </xf>
    <xf numFmtId="0" fontId="39" fillId="5" borderId="0" xfId="0" applyFont="1" applyFill="1" applyAlignment="1">
      <alignment horizontal="left"/>
    </xf>
    <xf numFmtId="0" fontId="39" fillId="4" borderId="0" xfId="0" applyFont="1" applyFill="1" applyAlignment="1">
      <alignment horizontal="left"/>
    </xf>
    <xf numFmtId="0" fontId="39" fillId="3" borderId="0" xfId="0" applyFont="1" applyFill="1" applyAlignment="1">
      <alignment horizontal="center" vertical="center" wrapText="1"/>
    </xf>
    <xf numFmtId="0" fontId="42" fillId="24" borderId="0" xfId="0" applyFont="1" applyFill="1" applyAlignment="1">
      <alignment horizontal="center" vertical="center"/>
    </xf>
    <xf numFmtId="164" fontId="32" fillId="24" borderId="0" xfId="0" applyNumberFormat="1" applyFont="1" applyFill="1" applyAlignment="1">
      <alignment horizontal="center" vertical="center"/>
    </xf>
    <xf numFmtId="0" fontId="7" fillId="24" borderId="0" xfId="0" applyFont="1" applyFill="1" applyAlignment="1">
      <alignment horizontal="center" vertical="center"/>
    </xf>
    <xf numFmtId="0" fontId="26" fillId="24" borderId="0" xfId="0" applyFont="1" applyFill="1" applyAlignment="1">
      <alignment horizontal="center" vertical="center"/>
    </xf>
    <xf numFmtId="0" fontId="7" fillId="24" borderId="0" xfId="0" applyFont="1" applyFill="1" applyAlignment="1">
      <alignment horizontal="left" vertical="center"/>
    </xf>
    <xf numFmtId="166" fontId="32" fillId="17" borderId="0" xfId="0" applyNumberFormat="1" applyFont="1" applyFill="1" applyAlignment="1">
      <alignment horizontal="center" vertical="center" wrapText="1"/>
    </xf>
    <xf numFmtId="164" fontId="32" fillId="17" borderId="0" xfId="0" applyNumberFormat="1" applyFont="1" applyFill="1" applyAlignment="1">
      <alignment horizontal="center" vertical="center" wrapText="1"/>
    </xf>
    <xf numFmtId="0" fontId="32" fillId="17" borderId="0" xfId="0" applyFont="1" applyFill="1" applyAlignment="1">
      <alignment horizontal="center" vertical="center" wrapText="1"/>
    </xf>
    <xf numFmtId="0" fontId="7" fillId="17" borderId="0" xfId="0" applyFont="1" applyFill="1" applyAlignment="1">
      <alignment horizontal="center" vertical="center"/>
    </xf>
    <xf numFmtId="0" fontId="10" fillId="5" borderId="0" xfId="0" applyFont="1" applyFill="1" applyAlignment="1">
      <alignment horizontal="center" vertical="center"/>
    </xf>
    <xf numFmtId="0" fontId="5" fillId="5" borderId="0" xfId="0" applyFont="1" applyFill="1" applyAlignment="1">
      <alignment horizontal="center" vertical="center"/>
    </xf>
    <xf numFmtId="0" fontId="5" fillId="0" borderId="0" xfId="0" applyFont="1" applyAlignment="1">
      <alignment horizontal="center" vertical="center"/>
    </xf>
    <xf numFmtId="0" fontId="43" fillId="0" borderId="0" xfId="0" applyFont="1" applyAlignment="1">
      <alignment horizontal="center" vertical="center"/>
    </xf>
    <xf numFmtId="0" fontId="2" fillId="5" borderId="0" xfId="0" applyFont="1" applyFill="1" applyAlignment="1">
      <alignment horizontal="center" vertical="center"/>
    </xf>
    <xf numFmtId="0" fontId="44" fillId="4" borderId="0" xfId="0" applyFont="1" applyFill="1" applyAlignment="1">
      <alignment horizontal="center" vertical="center"/>
    </xf>
    <xf numFmtId="0" fontId="37" fillId="4" borderId="0" xfId="0" applyFont="1" applyFill="1" applyAlignment="1">
      <alignment horizontal="center" vertical="center"/>
    </xf>
    <xf numFmtId="0" fontId="45" fillId="4" borderId="0" xfId="0" applyFont="1" applyFill="1" applyAlignment="1">
      <alignment horizontal="center" vertical="center"/>
    </xf>
    <xf numFmtId="0" fontId="15" fillId="5" borderId="0" xfId="0" applyFont="1" applyFill="1" applyAlignment="1">
      <alignment horizontal="center" vertical="center"/>
    </xf>
    <xf numFmtId="164" fontId="37" fillId="18" borderId="0" xfId="0" applyNumberFormat="1" applyFont="1" applyFill="1" applyAlignment="1">
      <alignment horizontal="center" vertical="center"/>
    </xf>
    <xf numFmtId="0" fontId="2" fillId="18" borderId="0" xfId="0" applyFont="1" applyFill="1"/>
    <xf numFmtId="0" fontId="2" fillId="19" borderId="0" xfId="0" applyFont="1" applyFill="1"/>
    <xf numFmtId="0" fontId="2" fillId="20" borderId="0" xfId="0" applyFont="1" applyFill="1"/>
    <xf numFmtId="0" fontId="5" fillId="4" borderId="0" xfId="0" applyFont="1" applyFill="1" applyAlignment="1">
      <alignment horizontal="center" vertical="center"/>
    </xf>
    <xf numFmtId="164" fontId="39" fillId="18" borderId="0" xfId="0" applyNumberFormat="1" applyFont="1" applyFill="1" applyAlignment="1">
      <alignment horizontal="center" vertical="center"/>
    </xf>
    <xf numFmtId="0" fontId="39" fillId="25" borderId="0" xfId="0" applyFont="1" applyFill="1" applyAlignment="1">
      <alignment horizontal="center" vertical="center"/>
    </xf>
    <xf numFmtId="171" fontId="37" fillId="18" borderId="0" xfId="0" applyNumberFormat="1" applyFont="1" applyFill="1" applyAlignment="1">
      <alignment horizontal="center" vertical="center"/>
    </xf>
    <xf numFmtId="0" fontId="31" fillId="0" borderId="0" xfId="0" applyFont="1" applyAlignment="1">
      <alignment horizontal="center" vertical="center"/>
    </xf>
    <xf numFmtId="0" fontId="31" fillId="5" borderId="0" xfId="0" applyFont="1" applyFill="1" applyAlignment="1">
      <alignment horizontal="center" vertical="center"/>
    </xf>
    <xf numFmtId="0" fontId="37" fillId="0" borderId="0" xfId="0" applyFont="1" applyAlignment="1">
      <alignment horizontal="center" vertical="center"/>
    </xf>
    <xf numFmtId="0" fontId="10" fillId="0" borderId="0" xfId="0" applyFont="1" applyAlignment="1">
      <alignment horizontal="center" vertical="center"/>
    </xf>
    <xf numFmtId="0" fontId="46" fillId="18" borderId="0" xfId="0" applyFont="1" applyFill="1" applyAlignment="1">
      <alignment horizontal="center" vertical="center"/>
    </xf>
    <xf numFmtId="171" fontId="39" fillId="18" borderId="0" xfId="0" applyNumberFormat="1" applyFont="1" applyFill="1" applyAlignment="1">
      <alignment horizontal="center" vertical="center"/>
    </xf>
    <xf numFmtId="0" fontId="41" fillId="18" borderId="0" xfId="0" applyFont="1" applyFill="1" applyAlignment="1">
      <alignment horizontal="center" vertical="center"/>
    </xf>
    <xf numFmtId="0" fontId="47" fillId="0" borderId="0" xfId="0" applyFont="1"/>
    <xf numFmtId="0" fontId="48" fillId="4" borderId="0" xfId="0" applyFont="1" applyFill="1" applyAlignment="1">
      <alignment horizontal="center" vertical="center"/>
    </xf>
    <xf numFmtId="0" fontId="25" fillId="4" borderId="0" xfId="0" applyFont="1" applyFill="1" applyAlignment="1">
      <alignment horizontal="center" vertical="center"/>
    </xf>
    <xf numFmtId="0" fontId="49" fillId="4" borderId="0" xfId="0" applyFont="1" applyFill="1" applyAlignment="1">
      <alignment horizontal="center" vertical="center"/>
    </xf>
    <xf numFmtId="0" fontId="50" fillId="4" borderId="0" xfId="0" applyFont="1" applyFill="1"/>
    <xf numFmtId="164" fontId="5" fillId="0" borderId="0" xfId="0" applyNumberFormat="1" applyFont="1" applyAlignment="1">
      <alignment horizontal="center" vertical="center"/>
    </xf>
    <xf numFmtId="0" fontId="5" fillId="19" borderId="0" xfId="0" applyFont="1" applyFill="1" applyAlignment="1">
      <alignment horizontal="center" vertical="center"/>
    </xf>
    <xf numFmtId="0" fontId="5" fillId="20" borderId="0" xfId="0" applyFont="1" applyFill="1" applyAlignment="1">
      <alignment horizontal="center" vertical="center"/>
    </xf>
    <xf numFmtId="0" fontId="51" fillId="0" borderId="0" xfId="0" applyFont="1" applyAlignment="1">
      <alignment horizontal="center" vertical="center"/>
    </xf>
    <xf numFmtId="164" fontId="41" fillId="18" borderId="0" xfId="0" applyNumberFormat="1" applyFont="1" applyFill="1"/>
    <xf numFmtId="0" fontId="5" fillId="18" borderId="0" xfId="0" applyFont="1" applyFill="1"/>
    <xf numFmtId="0" fontId="5" fillId="19" borderId="0" xfId="0" applyFont="1" applyFill="1"/>
    <xf numFmtId="0" fontId="5" fillId="20" borderId="0" xfId="0" applyFont="1" applyFill="1"/>
    <xf numFmtId="164" fontId="5" fillId="0" borderId="0" xfId="0" applyNumberFormat="1" applyFont="1"/>
    <xf numFmtId="171" fontId="5" fillId="0" borderId="0" xfId="0" applyNumberFormat="1" applyFont="1" applyAlignment="1">
      <alignment horizontal="center" vertical="center"/>
    </xf>
    <xf numFmtId="164" fontId="5" fillId="4" borderId="0" xfId="0" applyNumberFormat="1" applyFont="1" applyFill="1" applyAlignment="1">
      <alignment horizontal="center" vertical="center"/>
    </xf>
    <xf numFmtId="0" fontId="5" fillId="0" borderId="0" xfId="0" applyFont="1" applyAlignment="1">
      <alignment horizontal="left" vertical="center" wrapText="1"/>
    </xf>
    <xf numFmtId="0" fontId="7" fillId="0" borderId="0" xfId="0" applyFont="1" applyAlignment="1">
      <alignment vertical="center" wrapText="1"/>
    </xf>
    <xf numFmtId="0" fontId="39" fillId="21" borderId="0" xfId="0" applyFont="1" applyFill="1" applyAlignment="1">
      <alignment vertical="center" wrapText="1"/>
    </xf>
    <xf numFmtId="0" fontId="7" fillId="22" borderId="0" xfId="0" applyFont="1" applyFill="1" applyAlignment="1">
      <alignment vertical="center" wrapText="1"/>
    </xf>
    <xf numFmtId="0" fontId="7" fillId="4" borderId="0" xfId="0" applyFont="1" applyFill="1" applyAlignment="1">
      <alignment vertical="center" wrapText="1"/>
    </xf>
    <xf numFmtId="0" fontId="0" fillId="0" borderId="0" xfId="0" applyAlignment="1">
      <alignment wrapText="1"/>
    </xf>
    <xf numFmtId="0" fontId="5" fillId="4" borderId="0" xfId="0" applyFont="1" applyFill="1" applyAlignment="1">
      <alignment horizontal="left" vertical="center" wrapText="1"/>
    </xf>
    <xf numFmtId="0" fontId="10" fillId="4" borderId="0" xfId="0" applyFont="1" applyFill="1" applyAlignment="1">
      <alignment vertical="center" wrapText="1"/>
    </xf>
    <xf numFmtId="0" fontId="10" fillId="21" borderId="0" xfId="0" applyFont="1" applyFill="1" applyAlignment="1">
      <alignment vertical="center" wrapText="1"/>
    </xf>
    <xf numFmtId="0" fontId="10" fillId="4" borderId="0" xfId="0" applyFont="1" applyFill="1" applyAlignment="1">
      <alignment horizontal="left" vertical="center" wrapText="1"/>
    </xf>
    <xf numFmtId="0" fontId="5" fillId="0" borderId="0" xfId="0" applyFont="1" applyAlignment="1">
      <alignment horizontal="center" vertical="center" wrapText="1"/>
    </xf>
    <xf numFmtId="0" fontId="39" fillId="4" borderId="0" xfId="0" applyFont="1" applyFill="1" applyAlignment="1">
      <alignment horizontal="center" vertical="center" wrapText="1"/>
    </xf>
    <xf numFmtId="0" fontId="7" fillId="24" borderId="0" xfId="0" applyFont="1" applyFill="1" applyAlignment="1">
      <alignment horizontal="center" vertical="center" wrapText="1"/>
    </xf>
    <xf numFmtId="0" fontId="5" fillId="4" borderId="0" xfId="0" applyFont="1" applyFill="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10" fillId="0" borderId="0" xfId="0" applyFont="1" applyAlignment="1">
      <alignment horizontal="center" vertical="center" wrapText="1"/>
    </xf>
    <xf numFmtId="0" fontId="10" fillId="4" borderId="0" xfId="0" applyFont="1" applyFill="1" applyAlignment="1">
      <alignment horizontal="left" vertical="center"/>
    </xf>
    <xf numFmtId="0" fontId="10" fillId="4" borderId="0" xfId="0" applyFont="1" applyFill="1" applyAlignment="1">
      <alignment horizontal="center" vertical="center" wrapText="1"/>
    </xf>
    <xf numFmtId="0" fontId="5" fillId="17" borderId="0" xfId="0" applyFont="1" applyFill="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0" xfId="0" applyFont="1" applyAlignment="1">
      <alignment horizontal="center" vertical="center"/>
    </xf>
    <xf numFmtId="0" fontId="53" fillId="17" borderId="0" xfId="0" applyFont="1" applyFill="1" applyAlignment="1">
      <alignment horizontal="center" vertical="center" wrapText="1"/>
    </xf>
    <xf numFmtId="0" fontId="55" fillId="4" borderId="0" xfId="0" applyFont="1" applyFill="1" applyAlignment="1">
      <alignment horizontal="center" wrapText="1"/>
    </xf>
    <xf numFmtId="0" fontId="55" fillId="4" borderId="0" xfId="0" applyFont="1" applyFill="1" applyAlignment="1">
      <alignment horizontal="center" vertical="center"/>
    </xf>
    <xf numFmtId="0" fontId="56" fillId="0" borderId="0" xfId="0" applyFont="1"/>
    <xf numFmtId="0" fontId="57" fillId="0" borderId="0" xfId="0" applyFont="1"/>
    <xf numFmtId="0" fontId="58" fillId="4" borderId="0" xfId="0" applyFont="1" applyFill="1" applyAlignment="1">
      <alignment horizontal="center" vertical="center"/>
    </xf>
    <xf numFmtId="0" fontId="53" fillId="0" borderId="0" xfId="0" applyFont="1" applyAlignment="1">
      <alignment horizontal="center" vertical="center"/>
    </xf>
    <xf numFmtId="0" fontId="53" fillId="0" borderId="0" xfId="0" applyFont="1" applyAlignment="1">
      <alignment horizontal="center" vertical="center" wrapText="1"/>
    </xf>
    <xf numFmtId="0" fontId="59" fillId="0" borderId="0" xfId="0" applyFont="1" applyAlignment="1">
      <alignment horizontal="center" vertical="center"/>
    </xf>
    <xf numFmtId="0" fontId="53" fillId="4" borderId="0" xfId="0" applyFont="1" applyFill="1" applyAlignment="1">
      <alignment horizontal="center" vertical="center"/>
    </xf>
    <xf numFmtId="0" fontId="53" fillId="4" borderId="0" xfId="0" applyFont="1" applyFill="1" applyAlignment="1">
      <alignment horizontal="center" vertical="center" wrapText="1"/>
    </xf>
    <xf numFmtId="0" fontId="5" fillId="4" borderId="0" xfId="0" applyFont="1" applyFill="1" applyAlignment="1">
      <alignment horizontal="center" vertical="center" wrapText="1"/>
    </xf>
  </cellXfs>
  <cellStyles count="1">
    <cellStyle name="Normal" xfId="0" builtinId="0"/>
  </cellStyles>
  <dxfs count="1">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3" Type="http://schemas.openxmlformats.org/officeDocument/2006/relationships/hyperlink" Target="mailto:kreativeqsas@gmail.com" TargetMode="External"/><Relationship Id="rId2" Type="http://schemas.openxmlformats.org/officeDocument/2006/relationships/hyperlink" Target="mailto:gerencia@flotte.co" TargetMode="External"/><Relationship Id="rId1" Type="http://schemas.openxmlformats.org/officeDocument/2006/relationships/hyperlink" Target="mailto:infantem@ziskacolombia.com"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alfonsoa@gmail.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direccionadministrativa@ramtek.com.co"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mailto:marcela@eleditor.co"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mailto:admon@fibrardo.com" TargetMode="External"/><Relationship Id="rId1" Type="http://schemas.openxmlformats.org/officeDocument/2006/relationships/hyperlink" Target="mailto:dlanuevaclave@gmail.com"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mailto:facturacion@foodiegroup.co"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mailto:sstlogoplastik@hotmail.com" TargetMode="External"/><Relationship Id="rId2" Type="http://schemas.openxmlformats.org/officeDocument/2006/relationships/hyperlink" Target="mailto:empaquesbga@gmail.com" TargetMode="External"/><Relationship Id="rId1" Type="http://schemas.openxmlformats.org/officeDocument/2006/relationships/hyperlink" Target="mailto:mariajose@bolton.com.co" TargetMode="External"/><Relationship Id="rId4" Type="http://schemas.openxmlformats.org/officeDocument/2006/relationships/hyperlink" Target="mailto:mercadeodiverxo@gmail.com"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mailto:sst@pisosprestige.com" TargetMode="External"/><Relationship Id="rId2" Type="http://schemas.openxmlformats.org/officeDocument/2006/relationships/hyperlink" Target="mailto:campihuevos@gmail.com" TargetMode="External"/><Relationship Id="rId1" Type="http://schemas.openxmlformats.org/officeDocument/2006/relationships/hyperlink" Target="mailto:sisoma@dqssas.com" TargetMode="External"/><Relationship Id="rId4" Type="http://schemas.openxmlformats.org/officeDocument/2006/relationships/hyperlink" Target="mailto:gerencia@act.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02"/>
  <sheetViews>
    <sheetView workbookViewId="0">
      <pane ySplit="1" topLeftCell="A2" activePane="bottomLeft" state="frozen"/>
      <selection pane="bottomLeft" activeCell="B3" sqref="B3"/>
    </sheetView>
  </sheetViews>
  <sheetFormatPr baseColWidth="10" defaultColWidth="12.6328125" defaultRowHeight="15.75" customHeight="1"/>
  <cols>
    <col min="1" max="1" width="15" customWidth="1"/>
    <col min="2" max="2" width="12.08984375" customWidth="1"/>
    <col min="3" max="3" width="32.26953125" customWidth="1"/>
    <col min="4" max="4" width="30.08984375" customWidth="1"/>
    <col min="5" max="5" width="14.36328125" customWidth="1"/>
    <col min="6" max="6" width="11.6328125" customWidth="1"/>
    <col min="7" max="7" width="15.453125" customWidth="1"/>
    <col min="8" max="8" width="131.7265625" customWidth="1"/>
    <col min="9" max="9" width="27.26953125" customWidth="1"/>
    <col min="10" max="10" width="15.26953125" customWidth="1"/>
    <col min="11" max="12" width="25.26953125" customWidth="1"/>
    <col min="13" max="13" width="37.7265625" customWidth="1"/>
    <col min="14" max="14" width="63.36328125" customWidth="1"/>
    <col min="15" max="15" width="27.26953125" customWidth="1"/>
  </cols>
  <sheetData>
    <row r="1" spans="1:35" ht="13">
      <c r="A1" s="1" t="s">
        <v>0</v>
      </c>
      <c r="B1" s="2" t="s">
        <v>1</v>
      </c>
      <c r="C1" s="3" t="s">
        <v>2</v>
      </c>
      <c r="D1" s="3" t="s">
        <v>3</v>
      </c>
      <c r="E1" s="3" t="s">
        <v>4</v>
      </c>
      <c r="F1" s="3" t="s">
        <v>5</v>
      </c>
      <c r="G1" s="3" t="s">
        <v>6</v>
      </c>
      <c r="H1" s="3" t="s">
        <v>7</v>
      </c>
      <c r="I1" s="1" t="s">
        <v>8</v>
      </c>
      <c r="J1" s="3" t="s">
        <v>9</v>
      </c>
      <c r="K1" s="1" t="s">
        <v>10</v>
      </c>
      <c r="L1" s="1" t="s">
        <v>11</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4">
        <v>900622385</v>
      </c>
      <c r="B2" s="5"/>
      <c r="C2" s="6" t="s">
        <v>15</v>
      </c>
      <c r="D2" s="6"/>
      <c r="E2" s="6"/>
      <c r="F2" s="6" t="s">
        <v>16</v>
      </c>
      <c r="G2" s="6"/>
      <c r="H2" s="6" t="s">
        <v>17</v>
      </c>
      <c r="I2" s="4"/>
      <c r="J2" s="6" t="s">
        <v>18</v>
      </c>
      <c r="K2" s="6"/>
      <c r="L2" s="4" t="s">
        <v>19</v>
      </c>
      <c r="O2" s="4"/>
    </row>
    <row r="3" spans="1:35" ht="15.75" customHeight="1">
      <c r="A3" s="4">
        <v>901037464</v>
      </c>
      <c r="B3" s="5"/>
      <c r="C3" s="6" t="s">
        <v>20</v>
      </c>
      <c r="D3" s="6"/>
      <c r="E3" s="6"/>
      <c r="F3" s="6" t="s">
        <v>16</v>
      </c>
      <c r="G3" s="6"/>
      <c r="H3" s="6" t="s">
        <v>21</v>
      </c>
      <c r="I3" s="4"/>
      <c r="J3" s="6" t="s">
        <v>22</v>
      </c>
      <c r="K3" s="6"/>
      <c r="L3" s="4" t="s">
        <v>23</v>
      </c>
      <c r="O3" s="4" t="s">
        <v>24</v>
      </c>
    </row>
    <row r="4" spans="1:35" ht="15.75" customHeight="1">
      <c r="A4" s="4">
        <v>900367743</v>
      </c>
      <c r="B4" s="5"/>
      <c r="C4" s="6" t="s">
        <v>25</v>
      </c>
      <c r="D4" s="6"/>
      <c r="E4" s="6"/>
      <c r="F4" s="6" t="s">
        <v>16</v>
      </c>
      <c r="G4" s="6"/>
      <c r="H4" s="6" t="s">
        <v>26</v>
      </c>
      <c r="I4" s="4"/>
      <c r="J4" s="6" t="s">
        <v>18</v>
      </c>
      <c r="K4" s="6"/>
      <c r="L4" s="4" t="s">
        <v>19</v>
      </c>
      <c r="O4" s="4"/>
    </row>
    <row r="5" spans="1:35" ht="15.75" customHeight="1">
      <c r="A5" s="4">
        <v>901404715</v>
      </c>
      <c r="B5" s="5"/>
      <c r="C5" s="6" t="s">
        <v>27</v>
      </c>
      <c r="D5" s="6"/>
      <c r="E5" s="6"/>
      <c r="F5" s="6" t="s">
        <v>28</v>
      </c>
      <c r="G5" s="6"/>
      <c r="H5" s="6" t="s">
        <v>29</v>
      </c>
      <c r="I5" s="4"/>
      <c r="J5" s="6" t="s">
        <v>30</v>
      </c>
      <c r="K5" s="6"/>
      <c r="L5" s="4" t="s">
        <v>19</v>
      </c>
      <c r="O5" s="4"/>
    </row>
    <row r="6" spans="1:35" ht="15.75" customHeight="1">
      <c r="A6" s="4">
        <v>811037385</v>
      </c>
      <c r="B6" s="5"/>
      <c r="C6" s="6" t="s">
        <v>31</v>
      </c>
      <c r="D6" s="6"/>
      <c r="E6" s="6"/>
      <c r="F6" s="6" t="s">
        <v>16</v>
      </c>
      <c r="G6" s="6"/>
      <c r="H6" s="6" t="s">
        <v>32</v>
      </c>
      <c r="I6" s="4"/>
      <c r="J6" s="6" t="s">
        <v>33</v>
      </c>
      <c r="K6" s="6"/>
      <c r="L6" s="4" t="s">
        <v>19</v>
      </c>
      <c r="O6" s="4"/>
    </row>
    <row r="7" spans="1:35" ht="15.75" customHeight="1">
      <c r="A7" s="4">
        <v>60256336</v>
      </c>
      <c r="B7" s="5"/>
      <c r="C7" s="6" t="s">
        <v>34</v>
      </c>
      <c r="D7" s="6"/>
      <c r="E7" s="6"/>
      <c r="F7" s="6" t="s">
        <v>16</v>
      </c>
      <c r="G7" s="6"/>
      <c r="H7" s="6" t="s">
        <v>35</v>
      </c>
      <c r="I7" s="4"/>
      <c r="J7" s="6" t="s">
        <v>33</v>
      </c>
      <c r="K7" s="6"/>
      <c r="L7" s="4" t="s">
        <v>19</v>
      </c>
      <c r="O7" s="4"/>
    </row>
    <row r="8" spans="1:35" ht="15.75" customHeight="1">
      <c r="A8" s="4">
        <v>901304955</v>
      </c>
      <c r="B8" s="5"/>
      <c r="C8" s="6" t="s">
        <v>36</v>
      </c>
      <c r="D8" s="6"/>
      <c r="E8" s="6"/>
      <c r="F8" s="6" t="s">
        <v>37</v>
      </c>
      <c r="G8" s="6"/>
      <c r="H8" s="6" t="s">
        <v>38</v>
      </c>
      <c r="I8" s="4"/>
      <c r="J8" s="6" t="s">
        <v>39</v>
      </c>
      <c r="L8" s="4"/>
      <c r="O8" s="4"/>
    </row>
    <row r="9" spans="1:35" ht="13">
      <c r="A9" s="7">
        <v>16281008</v>
      </c>
      <c r="B9" s="8"/>
      <c r="C9" s="9" t="s">
        <v>40</v>
      </c>
      <c r="D9" s="9"/>
      <c r="E9" s="9"/>
      <c r="F9" s="9" t="s">
        <v>41</v>
      </c>
      <c r="G9" s="9"/>
      <c r="H9" s="9" t="s">
        <v>42</v>
      </c>
      <c r="I9" s="7"/>
      <c r="J9" s="9" t="s">
        <v>43</v>
      </c>
      <c r="L9" s="4"/>
      <c r="M9" s="9"/>
      <c r="N9" s="9" t="s">
        <v>44</v>
      </c>
      <c r="O9" s="7"/>
      <c r="P9" s="9"/>
      <c r="Q9" s="9"/>
      <c r="R9" s="9"/>
      <c r="S9" s="9"/>
      <c r="T9" s="9"/>
      <c r="U9" s="9"/>
      <c r="V9" s="9"/>
      <c r="W9" s="9"/>
      <c r="X9" s="9"/>
      <c r="Y9" s="9"/>
      <c r="Z9" s="9"/>
      <c r="AA9" s="9"/>
      <c r="AB9" s="9"/>
      <c r="AC9" s="9"/>
      <c r="AD9" s="9"/>
      <c r="AE9" s="9"/>
      <c r="AF9" s="9"/>
      <c r="AG9" s="9"/>
      <c r="AH9" s="9"/>
      <c r="AI9" s="9"/>
    </row>
    <row r="10" spans="1:35" ht="15.75" customHeight="1">
      <c r="A10" s="4">
        <v>1110060823</v>
      </c>
      <c r="B10" s="5"/>
      <c r="C10" s="6" t="s">
        <v>45</v>
      </c>
      <c r="D10" s="6"/>
      <c r="E10" s="6"/>
      <c r="F10" s="6" t="s">
        <v>16</v>
      </c>
      <c r="G10" s="6"/>
      <c r="H10" s="6" t="s">
        <v>35</v>
      </c>
      <c r="I10" s="4"/>
      <c r="J10" s="6" t="s">
        <v>46</v>
      </c>
      <c r="K10" s="6"/>
      <c r="L10" s="4" t="s">
        <v>23</v>
      </c>
      <c r="O10" s="4" t="s">
        <v>24</v>
      </c>
    </row>
    <row r="11" spans="1:35" ht="15.75" customHeight="1">
      <c r="A11" s="4">
        <v>71170394</v>
      </c>
      <c r="B11" s="5"/>
      <c r="C11" s="6" t="s">
        <v>47</v>
      </c>
      <c r="D11" s="6"/>
      <c r="E11" s="6"/>
      <c r="F11" s="6" t="s">
        <v>16</v>
      </c>
      <c r="G11" s="6"/>
      <c r="H11" s="6" t="s">
        <v>35</v>
      </c>
      <c r="I11" s="4"/>
      <c r="J11" s="6" t="s">
        <v>48</v>
      </c>
      <c r="K11" s="6"/>
      <c r="L11" s="4" t="s">
        <v>23</v>
      </c>
      <c r="O11" s="4" t="s">
        <v>24</v>
      </c>
    </row>
    <row r="12" spans="1:35" ht="15.75" customHeight="1">
      <c r="A12" s="4">
        <v>901127356</v>
      </c>
      <c r="B12" s="5"/>
      <c r="C12" s="6" t="s">
        <v>49</v>
      </c>
      <c r="D12" s="6"/>
      <c r="E12" s="6"/>
      <c r="F12" s="6" t="s">
        <v>16</v>
      </c>
      <c r="G12" s="6"/>
      <c r="H12" s="6" t="s">
        <v>35</v>
      </c>
      <c r="I12" s="4"/>
      <c r="J12" s="6" t="s">
        <v>50</v>
      </c>
      <c r="K12" s="6"/>
      <c r="L12" s="4" t="s">
        <v>23</v>
      </c>
      <c r="O12" s="4" t="s">
        <v>24</v>
      </c>
    </row>
    <row r="13" spans="1:35" ht="15.75" customHeight="1">
      <c r="A13" s="4">
        <v>901149552</v>
      </c>
      <c r="B13" s="5"/>
      <c r="C13" s="6" t="s">
        <v>51</v>
      </c>
      <c r="D13" s="6"/>
      <c r="E13" s="6"/>
      <c r="F13" s="6" t="s">
        <v>16</v>
      </c>
      <c r="G13" s="6"/>
      <c r="H13" s="6" t="s">
        <v>52</v>
      </c>
      <c r="I13" s="4"/>
      <c r="J13" s="6" t="s">
        <v>48</v>
      </c>
      <c r="K13" s="6"/>
      <c r="L13" s="4" t="s">
        <v>23</v>
      </c>
      <c r="O13" s="4" t="s">
        <v>24</v>
      </c>
    </row>
    <row r="14" spans="1:35" ht="15.75" customHeight="1">
      <c r="A14" s="4">
        <v>19244974</v>
      </c>
      <c r="B14" s="5"/>
      <c r="C14" s="6" t="s">
        <v>53</v>
      </c>
      <c r="D14" s="6"/>
      <c r="E14" s="6"/>
      <c r="F14" s="6" t="s">
        <v>16</v>
      </c>
      <c r="G14" s="6"/>
      <c r="H14" s="6" t="s">
        <v>54</v>
      </c>
      <c r="I14" s="4"/>
      <c r="J14" s="6" t="s">
        <v>55</v>
      </c>
      <c r="K14" s="6"/>
      <c r="L14" s="4" t="s">
        <v>56</v>
      </c>
      <c r="O14" s="4"/>
    </row>
    <row r="15" spans="1:35" ht="15.75" customHeight="1">
      <c r="A15" s="4">
        <v>811034720</v>
      </c>
      <c r="B15" s="5"/>
      <c r="C15" s="6" t="s">
        <v>57</v>
      </c>
      <c r="D15" s="6"/>
      <c r="E15" s="6"/>
      <c r="F15" s="6" t="s">
        <v>16</v>
      </c>
      <c r="G15" s="6"/>
      <c r="H15" s="6" t="s">
        <v>58</v>
      </c>
      <c r="I15" s="4"/>
      <c r="J15" s="6" t="s">
        <v>33</v>
      </c>
      <c r="K15" s="4" t="s">
        <v>59</v>
      </c>
      <c r="L15" s="4" t="s">
        <v>19</v>
      </c>
      <c r="O15" s="4"/>
    </row>
    <row r="16" spans="1:35" ht="15.75" customHeight="1">
      <c r="A16" s="4">
        <v>79683616</v>
      </c>
      <c r="B16" s="5"/>
      <c r="C16" s="6" t="s">
        <v>60</v>
      </c>
      <c r="D16" s="6"/>
      <c r="E16" s="6"/>
      <c r="F16" s="6" t="s">
        <v>16</v>
      </c>
      <c r="G16" s="6"/>
      <c r="H16" s="6" t="s">
        <v>35</v>
      </c>
      <c r="I16" s="4"/>
      <c r="J16" s="6" t="s">
        <v>61</v>
      </c>
      <c r="L16" s="4" t="s">
        <v>56</v>
      </c>
      <c r="O16" s="4"/>
    </row>
    <row r="17" spans="1:15" ht="15.75" customHeight="1">
      <c r="A17" s="4">
        <v>900556559</v>
      </c>
      <c r="B17" s="5"/>
      <c r="C17" s="6" t="s">
        <v>62</v>
      </c>
      <c r="D17" s="6"/>
      <c r="E17" s="6"/>
      <c r="F17" s="6" t="s">
        <v>16</v>
      </c>
      <c r="G17" s="6"/>
      <c r="H17" s="6" t="s">
        <v>63</v>
      </c>
      <c r="I17" s="4"/>
      <c r="J17" s="6" t="s">
        <v>64</v>
      </c>
      <c r="L17" s="4" t="s">
        <v>19</v>
      </c>
      <c r="O17" s="4"/>
    </row>
    <row r="18" spans="1:15" ht="13">
      <c r="A18" s="4">
        <v>900241682</v>
      </c>
      <c r="B18" s="5"/>
      <c r="C18" s="6" t="s">
        <v>65</v>
      </c>
      <c r="D18" s="6"/>
      <c r="E18" s="6"/>
      <c r="F18" s="6" t="s">
        <v>66</v>
      </c>
      <c r="G18" s="6"/>
      <c r="H18" s="6" t="s">
        <v>67</v>
      </c>
      <c r="I18" s="10"/>
      <c r="J18" s="11" t="s">
        <v>68</v>
      </c>
      <c r="L18" s="4"/>
      <c r="N18" s="6" t="s">
        <v>69</v>
      </c>
      <c r="O18" s="4"/>
    </row>
    <row r="19" spans="1:15" ht="15.75" customHeight="1">
      <c r="A19" s="4">
        <v>1024481820</v>
      </c>
      <c r="B19" s="5"/>
      <c r="C19" s="6" t="s">
        <v>70</v>
      </c>
      <c r="D19" s="6"/>
      <c r="E19" s="6"/>
      <c r="F19" s="6" t="s">
        <v>71</v>
      </c>
      <c r="G19" s="6"/>
      <c r="H19" s="6" t="s">
        <v>72</v>
      </c>
      <c r="I19" s="4"/>
      <c r="J19" s="6" t="s">
        <v>73</v>
      </c>
      <c r="L19" s="4" t="s">
        <v>19</v>
      </c>
      <c r="O19" s="4"/>
    </row>
    <row r="20" spans="1:15" ht="15.75" customHeight="1">
      <c r="A20" s="4">
        <v>901171550</v>
      </c>
      <c r="B20" s="5"/>
      <c r="C20" s="6" t="s">
        <v>74</v>
      </c>
      <c r="D20" s="6"/>
      <c r="E20" s="6"/>
      <c r="F20" s="6" t="s">
        <v>16</v>
      </c>
      <c r="G20" s="6"/>
      <c r="H20" s="6" t="s">
        <v>75</v>
      </c>
      <c r="I20" s="4"/>
      <c r="J20" s="6" t="s">
        <v>33</v>
      </c>
      <c r="L20" s="4" t="s">
        <v>19</v>
      </c>
      <c r="O20" s="4"/>
    </row>
    <row r="21" spans="1:15" ht="15.75" customHeight="1">
      <c r="A21" s="4">
        <v>80086418</v>
      </c>
      <c r="B21" s="5"/>
      <c r="C21" s="6" t="s">
        <v>76</v>
      </c>
      <c r="D21" s="6"/>
      <c r="E21" s="6"/>
      <c r="F21" s="6" t="s">
        <v>16</v>
      </c>
      <c r="G21" s="6"/>
      <c r="H21" s="6" t="s">
        <v>35</v>
      </c>
      <c r="I21" s="4"/>
      <c r="J21" s="6" t="s">
        <v>77</v>
      </c>
      <c r="L21" s="4" t="s">
        <v>19</v>
      </c>
      <c r="M21" s="6" t="s">
        <v>78</v>
      </c>
      <c r="N21" s="6" t="s">
        <v>79</v>
      </c>
      <c r="O21" s="4" t="s">
        <v>24</v>
      </c>
    </row>
    <row r="22" spans="1:15" ht="12.5">
      <c r="A22" s="4">
        <v>51818508</v>
      </c>
      <c r="B22" s="5"/>
      <c r="C22" s="6" t="s">
        <v>80</v>
      </c>
      <c r="D22" s="6"/>
      <c r="E22" s="6"/>
      <c r="F22" s="6" t="s">
        <v>16</v>
      </c>
      <c r="G22" s="6"/>
      <c r="H22" s="6" t="s">
        <v>35</v>
      </c>
      <c r="I22" s="4"/>
      <c r="J22" s="6" t="s">
        <v>81</v>
      </c>
      <c r="L22" s="4" t="s">
        <v>56</v>
      </c>
      <c r="O22" s="4"/>
    </row>
    <row r="23" spans="1:15" ht="12.5">
      <c r="A23" s="4">
        <v>900124221</v>
      </c>
      <c r="B23" s="5"/>
      <c r="C23" s="6" t="s">
        <v>82</v>
      </c>
      <c r="D23" s="6"/>
      <c r="E23" s="6"/>
      <c r="F23" s="6" t="s">
        <v>16</v>
      </c>
      <c r="G23" s="6"/>
      <c r="H23" s="6" t="s">
        <v>83</v>
      </c>
      <c r="I23" s="4"/>
      <c r="J23" s="6" t="s">
        <v>84</v>
      </c>
      <c r="L23" s="4" t="s">
        <v>56</v>
      </c>
      <c r="O23" s="4"/>
    </row>
    <row r="24" spans="1:15" ht="12.5">
      <c r="A24" s="4">
        <v>901090503</v>
      </c>
      <c r="B24" s="5"/>
      <c r="C24" s="6" t="s">
        <v>85</v>
      </c>
      <c r="D24" s="6"/>
      <c r="E24" s="6"/>
      <c r="F24" s="6" t="s">
        <v>16</v>
      </c>
      <c r="G24" s="6"/>
      <c r="H24" s="6" t="s">
        <v>86</v>
      </c>
      <c r="I24" s="4"/>
      <c r="J24" s="6" t="s">
        <v>87</v>
      </c>
      <c r="L24" s="4" t="s">
        <v>56</v>
      </c>
      <c r="O24" s="4"/>
    </row>
    <row r="25" spans="1:15" ht="12.5">
      <c r="A25" s="4">
        <v>80049139</v>
      </c>
      <c r="B25" s="5"/>
      <c r="C25" s="6" t="s">
        <v>88</v>
      </c>
      <c r="D25" s="6"/>
      <c r="E25" s="6"/>
      <c r="F25" s="6" t="s">
        <v>16</v>
      </c>
      <c r="G25" s="6"/>
      <c r="H25" s="6" t="s">
        <v>35</v>
      </c>
      <c r="I25" s="4"/>
      <c r="J25" s="6" t="s">
        <v>89</v>
      </c>
      <c r="L25" s="4" t="s">
        <v>56</v>
      </c>
      <c r="O25" s="4"/>
    </row>
    <row r="26" spans="1:15" ht="12.5">
      <c r="A26" s="4">
        <v>51846062</v>
      </c>
      <c r="B26" s="5"/>
      <c r="C26" s="6" t="s">
        <v>90</v>
      </c>
      <c r="D26" s="6"/>
      <c r="E26" s="6"/>
      <c r="F26" s="6" t="s">
        <v>16</v>
      </c>
      <c r="G26" s="6"/>
      <c r="H26" s="6" t="s">
        <v>35</v>
      </c>
      <c r="I26" s="4"/>
      <c r="J26" s="6" t="s">
        <v>91</v>
      </c>
      <c r="L26" s="4" t="s">
        <v>92</v>
      </c>
      <c r="O26" s="4"/>
    </row>
    <row r="27" spans="1:15" ht="12.5">
      <c r="A27" s="4">
        <v>19436639</v>
      </c>
      <c r="B27" s="5"/>
      <c r="C27" s="6" t="s">
        <v>93</v>
      </c>
      <c r="D27" s="6"/>
      <c r="E27" s="6"/>
      <c r="F27" s="6" t="s">
        <v>16</v>
      </c>
      <c r="G27" s="6"/>
      <c r="H27" s="6" t="s">
        <v>35</v>
      </c>
      <c r="I27" s="4"/>
      <c r="J27" s="6" t="s">
        <v>91</v>
      </c>
      <c r="L27" s="4" t="s">
        <v>92</v>
      </c>
      <c r="O27" s="4"/>
    </row>
    <row r="28" spans="1:15" ht="12.5">
      <c r="A28" s="4">
        <v>21788796</v>
      </c>
      <c r="B28" s="5"/>
      <c r="C28" s="6" t="s">
        <v>94</v>
      </c>
      <c r="D28" s="6"/>
      <c r="E28" s="6"/>
      <c r="F28" s="6" t="s">
        <v>16</v>
      </c>
      <c r="G28" s="6"/>
      <c r="H28" s="6" t="s">
        <v>35</v>
      </c>
      <c r="I28" s="4"/>
      <c r="J28" s="6" t="s">
        <v>91</v>
      </c>
      <c r="L28" s="4" t="s">
        <v>92</v>
      </c>
      <c r="O28" s="4"/>
    </row>
    <row r="29" spans="1:15" ht="12.5">
      <c r="A29" s="4">
        <v>900480851</v>
      </c>
      <c r="B29" s="5"/>
      <c r="C29" s="6" t="s">
        <v>95</v>
      </c>
      <c r="D29" s="6"/>
      <c r="E29" s="6"/>
      <c r="F29" s="6" t="s">
        <v>16</v>
      </c>
      <c r="G29" s="6"/>
      <c r="H29" s="6" t="s">
        <v>96</v>
      </c>
      <c r="I29" s="4"/>
      <c r="J29" s="6" t="s">
        <v>97</v>
      </c>
      <c r="L29" s="4" t="s">
        <v>92</v>
      </c>
      <c r="O29" s="4"/>
    </row>
    <row r="30" spans="1:15" ht="12.5">
      <c r="A30" s="4">
        <v>12985622</v>
      </c>
      <c r="B30" s="5"/>
      <c r="C30" s="6" t="s">
        <v>98</v>
      </c>
      <c r="D30" s="6"/>
      <c r="E30" s="6"/>
      <c r="F30" s="6" t="s">
        <v>16</v>
      </c>
      <c r="G30" s="6"/>
      <c r="H30" s="6" t="s">
        <v>99</v>
      </c>
      <c r="I30" s="4"/>
      <c r="J30" s="6" t="s">
        <v>100</v>
      </c>
      <c r="L30" s="4" t="s">
        <v>92</v>
      </c>
      <c r="O30" s="4"/>
    </row>
    <row r="31" spans="1:15" ht="12.5">
      <c r="A31" s="4">
        <v>900540926</v>
      </c>
      <c r="B31" s="5"/>
      <c r="C31" s="6" t="s">
        <v>101</v>
      </c>
      <c r="D31" s="6"/>
      <c r="E31" s="6"/>
      <c r="F31" s="6" t="s">
        <v>16</v>
      </c>
      <c r="G31" s="6"/>
      <c r="H31" s="6" t="s">
        <v>35</v>
      </c>
      <c r="I31" s="4"/>
      <c r="J31" s="6" t="s">
        <v>97</v>
      </c>
      <c r="L31" s="4" t="s">
        <v>92</v>
      </c>
      <c r="O31" s="4"/>
    </row>
    <row r="32" spans="1:15" ht="12.5">
      <c r="A32" s="4">
        <v>900324114</v>
      </c>
      <c r="B32" s="5"/>
      <c r="C32" s="6" t="s">
        <v>102</v>
      </c>
      <c r="D32" s="6"/>
      <c r="E32" s="6"/>
      <c r="F32" s="6" t="s">
        <v>16</v>
      </c>
      <c r="G32" s="6"/>
      <c r="H32" s="6" t="s">
        <v>103</v>
      </c>
      <c r="I32" s="4"/>
      <c r="J32" s="6" t="s">
        <v>104</v>
      </c>
      <c r="L32" s="4" t="s">
        <v>105</v>
      </c>
      <c r="O32" s="4"/>
    </row>
    <row r="33" spans="1:15" ht="12.5">
      <c r="A33" s="4"/>
      <c r="B33" s="5"/>
      <c r="C33" s="6" t="s">
        <v>106</v>
      </c>
      <c r="D33" s="6"/>
      <c r="E33" s="6"/>
      <c r="F33" s="6" t="s">
        <v>107</v>
      </c>
      <c r="G33" s="6"/>
      <c r="H33" s="6" t="s">
        <v>108</v>
      </c>
      <c r="I33" s="4"/>
      <c r="J33" s="6" t="s">
        <v>109</v>
      </c>
      <c r="L33" s="4" t="s">
        <v>109</v>
      </c>
      <c r="O33" s="4"/>
    </row>
    <row r="34" spans="1:15" ht="12.5">
      <c r="A34" s="4">
        <v>900650605</v>
      </c>
      <c r="B34" s="5"/>
      <c r="C34" s="6" t="s">
        <v>110</v>
      </c>
      <c r="D34" s="6"/>
      <c r="E34" s="6"/>
      <c r="F34" s="6" t="s">
        <v>16</v>
      </c>
      <c r="G34" s="6"/>
      <c r="H34" s="6" t="s">
        <v>111</v>
      </c>
      <c r="I34" s="4"/>
      <c r="J34" s="6" t="s">
        <v>112</v>
      </c>
      <c r="L34" s="4" t="s">
        <v>92</v>
      </c>
      <c r="O34" s="4"/>
    </row>
    <row r="35" spans="1:15" ht="12.5">
      <c r="A35" s="4">
        <v>901460038</v>
      </c>
      <c r="B35" s="5"/>
      <c r="C35" s="6" t="s">
        <v>113</v>
      </c>
      <c r="D35" s="6"/>
      <c r="E35" s="6"/>
      <c r="F35" s="6" t="s">
        <v>16</v>
      </c>
      <c r="G35" s="6"/>
      <c r="H35" s="6" t="s">
        <v>99</v>
      </c>
      <c r="I35" s="4"/>
      <c r="J35" s="6" t="s">
        <v>91</v>
      </c>
      <c r="L35" s="4" t="s">
        <v>92</v>
      </c>
      <c r="O35" s="4"/>
    </row>
    <row r="36" spans="1:15" ht="12.5">
      <c r="A36" s="4">
        <v>901438589</v>
      </c>
      <c r="B36" s="5"/>
      <c r="C36" s="6" t="s">
        <v>114</v>
      </c>
      <c r="D36" s="6"/>
      <c r="E36" s="6"/>
      <c r="F36" s="6" t="s">
        <v>16</v>
      </c>
      <c r="G36" s="6"/>
      <c r="H36" s="6" t="s">
        <v>115</v>
      </c>
      <c r="I36" s="4"/>
      <c r="J36" s="6" t="s">
        <v>104</v>
      </c>
      <c r="L36" s="4" t="s">
        <v>105</v>
      </c>
      <c r="O36" s="4"/>
    </row>
    <row r="37" spans="1:15" ht="12.5">
      <c r="A37" s="4">
        <v>901294859</v>
      </c>
      <c r="B37" s="5"/>
      <c r="C37" s="6" t="s">
        <v>116</v>
      </c>
      <c r="D37" s="6"/>
      <c r="E37" s="6"/>
      <c r="F37" s="6" t="s">
        <v>107</v>
      </c>
      <c r="G37" s="6"/>
      <c r="H37" s="6" t="s">
        <v>117</v>
      </c>
      <c r="I37" s="4"/>
      <c r="J37" s="6" t="s">
        <v>118</v>
      </c>
      <c r="L37" s="4" t="s">
        <v>118</v>
      </c>
      <c r="O37" s="4"/>
    </row>
    <row r="38" spans="1:15" ht="12.5">
      <c r="A38" s="4">
        <v>901253134</v>
      </c>
      <c r="B38" s="5"/>
      <c r="C38" s="6" t="s">
        <v>119</v>
      </c>
      <c r="D38" s="6"/>
      <c r="E38" s="6"/>
      <c r="F38" s="6" t="s">
        <v>16</v>
      </c>
      <c r="G38" s="6"/>
      <c r="H38" s="6" t="s">
        <v>120</v>
      </c>
      <c r="I38" s="4"/>
      <c r="J38" s="6" t="s">
        <v>104</v>
      </c>
      <c r="L38" s="4" t="s">
        <v>105</v>
      </c>
      <c r="O38" s="4"/>
    </row>
    <row r="39" spans="1:15" ht="12.5">
      <c r="A39" s="4">
        <v>900403146</v>
      </c>
      <c r="B39" s="5"/>
      <c r="C39" s="6" t="s">
        <v>121</v>
      </c>
      <c r="D39" s="6"/>
      <c r="E39" s="6"/>
      <c r="F39" s="6" t="s">
        <v>122</v>
      </c>
      <c r="G39" s="6"/>
      <c r="H39" s="6" t="s">
        <v>123</v>
      </c>
      <c r="I39" s="4"/>
      <c r="J39" s="6" t="s">
        <v>124</v>
      </c>
      <c r="L39" s="4" t="s">
        <v>105</v>
      </c>
      <c r="O39" s="4"/>
    </row>
    <row r="40" spans="1:15" ht="12.5">
      <c r="A40" s="4">
        <v>900469415</v>
      </c>
      <c r="B40" s="5"/>
      <c r="C40" s="6" t="s">
        <v>125</v>
      </c>
      <c r="D40" s="6"/>
      <c r="E40" s="6"/>
      <c r="F40" s="6" t="s">
        <v>122</v>
      </c>
      <c r="G40" s="6"/>
      <c r="H40" s="6" t="s">
        <v>123</v>
      </c>
      <c r="I40" s="4"/>
      <c r="J40" s="6" t="s">
        <v>124</v>
      </c>
      <c r="L40" s="4" t="s">
        <v>105</v>
      </c>
      <c r="O40" s="4"/>
    </row>
    <row r="41" spans="1:15" ht="12.5">
      <c r="A41" s="4">
        <v>900277983</v>
      </c>
      <c r="B41" s="5"/>
      <c r="C41" s="6" t="s">
        <v>126</v>
      </c>
      <c r="D41" s="6"/>
      <c r="E41" s="6"/>
      <c r="F41" s="6" t="s">
        <v>122</v>
      </c>
      <c r="G41" s="6"/>
      <c r="H41" s="6" t="s">
        <v>123</v>
      </c>
      <c r="I41" s="4"/>
      <c r="J41" s="6" t="s">
        <v>124</v>
      </c>
      <c r="L41" s="4" t="s">
        <v>105</v>
      </c>
      <c r="O41" s="4"/>
    </row>
    <row r="42" spans="1:15" ht="12.5">
      <c r="A42" s="4">
        <v>900325731</v>
      </c>
      <c r="B42" s="5"/>
      <c r="C42" s="6" t="s">
        <v>127</v>
      </c>
      <c r="D42" s="6"/>
      <c r="E42" s="6"/>
      <c r="F42" s="6" t="s">
        <v>16</v>
      </c>
      <c r="G42" s="6"/>
      <c r="H42" s="6" t="s">
        <v>128</v>
      </c>
      <c r="I42" s="4"/>
      <c r="J42" s="6" t="s">
        <v>129</v>
      </c>
      <c r="L42" s="4" t="s">
        <v>105</v>
      </c>
      <c r="O42" s="4"/>
    </row>
    <row r="43" spans="1:15" ht="12.5">
      <c r="A43" s="4">
        <v>900401439</v>
      </c>
      <c r="B43" s="5"/>
      <c r="C43" s="6" t="s">
        <v>130</v>
      </c>
      <c r="D43" s="6"/>
      <c r="E43" s="6"/>
      <c r="F43" s="6" t="s">
        <v>16</v>
      </c>
      <c r="G43" s="6"/>
      <c r="H43" s="6" t="s">
        <v>131</v>
      </c>
      <c r="I43" s="4"/>
      <c r="J43" s="6" t="s">
        <v>124</v>
      </c>
      <c r="L43" s="4" t="s">
        <v>105</v>
      </c>
      <c r="O43" s="4"/>
    </row>
    <row r="44" spans="1:15" ht="12.5">
      <c r="A44" s="4">
        <v>900882363</v>
      </c>
      <c r="B44" s="5"/>
      <c r="C44" s="6" t="s">
        <v>132</v>
      </c>
      <c r="D44" s="6"/>
      <c r="E44" s="6"/>
      <c r="F44" s="6" t="s">
        <v>16</v>
      </c>
      <c r="G44" s="6"/>
      <c r="H44" s="6" t="s">
        <v>133</v>
      </c>
      <c r="I44" s="4"/>
      <c r="J44" s="6" t="s">
        <v>124</v>
      </c>
      <c r="L44" s="4" t="s">
        <v>105</v>
      </c>
      <c r="O44" s="4"/>
    </row>
    <row r="45" spans="1:15" ht="12.5">
      <c r="A45" s="4">
        <v>901066405</v>
      </c>
      <c r="B45" s="5"/>
      <c r="C45" s="6" t="s">
        <v>134</v>
      </c>
      <c r="D45" s="6"/>
      <c r="E45" s="6"/>
      <c r="F45" s="6" t="s">
        <v>135</v>
      </c>
      <c r="G45" s="6"/>
      <c r="H45" s="6" t="s">
        <v>136</v>
      </c>
      <c r="I45" s="4"/>
      <c r="J45" s="6" t="s">
        <v>137</v>
      </c>
      <c r="L45" s="4" t="s">
        <v>138</v>
      </c>
      <c r="O45" s="4"/>
    </row>
    <row r="46" spans="1:15" ht="12.5">
      <c r="A46" s="4">
        <v>901379397</v>
      </c>
      <c r="B46" s="5"/>
      <c r="C46" s="6" t="s">
        <v>139</v>
      </c>
      <c r="D46" s="6"/>
      <c r="E46" s="6"/>
      <c r="F46" s="6" t="s">
        <v>16</v>
      </c>
      <c r="G46" s="6"/>
      <c r="H46" s="6" t="s">
        <v>140</v>
      </c>
      <c r="I46" s="4"/>
      <c r="J46" s="6" t="s">
        <v>104</v>
      </c>
      <c r="L46" s="4" t="s">
        <v>105</v>
      </c>
      <c r="O46" s="4"/>
    </row>
    <row r="47" spans="1:15" ht="12.5">
      <c r="A47" s="4">
        <v>901468904</v>
      </c>
      <c r="B47" s="5"/>
      <c r="C47" s="6" t="s">
        <v>141</v>
      </c>
      <c r="D47" s="6"/>
      <c r="E47" s="6"/>
      <c r="F47" s="6" t="s">
        <v>16</v>
      </c>
      <c r="G47" s="6"/>
      <c r="H47" s="6" t="s">
        <v>35</v>
      </c>
      <c r="I47" s="4"/>
      <c r="J47" s="6" t="s">
        <v>142</v>
      </c>
      <c r="L47" s="4" t="s">
        <v>92</v>
      </c>
      <c r="M47" s="6" t="s">
        <v>143</v>
      </c>
      <c r="O47" s="4"/>
    </row>
    <row r="48" spans="1:15" ht="12.5">
      <c r="A48" s="4">
        <v>900655750</v>
      </c>
      <c r="B48" s="5"/>
      <c r="C48" s="6" t="s">
        <v>144</v>
      </c>
      <c r="D48" s="6"/>
      <c r="E48" s="6"/>
      <c r="F48" s="6" t="s">
        <v>145</v>
      </c>
      <c r="G48" s="6"/>
      <c r="H48" s="6" t="s">
        <v>146</v>
      </c>
      <c r="I48" s="4"/>
      <c r="J48" s="6" t="s">
        <v>147</v>
      </c>
      <c r="L48" s="4" t="s">
        <v>147</v>
      </c>
      <c r="M48" s="12" t="s">
        <v>148</v>
      </c>
      <c r="O48" s="4"/>
    </row>
    <row r="49" spans="1:15" ht="12.5">
      <c r="A49" s="4">
        <v>900490244</v>
      </c>
      <c r="B49" s="5"/>
      <c r="C49" s="6" t="s">
        <v>149</v>
      </c>
      <c r="D49" s="6"/>
      <c r="E49" s="6"/>
      <c r="F49" s="6" t="s">
        <v>16</v>
      </c>
      <c r="G49" s="6"/>
      <c r="H49" s="6" t="s">
        <v>86</v>
      </c>
      <c r="I49" s="4"/>
      <c r="J49" s="6" t="s">
        <v>150</v>
      </c>
      <c r="L49" s="4" t="s">
        <v>151</v>
      </c>
      <c r="O49" s="4"/>
    </row>
    <row r="50" spans="1:15" ht="12.5">
      <c r="A50" s="4">
        <v>901302727</v>
      </c>
      <c r="B50" s="5"/>
      <c r="C50" s="6" t="s">
        <v>152</v>
      </c>
      <c r="D50" s="6"/>
      <c r="E50" s="6"/>
      <c r="F50" s="6" t="s">
        <v>16</v>
      </c>
      <c r="G50" s="6"/>
      <c r="H50" s="6" t="s">
        <v>153</v>
      </c>
      <c r="I50" s="4"/>
      <c r="J50" s="6" t="s">
        <v>154</v>
      </c>
      <c r="L50" s="4" t="s">
        <v>151</v>
      </c>
      <c r="O50" s="4"/>
    </row>
    <row r="51" spans="1:15" ht="12.5">
      <c r="A51" s="4">
        <v>901539811</v>
      </c>
      <c r="B51" s="5"/>
      <c r="C51" s="6" t="s">
        <v>155</v>
      </c>
      <c r="D51" s="6"/>
      <c r="E51" s="6"/>
      <c r="F51" s="6" t="s">
        <v>16</v>
      </c>
      <c r="G51" s="6"/>
      <c r="H51" s="6" t="s">
        <v>156</v>
      </c>
      <c r="I51" s="4"/>
      <c r="J51" s="6" t="s">
        <v>150</v>
      </c>
      <c r="L51" s="4" t="s">
        <v>151</v>
      </c>
      <c r="O51" s="4"/>
    </row>
    <row r="52" spans="1:15" ht="12.5">
      <c r="A52" s="4">
        <v>111278885</v>
      </c>
      <c r="B52" s="5"/>
      <c r="C52" s="6" t="s">
        <v>157</v>
      </c>
      <c r="D52" s="6"/>
      <c r="E52" s="6"/>
      <c r="F52" s="6" t="s">
        <v>16</v>
      </c>
      <c r="G52" s="6"/>
      <c r="H52" s="6" t="s">
        <v>158</v>
      </c>
      <c r="I52" s="4"/>
      <c r="J52" s="6" t="s">
        <v>159</v>
      </c>
      <c r="L52" s="4" t="s">
        <v>160</v>
      </c>
      <c r="M52" s="6" t="s">
        <v>161</v>
      </c>
      <c r="O52" s="4"/>
    </row>
    <row r="53" spans="1:15" ht="12.5">
      <c r="A53" s="4">
        <v>800240609</v>
      </c>
      <c r="B53" s="5"/>
      <c r="C53" s="6" t="s">
        <v>162</v>
      </c>
      <c r="D53" s="6"/>
      <c r="E53" s="6"/>
      <c r="F53" s="6" t="s">
        <v>16</v>
      </c>
      <c r="G53" s="6"/>
      <c r="H53" s="6" t="s">
        <v>163</v>
      </c>
      <c r="I53" s="4"/>
      <c r="J53" s="6" t="s">
        <v>104</v>
      </c>
      <c r="L53" s="4" t="s">
        <v>105</v>
      </c>
      <c r="M53" s="6" t="s">
        <v>164</v>
      </c>
      <c r="O53" s="4"/>
    </row>
    <row r="54" spans="1:15" ht="12.5">
      <c r="A54" s="4">
        <v>8032358</v>
      </c>
      <c r="B54" s="5"/>
      <c r="C54" s="6" t="s">
        <v>165</v>
      </c>
      <c r="D54" s="6"/>
      <c r="E54" s="6"/>
      <c r="F54" s="6" t="s">
        <v>16</v>
      </c>
      <c r="G54" s="6"/>
      <c r="H54" s="6" t="s">
        <v>35</v>
      </c>
      <c r="I54" s="4"/>
      <c r="J54" s="6" t="s">
        <v>150</v>
      </c>
      <c r="L54" s="4" t="s">
        <v>151</v>
      </c>
      <c r="O54" s="4"/>
    </row>
    <row r="55" spans="1:15" ht="12.5">
      <c r="A55" s="4">
        <v>900403974</v>
      </c>
      <c r="B55" s="5"/>
      <c r="C55" s="6" t="s">
        <v>166</v>
      </c>
      <c r="D55" s="6"/>
      <c r="E55" s="6"/>
      <c r="F55" s="6" t="s">
        <v>16</v>
      </c>
      <c r="G55" s="6"/>
      <c r="H55" s="6" t="s">
        <v>167</v>
      </c>
      <c r="I55" s="4"/>
      <c r="J55" s="6" t="s">
        <v>150</v>
      </c>
      <c r="L55" s="4" t="s">
        <v>151</v>
      </c>
      <c r="O55" s="4"/>
    </row>
    <row r="56" spans="1:15" ht="12.5">
      <c r="A56" s="4">
        <v>32526433</v>
      </c>
      <c r="B56" s="5"/>
      <c r="C56" s="6" t="s">
        <v>168</v>
      </c>
      <c r="D56" s="6"/>
      <c r="E56" s="6"/>
      <c r="F56" s="6" t="s">
        <v>16</v>
      </c>
      <c r="G56" s="6"/>
      <c r="H56" s="6" t="s">
        <v>35</v>
      </c>
      <c r="I56" s="4"/>
      <c r="J56" s="6" t="s">
        <v>150</v>
      </c>
      <c r="L56" s="4" t="s">
        <v>151</v>
      </c>
      <c r="O56" s="4"/>
    </row>
    <row r="57" spans="1:15" ht="12.5">
      <c r="A57" s="4">
        <v>900714276</v>
      </c>
      <c r="B57" s="5"/>
      <c r="C57" s="6" t="s">
        <v>169</v>
      </c>
      <c r="D57" s="6"/>
      <c r="E57" s="6"/>
      <c r="F57" s="6" t="s">
        <v>16</v>
      </c>
      <c r="G57" s="6"/>
      <c r="H57" s="6" t="s">
        <v>170</v>
      </c>
      <c r="I57" s="4"/>
      <c r="J57" s="6" t="s">
        <v>171</v>
      </c>
      <c r="L57" s="4" t="s">
        <v>172</v>
      </c>
      <c r="O57" s="4"/>
    </row>
    <row r="58" spans="1:15" ht="12.5">
      <c r="A58" s="4">
        <v>901228867</v>
      </c>
      <c r="B58" s="5"/>
      <c r="C58" s="6" t="s">
        <v>173</v>
      </c>
      <c r="D58" s="6"/>
      <c r="E58" s="6"/>
      <c r="F58" s="6" t="s">
        <v>16</v>
      </c>
      <c r="G58" s="6"/>
      <c r="H58" s="6" t="s">
        <v>174</v>
      </c>
      <c r="I58" s="4"/>
      <c r="J58" s="6" t="s">
        <v>175</v>
      </c>
      <c r="L58" s="4" t="s">
        <v>176</v>
      </c>
      <c r="M58" s="6" t="s">
        <v>177</v>
      </c>
      <c r="O58" s="4"/>
    </row>
    <row r="59" spans="1:15" ht="12.5">
      <c r="A59" s="4">
        <v>900903257</v>
      </c>
      <c r="B59" s="5"/>
      <c r="C59" s="6" t="s">
        <v>178</v>
      </c>
      <c r="D59" s="6"/>
      <c r="E59" s="6"/>
      <c r="F59" s="6" t="s">
        <v>16</v>
      </c>
      <c r="G59" s="6"/>
      <c r="H59" s="6" t="s">
        <v>174</v>
      </c>
      <c r="I59" s="4"/>
      <c r="J59" s="6" t="s">
        <v>175</v>
      </c>
      <c r="L59" s="4" t="s">
        <v>176</v>
      </c>
      <c r="M59" s="6" t="s">
        <v>177</v>
      </c>
      <c r="O59" s="4"/>
    </row>
    <row r="60" spans="1:15" ht="12.5">
      <c r="A60" s="4">
        <v>19385170</v>
      </c>
      <c r="B60" s="5"/>
      <c r="C60" s="6" t="s">
        <v>179</v>
      </c>
      <c r="D60" s="6"/>
      <c r="E60" s="6"/>
      <c r="F60" s="6" t="s">
        <v>16</v>
      </c>
      <c r="G60" s="6"/>
      <c r="H60" s="6" t="s">
        <v>35</v>
      </c>
      <c r="I60" s="4"/>
      <c r="J60" s="6" t="s">
        <v>180</v>
      </c>
      <c r="L60" s="4" t="s">
        <v>176</v>
      </c>
      <c r="M60" s="6" t="s">
        <v>181</v>
      </c>
      <c r="O60" s="4"/>
    </row>
    <row r="61" spans="1:15" ht="12.5">
      <c r="A61" s="4">
        <v>41343891</v>
      </c>
      <c r="B61" s="5"/>
      <c r="C61" s="6" t="s">
        <v>182</v>
      </c>
      <c r="D61" s="6"/>
      <c r="E61" s="6"/>
      <c r="F61" s="6" t="s">
        <v>16</v>
      </c>
      <c r="G61" s="6"/>
      <c r="H61" s="6" t="s">
        <v>183</v>
      </c>
      <c r="I61" s="4"/>
      <c r="J61" s="6" t="s">
        <v>180</v>
      </c>
      <c r="L61" s="4" t="s">
        <v>176</v>
      </c>
      <c r="O61" s="4"/>
    </row>
    <row r="62" spans="1:15" ht="12.5">
      <c r="A62" s="4">
        <v>901595199</v>
      </c>
      <c r="B62" s="5"/>
      <c r="C62" s="6" t="s">
        <v>184</v>
      </c>
      <c r="D62" s="6"/>
      <c r="E62" s="6"/>
      <c r="F62" s="6" t="s">
        <v>16</v>
      </c>
      <c r="G62" s="6"/>
      <c r="H62" s="6" t="s">
        <v>185</v>
      </c>
      <c r="I62" s="4"/>
      <c r="J62" s="6" t="s">
        <v>186</v>
      </c>
      <c r="L62" s="4" t="s">
        <v>176</v>
      </c>
      <c r="M62" s="6" t="s">
        <v>181</v>
      </c>
      <c r="O62" s="4"/>
    </row>
    <row r="63" spans="1:15" ht="12.5">
      <c r="A63" s="4">
        <v>71934738</v>
      </c>
      <c r="B63" s="5"/>
      <c r="C63" s="6" t="s">
        <v>187</v>
      </c>
      <c r="D63" s="6"/>
      <c r="E63" s="6"/>
      <c r="F63" s="6" t="s">
        <v>16</v>
      </c>
      <c r="G63" s="6"/>
      <c r="H63" s="6" t="s">
        <v>188</v>
      </c>
      <c r="I63" s="4"/>
      <c r="J63" s="6" t="s">
        <v>189</v>
      </c>
      <c r="L63" s="4" t="s">
        <v>176</v>
      </c>
      <c r="M63" s="6" t="s">
        <v>190</v>
      </c>
      <c r="O63" s="4"/>
    </row>
    <row r="64" spans="1:15" ht="12.5">
      <c r="A64" s="4">
        <v>901094601</v>
      </c>
      <c r="B64" s="5"/>
      <c r="C64" s="6" t="s">
        <v>191</v>
      </c>
      <c r="D64" s="6"/>
      <c r="E64" s="6"/>
      <c r="F64" s="6" t="s">
        <v>16</v>
      </c>
      <c r="G64" s="6"/>
      <c r="H64" s="6" t="s">
        <v>192</v>
      </c>
      <c r="I64" s="13">
        <v>580000</v>
      </c>
      <c r="J64" s="6" t="s">
        <v>193</v>
      </c>
      <c r="L64" s="4" t="s">
        <v>176</v>
      </c>
      <c r="M64" s="6" t="s">
        <v>194</v>
      </c>
      <c r="O64" s="4"/>
    </row>
    <row r="65" spans="1:15" ht="12.5">
      <c r="A65" s="4">
        <v>9770431</v>
      </c>
      <c r="B65" s="5"/>
      <c r="C65" s="6" t="s">
        <v>195</v>
      </c>
      <c r="D65" s="6"/>
      <c r="E65" s="6"/>
      <c r="F65" s="6" t="s">
        <v>16</v>
      </c>
      <c r="G65" s="6"/>
      <c r="H65" s="6" t="s">
        <v>196</v>
      </c>
      <c r="I65" s="13">
        <v>159930</v>
      </c>
      <c r="J65" s="6" t="s">
        <v>193</v>
      </c>
      <c r="L65" s="4" t="s">
        <v>176</v>
      </c>
      <c r="M65" s="6" t="s">
        <v>194</v>
      </c>
      <c r="O65" s="4"/>
    </row>
    <row r="66" spans="1:15" ht="12.5">
      <c r="A66" s="4">
        <v>94397732</v>
      </c>
      <c r="B66" s="5"/>
      <c r="C66" s="6" t="s">
        <v>197</v>
      </c>
      <c r="D66" s="6"/>
      <c r="E66" s="6"/>
      <c r="F66" s="6" t="s">
        <v>16</v>
      </c>
      <c r="G66" s="6"/>
      <c r="H66" s="6" t="s">
        <v>198</v>
      </c>
      <c r="I66" s="13">
        <v>75000</v>
      </c>
      <c r="J66" s="6" t="s">
        <v>193</v>
      </c>
      <c r="L66" s="4" t="s">
        <v>176</v>
      </c>
      <c r="M66" s="6" t="s">
        <v>194</v>
      </c>
      <c r="O66" s="4"/>
    </row>
    <row r="67" spans="1:15" ht="12.5">
      <c r="A67" s="4">
        <v>901458872</v>
      </c>
      <c r="B67" s="5"/>
      <c r="C67" s="6" t="s">
        <v>199</v>
      </c>
      <c r="D67" s="6"/>
      <c r="E67" s="6"/>
      <c r="F67" s="6" t="s">
        <v>16</v>
      </c>
      <c r="G67" s="6"/>
      <c r="H67" s="6" t="s">
        <v>200</v>
      </c>
      <c r="I67" s="13">
        <v>200000</v>
      </c>
      <c r="J67" s="6" t="s">
        <v>193</v>
      </c>
      <c r="L67" s="4" t="s">
        <v>176</v>
      </c>
      <c r="M67" s="6" t="s">
        <v>194</v>
      </c>
      <c r="O67" s="4"/>
    </row>
    <row r="68" spans="1:15" ht="12.5">
      <c r="A68" s="4">
        <v>901558619</v>
      </c>
      <c r="B68" s="5"/>
      <c r="C68" s="6" t="s">
        <v>201</v>
      </c>
      <c r="D68" s="6"/>
      <c r="E68" s="6"/>
      <c r="F68" s="6" t="s">
        <v>107</v>
      </c>
      <c r="G68" s="6"/>
      <c r="H68" s="6" t="s">
        <v>202</v>
      </c>
      <c r="I68" s="13">
        <v>300000</v>
      </c>
      <c r="J68" s="6" t="s">
        <v>193</v>
      </c>
      <c r="L68" s="4" t="s">
        <v>176</v>
      </c>
      <c r="M68" s="6" t="s">
        <v>194</v>
      </c>
      <c r="O68" s="4"/>
    </row>
    <row r="69" spans="1:15" ht="12.5">
      <c r="A69" s="4">
        <v>900414795</v>
      </c>
      <c r="B69" s="5"/>
      <c r="C69" s="6" t="s">
        <v>203</v>
      </c>
      <c r="D69" s="6"/>
      <c r="E69" s="6"/>
      <c r="F69" s="6" t="s">
        <v>16</v>
      </c>
      <c r="G69" s="6"/>
      <c r="H69" s="6" t="s">
        <v>204</v>
      </c>
      <c r="I69" s="13">
        <v>220000</v>
      </c>
      <c r="J69" s="6" t="s">
        <v>193</v>
      </c>
      <c r="L69" s="4" t="s">
        <v>176</v>
      </c>
      <c r="M69" s="6" t="s">
        <v>194</v>
      </c>
      <c r="O69" s="4"/>
    </row>
    <row r="70" spans="1:15" ht="12.5">
      <c r="A70" s="4">
        <v>901147844</v>
      </c>
      <c r="B70" s="5"/>
      <c r="C70" s="6" t="s">
        <v>205</v>
      </c>
      <c r="D70" s="6"/>
      <c r="E70" s="6"/>
      <c r="F70" s="6" t="s">
        <v>16</v>
      </c>
      <c r="G70" s="6"/>
      <c r="H70" s="6" t="s">
        <v>204</v>
      </c>
      <c r="I70" s="13">
        <v>220000</v>
      </c>
      <c r="J70" s="6" t="s">
        <v>193</v>
      </c>
      <c r="L70" s="4" t="s">
        <v>176</v>
      </c>
      <c r="M70" s="6" t="s">
        <v>194</v>
      </c>
      <c r="O70" s="4"/>
    </row>
    <row r="71" spans="1:15" ht="12.5">
      <c r="A71" s="4">
        <v>901180923</v>
      </c>
      <c r="B71" s="5"/>
      <c r="C71" s="6" t="s">
        <v>206</v>
      </c>
      <c r="D71" s="6"/>
      <c r="E71" s="6"/>
      <c r="F71" s="6" t="s">
        <v>16</v>
      </c>
      <c r="G71" s="6"/>
      <c r="H71" s="6" t="s">
        <v>207</v>
      </c>
      <c r="I71" s="13">
        <v>597087</v>
      </c>
      <c r="J71" s="6" t="s">
        <v>208</v>
      </c>
      <c r="L71" s="4" t="s">
        <v>176</v>
      </c>
      <c r="M71" s="6" t="s">
        <v>194</v>
      </c>
      <c r="O71" s="4"/>
    </row>
    <row r="72" spans="1:15" ht="12.5">
      <c r="A72" s="4">
        <v>900592716</v>
      </c>
      <c r="B72" s="5"/>
      <c r="C72" s="6" t="s">
        <v>209</v>
      </c>
      <c r="D72" s="6"/>
      <c r="E72" s="6"/>
      <c r="F72" s="6" t="s">
        <v>16</v>
      </c>
      <c r="G72" s="6"/>
      <c r="H72" s="6" t="s">
        <v>207</v>
      </c>
      <c r="I72" s="13">
        <v>250000</v>
      </c>
      <c r="J72" s="6" t="s">
        <v>210</v>
      </c>
      <c r="L72" s="4" t="s">
        <v>176</v>
      </c>
      <c r="M72" s="6" t="s">
        <v>211</v>
      </c>
      <c r="O72" s="4"/>
    </row>
    <row r="73" spans="1:15" ht="12.5">
      <c r="A73" s="4">
        <v>900801289</v>
      </c>
      <c r="B73" s="5"/>
      <c r="C73" s="6" t="s">
        <v>212</v>
      </c>
      <c r="D73" s="6"/>
      <c r="E73" s="6"/>
      <c r="F73" s="6" t="s">
        <v>16</v>
      </c>
      <c r="G73" s="6"/>
      <c r="H73" s="6" t="s">
        <v>213</v>
      </c>
      <c r="I73" s="13">
        <v>364009</v>
      </c>
      <c r="J73" s="6" t="s">
        <v>210</v>
      </c>
      <c r="L73" s="4" t="s">
        <v>176</v>
      </c>
      <c r="M73" s="6" t="s">
        <v>211</v>
      </c>
      <c r="O73" s="4"/>
    </row>
    <row r="74" spans="1:15" ht="12.5">
      <c r="A74" s="4">
        <v>900129770</v>
      </c>
      <c r="B74" s="5"/>
      <c r="C74" s="6" t="s">
        <v>214</v>
      </c>
      <c r="D74" s="6"/>
      <c r="E74" s="6"/>
      <c r="F74" s="6" t="s">
        <v>16</v>
      </c>
      <c r="G74" s="6"/>
      <c r="H74" s="6" t="s">
        <v>215</v>
      </c>
      <c r="I74" s="13">
        <v>1019500</v>
      </c>
      <c r="J74" s="6" t="s">
        <v>210</v>
      </c>
      <c r="L74" s="4" t="s">
        <v>176</v>
      </c>
      <c r="M74" s="6" t="s">
        <v>216</v>
      </c>
      <c r="O74" s="4"/>
    </row>
    <row r="75" spans="1:15" ht="12.5">
      <c r="A75" s="4">
        <v>89090459</v>
      </c>
      <c r="B75" s="5"/>
      <c r="C75" s="6" t="s">
        <v>217</v>
      </c>
      <c r="D75" s="6"/>
      <c r="E75" s="6"/>
      <c r="F75" s="6" t="s">
        <v>16</v>
      </c>
      <c r="G75" s="6"/>
      <c r="H75" s="6" t="s">
        <v>218</v>
      </c>
      <c r="I75" s="4"/>
      <c r="J75" s="6" t="s">
        <v>219</v>
      </c>
      <c r="L75" s="4" t="s">
        <v>220</v>
      </c>
      <c r="M75" s="6" t="s">
        <v>221</v>
      </c>
      <c r="O75" s="4"/>
    </row>
    <row r="76" spans="1:15" ht="12.5">
      <c r="A76" s="4">
        <v>43646494</v>
      </c>
      <c r="B76" s="5"/>
      <c r="C76" s="6" t="s">
        <v>222</v>
      </c>
      <c r="D76" s="6"/>
      <c r="E76" s="6"/>
      <c r="F76" s="6" t="s">
        <v>16</v>
      </c>
      <c r="G76" s="6"/>
      <c r="H76" s="6" t="s">
        <v>223</v>
      </c>
      <c r="I76" s="4"/>
      <c r="J76" s="6" t="s">
        <v>224</v>
      </c>
      <c r="L76" s="4" t="s">
        <v>225</v>
      </c>
      <c r="M76" s="6" t="s">
        <v>211</v>
      </c>
      <c r="N76" s="6" t="s">
        <v>226</v>
      </c>
      <c r="O76" s="4"/>
    </row>
    <row r="77" spans="1:15" ht="12.5">
      <c r="A77" s="4">
        <v>43646494</v>
      </c>
      <c r="B77" s="5"/>
      <c r="C77" s="6" t="s">
        <v>227</v>
      </c>
      <c r="D77" s="6"/>
      <c r="E77" s="6"/>
      <c r="F77" s="6" t="s">
        <v>16</v>
      </c>
      <c r="G77" s="6"/>
      <c r="H77" s="6" t="s">
        <v>223</v>
      </c>
      <c r="I77" s="4"/>
      <c r="J77" s="6" t="s">
        <v>224</v>
      </c>
      <c r="L77" s="4" t="s">
        <v>225</v>
      </c>
      <c r="M77" s="6" t="s">
        <v>211</v>
      </c>
      <c r="N77" s="6" t="s">
        <v>226</v>
      </c>
      <c r="O77" s="4"/>
    </row>
    <row r="78" spans="1:15" ht="12.5">
      <c r="A78" s="4">
        <v>900580091</v>
      </c>
      <c r="B78" s="5"/>
      <c r="C78" s="6" t="s">
        <v>228</v>
      </c>
      <c r="D78" s="6"/>
      <c r="E78" s="6"/>
      <c r="F78" s="6" t="s">
        <v>107</v>
      </c>
      <c r="G78" s="6"/>
      <c r="H78" s="6" t="s">
        <v>229</v>
      </c>
      <c r="I78" s="4"/>
      <c r="J78" s="6" t="s">
        <v>230</v>
      </c>
      <c r="L78" s="4" t="s">
        <v>220</v>
      </c>
      <c r="M78" s="6" t="s">
        <v>231</v>
      </c>
      <c r="O78" s="4"/>
    </row>
    <row r="79" spans="1:15" ht="12.5">
      <c r="A79" s="4">
        <v>800084755</v>
      </c>
      <c r="B79" s="5"/>
      <c r="C79" s="6" t="s">
        <v>232</v>
      </c>
      <c r="D79" s="6"/>
      <c r="E79" s="6"/>
      <c r="F79" s="6" t="s">
        <v>16</v>
      </c>
      <c r="G79" s="6"/>
      <c r="H79" s="6" t="s">
        <v>233</v>
      </c>
      <c r="I79" s="4"/>
      <c r="J79" s="6" t="s">
        <v>219</v>
      </c>
      <c r="L79" s="4" t="s">
        <v>220</v>
      </c>
      <c r="M79" s="6" t="s">
        <v>231</v>
      </c>
      <c r="O79" s="4"/>
    </row>
    <row r="80" spans="1:15" ht="12.5">
      <c r="A80" s="4">
        <v>890926884</v>
      </c>
      <c r="B80" s="5"/>
      <c r="C80" s="6" t="s">
        <v>234</v>
      </c>
      <c r="D80" s="6"/>
      <c r="E80" s="6"/>
      <c r="F80" s="6" t="s">
        <v>16</v>
      </c>
      <c r="G80" s="6"/>
      <c r="H80" s="6" t="s">
        <v>233</v>
      </c>
      <c r="I80" s="4"/>
      <c r="J80" s="6" t="s">
        <v>219</v>
      </c>
      <c r="L80" s="4" t="s">
        <v>220</v>
      </c>
      <c r="M80" s="6" t="s">
        <v>231</v>
      </c>
      <c r="O80" s="4"/>
    </row>
    <row r="81" spans="1:15" ht="12.5">
      <c r="A81" s="4">
        <v>800254433</v>
      </c>
      <c r="B81" s="5"/>
      <c r="C81" s="6" t="s">
        <v>235</v>
      </c>
      <c r="D81" s="6"/>
      <c r="E81" s="6"/>
      <c r="F81" s="6" t="s">
        <v>16</v>
      </c>
      <c r="G81" s="6"/>
      <c r="H81" s="6" t="s">
        <v>233</v>
      </c>
      <c r="I81" s="4"/>
      <c r="J81" s="6" t="s">
        <v>219</v>
      </c>
      <c r="L81" s="4" t="s">
        <v>220</v>
      </c>
      <c r="M81" s="6" t="s">
        <v>231</v>
      </c>
      <c r="O81" s="4"/>
    </row>
    <row r="82" spans="1:15" ht="12.5">
      <c r="A82" s="4">
        <v>901127981</v>
      </c>
      <c r="B82" s="5"/>
      <c r="C82" s="6" t="s">
        <v>236</v>
      </c>
      <c r="D82" s="6"/>
      <c r="E82" s="6"/>
      <c r="F82" s="6" t="s">
        <v>16</v>
      </c>
      <c r="G82" s="6"/>
      <c r="H82" s="6" t="s">
        <v>237</v>
      </c>
      <c r="I82" s="4"/>
      <c r="J82" s="6" t="s">
        <v>219</v>
      </c>
      <c r="L82" s="4" t="s">
        <v>220</v>
      </c>
      <c r="M82" s="6" t="s">
        <v>231</v>
      </c>
      <c r="O82" s="4"/>
    </row>
    <row r="83" spans="1:15" ht="12.5">
      <c r="A83" s="4">
        <v>901007980</v>
      </c>
      <c r="B83" s="5"/>
      <c r="C83" s="6" t="s">
        <v>238</v>
      </c>
      <c r="D83" s="6"/>
      <c r="E83" s="6"/>
      <c r="F83" s="6" t="s">
        <v>16</v>
      </c>
      <c r="G83" s="6"/>
      <c r="H83" s="6" t="s">
        <v>239</v>
      </c>
      <c r="I83" s="4"/>
      <c r="J83" s="6" t="s">
        <v>219</v>
      </c>
      <c r="L83" s="4" t="s">
        <v>220</v>
      </c>
      <c r="M83" s="6" t="s">
        <v>231</v>
      </c>
      <c r="O83" s="4"/>
    </row>
    <row r="84" spans="1:15" ht="12.5">
      <c r="A84" s="4">
        <v>1019009862</v>
      </c>
      <c r="B84" s="5"/>
      <c r="C84" s="6" t="s">
        <v>240</v>
      </c>
      <c r="D84" s="6"/>
      <c r="E84" s="6"/>
      <c r="F84" s="6" t="s">
        <v>16</v>
      </c>
      <c r="G84" s="6"/>
      <c r="H84" s="6" t="s">
        <v>241</v>
      </c>
      <c r="I84" s="4"/>
      <c r="J84" s="6" t="s">
        <v>242</v>
      </c>
      <c r="L84" s="4" t="s">
        <v>225</v>
      </c>
      <c r="N84" s="6" t="s">
        <v>243</v>
      </c>
      <c r="O84" s="4"/>
    </row>
    <row r="85" spans="1:15" ht="12.5">
      <c r="A85" s="4">
        <v>900493680</v>
      </c>
      <c r="B85" s="5"/>
      <c r="C85" s="6" t="s">
        <v>244</v>
      </c>
      <c r="D85" s="6"/>
      <c r="E85" s="6"/>
      <c r="F85" s="6" t="s">
        <v>16</v>
      </c>
      <c r="G85" s="6"/>
      <c r="H85" s="6" t="s">
        <v>245</v>
      </c>
      <c r="I85" s="4"/>
      <c r="J85" s="6" t="s">
        <v>219</v>
      </c>
      <c r="L85" s="4" t="s">
        <v>220</v>
      </c>
      <c r="O85" s="4"/>
    </row>
    <row r="86" spans="1:15" ht="12.5">
      <c r="A86" s="4">
        <v>900249006</v>
      </c>
      <c r="B86" s="5"/>
      <c r="C86" s="6" t="s">
        <v>246</v>
      </c>
      <c r="D86" s="6"/>
      <c r="E86" s="6"/>
      <c r="F86" s="6" t="s">
        <v>16</v>
      </c>
      <c r="I86" s="4"/>
      <c r="J86" s="6" t="s">
        <v>219</v>
      </c>
      <c r="L86" s="4" t="s">
        <v>220</v>
      </c>
      <c r="O86" s="4"/>
    </row>
    <row r="87" spans="1:15" ht="12.5">
      <c r="A87" s="4">
        <v>900791195</v>
      </c>
      <c r="B87" s="5"/>
      <c r="C87" s="6" t="s">
        <v>247</v>
      </c>
      <c r="D87" s="6"/>
      <c r="E87" s="6"/>
      <c r="F87" s="6" t="s">
        <v>16</v>
      </c>
      <c r="G87" s="6"/>
      <c r="H87" s="6" t="s">
        <v>248</v>
      </c>
      <c r="I87" s="4"/>
      <c r="J87" s="6" t="s">
        <v>249</v>
      </c>
      <c r="L87" s="4" t="s">
        <v>250</v>
      </c>
      <c r="M87" s="6" t="s">
        <v>251</v>
      </c>
      <c r="O87" s="4"/>
    </row>
    <row r="88" spans="1:15" ht="12.5">
      <c r="A88" s="4">
        <v>32184489</v>
      </c>
      <c r="B88" s="5"/>
      <c r="C88" s="6" t="s">
        <v>252</v>
      </c>
      <c r="D88" s="6"/>
      <c r="E88" s="6"/>
      <c r="F88" s="6" t="s">
        <v>16</v>
      </c>
      <c r="G88" s="6"/>
      <c r="H88" s="6" t="s">
        <v>248</v>
      </c>
      <c r="I88" s="4"/>
      <c r="J88" s="6" t="s">
        <v>249</v>
      </c>
      <c r="L88" s="4" t="s">
        <v>250</v>
      </c>
      <c r="M88" s="6" t="s">
        <v>251</v>
      </c>
      <c r="O88" s="4"/>
    </row>
    <row r="89" spans="1:15" ht="12.5">
      <c r="A89" s="4">
        <v>901233605</v>
      </c>
      <c r="B89" s="5"/>
      <c r="C89" s="6" t="s">
        <v>253</v>
      </c>
      <c r="D89" s="6"/>
      <c r="E89" s="6"/>
      <c r="F89" s="6" t="s">
        <v>16</v>
      </c>
      <c r="G89" s="6"/>
      <c r="H89" s="6" t="s">
        <v>254</v>
      </c>
      <c r="I89" s="4"/>
      <c r="J89" s="6" t="s">
        <v>255</v>
      </c>
      <c r="L89" s="4" t="s">
        <v>250</v>
      </c>
      <c r="M89" s="6" t="s">
        <v>251</v>
      </c>
      <c r="O89" s="4"/>
    </row>
    <row r="90" spans="1:15" ht="12.5">
      <c r="A90" s="4">
        <v>900818708</v>
      </c>
      <c r="B90" s="5"/>
      <c r="C90" s="6" t="s">
        <v>256</v>
      </c>
      <c r="D90" s="6"/>
      <c r="E90" s="6"/>
      <c r="F90" s="6" t="s">
        <v>16</v>
      </c>
      <c r="G90" s="6"/>
      <c r="H90" s="6" t="s">
        <v>257</v>
      </c>
      <c r="I90" s="4"/>
      <c r="J90" s="6" t="s">
        <v>255</v>
      </c>
      <c r="L90" s="4" t="s">
        <v>250</v>
      </c>
      <c r="M90" s="6" t="s">
        <v>251</v>
      </c>
      <c r="O90" s="4"/>
    </row>
    <row r="91" spans="1:15" ht="12.5">
      <c r="A91" s="4">
        <v>900590446</v>
      </c>
      <c r="B91" s="5"/>
      <c r="C91" s="6" t="s">
        <v>258</v>
      </c>
      <c r="D91" s="6"/>
      <c r="E91" s="6"/>
      <c r="F91" s="6" t="s">
        <v>16</v>
      </c>
      <c r="G91" s="6"/>
      <c r="H91" s="6" t="s">
        <v>259</v>
      </c>
      <c r="I91" s="4"/>
      <c r="J91" s="6" t="s">
        <v>260</v>
      </c>
      <c r="L91" s="4" t="s">
        <v>250</v>
      </c>
      <c r="M91" s="6" t="s">
        <v>251</v>
      </c>
      <c r="O91" s="4"/>
    </row>
    <row r="92" spans="1:15" ht="12.5">
      <c r="A92" s="4">
        <v>900145045</v>
      </c>
      <c r="B92" s="5"/>
      <c r="C92" s="6" t="s">
        <v>261</v>
      </c>
      <c r="D92" s="6"/>
      <c r="E92" s="6"/>
      <c r="F92" s="6" t="s">
        <v>16</v>
      </c>
      <c r="G92" s="6"/>
      <c r="H92" s="6" t="s">
        <v>262</v>
      </c>
      <c r="I92" s="4"/>
      <c r="J92" s="6" t="s">
        <v>263</v>
      </c>
      <c r="L92" s="4" t="s">
        <v>250</v>
      </c>
      <c r="M92" s="6" t="s">
        <v>264</v>
      </c>
      <c r="O92" s="4"/>
    </row>
    <row r="93" spans="1:15" ht="12.5">
      <c r="A93" s="4">
        <v>901388220</v>
      </c>
      <c r="B93" s="5"/>
      <c r="C93" s="6" t="s">
        <v>265</v>
      </c>
      <c r="D93" s="6"/>
      <c r="E93" s="6"/>
      <c r="F93" s="6" t="s">
        <v>16</v>
      </c>
      <c r="I93" s="4"/>
      <c r="J93" s="6" t="s">
        <v>266</v>
      </c>
      <c r="L93" s="4" t="s">
        <v>267</v>
      </c>
      <c r="M93" s="6" t="s">
        <v>264</v>
      </c>
      <c r="O93" s="4"/>
    </row>
    <row r="94" spans="1:15" ht="12.5">
      <c r="A94" s="4">
        <v>51588109</v>
      </c>
      <c r="B94" s="5"/>
      <c r="C94" s="6" t="s">
        <v>268</v>
      </c>
      <c r="D94" s="6"/>
      <c r="E94" s="6"/>
      <c r="F94" s="6" t="s">
        <v>16</v>
      </c>
      <c r="G94" s="6"/>
      <c r="H94" s="6" t="s">
        <v>269</v>
      </c>
      <c r="I94" s="4"/>
      <c r="J94" s="6" t="s">
        <v>270</v>
      </c>
      <c r="L94" s="4" t="s">
        <v>267</v>
      </c>
      <c r="M94" s="6" t="s">
        <v>264</v>
      </c>
      <c r="O94" s="4"/>
    </row>
    <row r="95" spans="1:15" ht="12.5">
      <c r="A95" s="4">
        <v>900990013</v>
      </c>
      <c r="B95" s="5"/>
      <c r="C95" s="6" t="s">
        <v>271</v>
      </c>
      <c r="D95" s="6"/>
      <c r="E95" s="6"/>
      <c r="F95" s="6" t="s">
        <v>16</v>
      </c>
      <c r="G95" s="6"/>
      <c r="H95" s="6" t="s">
        <v>272</v>
      </c>
      <c r="I95" s="4"/>
      <c r="J95" s="6" t="s">
        <v>273</v>
      </c>
      <c r="L95" s="4" t="s">
        <v>267</v>
      </c>
      <c r="M95" s="6" t="s">
        <v>264</v>
      </c>
      <c r="O95" s="4"/>
    </row>
    <row r="96" spans="1:15" ht="12.5">
      <c r="A96" s="4">
        <v>1044431163</v>
      </c>
      <c r="B96" s="5"/>
      <c r="C96" s="6" t="s">
        <v>274</v>
      </c>
      <c r="D96" s="6"/>
      <c r="E96" s="6"/>
      <c r="F96" s="6" t="s">
        <v>16</v>
      </c>
      <c r="G96" s="6"/>
      <c r="H96" s="6" t="s">
        <v>275</v>
      </c>
      <c r="I96" s="4"/>
      <c r="J96" s="6" t="s">
        <v>276</v>
      </c>
      <c r="L96" s="4" t="s">
        <v>267</v>
      </c>
      <c r="M96" s="6" t="s">
        <v>264</v>
      </c>
      <c r="O96" s="4"/>
    </row>
    <row r="97" spans="1:35" ht="12.5">
      <c r="A97" s="4">
        <v>901410045</v>
      </c>
      <c r="B97" s="5"/>
      <c r="C97" s="6" t="s">
        <v>277</v>
      </c>
      <c r="D97" s="6"/>
      <c r="E97" s="6"/>
      <c r="F97" s="6" t="s">
        <v>16</v>
      </c>
      <c r="G97" s="6"/>
      <c r="H97" s="6" t="s">
        <v>278</v>
      </c>
      <c r="I97" s="4"/>
      <c r="J97" s="6" t="s">
        <v>279</v>
      </c>
      <c r="L97" s="4" t="s">
        <v>267</v>
      </c>
      <c r="M97" s="6" t="s">
        <v>264</v>
      </c>
      <c r="O97" s="4"/>
    </row>
    <row r="98" spans="1:35" ht="12.5">
      <c r="A98" s="4">
        <v>901187231</v>
      </c>
      <c r="B98" s="5"/>
      <c r="C98" s="6" t="s">
        <v>280</v>
      </c>
      <c r="D98" s="6"/>
      <c r="E98" s="6"/>
      <c r="F98" s="6" t="s">
        <v>16</v>
      </c>
      <c r="I98" s="4"/>
      <c r="J98" s="6" t="s">
        <v>281</v>
      </c>
      <c r="L98" s="4" t="s">
        <v>267</v>
      </c>
      <c r="M98" s="6" t="s">
        <v>264</v>
      </c>
      <c r="O98" s="4"/>
    </row>
    <row r="99" spans="1:35" ht="12.5">
      <c r="A99" s="4">
        <v>901268852</v>
      </c>
      <c r="B99" s="5"/>
      <c r="C99" s="6" t="s">
        <v>282</v>
      </c>
      <c r="D99" s="6"/>
      <c r="E99" s="6"/>
      <c r="F99" s="6" t="s">
        <v>16</v>
      </c>
      <c r="G99" s="6"/>
      <c r="H99" s="6" t="s">
        <v>283</v>
      </c>
      <c r="I99" s="4"/>
      <c r="J99" s="6" t="s">
        <v>281</v>
      </c>
      <c r="L99" s="4" t="s">
        <v>267</v>
      </c>
      <c r="M99" s="6" t="s">
        <v>264</v>
      </c>
      <c r="O99" s="4"/>
    </row>
    <row r="100" spans="1:35" ht="12.5">
      <c r="A100" s="4">
        <v>901381639</v>
      </c>
      <c r="B100" s="5"/>
      <c r="C100" s="6" t="s">
        <v>284</v>
      </c>
      <c r="D100" s="6"/>
      <c r="E100" s="6"/>
      <c r="F100" s="6" t="s">
        <v>16</v>
      </c>
      <c r="G100" s="6"/>
      <c r="H100" s="6" t="s">
        <v>285</v>
      </c>
      <c r="I100" s="4"/>
      <c r="J100" s="6" t="s">
        <v>286</v>
      </c>
      <c r="L100" s="4" t="s">
        <v>267</v>
      </c>
      <c r="M100" s="6" t="s">
        <v>264</v>
      </c>
      <c r="O100" s="4"/>
    </row>
    <row r="101" spans="1:35" ht="12.5">
      <c r="A101" s="4">
        <v>811007952</v>
      </c>
      <c r="B101" s="5"/>
      <c r="C101" s="6" t="s">
        <v>287</v>
      </c>
      <c r="D101" s="6"/>
      <c r="E101" s="6"/>
      <c r="F101" s="6" t="s">
        <v>16</v>
      </c>
      <c r="G101" s="6"/>
      <c r="H101" s="6" t="s">
        <v>288</v>
      </c>
      <c r="I101" s="4"/>
      <c r="J101" s="6" t="s">
        <v>289</v>
      </c>
      <c r="L101" s="4" t="s">
        <v>267</v>
      </c>
      <c r="M101" s="6" t="s">
        <v>264</v>
      </c>
      <c r="O101" s="4"/>
    </row>
    <row r="102" spans="1:35" ht="12.5">
      <c r="A102" s="4">
        <v>900386828</v>
      </c>
      <c r="B102" s="5"/>
      <c r="C102" s="6" t="s">
        <v>290</v>
      </c>
      <c r="D102" s="6"/>
      <c r="E102" s="6"/>
      <c r="F102" s="6" t="s">
        <v>16</v>
      </c>
      <c r="G102" s="6"/>
      <c r="H102" s="6" t="s">
        <v>291</v>
      </c>
      <c r="I102" s="4"/>
      <c r="J102" s="6" t="s">
        <v>289</v>
      </c>
      <c r="L102" s="4" t="s">
        <v>267</v>
      </c>
      <c r="M102" s="6" t="s">
        <v>264</v>
      </c>
      <c r="O102" s="4"/>
    </row>
    <row r="103" spans="1:35" ht="12.5">
      <c r="A103" s="4">
        <v>901570046</v>
      </c>
      <c r="B103" s="5"/>
      <c r="C103" s="6" t="s">
        <v>292</v>
      </c>
      <c r="D103" s="6"/>
      <c r="E103" s="6"/>
      <c r="F103" s="6" t="s">
        <v>16</v>
      </c>
      <c r="G103" s="6"/>
      <c r="H103" s="6" t="s">
        <v>293</v>
      </c>
      <c r="I103" s="4"/>
      <c r="J103" s="6" t="s">
        <v>294</v>
      </c>
      <c r="L103" s="4" t="s">
        <v>267</v>
      </c>
      <c r="M103" s="6" t="s">
        <v>264</v>
      </c>
      <c r="O103" s="4"/>
    </row>
    <row r="104" spans="1:35" ht="12.5">
      <c r="A104" s="4">
        <v>811041400</v>
      </c>
      <c r="B104" s="5"/>
      <c r="C104" s="6" t="s">
        <v>295</v>
      </c>
      <c r="D104" s="6"/>
      <c r="E104" s="6"/>
      <c r="F104" s="6" t="s">
        <v>16</v>
      </c>
      <c r="G104" s="6"/>
      <c r="H104" s="6" t="s">
        <v>296</v>
      </c>
      <c r="I104" s="4"/>
      <c r="J104" s="6" t="s">
        <v>297</v>
      </c>
      <c r="L104" s="4" t="s">
        <v>267</v>
      </c>
      <c r="M104" s="6" t="s">
        <v>264</v>
      </c>
      <c r="O104" s="4"/>
    </row>
    <row r="105" spans="1:35" ht="12.5">
      <c r="A105" s="4">
        <v>901194718</v>
      </c>
      <c r="B105" s="5"/>
      <c r="C105" s="6" t="s">
        <v>298</v>
      </c>
      <c r="D105" s="6"/>
      <c r="E105" s="6"/>
      <c r="F105" s="6" t="s">
        <v>16</v>
      </c>
      <c r="G105" s="6"/>
      <c r="H105" s="6" t="s">
        <v>299</v>
      </c>
      <c r="I105" s="4"/>
      <c r="J105" s="6" t="s">
        <v>300</v>
      </c>
      <c r="L105" s="4" t="s">
        <v>267</v>
      </c>
      <c r="M105" s="6" t="s">
        <v>301</v>
      </c>
      <c r="O105" s="4"/>
    </row>
    <row r="106" spans="1:35" ht="12.5">
      <c r="A106" s="4">
        <v>900865281</v>
      </c>
      <c r="B106" s="5"/>
      <c r="C106" s="6" t="s">
        <v>302</v>
      </c>
      <c r="D106" s="6"/>
      <c r="E106" s="6"/>
      <c r="F106" s="6" t="s">
        <v>16</v>
      </c>
      <c r="G106" s="6"/>
      <c r="H106" s="6" t="s">
        <v>303</v>
      </c>
      <c r="I106" s="4"/>
      <c r="J106" s="6" t="s">
        <v>289</v>
      </c>
      <c r="L106" s="4" t="s">
        <v>267</v>
      </c>
      <c r="M106" s="6" t="s">
        <v>304</v>
      </c>
      <c r="O106" s="4"/>
    </row>
    <row r="107" spans="1:35" ht="12.5">
      <c r="A107" s="4">
        <v>901221968</v>
      </c>
      <c r="B107" s="5"/>
      <c r="C107" s="6" t="s">
        <v>305</v>
      </c>
      <c r="D107" s="6"/>
      <c r="E107" s="6"/>
      <c r="F107" s="6" t="s">
        <v>16</v>
      </c>
      <c r="G107" s="6"/>
      <c r="H107" s="6" t="s">
        <v>306</v>
      </c>
      <c r="I107" s="4"/>
      <c r="J107" s="6" t="s">
        <v>307</v>
      </c>
      <c r="L107" s="4" t="s">
        <v>267</v>
      </c>
      <c r="M107" s="6" t="s">
        <v>304</v>
      </c>
      <c r="O107" s="4"/>
    </row>
    <row r="108" spans="1:35" ht="12.5">
      <c r="A108" s="4">
        <v>811000995</v>
      </c>
      <c r="B108" s="5"/>
      <c r="C108" s="6" t="s">
        <v>308</v>
      </c>
      <c r="D108" s="6"/>
      <c r="E108" s="6"/>
      <c r="F108" s="6" t="s">
        <v>16</v>
      </c>
      <c r="G108" s="6"/>
      <c r="H108" s="6" t="s">
        <v>309</v>
      </c>
      <c r="I108" s="4"/>
      <c r="J108" s="6" t="s">
        <v>310</v>
      </c>
      <c r="L108" s="4" t="s">
        <v>267</v>
      </c>
      <c r="M108" s="6" t="s">
        <v>311</v>
      </c>
      <c r="O108" s="4"/>
    </row>
    <row r="109" spans="1:35" ht="12.5">
      <c r="A109" s="4">
        <v>900231102</v>
      </c>
      <c r="B109" s="5"/>
      <c r="C109" s="6" t="s">
        <v>312</v>
      </c>
      <c r="D109" s="6"/>
      <c r="E109" s="6"/>
      <c r="F109" s="6" t="s">
        <v>16</v>
      </c>
      <c r="G109" s="6"/>
      <c r="H109" s="6" t="s">
        <v>313</v>
      </c>
      <c r="I109" s="4"/>
      <c r="J109" s="6" t="s">
        <v>294</v>
      </c>
      <c r="L109" s="4" t="s">
        <v>267</v>
      </c>
      <c r="M109" s="6" t="s">
        <v>311</v>
      </c>
      <c r="O109" s="4"/>
    </row>
    <row r="110" spans="1:35" ht="12.5">
      <c r="A110" s="14"/>
      <c r="B110" s="15"/>
      <c r="C110" s="12" t="s">
        <v>314</v>
      </c>
      <c r="D110" s="12"/>
      <c r="E110" s="12"/>
      <c r="F110" s="12"/>
      <c r="G110" s="12"/>
      <c r="H110" s="12" t="s">
        <v>315</v>
      </c>
      <c r="I110" s="14"/>
      <c r="J110" s="12"/>
      <c r="K110" s="12"/>
      <c r="L110" s="14"/>
      <c r="M110" s="12"/>
      <c r="N110" s="12"/>
      <c r="O110" s="14"/>
      <c r="P110" s="12"/>
      <c r="Q110" s="12"/>
      <c r="R110" s="12"/>
      <c r="S110" s="12"/>
      <c r="T110" s="12"/>
      <c r="U110" s="12"/>
      <c r="V110" s="12"/>
      <c r="W110" s="12"/>
      <c r="X110" s="12"/>
      <c r="Y110" s="12"/>
      <c r="Z110" s="12"/>
      <c r="AA110" s="12"/>
      <c r="AB110" s="12"/>
      <c r="AC110" s="12"/>
      <c r="AD110" s="12"/>
      <c r="AE110" s="12"/>
      <c r="AF110" s="12"/>
      <c r="AG110" s="12"/>
      <c r="AH110" s="12"/>
      <c r="AI110" s="12"/>
    </row>
    <row r="111" spans="1:35" ht="12.5">
      <c r="A111" s="4">
        <v>25717799</v>
      </c>
      <c r="B111" s="5"/>
      <c r="C111" s="6" t="s">
        <v>316</v>
      </c>
      <c r="D111" s="6"/>
      <c r="E111" s="6"/>
      <c r="F111" s="6" t="s">
        <v>16</v>
      </c>
      <c r="G111" s="6"/>
      <c r="H111" s="6" t="s">
        <v>317</v>
      </c>
      <c r="I111" s="4"/>
      <c r="J111" s="6" t="s">
        <v>318</v>
      </c>
      <c r="L111" s="4" t="s">
        <v>267</v>
      </c>
      <c r="M111" s="6" t="s">
        <v>311</v>
      </c>
      <c r="N111" s="6" t="s">
        <v>319</v>
      </c>
      <c r="O111" s="4"/>
    </row>
    <row r="112" spans="1:35" ht="12.5">
      <c r="A112" s="16">
        <v>901304691</v>
      </c>
      <c r="B112" s="17"/>
      <c r="C112" s="18" t="s">
        <v>320</v>
      </c>
      <c r="D112" s="18"/>
      <c r="E112" s="18"/>
      <c r="F112" s="18" t="s">
        <v>16</v>
      </c>
      <c r="G112" s="18"/>
      <c r="H112" s="18" t="s">
        <v>321</v>
      </c>
      <c r="I112" s="16"/>
      <c r="J112" s="18" t="s">
        <v>322</v>
      </c>
      <c r="K112" s="18"/>
      <c r="L112" s="16" t="s">
        <v>267</v>
      </c>
      <c r="M112" s="18" t="s">
        <v>311</v>
      </c>
      <c r="N112" s="18"/>
      <c r="O112" s="16"/>
      <c r="P112" s="18"/>
      <c r="Q112" s="18"/>
      <c r="R112" s="18"/>
      <c r="S112" s="18"/>
      <c r="T112" s="18"/>
      <c r="U112" s="18"/>
      <c r="V112" s="18"/>
      <c r="W112" s="18"/>
      <c r="X112" s="18"/>
      <c r="Y112" s="18"/>
      <c r="Z112" s="18"/>
      <c r="AA112" s="18"/>
      <c r="AB112" s="18"/>
      <c r="AC112" s="18"/>
      <c r="AD112" s="18"/>
      <c r="AE112" s="18"/>
      <c r="AF112" s="18"/>
      <c r="AG112" s="18"/>
      <c r="AH112" s="18"/>
      <c r="AI112" s="18"/>
    </row>
    <row r="113" spans="1:15" ht="12.5">
      <c r="A113" s="4">
        <v>901421923</v>
      </c>
      <c r="B113" s="5"/>
      <c r="C113" s="6" t="s">
        <v>323</v>
      </c>
      <c r="D113" s="6"/>
      <c r="E113" s="6"/>
      <c r="F113" s="6" t="s">
        <v>16</v>
      </c>
      <c r="G113" s="6"/>
      <c r="H113" s="6" t="s">
        <v>324</v>
      </c>
      <c r="I113" s="4"/>
      <c r="J113" s="6" t="s">
        <v>325</v>
      </c>
      <c r="L113" s="4" t="s">
        <v>326</v>
      </c>
      <c r="M113" s="6" t="s">
        <v>311</v>
      </c>
      <c r="O113" s="4"/>
    </row>
    <row r="114" spans="1:15" ht="12.5">
      <c r="A114" s="4">
        <v>901608954</v>
      </c>
      <c r="B114" s="5"/>
      <c r="C114" s="6" t="s">
        <v>327</v>
      </c>
      <c r="D114" s="6"/>
      <c r="E114" s="6"/>
      <c r="F114" s="6" t="s">
        <v>16</v>
      </c>
      <c r="G114" s="6"/>
      <c r="H114" s="6" t="s">
        <v>328</v>
      </c>
      <c r="I114" s="4"/>
      <c r="J114" s="6" t="s">
        <v>325</v>
      </c>
      <c r="L114" s="4" t="s">
        <v>326</v>
      </c>
      <c r="M114" s="6" t="s">
        <v>311</v>
      </c>
      <c r="N114" s="19" t="s">
        <v>329</v>
      </c>
      <c r="O114" s="4"/>
    </row>
    <row r="115" spans="1:15" ht="12.5">
      <c r="A115" s="4">
        <v>900619947</v>
      </c>
      <c r="B115" s="5"/>
      <c r="C115" s="6" t="s">
        <v>330</v>
      </c>
      <c r="D115" s="6"/>
      <c r="E115" s="6"/>
      <c r="F115" s="6" t="s">
        <v>16</v>
      </c>
      <c r="G115" s="6"/>
      <c r="H115" s="6" t="s">
        <v>331</v>
      </c>
      <c r="J115" s="6" t="s">
        <v>46</v>
      </c>
      <c r="L115" s="4" t="s">
        <v>326</v>
      </c>
      <c r="M115" s="6" t="s">
        <v>332</v>
      </c>
    </row>
    <row r="116" spans="1:15" ht="12.5">
      <c r="A116" s="4">
        <v>806011452</v>
      </c>
      <c r="B116" s="5"/>
      <c r="C116" s="6" t="s">
        <v>333</v>
      </c>
      <c r="D116" s="6"/>
      <c r="E116" s="6"/>
      <c r="F116" s="6" t="s">
        <v>107</v>
      </c>
      <c r="G116" s="6"/>
      <c r="H116" s="6" t="s">
        <v>334</v>
      </c>
      <c r="I116" s="4"/>
      <c r="J116" s="6" t="s">
        <v>335</v>
      </c>
      <c r="L116" s="4" t="s">
        <v>326</v>
      </c>
      <c r="M116" s="6" t="s">
        <v>311</v>
      </c>
      <c r="O116" s="4"/>
    </row>
    <row r="117" spans="1:15" ht="12.5">
      <c r="A117" s="4">
        <v>800192164</v>
      </c>
      <c r="B117" s="5"/>
      <c r="C117" s="6" t="s">
        <v>336</v>
      </c>
      <c r="D117" s="6"/>
      <c r="E117" s="6"/>
      <c r="F117" s="6" t="s">
        <v>16</v>
      </c>
      <c r="G117" s="6"/>
      <c r="H117" s="6" t="s">
        <v>337</v>
      </c>
      <c r="I117" s="4"/>
      <c r="J117" s="6" t="s">
        <v>335</v>
      </c>
      <c r="L117" s="20" t="s">
        <v>326</v>
      </c>
      <c r="M117" s="21" t="s">
        <v>311</v>
      </c>
      <c r="O117" s="4"/>
    </row>
    <row r="118" spans="1:15" ht="12.5">
      <c r="A118" s="4">
        <v>94528456</v>
      </c>
      <c r="B118" s="5"/>
      <c r="C118" s="6" t="s">
        <v>338</v>
      </c>
      <c r="D118" s="6"/>
      <c r="E118" s="6"/>
      <c r="F118" s="6" t="s">
        <v>107</v>
      </c>
      <c r="G118" s="6"/>
      <c r="H118" s="6" t="s">
        <v>339</v>
      </c>
      <c r="I118" s="4"/>
      <c r="J118" s="6" t="s">
        <v>335</v>
      </c>
      <c r="L118" s="20" t="s">
        <v>326</v>
      </c>
      <c r="M118" s="6" t="s">
        <v>340</v>
      </c>
      <c r="N118" s="6" t="s">
        <v>341</v>
      </c>
      <c r="O118" s="4"/>
    </row>
    <row r="119" spans="1:15" ht="12.5">
      <c r="A119" s="4">
        <v>901474775</v>
      </c>
      <c r="B119" s="5"/>
      <c r="C119" s="6" t="s">
        <v>342</v>
      </c>
      <c r="D119" s="6"/>
      <c r="E119" s="6"/>
      <c r="F119" s="6" t="s">
        <v>16</v>
      </c>
      <c r="G119" s="6"/>
      <c r="H119" s="6" t="s">
        <v>343</v>
      </c>
      <c r="I119" s="4"/>
      <c r="J119" s="6" t="s">
        <v>344</v>
      </c>
      <c r="L119" s="20" t="s">
        <v>345</v>
      </c>
      <c r="M119" s="6" t="s">
        <v>332</v>
      </c>
      <c r="O119" s="4"/>
    </row>
    <row r="120" spans="1:15" ht="12.5">
      <c r="A120" s="4">
        <v>901554475</v>
      </c>
      <c r="B120" s="5"/>
      <c r="C120" s="6" t="s">
        <v>346</v>
      </c>
      <c r="D120" s="6"/>
      <c r="E120" s="6"/>
      <c r="F120" s="6" t="s">
        <v>16</v>
      </c>
      <c r="G120" s="6"/>
      <c r="H120" s="6" t="s">
        <v>343</v>
      </c>
      <c r="I120" s="4"/>
      <c r="J120" s="6" t="s">
        <v>344</v>
      </c>
      <c r="L120" s="20" t="s">
        <v>345</v>
      </c>
      <c r="M120" s="6" t="s">
        <v>332</v>
      </c>
      <c r="O120" s="4"/>
    </row>
    <row r="121" spans="1:15" ht="12.5">
      <c r="A121" s="4">
        <v>901534006</v>
      </c>
      <c r="B121" s="5"/>
      <c r="C121" s="6" t="s">
        <v>347</v>
      </c>
      <c r="D121" s="6"/>
      <c r="E121" s="6"/>
      <c r="F121" s="6" t="s">
        <v>107</v>
      </c>
      <c r="G121" s="6"/>
      <c r="H121" s="6" t="s">
        <v>348</v>
      </c>
      <c r="I121" s="4"/>
      <c r="J121" s="6" t="s">
        <v>344</v>
      </c>
      <c r="L121" s="4" t="s">
        <v>345</v>
      </c>
      <c r="M121" s="6" t="s">
        <v>332</v>
      </c>
      <c r="O121" s="4"/>
    </row>
    <row r="122" spans="1:15" ht="12.5">
      <c r="A122" s="4">
        <v>830133519</v>
      </c>
      <c r="B122" s="5"/>
      <c r="C122" s="6" t="s">
        <v>349</v>
      </c>
      <c r="D122" s="6"/>
      <c r="E122" s="6"/>
      <c r="F122" s="6" t="s">
        <v>107</v>
      </c>
      <c r="G122" s="6"/>
      <c r="H122" s="6" t="s">
        <v>350</v>
      </c>
      <c r="I122" s="4"/>
      <c r="J122" s="6" t="s">
        <v>39</v>
      </c>
      <c r="L122" s="4" t="s">
        <v>326</v>
      </c>
      <c r="M122" s="6" t="s">
        <v>351</v>
      </c>
      <c r="O122" s="4"/>
    </row>
    <row r="123" spans="1:15" ht="12.5">
      <c r="A123" s="4"/>
      <c r="B123" s="5"/>
      <c r="C123" s="6" t="s">
        <v>352</v>
      </c>
      <c r="D123" s="6"/>
      <c r="E123" s="6"/>
      <c r="F123" s="6" t="s">
        <v>16</v>
      </c>
      <c r="G123" s="6"/>
      <c r="H123" s="6" t="s">
        <v>353</v>
      </c>
      <c r="I123" s="4"/>
      <c r="J123" s="6" t="s">
        <v>354</v>
      </c>
      <c r="L123" s="4" t="s">
        <v>326</v>
      </c>
      <c r="M123" s="19" t="s">
        <v>355</v>
      </c>
      <c r="N123" s="19" t="s">
        <v>356</v>
      </c>
      <c r="O123" s="4"/>
    </row>
    <row r="124" spans="1:15" ht="12.5">
      <c r="A124" s="4"/>
      <c r="B124" s="5"/>
      <c r="C124" s="6" t="s">
        <v>357</v>
      </c>
      <c r="D124" s="6"/>
      <c r="E124" s="6"/>
      <c r="F124" s="6" t="s">
        <v>16</v>
      </c>
      <c r="G124" s="6"/>
      <c r="H124" s="6" t="s">
        <v>358</v>
      </c>
      <c r="I124" s="4"/>
      <c r="J124" s="6" t="s">
        <v>354</v>
      </c>
      <c r="L124" s="4" t="s">
        <v>326</v>
      </c>
      <c r="M124" s="21" t="s">
        <v>311</v>
      </c>
      <c r="O124" s="4"/>
    </row>
    <row r="125" spans="1:15" ht="12.5">
      <c r="A125" s="4"/>
      <c r="B125" s="5"/>
      <c r="C125" s="6" t="s">
        <v>359</v>
      </c>
      <c r="D125" s="6"/>
      <c r="E125" s="6"/>
      <c r="F125" s="6" t="s">
        <v>16</v>
      </c>
      <c r="I125" s="4"/>
      <c r="L125" s="4" t="s">
        <v>326</v>
      </c>
      <c r="M125" s="21" t="s">
        <v>311</v>
      </c>
      <c r="O125" s="4"/>
    </row>
    <row r="126" spans="1:15" ht="12.5">
      <c r="A126" s="4"/>
      <c r="B126" s="5"/>
      <c r="C126" s="6" t="s">
        <v>360</v>
      </c>
      <c r="D126" s="6"/>
      <c r="E126" s="6"/>
      <c r="F126" s="6" t="s">
        <v>16</v>
      </c>
      <c r="G126" s="6"/>
      <c r="H126" s="6" t="s">
        <v>361</v>
      </c>
      <c r="I126" s="4"/>
      <c r="J126" s="6" t="s">
        <v>354</v>
      </c>
      <c r="L126" s="4" t="s">
        <v>345</v>
      </c>
      <c r="M126" s="6" t="s">
        <v>332</v>
      </c>
      <c r="O126" s="4"/>
    </row>
    <row r="127" spans="1:15" ht="12.5">
      <c r="A127" s="4"/>
      <c r="B127" s="5"/>
      <c r="C127" s="6" t="s">
        <v>362</v>
      </c>
      <c r="D127" s="6"/>
      <c r="E127" s="6"/>
      <c r="F127" s="6" t="s">
        <v>16</v>
      </c>
      <c r="G127" s="6"/>
      <c r="H127" s="6" t="s">
        <v>363</v>
      </c>
      <c r="I127" s="4"/>
      <c r="J127" s="6" t="s">
        <v>364</v>
      </c>
      <c r="L127" s="4" t="s">
        <v>345</v>
      </c>
      <c r="M127" s="6" t="s">
        <v>332</v>
      </c>
      <c r="O127" s="4"/>
    </row>
    <row r="128" spans="1:15" ht="12.5">
      <c r="A128" s="4"/>
      <c r="B128" s="5"/>
      <c r="C128" s="6" t="s">
        <v>365</v>
      </c>
      <c r="D128" s="6"/>
      <c r="E128" s="6"/>
      <c r="F128" s="6" t="s">
        <v>107</v>
      </c>
      <c r="G128" s="6"/>
      <c r="H128" s="6" t="s">
        <v>366</v>
      </c>
      <c r="I128" s="4"/>
      <c r="J128" s="6" t="s">
        <v>364</v>
      </c>
      <c r="L128" s="4" t="s">
        <v>345</v>
      </c>
      <c r="M128" s="6" t="s">
        <v>332</v>
      </c>
      <c r="O128" s="4"/>
    </row>
    <row r="129" spans="1:35" ht="12.5">
      <c r="A129" s="4"/>
      <c r="B129" s="5"/>
      <c r="C129" s="6" t="s">
        <v>367</v>
      </c>
      <c r="D129" s="6"/>
      <c r="E129" s="6"/>
      <c r="F129" s="6" t="s">
        <v>16</v>
      </c>
      <c r="G129" s="6"/>
      <c r="H129" s="6" t="s">
        <v>368</v>
      </c>
      <c r="I129" s="4"/>
      <c r="J129" s="6" t="s">
        <v>369</v>
      </c>
      <c r="L129" s="4" t="s">
        <v>345</v>
      </c>
      <c r="M129" s="6" t="s">
        <v>332</v>
      </c>
      <c r="O129" s="4"/>
    </row>
    <row r="130" spans="1:35" ht="12.5">
      <c r="A130" s="4"/>
      <c r="B130" s="5"/>
      <c r="C130" s="6" t="s">
        <v>370</v>
      </c>
      <c r="D130" s="6"/>
      <c r="E130" s="6"/>
      <c r="F130" s="6" t="s">
        <v>16</v>
      </c>
      <c r="G130" s="6"/>
      <c r="H130" s="6" t="s">
        <v>371</v>
      </c>
      <c r="I130" s="4"/>
      <c r="J130" s="6" t="s">
        <v>369</v>
      </c>
      <c r="L130" s="22" t="s">
        <v>326</v>
      </c>
      <c r="M130" s="19" t="s">
        <v>372</v>
      </c>
      <c r="N130" s="19" t="s">
        <v>373</v>
      </c>
      <c r="O130" s="4"/>
    </row>
    <row r="131" spans="1:35" ht="12.5">
      <c r="A131" s="4"/>
      <c r="B131" s="5"/>
      <c r="C131" s="6" t="s">
        <v>374</v>
      </c>
      <c r="D131" s="6"/>
      <c r="E131" s="6"/>
      <c r="F131" s="6" t="s">
        <v>16</v>
      </c>
      <c r="G131" s="6"/>
      <c r="H131" s="6" t="s">
        <v>375</v>
      </c>
      <c r="I131" s="4"/>
      <c r="J131" s="6" t="s">
        <v>376</v>
      </c>
      <c r="L131" s="16" t="s">
        <v>345</v>
      </c>
      <c r="M131" s="18" t="s">
        <v>332</v>
      </c>
      <c r="N131" s="18"/>
      <c r="O131" s="4"/>
    </row>
    <row r="132" spans="1:35" ht="12.5">
      <c r="A132" s="4"/>
      <c r="B132" s="5"/>
      <c r="C132" s="6" t="s">
        <v>377</v>
      </c>
      <c r="D132" s="6"/>
      <c r="E132" s="6"/>
      <c r="F132" s="6" t="s">
        <v>16</v>
      </c>
      <c r="G132" s="6"/>
      <c r="H132" s="6" t="s">
        <v>378</v>
      </c>
      <c r="I132" s="4"/>
      <c r="J132" s="6" t="s">
        <v>369</v>
      </c>
      <c r="L132" s="22" t="s">
        <v>326</v>
      </c>
      <c r="M132" s="19" t="s">
        <v>372</v>
      </c>
      <c r="N132" s="19" t="s">
        <v>356</v>
      </c>
      <c r="O132" s="4"/>
    </row>
    <row r="133" spans="1:35" ht="12.5">
      <c r="A133" s="4">
        <v>1192796527</v>
      </c>
      <c r="B133" s="5"/>
      <c r="C133" s="6" t="s">
        <v>379</v>
      </c>
      <c r="D133" s="6"/>
      <c r="E133" s="6"/>
      <c r="F133" s="6" t="s">
        <v>16</v>
      </c>
      <c r="G133" s="6"/>
      <c r="H133" s="6" t="s">
        <v>380</v>
      </c>
      <c r="I133" s="4"/>
      <c r="J133" s="6" t="s">
        <v>364</v>
      </c>
      <c r="L133" s="4" t="s">
        <v>345</v>
      </c>
      <c r="M133" s="18" t="s">
        <v>332</v>
      </c>
      <c r="O133" s="4"/>
    </row>
    <row r="134" spans="1:35" ht="12.5">
      <c r="A134" s="4"/>
      <c r="B134" s="5"/>
      <c r="C134" s="6" t="s">
        <v>381</v>
      </c>
      <c r="D134" s="6"/>
      <c r="E134" s="6"/>
      <c r="F134" s="6" t="s">
        <v>107</v>
      </c>
      <c r="G134" s="6"/>
      <c r="H134" s="6" t="s">
        <v>382</v>
      </c>
      <c r="I134" s="4"/>
      <c r="J134" s="6" t="s">
        <v>383</v>
      </c>
      <c r="L134" s="4" t="s">
        <v>345</v>
      </c>
      <c r="M134" s="18" t="s">
        <v>332</v>
      </c>
      <c r="N134" s="6" t="s">
        <v>384</v>
      </c>
      <c r="O134" s="4"/>
    </row>
    <row r="135" spans="1:35" ht="12.5">
      <c r="A135" s="4"/>
      <c r="B135" s="5"/>
      <c r="C135" s="6" t="s">
        <v>385</v>
      </c>
      <c r="D135" s="6"/>
      <c r="E135" s="6"/>
      <c r="F135" s="6" t="s">
        <v>16</v>
      </c>
      <c r="I135" s="4"/>
      <c r="L135" s="4"/>
      <c r="O135" s="4"/>
    </row>
    <row r="136" spans="1:35" ht="12.5">
      <c r="A136" s="4"/>
      <c r="B136" s="5"/>
      <c r="C136" s="6" t="s">
        <v>386</v>
      </c>
      <c r="D136" s="6"/>
      <c r="E136" s="6"/>
      <c r="F136" s="6" t="s">
        <v>16</v>
      </c>
      <c r="G136" s="6"/>
      <c r="H136" s="6" t="s">
        <v>387</v>
      </c>
      <c r="I136" s="4"/>
      <c r="J136" s="6" t="s">
        <v>388</v>
      </c>
      <c r="L136" s="4" t="s">
        <v>389</v>
      </c>
      <c r="M136" s="6" t="s">
        <v>390</v>
      </c>
      <c r="O136" s="4"/>
    </row>
    <row r="137" spans="1:35" ht="12.5">
      <c r="A137" s="4"/>
      <c r="B137" s="5"/>
      <c r="C137" s="6" t="s">
        <v>391</v>
      </c>
      <c r="D137" s="6"/>
      <c r="E137" s="6"/>
      <c r="F137" s="6" t="s">
        <v>16</v>
      </c>
      <c r="G137" s="6"/>
      <c r="H137" s="6" t="s">
        <v>387</v>
      </c>
      <c r="I137" s="4"/>
      <c r="J137" s="6" t="s">
        <v>388</v>
      </c>
      <c r="L137" s="4" t="s">
        <v>389</v>
      </c>
      <c r="M137" s="6" t="s">
        <v>390</v>
      </c>
      <c r="O137" s="4"/>
    </row>
    <row r="138" spans="1:35" ht="12.5">
      <c r="A138" s="4"/>
      <c r="B138" s="5"/>
      <c r="C138" s="6" t="s">
        <v>392</v>
      </c>
      <c r="D138" s="6"/>
      <c r="E138" s="6"/>
      <c r="F138" s="6" t="s">
        <v>16</v>
      </c>
      <c r="G138" s="6"/>
      <c r="H138" s="6" t="s">
        <v>393</v>
      </c>
      <c r="I138" s="4"/>
      <c r="L138" s="4" t="s">
        <v>389</v>
      </c>
      <c r="M138" s="6" t="s">
        <v>390</v>
      </c>
      <c r="O138" s="4"/>
    </row>
    <row r="139" spans="1:35" ht="12.5">
      <c r="A139" s="4"/>
      <c r="B139" s="5"/>
      <c r="C139" s="6" t="s">
        <v>394</v>
      </c>
      <c r="D139" s="6"/>
      <c r="E139" s="6"/>
      <c r="F139" s="6" t="s">
        <v>16</v>
      </c>
      <c r="G139" s="6"/>
      <c r="H139" s="6" t="s">
        <v>395</v>
      </c>
      <c r="I139" s="4"/>
      <c r="L139" s="4" t="s">
        <v>389</v>
      </c>
      <c r="M139" s="6" t="s">
        <v>390</v>
      </c>
      <c r="O139" s="4"/>
    </row>
    <row r="140" spans="1:35" ht="12.5">
      <c r="A140" s="4"/>
      <c r="B140" s="5"/>
      <c r="C140" s="6" t="s">
        <v>396</v>
      </c>
      <c r="D140" s="6"/>
      <c r="E140" s="6"/>
      <c r="F140" s="6" t="s">
        <v>16</v>
      </c>
      <c r="G140" s="6"/>
      <c r="H140" s="6" t="s">
        <v>397</v>
      </c>
      <c r="I140" s="4"/>
      <c r="L140" s="4" t="s">
        <v>389</v>
      </c>
      <c r="M140" s="6" t="s">
        <v>390</v>
      </c>
      <c r="O140" s="4"/>
    </row>
    <row r="141" spans="1:35" ht="12.5">
      <c r="A141" s="4"/>
      <c r="B141" s="5"/>
      <c r="C141" s="6" t="s">
        <v>398</v>
      </c>
      <c r="D141" s="6"/>
      <c r="E141" s="6"/>
      <c r="F141" s="6" t="s">
        <v>16</v>
      </c>
      <c r="G141" s="6"/>
      <c r="H141" s="6" t="s">
        <v>399</v>
      </c>
      <c r="I141" s="4"/>
      <c r="L141" s="4" t="s">
        <v>389</v>
      </c>
      <c r="M141" s="6" t="s">
        <v>390</v>
      </c>
      <c r="O141" s="4"/>
    </row>
    <row r="142" spans="1:35" ht="12.5">
      <c r="A142" s="4"/>
      <c r="B142" s="5"/>
      <c r="C142" s="6" t="s">
        <v>400</v>
      </c>
      <c r="D142" s="6"/>
      <c r="E142" s="6"/>
      <c r="F142" s="6" t="s">
        <v>16</v>
      </c>
      <c r="G142" s="6"/>
      <c r="H142" s="6" t="s">
        <v>401</v>
      </c>
      <c r="I142" s="4"/>
      <c r="L142" s="4" t="s">
        <v>389</v>
      </c>
      <c r="M142" s="6" t="s">
        <v>390</v>
      </c>
      <c r="O142" s="4"/>
    </row>
    <row r="143" spans="1:35" ht="12.5">
      <c r="A143" s="4">
        <v>901574566</v>
      </c>
      <c r="B143" s="5"/>
      <c r="C143" s="6" t="s">
        <v>402</v>
      </c>
      <c r="D143" s="6"/>
      <c r="E143" s="6"/>
      <c r="F143" s="6" t="s">
        <v>16</v>
      </c>
      <c r="G143" s="6"/>
      <c r="H143" s="6" t="s">
        <v>403</v>
      </c>
      <c r="I143" s="4"/>
      <c r="L143" s="4" t="s">
        <v>389</v>
      </c>
      <c r="M143" s="6" t="s">
        <v>390</v>
      </c>
      <c r="O143" s="4"/>
    </row>
    <row r="144" spans="1:35" ht="12.5">
      <c r="A144" s="16"/>
      <c r="B144" s="17"/>
      <c r="C144" s="18" t="s">
        <v>404</v>
      </c>
      <c r="D144" s="18"/>
      <c r="E144" s="18"/>
      <c r="F144" s="18" t="s">
        <v>16</v>
      </c>
      <c r="G144" s="18"/>
      <c r="H144" s="18" t="s">
        <v>405</v>
      </c>
      <c r="I144" s="16"/>
      <c r="J144" s="18"/>
      <c r="K144" s="18"/>
      <c r="L144" s="16" t="s">
        <v>389</v>
      </c>
      <c r="M144" s="18" t="s">
        <v>390</v>
      </c>
      <c r="N144" s="18"/>
      <c r="O144" s="16"/>
      <c r="P144" s="18"/>
      <c r="Q144" s="18"/>
      <c r="R144" s="18"/>
      <c r="S144" s="18"/>
      <c r="T144" s="18"/>
      <c r="U144" s="18"/>
      <c r="V144" s="18"/>
      <c r="W144" s="18"/>
      <c r="X144" s="18"/>
      <c r="Y144" s="18"/>
      <c r="Z144" s="18"/>
      <c r="AA144" s="18"/>
      <c r="AB144" s="18"/>
      <c r="AC144" s="18"/>
      <c r="AD144" s="18"/>
      <c r="AE144" s="18"/>
      <c r="AF144" s="18"/>
      <c r="AG144" s="18"/>
      <c r="AH144" s="18"/>
      <c r="AI144" s="18"/>
    </row>
    <row r="145" spans="1:35" ht="12.5">
      <c r="A145" s="4"/>
      <c r="B145" s="5"/>
      <c r="C145" s="6" t="s">
        <v>406</v>
      </c>
      <c r="D145" s="6"/>
      <c r="E145" s="6"/>
      <c r="F145" s="6" t="s">
        <v>16</v>
      </c>
      <c r="G145" s="6"/>
      <c r="H145" s="6" t="s">
        <v>407</v>
      </c>
      <c r="I145" s="4"/>
      <c r="L145" s="4" t="s">
        <v>389</v>
      </c>
      <c r="M145" s="6" t="s">
        <v>390</v>
      </c>
      <c r="O145" s="4"/>
    </row>
    <row r="146" spans="1:35" ht="12.5">
      <c r="A146" s="14"/>
      <c r="B146" s="15"/>
      <c r="C146" s="12" t="s">
        <v>408</v>
      </c>
      <c r="D146" s="12"/>
      <c r="E146" s="12"/>
      <c r="F146" s="12" t="s">
        <v>16</v>
      </c>
      <c r="G146" s="12"/>
      <c r="H146" s="12"/>
      <c r="I146" s="14"/>
      <c r="J146" s="12"/>
      <c r="K146" s="12"/>
      <c r="L146" s="14" t="s">
        <v>389</v>
      </c>
      <c r="M146" s="12" t="s">
        <v>390</v>
      </c>
      <c r="N146" s="12" t="s">
        <v>409</v>
      </c>
      <c r="O146" s="14"/>
      <c r="P146" s="12"/>
      <c r="Q146" s="12"/>
      <c r="R146" s="12"/>
      <c r="S146" s="12"/>
      <c r="T146" s="12"/>
      <c r="U146" s="12"/>
      <c r="V146" s="12"/>
      <c r="W146" s="12"/>
      <c r="X146" s="12"/>
      <c r="Y146" s="12"/>
      <c r="Z146" s="12"/>
      <c r="AA146" s="12"/>
      <c r="AB146" s="12"/>
      <c r="AC146" s="12"/>
      <c r="AD146" s="12"/>
      <c r="AE146" s="12"/>
      <c r="AF146" s="12"/>
      <c r="AG146" s="12"/>
      <c r="AH146" s="12"/>
      <c r="AI146" s="12"/>
    </row>
    <row r="147" spans="1:35" ht="12.5">
      <c r="A147" s="4"/>
      <c r="B147" s="5"/>
      <c r="C147" s="6" t="s">
        <v>410</v>
      </c>
      <c r="D147" s="6"/>
      <c r="E147" s="6"/>
      <c r="F147" s="6" t="s">
        <v>16</v>
      </c>
      <c r="G147" s="6"/>
      <c r="H147" s="6" t="s">
        <v>411</v>
      </c>
      <c r="I147" s="4"/>
      <c r="L147" s="4" t="s">
        <v>389</v>
      </c>
      <c r="M147" s="6" t="s">
        <v>390</v>
      </c>
      <c r="O147" s="4"/>
    </row>
    <row r="148" spans="1:35" ht="12.5">
      <c r="A148" s="4"/>
      <c r="B148" s="5"/>
      <c r="C148" s="6" t="s">
        <v>412</v>
      </c>
      <c r="D148" s="6"/>
      <c r="E148" s="6"/>
      <c r="F148" s="6" t="s">
        <v>16</v>
      </c>
      <c r="G148" s="6"/>
      <c r="H148" s="6" t="s">
        <v>413</v>
      </c>
      <c r="I148" s="4"/>
      <c r="L148" s="4" t="s">
        <v>389</v>
      </c>
      <c r="M148" s="6" t="s">
        <v>390</v>
      </c>
      <c r="O148" s="4"/>
    </row>
    <row r="149" spans="1:35" ht="12.5">
      <c r="A149" s="4"/>
      <c r="B149" s="5"/>
      <c r="C149" s="6" t="s">
        <v>414</v>
      </c>
      <c r="D149" s="6"/>
      <c r="E149" s="6"/>
      <c r="F149" s="6" t="s">
        <v>16</v>
      </c>
      <c r="I149" s="4"/>
      <c r="L149" s="4" t="s">
        <v>389</v>
      </c>
      <c r="M149" s="6" t="s">
        <v>390</v>
      </c>
      <c r="O149" s="4"/>
    </row>
    <row r="150" spans="1:35" ht="12.5">
      <c r="A150" s="4"/>
      <c r="B150" s="5"/>
      <c r="C150" s="6" t="s">
        <v>415</v>
      </c>
      <c r="D150" s="6"/>
      <c r="E150" s="6"/>
      <c r="F150" s="6" t="s">
        <v>16</v>
      </c>
      <c r="G150" s="6"/>
      <c r="H150" s="6" t="s">
        <v>416</v>
      </c>
      <c r="I150" s="4"/>
      <c r="L150" s="4" t="s">
        <v>389</v>
      </c>
      <c r="M150" s="6" t="s">
        <v>390</v>
      </c>
      <c r="O150" s="4"/>
    </row>
    <row r="151" spans="1:35" ht="12.5">
      <c r="A151" s="4"/>
      <c r="B151" s="5"/>
      <c r="C151" s="6" t="s">
        <v>417</v>
      </c>
      <c r="D151" s="6"/>
      <c r="E151" s="6"/>
      <c r="F151" s="6" t="s">
        <v>16</v>
      </c>
      <c r="I151" s="4"/>
      <c r="L151" s="4" t="s">
        <v>389</v>
      </c>
      <c r="M151" s="6" t="s">
        <v>390</v>
      </c>
      <c r="O151" s="4"/>
    </row>
    <row r="152" spans="1:35" ht="12.5">
      <c r="A152" s="4"/>
      <c r="B152" s="5"/>
      <c r="C152" s="6" t="s">
        <v>418</v>
      </c>
      <c r="D152" s="6"/>
      <c r="E152" s="6"/>
      <c r="F152" s="6" t="s">
        <v>16</v>
      </c>
      <c r="I152" s="4"/>
      <c r="L152" s="4" t="s">
        <v>389</v>
      </c>
      <c r="M152" s="6" t="s">
        <v>390</v>
      </c>
      <c r="O152" s="4"/>
    </row>
    <row r="153" spans="1:35" ht="12.5">
      <c r="A153" s="4"/>
      <c r="B153" s="5"/>
      <c r="C153" s="6" t="s">
        <v>419</v>
      </c>
      <c r="D153" s="6"/>
      <c r="E153" s="6"/>
      <c r="F153" s="6" t="s">
        <v>16</v>
      </c>
      <c r="G153" s="6"/>
      <c r="H153" s="6" t="s">
        <v>420</v>
      </c>
      <c r="I153" s="4"/>
      <c r="L153" s="4" t="s">
        <v>421</v>
      </c>
      <c r="M153" s="6" t="s">
        <v>422</v>
      </c>
      <c r="O153" s="4"/>
    </row>
    <row r="154" spans="1:35" ht="12.5">
      <c r="A154" s="4"/>
      <c r="B154" s="5"/>
      <c r="C154" s="6" t="s">
        <v>419</v>
      </c>
      <c r="D154" s="6"/>
      <c r="E154" s="6"/>
      <c r="F154" s="6" t="s">
        <v>16</v>
      </c>
      <c r="G154" s="6"/>
      <c r="H154" s="6" t="s">
        <v>420</v>
      </c>
      <c r="I154" s="4"/>
      <c r="L154" s="4" t="s">
        <v>421</v>
      </c>
      <c r="M154" s="6" t="s">
        <v>422</v>
      </c>
      <c r="O154" s="4"/>
    </row>
    <row r="155" spans="1:35" ht="12.5">
      <c r="A155" s="4"/>
      <c r="B155" s="5"/>
      <c r="C155" s="6" t="s">
        <v>423</v>
      </c>
      <c r="D155" s="6"/>
      <c r="E155" s="6"/>
      <c r="F155" s="6" t="s">
        <v>16</v>
      </c>
      <c r="G155" s="6"/>
      <c r="H155" s="6" t="s">
        <v>424</v>
      </c>
      <c r="I155" s="4"/>
      <c r="L155" s="4" t="s">
        <v>421</v>
      </c>
      <c r="M155" s="6" t="s">
        <v>422</v>
      </c>
      <c r="O155" s="4"/>
    </row>
    <row r="156" spans="1:35" ht="12.5">
      <c r="A156" s="4"/>
      <c r="B156" s="5"/>
      <c r="C156" s="6" t="s">
        <v>425</v>
      </c>
      <c r="D156" s="6"/>
      <c r="E156" s="6"/>
      <c r="F156" s="6" t="s">
        <v>16</v>
      </c>
      <c r="G156" s="6"/>
      <c r="H156" s="6" t="s">
        <v>426</v>
      </c>
      <c r="I156" s="4"/>
      <c r="L156" s="4" t="s">
        <v>421</v>
      </c>
      <c r="M156" s="6" t="s">
        <v>422</v>
      </c>
      <c r="O156" s="4"/>
    </row>
    <row r="157" spans="1:35" ht="12.5">
      <c r="A157" s="4"/>
      <c r="B157" s="5"/>
      <c r="C157" s="6" t="s">
        <v>427</v>
      </c>
      <c r="D157" s="6"/>
      <c r="E157" s="6"/>
      <c r="F157" s="6" t="s">
        <v>16</v>
      </c>
      <c r="G157" s="6"/>
      <c r="H157" s="6" t="s">
        <v>428</v>
      </c>
      <c r="I157" s="4"/>
      <c r="L157" s="4" t="s">
        <v>421</v>
      </c>
      <c r="M157" s="6" t="s">
        <v>422</v>
      </c>
      <c r="O157" s="4"/>
    </row>
    <row r="158" spans="1:35" ht="12.5">
      <c r="A158" s="4"/>
      <c r="B158" s="5"/>
      <c r="C158" s="6" t="s">
        <v>429</v>
      </c>
      <c r="D158" s="6"/>
      <c r="E158" s="6"/>
      <c r="F158" s="6" t="s">
        <v>16</v>
      </c>
      <c r="G158" s="6"/>
      <c r="H158" s="6" t="s">
        <v>428</v>
      </c>
      <c r="I158" s="4"/>
      <c r="L158" s="4" t="s">
        <v>421</v>
      </c>
      <c r="M158" s="6" t="s">
        <v>422</v>
      </c>
      <c r="O158" s="4"/>
    </row>
    <row r="159" spans="1:35" ht="12.5">
      <c r="A159" s="4"/>
      <c r="B159" s="5"/>
      <c r="C159" s="6" t="s">
        <v>430</v>
      </c>
      <c r="D159" s="6"/>
      <c r="E159" s="6"/>
      <c r="F159" s="6" t="s">
        <v>16</v>
      </c>
      <c r="G159" s="6"/>
      <c r="H159" s="6" t="s">
        <v>431</v>
      </c>
      <c r="I159" s="4"/>
      <c r="L159" s="4" t="s">
        <v>389</v>
      </c>
      <c r="M159" s="6" t="s">
        <v>422</v>
      </c>
      <c r="O159" s="4"/>
    </row>
    <row r="160" spans="1:35" ht="12.5">
      <c r="A160" s="4"/>
      <c r="B160" s="5"/>
      <c r="C160" s="6" t="s">
        <v>432</v>
      </c>
      <c r="D160" s="6"/>
      <c r="E160" s="6"/>
      <c r="F160" s="6" t="s">
        <v>16</v>
      </c>
      <c r="G160" s="6"/>
      <c r="H160" s="6" t="s">
        <v>433</v>
      </c>
      <c r="I160" s="4"/>
      <c r="L160" s="4" t="s">
        <v>147</v>
      </c>
      <c r="M160" s="6" t="s">
        <v>434</v>
      </c>
      <c r="O160" s="4"/>
    </row>
    <row r="161" spans="1:15" ht="12.5">
      <c r="A161" s="4"/>
      <c r="B161" s="5"/>
      <c r="C161" s="6" t="s">
        <v>435</v>
      </c>
      <c r="D161" s="6"/>
      <c r="E161" s="6"/>
      <c r="F161" s="6" t="s">
        <v>16</v>
      </c>
      <c r="G161" s="6"/>
      <c r="H161" s="6" t="s">
        <v>436</v>
      </c>
      <c r="I161" s="4"/>
      <c r="L161" s="4" t="s">
        <v>147</v>
      </c>
      <c r="M161" s="6" t="s">
        <v>434</v>
      </c>
      <c r="O161" s="4"/>
    </row>
    <row r="162" spans="1:15" ht="12.5">
      <c r="A162" s="4"/>
      <c r="B162" s="5"/>
      <c r="C162" s="6" t="s">
        <v>437</v>
      </c>
      <c r="D162" s="6"/>
      <c r="E162" s="6"/>
      <c r="F162" s="6" t="s">
        <v>16</v>
      </c>
      <c r="I162" s="4"/>
      <c r="L162" s="4" t="s">
        <v>147</v>
      </c>
      <c r="M162" s="6" t="s">
        <v>434</v>
      </c>
      <c r="O162" s="4"/>
    </row>
    <row r="163" spans="1:15" ht="12.5">
      <c r="A163" s="4">
        <v>901661591</v>
      </c>
      <c r="B163" s="5"/>
      <c r="C163" s="6" t="s">
        <v>438</v>
      </c>
      <c r="D163" s="6"/>
      <c r="E163" s="6"/>
      <c r="F163" s="6" t="s">
        <v>16</v>
      </c>
      <c r="G163" s="6"/>
      <c r="H163" s="6" t="s">
        <v>439</v>
      </c>
      <c r="I163" s="4"/>
      <c r="L163" s="4" t="s">
        <v>421</v>
      </c>
      <c r="M163" s="6" t="s">
        <v>422</v>
      </c>
      <c r="O163" s="4"/>
    </row>
    <row r="164" spans="1:15" ht="12.5">
      <c r="A164" s="4"/>
      <c r="B164" s="5"/>
      <c r="C164" s="6" t="s">
        <v>440</v>
      </c>
      <c r="D164" s="6"/>
      <c r="E164" s="6"/>
      <c r="F164" s="6" t="s">
        <v>16</v>
      </c>
      <c r="G164" s="6"/>
      <c r="H164" s="6" t="s">
        <v>441</v>
      </c>
      <c r="I164" s="4"/>
      <c r="L164" s="4" t="s">
        <v>421</v>
      </c>
      <c r="M164" s="6" t="s">
        <v>422</v>
      </c>
      <c r="O164" s="4"/>
    </row>
    <row r="165" spans="1:15" ht="12.5">
      <c r="A165" s="4"/>
      <c r="B165" s="5"/>
      <c r="C165" s="6" t="s">
        <v>442</v>
      </c>
      <c r="D165" s="6"/>
      <c r="E165" s="6"/>
      <c r="F165" s="6" t="s">
        <v>16</v>
      </c>
      <c r="G165" s="6"/>
      <c r="H165" s="6" t="s">
        <v>443</v>
      </c>
      <c r="I165" s="4"/>
      <c r="L165" s="4" t="s">
        <v>147</v>
      </c>
      <c r="M165" s="6" t="s">
        <v>434</v>
      </c>
      <c r="O165" s="4"/>
    </row>
    <row r="166" spans="1:15" ht="12.5">
      <c r="A166" s="4">
        <v>901490405</v>
      </c>
      <c r="B166" s="5"/>
      <c r="C166" s="6" t="s">
        <v>444</v>
      </c>
      <c r="D166" s="6"/>
      <c r="E166" s="6"/>
      <c r="F166" s="6" t="s">
        <v>107</v>
      </c>
      <c r="G166" s="6"/>
      <c r="H166" s="6" t="s">
        <v>445</v>
      </c>
      <c r="I166" s="4"/>
      <c r="L166" s="4" t="s">
        <v>421</v>
      </c>
      <c r="M166" s="6" t="s">
        <v>422</v>
      </c>
      <c r="O166" s="4"/>
    </row>
    <row r="167" spans="1:15" ht="12.5">
      <c r="A167" s="4">
        <v>901495248</v>
      </c>
      <c r="B167" s="5"/>
      <c r="C167" s="6" t="s">
        <v>446</v>
      </c>
      <c r="D167" s="6"/>
      <c r="E167" s="6"/>
      <c r="F167" s="6" t="s">
        <v>447</v>
      </c>
      <c r="G167" s="6"/>
      <c r="H167" s="6" t="s">
        <v>448</v>
      </c>
      <c r="I167" s="4"/>
      <c r="L167" s="4" t="s">
        <v>421</v>
      </c>
      <c r="M167" s="6" t="s">
        <v>449</v>
      </c>
      <c r="N167" s="6" t="s">
        <v>450</v>
      </c>
      <c r="O167" s="4"/>
    </row>
    <row r="168" spans="1:15" ht="12.5">
      <c r="A168" s="4"/>
      <c r="B168" s="5"/>
      <c r="C168" s="6" t="s">
        <v>451</v>
      </c>
      <c r="D168" s="6"/>
      <c r="E168" s="6"/>
      <c r="F168" s="6" t="s">
        <v>107</v>
      </c>
      <c r="G168" s="6"/>
      <c r="H168" s="6" t="s">
        <v>452</v>
      </c>
      <c r="I168" s="4"/>
      <c r="L168" s="4" t="s">
        <v>421</v>
      </c>
      <c r="M168" s="6" t="s">
        <v>453</v>
      </c>
      <c r="N168" s="6" t="s">
        <v>454</v>
      </c>
      <c r="O168" s="4"/>
    </row>
    <row r="169" spans="1:15" ht="12.5">
      <c r="A169" s="4"/>
      <c r="B169" s="5"/>
      <c r="C169" s="6" t="s">
        <v>455</v>
      </c>
      <c r="D169" s="6"/>
      <c r="E169" s="6"/>
      <c r="F169" s="6" t="s">
        <v>447</v>
      </c>
      <c r="G169" s="12"/>
      <c r="H169" s="12" t="s">
        <v>456</v>
      </c>
      <c r="I169" s="4"/>
      <c r="L169" s="4"/>
      <c r="O169" s="4"/>
    </row>
    <row r="170" spans="1:15" ht="12.5">
      <c r="A170" s="4"/>
      <c r="B170" s="5"/>
      <c r="C170" s="6" t="s">
        <v>457</v>
      </c>
      <c r="D170" s="6"/>
      <c r="E170" s="6"/>
      <c r="F170" s="6" t="s">
        <v>16</v>
      </c>
      <c r="G170" s="6"/>
      <c r="H170" s="6" t="s">
        <v>458</v>
      </c>
      <c r="I170" s="4"/>
      <c r="L170" s="4" t="s">
        <v>421</v>
      </c>
      <c r="M170" s="6" t="s">
        <v>453</v>
      </c>
      <c r="O170" s="4"/>
    </row>
    <row r="171" spans="1:15" ht="12.5">
      <c r="A171" s="4"/>
      <c r="B171" s="5"/>
      <c r="C171" s="19" t="s">
        <v>459</v>
      </c>
      <c r="D171" s="6"/>
      <c r="E171" s="6"/>
      <c r="F171" s="6" t="s">
        <v>16</v>
      </c>
      <c r="G171" s="6"/>
      <c r="H171" s="6" t="s">
        <v>460</v>
      </c>
      <c r="I171" s="4"/>
      <c r="L171" s="4" t="s">
        <v>147</v>
      </c>
      <c r="M171" s="6" t="s">
        <v>434</v>
      </c>
      <c r="O171" s="4"/>
    </row>
    <row r="172" spans="1:15" ht="12.5">
      <c r="A172" s="4"/>
      <c r="B172" s="5"/>
      <c r="C172" s="19" t="s">
        <v>461</v>
      </c>
      <c r="D172" s="6"/>
      <c r="E172" s="6"/>
      <c r="F172" s="6" t="s">
        <v>16</v>
      </c>
      <c r="G172" s="6"/>
      <c r="H172" s="6" t="s">
        <v>460</v>
      </c>
      <c r="I172" s="4"/>
      <c r="L172" s="4" t="s">
        <v>147</v>
      </c>
      <c r="M172" s="6" t="s">
        <v>434</v>
      </c>
      <c r="O172" s="4"/>
    </row>
    <row r="173" spans="1:15" ht="12.5">
      <c r="A173" s="4"/>
      <c r="B173" s="5"/>
      <c r="C173" s="19" t="s">
        <v>462</v>
      </c>
      <c r="D173" s="6"/>
      <c r="E173" s="6"/>
      <c r="F173" s="6" t="s">
        <v>16</v>
      </c>
      <c r="G173" s="6"/>
      <c r="H173" s="6" t="s">
        <v>463</v>
      </c>
      <c r="I173" s="4"/>
      <c r="L173" s="4" t="s">
        <v>147</v>
      </c>
      <c r="M173" s="6" t="s">
        <v>434</v>
      </c>
      <c r="O173" s="4"/>
    </row>
    <row r="174" spans="1:15" ht="12.5">
      <c r="A174" s="4"/>
      <c r="B174" s="5"/>
      <c r="C174" s="19" t="s">
        <v>464</v>
      </c>
      <c r="D174" s="6"/>
      <c r="E174" s="6"/>
      <c r="F174" s="6" t="s">
        <v>16</v>
      </c>
      <c r="G174" s="6"/>
      <c r="H174" s="6" t="s">
        <v>465</v>
      </c>
      <c r="I174" s="4"/>
      <c r="L174" s="4" t="s">
        <v>147</v>
      </c>
      <c r="M174" s="6" t="s">
        <v>434</v>
      </c>
      <c r="O174" s="4"/>
    </row>
    <row r="175" spans="1:15" ht="12.5">
      <c r="A175" s="4">
        <v>901476143</v>
      </c>
      <c r="B175" s="5"/>
      <c r="C175" s="19" t="s">
        <v>466</v>
      </c>
      <c r="D175" s="6"/>
      <c r="E175" s="6"/>
      <c r="F175" s="6" t="s">
        <v>16</v>
      </c>
      <c r="G175" s="6"/>
      <c r="H175" s="6" t="s">
        <v>467</v>
      </c>
      <c r="I175" s="4"/>
      <c r="L175" s="4" t="s">
        <v>147</v>
      </c>
      <c r="M175" s="6" t="s">
        <v>434</v>
      </c>
      <c r="O175" s="4"/>
    </row>
    <row r="176" spans="1:15" ht="12.5">
      <c r="A176" s="4"/>
      <c r="B176" s="5"/>
      <c r="C176" s="19" t="s">
        <v>468</v>
      </c>
      <c r="D176" s="6"/>
      <c r="E176" s="6"/>
      <c r="F176" s="6" t="s">
        <v>16</v>
      </c>
      <c r="G176" s="6"/>
      <c r="H176" s="6" t="s">
        <v>469</v>
      </c>
      <c r="I176" s="4"/>
      <c r="L176" s="4" t="s">
        <v>147</v>
      </c>
      <c r="M176" s="6" t="s">
        <v>434</v>
      </c>
      <c r="O176" s="4"/>
    </row>
    <row r="177" spans="1:35" ht="12.5">
      <c r="A177" s="4"/>
      <c r="B177" s="5"/>
      <c r="C177" s="19" t="s">
        <v>470</v>
      </c>
      <c r="D177" s="6"/>
      <c r="E177" s="6"/>
      <c r="F177" s="6" t="s">
        <v>16</v>
      </c>
      <c r="G177" s="6"/>
      <c r="H177" s="6" t="s">
        <v>471</v>
      </c>
      <c r="I177" s="4"/>
      <c r="L177" s="4" t="s">
        <v>147</v>
      </c>
      <c r="M177" s="6" t="s">
        <v>434</v>
      </c>
      <c r="O177" s="4"/>
    </row>
    <row r="178" spans="1:35" ht="12.5">
      <c r="A178" s="4"/>
      <c r="B178" s="5"/>
      <c r="C178" s="19" t="s">
        <v>472</v>
      </c>
      <c r="D178" s="6"/>
      <c r="E178" s="6"/>
      <c r="F178" s="6" t="s">
        <v>16</v>
      </c>
      <c r="G178" s="6"/>
      <c r="H178" s="6" t="s">
        <v>473</v>
      </c>
      <c r="I178" s="4"/>
      <c r="L178" s="4" t="s">
        <v>147</v>
      </c>
      <c r="M178" s="6" t="s">
        <v>434</v>
      </c>
      <c r="O178" s="4"/>
    </row>
    <row r="179" spans="1:35" ht="12.5">
      <c r="A179" s="4"/>
      <c r="B179" s="5"/>
      <c r="C179" s="19" t="s">
        <v>474</v>
      </c>
      <c r="D179" s="6"/>
      <c r="E179" s="6"/>
      <c r="F179" s="6" t="s">
        <v>16</v>
      </c>
      <c r="G179" s="6"/>
      <c r="H179" s="6" t="s">
        <v>475</v>
      </c>
      <c r="I179" s="4"/>
      <c r="L179" s="4" t="s">
        <v>147</v>
      </c>
      <c r="M179" s="6" t="s">
        <v>434</v>
      </c>
      <c r="O179" s="4"/>
    </row>
    <row r="180" spans="1:35" ht="12.5">
      <c r="A180" s="4"/>
      <c r="B180" s="5"/>
      <c r="C180" s="19" t="s">
        <v>476</v>
      </c>
      <c r="D180" s="6"/>
      <c r="E180" s="6"/>
      <c r="F180" s="6" t="s">
        <v>16</v>
      </c>
      <c r="G180" s="6"/>
      <c r="H180" s="6" t="s">
        <v>477</v>
      </c>
      <c r="I180" s="4"/>
      <c r="L180" s="4" t="s">
        <v>147</v>
      </c>
      <c r="M180" s="6" t="s">
        <v>434</v>
      </c>
      <c r="O180" s="4"/>
    </row>
    <row r="181" spans="1:35" ht="12.5">
      <c r="A181" s="4"/>
      <c r="B181" s="5"/>
      <c r="C181" s="19" t="s">
        <v>478</v>
      </c>
      <c r="D181" s="6"/>
      <c r="E181" s="6"/>
      <c r="F181" s="6" t="s">
        <v>16</v>
      </c>
      <c r="G181" s="6"/>
      <c r="H181" s="6" t="s">
        <v>479</v>
      </c>
      <c r="I181" s="4"/>
      <c r="L181" s="4" t="s">
        <v>147</v>
      </c>
      <c r="M181" s="6" t="s">
        <v>434</v>
      </c>
      <c r="O181" s="4"/>
    </row>
    <row r="182" spans="1:35" ht="12.5">
      <c r="A182" s="23"/>
      <c r="B182" s="24"/>
      <c r="C182" s="25"/>
      <c r="D182" s="25"/>
      <c r="E182" s="25"/>
      <c r="F182" s="25"/>
      <c r="G182" s="25"/>
      <c r="H182" s="25"/>
      <c r="I182" s="23"/>
      <c r="J182" s="25"/>
      <c r="K182" s="25"/>
      <c r="L182" s="23"/>
      <c r="M182" s="25"/>
      <c r="N182" s="25"/>
      <c r="O182" s="23"/>
      <c r="P182" s="25"/>
      <c r="Q182" s="25"/>
      <c r="R182" s="25"/>
      <c r="S182" s="25"/>
      <c r="T182" s="25"/>
      <c r="U182" s="25"/>
      <c r="V182" s="25"/>
      <c r="W182" s="25"/>
      <c r="X182" s="25"/>
      <c r="Y182" s="25"/>
      <c r="Z182" s="25"/>
      <c r="AA182" s="25"/>
      <c r="AB182" s="25"/>
      <c r="AC182" s="25"/>
      <c r="AD182" s="25"/>
      <c r="AE182" s="25"/>
      <c r="AF182" s="25"/>
      <c r="AG182" s="25"/>
      <c r="AH182" s="25"/>
      <c r="AI182" s="25"/>
    </row>
    <row r="183" spans="1:35" ht="12.5">
      <c r="A183" s="4">
        <v>830110373</v>
      </c>
      <c r="B183" s="26">
        <v>420000</v>
      </c>
      <c r="C183" s="6" t="s">
        <v>480</v>
      </c>
      <c r="D183" s="27" t="s">
        <v>481</v>
      </c>
      <c r="E183" s="4">
        <v>3214728750</v>
      </c>
      <c r="F183" s="6" t="s">
        <v>16</v>
      </c>
      <c r="G183" s="6" t="s">
        <v>482</v>
      </c>
      <c r="H183" s="6" t="s">
        <v>483</v>
      </c>
      <c r="I183" s="4"/>
      <c r="L183" s="4" t="s">
        <v>147</v>
      </c>
      <c r="M183" s="6" t="s">
        <v>434</v>
      </c>
      <c r="O183" s="4"/>
    </row>
    <row r="184" spans="1:35" ht="12.5">
      <c r="A184" s="4">
        <v>900621871</v>
      </c>
      <c r="B184" s="26">
        <v>355750</v>
      </c>
      <c r="C184" s="18" t="s">
        <v>484</v>
      </c>
      <c r="D184" s="27" t="s">
        <v>485</v>
      </c>
      <c r="E184" s="4">
        <v>3104904162</v>
      </c>
      <c r="F184" s="6" t="s">
        <v>16</v>
      </c>
      <c r="G184" s="6" t="s">
        <v>486</v>
      </c>
      <c r="H184" s="6" t="s">
        <v>487</v>
      </c>
      <c r="I184" s="4"/>
      <c r="L184" s="4" t="s">
        <v>147</v>
      </c>
      <c r="M184" s="6" t="s">
        <v>434</v>
      </c>
      <c r="O184" s="4"/>
    </row>
    <row r="185" spans="1:35" ht="12.5">
      <c r="A185" s="4">
        <v>8250096</v>
      </c>
      <c r="B185" s="26">
        <v>355750</v>
      </c>
      <c r="C185" s="18" t="s">
        <v>488</v>
      </c>
      <c r="D185" s="27" t="s">
        <v>485</v>
      </c>
      <c r="E185" s="4">
        <v>3104904162</v>
      </c>
      <c r="F185" s="6" t="s">
        <v>16</v>
      </c>
      <c r="G185" s="6" t="s">
        <v>486</v>
      </c>
      <c r="H185" s="6" t="s">
        <v>487</v>
      </c>
      <c r="I185" s="4"/>
      <c r="L185" s="4" t="s">
        <v>147</v>
      </c>
      <c r="M185" s="6" t="s">
        <v>434</v>
      </c>
      <c r="O185" s="4"/>
    </row>
    <row r="186" spans="1:35" ht="12.5">
      <c r="A186" s="5">
        <v>900803178</v>
      </c>
      <c r="B186" s="26">
        <v>288500</v>
      </c>
      <c r="C186" s="18" t="s">
        <v>489</v>
      </c>
      <c r="D186" s="27" t="s">
        <v>485</v>
      </c>
      <c r="E186" s="4">
        <v>3104904162</v>
      </c>
      <c r="F186" s="6" t="s">
        <v>16</v>
      </c>
      <c r="G186" s="6" t="s">
        <v>486</v>
      </c>
      <c r="H186" s="6" t="s">
        <v>487</v>
      </c>
      <c r="I186" s="4"/>
      <c r="L186" s="4" t="s">
        <v>147</v>
      </c>
      <c r="M186" s="6" t="s">
        <v>434</v>
      </c>
      <c r="O186" s="4"/>
    </row>
    <row r="187" spans="1:35" ht="12.5">
      <c r="A187" s="5">
        <v>900225937</v>
      </c>
      <c r="B187" s="26">
        <v>450000</v>
      </c>
      <c r="C187" s="6" t="s">
        <v>490</v>
      </c>
      <c r="D187" s="27" t="s">
        <v>491</v>
      </c>
      <c r="E187" s="4">
        <v>3173798989</v>
      </c>
      <c r="F187" s="6" t="s">
        <v>16</v>
      </c>
      <c r="G187" s="6" t="s">
        <v>389</v>
      </c>
      <c r="H187" s="6" t="s">
        <v>492</v>
      </c>
      <c r="I187" s="4"/>
      <c r="L187" s="4" t="s">
        <v>147</v>
      </c>
      <c r="M187" s="6" t="s">
        <v>434</v>
      </c>
      <c r="O187" s="4"/>
    </row>
    <row r="188" spans="1:35" ht="12.5">
      <c r="A188" s="5">
        <v>901521163</v>
      </c>
      <c r="B188" s="26">
        <v>225000</v>
      </c>
      <c r="C188" s="6" t="s">
        <v>493</v>
      </c>
      <c r="D188" s="27" t="s">
        <v>494</v>
      </c>
      <c r="E188" s="4">
        <v>3023230023</v>
      </c>
      <c r="F188" s="6" t="s">
        <v>16</v>
      </c>
      <c r="G188" s="6" t="s">
        <v>495</v>
      </c>
      <c r="H188" s="6" t="s">
        <v>496</v>
      </c>
      <c r="I188" s="4"/>
      <c r="L188" s="4" t="s">
        <v>147</v>
      </c>
      <c r="M188" s="6" t="s">
        <v>434</v>
      </c>
      <c r="O188" s="4"/>
    </row>
    <row r="189" spans="1:35" ht="12.5">
      <c r="A189" s="5">
        <v>900903697</v>
      </c>
      <c r="B189" s="26">
        <v>225000</v>
      </c>
      <c r="C189" s="6" t="s">
        <v>497</v>
      </c>
      <c r="D189" s="27" t="s">
        <v>498</v>
      </c>
      <c r="E189" s="4">
        <v>3015907027</v>
      </c>
      <c r="F189" s="6" t="s">
        <v>16</v>
      </c>
      <c r="G189" s="6" t="s">
        <v>495</v>
      </c>
      <c r="H189" s="6" t="s">
        <v>496</v>
      </c>
      <c r="I189" s="4"/>
      <c r="L189" s="4" t="s">
        <v>147</v>
      </c>
      <c r="M189" s="6" t="s">
        <v>434</v>
      </c>
      <c r="O189" s="4"/>
    </row>
    <row r="190" spans="1:35" ht="12.5">
      <c r="A190" s="5">
        <v>900412001</v>
      </c>
      <c r="B190" s="26">
        <v>91256</v>
      </c>
      <c r="C190" s="6" t="s">
        <v>499</v>
      </c>
      <c r="D190" s="27" t="s">
        <v>500</v>
      </c>
      <c r="E190" s="4">
        <v>3006193914</v>
      </c>
      <c r="F190" s="6" t="s">
        <v>16</v>
      </c>
      <c r="G190" s="6" t="s">
        <v>501</v>
      </c>
      <c r="H190" s="6" t="s">
        <v>502</v>
      </c>
      <c r="I190" s="4"/>
      <c r="J190" s="6" t="s">
        <v>147</v>
      </c>
      <c r="L190" s="4" t="s">
        <v>503</v>
      </c>
      <c r="M190" s="6" t="s">
        <v>504</v>
      </c>
      <c r="O190" s="4"/>
    </row>
    <row r="191" spans="1:35" ht="12.5">
      <c r="A191" s="5">
        <v>890942237</v>
      </c>
      <c r="B191" s="26">
        <v>91256</v>
      </c>
      <c r="C191" s="6" t="s">
        <v>505</v>
      </c>
      <c r="D191" s="27" t="s">
        <v>500</v>
      </c>
      <c r="E191" s="4">
        <v>3006193914</v>
      </c>
      <c r="F191" s="6" t="s">
        <v>16</v>
      </c>
      <c r="G191" s="6" t="s">
        <v>501</v>
      </c>
      <c r="H191" s="6" t="s">
        <v>502</v>
      </c>
      <c r="I191" s="4"/>
      <c r="J191" s="6" t="s">
        <v>147</v>
      </c>
      <c r="L191" s="4" t="s">
        <v>503</v>
      </c>
      <c r="M191" s="6" t="s">
        <v>504</v>
      </c>
      <c r="O191" s="4"/>
    </row>
    <row r="192" spans="1:35" ht="12.5">
      <c r="A192" s="5">
        <v>901435777</v>
      </c>
      <c r="B192" s="26">
        <v>300000</v>
      </c>
      <c r="C192" s="6" t="s">
        <v>506</v>
      </c>
      <c r="D192" s="27" t="s">
        <v>507</v>
      </c>
      <c r="E192" s="4">
        <v>3208364256</v>
      </c>
      <c r="F192" s="6" t="s">
        <v>16</v>
      </c>
      <c r="G192" s="6" t="s">
        <v>508</v>
      </c>
      <c r="H192" s="6" t="s">
        <v>509</v>
      </c>
      <c r="I192" s="4"/>
      <c r="J192" s="6" t="s">
        <v>147</v>
      </c>
      <c r="L192" s="4" t="s">
        <v>503</v>
      </c>
      <c r="M192" s="6" t="s">
        <v>504</v>
      </c>
      <c r="O192" s="4"/>
    </row>
    <row r="193" spans="1:15" ht="12.5">
      <c r="A193" s="5">
        <v>901525723</v>
      </c>
      <c r="B193" s="26">
        <v>350000</v>
      </c>
      <c r="C193" s="6" t="s">
        <v>510</v>
      </c>
      <c r="D193" s="27" t="s">
        <v>511</v>
      </c>
      <c r="E193" s="4" t="s">
        <v>512</v>
      </c>
      <c r="F193" s="6" t="s">
        <v>513</v>
      </c>
      <c r="G193" s="6" t="s">
        <v>514</v>
      </c>
      <c r="H193" s="6" t="s">
        <v>515</v>
      </c>
      <c r="I193" s="4"/>
      <c r="J193" s="6" t="s">
        <v>503</v>
      </c>
      <c r="L193" s="4" t="s">
        <v>516</v>
      </c>
      <c r="O193" s="4"/>
    </row>
    <row r="194" spans="1:15" ht="12.5">
      <c r="A194" s="5">
        <v>900167786</v>
      </c>
      <c r="B194" s="26">
        <v>388500</v>
      </c>
      <c r="C194" s="6" t="s">
        <v>517</v>
      </c>
      <c r="D194" s="27" t="s">
        <v>518</v>
      </c>
      <c r="E194" s="4">
        <v>3164707951</v>
      </c>
      <c r="F194" s="6" t="s">
        <v>513</v>
      </c>
      <c r="G194" s="6" t="s">
        <v>519</v>
      </c>
      <c r="H194" s="6" t="s">
        <v>520</v>
      </c>
      <c r="I194" s="4"/>
      <c r="J194" s="6" t="s">
        <v>503</v>
      </c>
      <c r="L194" s="4" t="s">
        <v>516</v>
      </c>
      <c r="O194" s="4"/>
    </row>
    <row r="195" spans="1:15" ht="12.5">
      <c r="A195" s="5">
        <v>900785695</v>
      </c>
      <c r="B195" s="26">
        <v>214600</v>
      </c>
      <c r="C195" s="6" t="s">
        <v>521</v>
      </c>
      <c r="D195" s="27" t="s">
        <v>522</v>
      </c>
      <c r="E195" s="4">
        <v>3203073492</v>
      </c>
      <c r="F195" s="6" t="s">
        <v>513</v>
      </c>
      <c r="G195" s="6" t="s">
        <v>519</v>
      </c>
      <c r="H195" s="6" t="s">
        <v>523</v>
      </c>
      <c r="I195" s="4"/>
      <c r="J195" s="6" t="s">
        <v>503</v>
      </c>
      <c r="L195" s="4" t="s">
        <v>516</v>
      </c>
      <c r="O195" s="4"/>
    </row>
    <row r="196" spans="1:15" ht="12.5">
      <c r="A196" s="6">
        <v>901191243</v>
      </c>
      <c r="B196" s="26">
        <v>82795</v>
      </c>
      <c r="C196" s="6" t="s">
        <v>524</v>
      </c>
      <c r="D196" s="27" t="s">
        <v>525</v>
      </c>
      <c r="F196" s="6" t="s">
        <v>513</v>
      </c>
      <c r="G196" s="6" t="s">
        <v>508</v>
      </c>
      <c r="H196" s="6" t="s">
        <v>526</v>
      </c>
      <c r="I196" s="4"/>
      <c r="J196" s="6" t="s">
        <v>503</v>
      </c>
      <c r="L196" s="4" t="s">
        <v>516</v>
      </c>
      <c r="O196" s="4"/>
    </row>
    <row r="197" spans="1:15" ht="12.5">
      <c r="A197" s="4"/>
      <c r="B197" s="5"/>
      <c r="E197" s="4"/>
      <c r="I197" s="4"/>
      <c r="L197" s="4"/>
      <c r="O197" s="4"/>
    </row>
    <row r="198" spans="1:15" ht="12.5">
      <c r="A198" s="4"/>
      <c r="B198" s="5"/>
      <c r="I198" s="4"/>
      <c r="L198" s="4"/>
      <c r="O198" s="4"/>
    </row>
    <row r="199" spans="1:15" ht="12.5">
      <c r="A199" s="4"/>
      <c r="B199" s="5"/>
      <c r="I199" s="4"/>
      <c r="L199" s="4"/>
      <c r="O199" s="4"/>
    </row>
    <row r="200" spans="1:15" ht="12.5">
      <c r="A200" s="4"/>
      <c r="B200" s="5"/>
      <c r="I200" s="4"/>
      <c r="L200" s="4"/>
      <c r="O200" s="4"/>
    </row>
    <row r="201" spans="1:15" ht="12.5">
      <c r="A201" s="4"/>
      <c r="B201" s="5"/>
      <c r="I201" s="4"/>
      <c r="L201" s="4"/>
      <c r="O201" s="4"/>
    </row>
    <row r="202" spans="1:15" ht="12.5">
      <c r="A202" s="4"/>
      <c r="B202" s="5"/>
      <c r="I202" s="4"/>
      <c r="L202" s="4"/>
      <c r="O202" s="4"/>
    </row>
    <row r="203" spans="1:15" ht="12.5">
      <c r="A203" s="4"/>
      <c r="B203" s="5"/>
      <c r="I203" s="4"/>
      <c r="L203" s="4"/>
      <c r="O203" s="4"/>
    </row>
    <row r="204" spans="1:15" ht="12.5">
      <c r="A204" s="4"/>
      <c r="B204" s="5"/>
      <c r="I204" s="4"/>
      <c r="L204" s="4"/>
      <c r="O204" s="4"/>
    </row>
    <row r="205" spans="1:15" ht="12.5">
      <c r="A205" s="4"/>
      <c r="B205" s="5"/>
      <c r="I205" s="4"/>
      <c r="L205" s="4"/>
      <c r="O205" s="4"/>
    </row>
    <row r="206" spans="1:15" ht="12.5">
      <c r="A206" s="4"/>
      <c r="B206" s="5"/>
      <c r="I206" s="4"/>
      <c r="L206" s="4"/>
      <c r="O206" s="4"/>
    </row>
    <row r="207" spans="1:15" ht="12.5">
      <c r="A207" s="4"/>
      <c r="B207" s="5"/>
      <c r="I207" s="4"/>
      <c r="L207" s="4"/>
      <c r="O207" s="4"/>
    </row>
    <row r="208" spans="1:15" ht="12.5">
      <c r="A208" s="4"/>
      <c r="B208" s="5"/>
      <c r="I208" s="4"/>
      <c r="L208" s="4"/>
      <c r="O208" s="4"/>
    </row>
    <row r="209" spans="1:15" ht="12.5">
      <c r="A209" s="4"/>
      <c r="B209" s="5"/>
      <c r="I209" s="4"/>
      <c r="L209" s="4"/>
      <c r="O209" s="4"/>
    </row>
    <row r="210" spans="1:15" ht="12.5">
      <c r="A210" s="4"/>
      <c r="B210" s="5"/>
      <c r="I210" s="4"/>
      <c r="L210" s="4"/>
      <c r="O210" s="4"/>
    </row>
    <row r="211" spans="1:15" ht="12.5">
      <c r="A211" s="4"/>
      <c r="B211" s="5"/>
      <c r="I211" s="4"/>
      <c r="L211" s="4"/>
      <c r="O211" s="4"/>
    </row>
    <row r="212" spans="1:15" ht="12.5">
      <c r="A212" s="4"/>
      <c r="B212" s="5"/>
      <c r="I212" s="4"/>
      <c r="L212" s="4"/>
      <c r="O212" s="4"/>
    </row>
    <row r="213" spans="1:15" ht="12.5">
      <c r="A213" s="4"/>
      <c r="B213" s="5"/>
      <c r="I213" s="4"/>
      <c r="L213" s="4"/>
      <c r="O213" s="4"/>
    </row>
    <row r="214" spans="1:15" ht="12.5">
      <c r="A214" s="4"/>
      <c r="B214" s="5"/>
      <c r="I214" s="4"/>
      <c r="L214" s="4"/>
      <c r="O214" s="4"/>
    </row>
    <row r="215" spans="1:15" ht="12.5">
      <c r="A215" s="4"/>
      <c r="B215" s="5"/>
      <c r="I215" s="4"/>
      <c r="L215" s="4"/>
      <c r="O215" s="4"/>
    </row>
    <row r="216" spans="1:15" ht="12.5">
      <c r="A216" s="4"/>
      <c r="B216" s="5"/>
      <c r="I216" s="4"/>
      <c r="L216" s="4"/>
      <c r="O216" s="4"/>
    </row>
    <row r="217" spans="1:15" ht="12.5">
      <c r="A217" s="4"/>
      <c r="B217" s="5"/>
      <c r="I217" s="4"/>
      <c r="L217" s="4"/>
      <c r="O217" s="4"/>
    </row>
    <row r="218" spans="1:15" ht="12.5">
      <c r="A218" s="4"/>
      <c r="B218" s="5"/>
      <c r="I218" s="4"/>
      <c r="L218" s="4"/>
      <c r="O218" s="4"/>
    </row>
    <row r="219" spans="1:15" ht="12.5">
      <c r="A219" s="4"/>
      <c r="B219" s="5"/>
      <c r="I219" s="4"/>
      <c r="L219" s="4"/>
      <c r="O219" s="4"/>
    </row>
    <row r="220" spans="1:15" ht="12.5">
      <c r="A220" s="4"/>
      <c r="B220" s="5"/>
      <c r="I220" s="4"/>
      <c r="L220" s="4"/>
      <c r="O220" s="4"/>
    </row>
    <row r="221" spans="1:15" ht="12.5">
      <c r="A221" s="4"/>
      <c r="B221" s="5"/>
      <c r="I221" s="4"/>
      <c r="L221" s="4"/>
      <c r="O221" s="4"/>
    </row>
    <row r="222" spans="1:15" ht="12.5">
      <c r="A222" s="4"/>
      <c r="B222" s="5"/>
      <c r="I222" s="4"/>
      <c r="L222" s="4"/>
      <c r="O222" s="4"/>
    </row>
    <row r="223" spans="1:15" ht="12.5">
      <c r="A223" s="4"/>
      <c r="B223" s="5"/>
      <c r="I223" s="4"/>
      <c r="L223" s="4"/>
      <c r="O223" s="4"/>
    </row>
    <row r="224" spans="1:15" ht="12.5">
      <c r="A224" s="4"/>
      <c r="B224" s="5"/>
      <c r="I224" s="4"/>
      <c r="L224" s="4"/>
      <c r="O224" s="4"/>
    </row>
    <row r="225" spans="1:15" ht="12.5">
      <c r="A225" s="4"/>
      <c r="B225" s="5"/>
      <c r="I225" s="4"/>
      <c r="L225" s="4"/>
      <c r="O225" s="4"/>
    </row>
    <row r="226" spans="1:15" ht="12.5">
      <c r="A226" s="4"/>
      <c r="B226" s="5"/>
      <c r="I226" s="4"/>
      <c r="L226" s="4"/>
      <c r="O226" s="4"/>
    </row>
    <row r="227" spans="1:15" ht="12.5">
      <c r="A227" s="4"/>
      <c r="B227" s="5"/>
      <c r="I227" s="4"/>
      <c r="L227" s="4"/>
      <c r="O227" s="4"/>
    </row>
    <row r="228" spans="1:15" ht="12.5">
      <c r="A228" s="4"/>
      <c r="B228" s="5"/>
      <c r="I228" s="4"/>
      <c r="L228" s="4"/>
      <c r="O228" s="4"/>
    </row>
    <row r="229" spans="1:15" ht="12.5">
      <c r="A229" s="4"/>
      <c r="B229" s="5"/>
      <c r="I229" s="4"/>
      <c r="L229" s="4"/>
      <c r="O229" s="4"/>
    </row>
    <row r="230" spans="1:15" ht="12.5">
      <c r="A230" s="4"/>
      <c r="B230" s="5"/>
      <c r="I230" s="4"/>
      <c r="L230" s="4"/>
      <c r="O230" s="4"/>
    </row>
    <row r="231" spans="1:15" ht="12.5">
      <c r="A231" s="4"/>
      <c r="B231" s="5"/>
      <c r="I231" s="4"/>
      <c r="L231" s="4"/>
      <c r="O231" s="4"/>
    </row>
    <row r="232" spans="1:15" ht="12.5">
      <c r="A232" s="4"/>
      <c r="B232" s="5"/>
      <c r="I232" s="4"/>
      <c r="L232" s="4"/>
      <c r="O232" s="4"/>
    </row>
    <row r="233" spans="1:15" ht="12.5">
      <c r="A233" s="4"/>
      <c r="B233" s="5"/>
      <c r="I233" s="4"/>
      <c r="L233" s="4"/>
      <c r="O233" s="4"/>
    </row>
    <row r="234" spans="1:15" ht="12.5">
      <c r="A234" s="4"/>
      <c r="B234" s="5"/>
      <c r="I234" s="4"/>
      <c r="L234" s="4"/>
      <c r="O234" s="4"/>
    </row>
    <row r="235" spans="1:15" ht="12.5">
      <c r="A235" s="4"/>
      <c r="B235" s="5"/>
      <c r="I235" s="4"/>
      <c r="L235" s="4"/>
      <c r="O235" s="4"/>
    </row>
    <row r="236" spans="1:15" ht="12.5">
      <c r="A236" s="4"/>
      <c r="B236" s="5"/>
      <c r="I236" s="4"/>
      <c r="L236" s="4"/>
      <c r="O236" s="4"/>
    </row>
    <row r="237" spans="1:15" ht="12.5">
      <c r="A237" s="4"/>
      <c r="B237" s="5"/>
      <c r="I237" s="4"/>
      <c r="L237" s="4"/>
      <c r="O237" s="4"/>
    </row>
    <row r="238" spans="1:15" ht="12.5">
      <c r="A238" s="4"/>
      <c r="B238" s="5"/>
      <c r="I238" s="4"/>
      <c r="L238" s="4"/>
      <c r="O238" s="4"/>
    </row>
    <row r="239" spans="1:15" ht="12.5">
      <c r="A239" s="4"/>
      <c r="B239" s="5"/>
      <c r="I239" s="4"/>
      <c r="L239" s="4"/>
      <c r="O239" s="4"/>
    </row>
    <row r="240" spans="1:15" ht="12.5">
      <c r="A240" s="4"/>
      <c r="B240" s="5"/>
      <c r="I240" s="4"/>
      <c r="L240" s="4"/>
      <c r="O240" s="4"/>
    </row>
    <row r="241" spans="1:15" ht="12.5">
      <c r="A241" s="4"/>
      <c r="B241" s="5"/>
      <c r="I241" s="4"/>
      <c r="L241" s="4"/>
      <c r="O241" s="4"/>
    </row>
    <row r="242" spans="1:15" ht="12.5">
      <c r="A242" s="4"/>
      <c r="B242" s="5"/>
      <c r="I242" s="4"/>
      <c r="L242" s="4"/>
      <c r="O242" s="4"/>
    </row>
    <row r="243" spans="1:15" ht="12.5">
      <c r="A243" s="4"/>
      <c r="B243" s="5"/>
      <c r="I243" s="4"/>
      <c r="L243" s="4"/>
      <c r="O243" s="4"/>
    </row>
    <row r="244" spans="1:15" ht="12.5">
      <c r="A244" s="4"/>
      <c r="B244" s="5"/>
      <c r="I244" s="4"/>
      <c r="L244" s="4"/>
      <c r="O244" s="4"/>
    </row>
    <row r="245" spans="1:15" ht="12.5">
      <c r="A245" s="4"/>
      <c r="B245" s="5"/>
      <c r="I245" s="4"/>
      <c r="L245" s="4"/>
      <c r="O245" s="4"/>
    </row>
    <row r="246" spans="1:15" ht="12.5">
      <c r="A246" s="4"/>
      <c r="B246" s="5"/>
      <c r="I246" s="4"/>
      <c r="L246" s="4"/>
      <c r="O246" s="4"/>
    </row>
    <row r="247" spans="1:15" ht="12.5">
      <c r="A247" s="4"/>
      <c r="B247" s="5"/>
      <c r="I247" s="4"/>
      <c r="L247" s="4"/>
      <c r="O247" s="4"/>
    </row>
    <row r="248" spans="1:15" ht="12.5">
      <c r="A248" s="4"/>
      <c r="B248" s="5"/>
      <c r="I248" s="4"/>
      <c r="L248" s="4"/>
      <c r="O248" s="4"/>
    </row>
    <row r="249" spans="1:15" ht="12.5">
      <c r="A249" s="4"/>
      <c r="B249" s="5"/>
      <c r="I249" s="4"/>
      <c r="L249" s="4"/>
      <c r="O249" s="4"/>
    </row>
    <row r="250" spans="1:15" ht="12.5">
      <c r="A250" s="4"/>
      <c r="B250" s="5"/>
      <c r="I250" s="4"/>
      <c r="L250" s="4"/>
      <c r="O250" s="4"/>
    </row>
    <row r="251" spans="1:15" ht="12.5">
      <c r="A251" s="4"/>
      <c r="B251" s="5"/>
      <c r="I251" s="4"/>
      <c r="L251" s="4"/>
      <c r="O251" s="4"/>
    </row>
    <row r="252" spans="1:15" ht="12.5">
      <c r="A252" s="4"/>
      <c r="B252" s="5"/>
      <c r="I252" s="4"/>
      <c r="L252" s="4"/>
      <c r="O252" s="4"/>
    </row>
    <row r="253" spans="1:15" ht="12.5">
      <c r="A253" s="4"/>
      <c r="B253" s="5"/>
      <c r="I253" s="4"/>
      <c r="L253" s="4"/>
      <c r="O253" s="4"/>
    </row>
    <row r="254" spans="1:15" ht="12.5">
      <c r="A254" s="4"/>
      <c r="B254" s="5"/>
      <c r="I254" s="4"/>
      <c r="L254" s="4"/>
      <c r="O254" s="4"/>
    </row>
    <row r="255" spans="1:15" ht="12.5">
      <c r="A255" s="4"/>
      <c r="B255" s="5"/>
      <c r="I255" s="4"/>
      <c r="L255" s="4"/>
      <c r="O255" s="4"/>
    </row>
    <row r="256" spans="1:15" ht="12.5">
      <c r="A256" s="4"/>
      <c r="B256" s="5"/>
      <c r="I256" s="4"/>
      <c r="L256" s="4"/>
      <c r="O256" s="4"/>
    </row>
    <row r="257" spans="1:15" ht="12.5">
      <c r="A257" s="4"/>
      <c r="B257" s="5"/>
      <c r="I257" s="4"/>
      <c r="L257" s="4"/>
      <c r="O257" s="4"/>
    </row>
    <row r="258" spans="1:15" ht="12.5">
      <c r="A258" s="4"/>
      <c r="B258" s="5"/>
      <c r="I258" s="4"/>
      <c r="L258" s="4"/>
      <c r="O258" s="4"/>
    </row>
    <row r="259" spans="1:15" ht="12.5">
      <c r="A259" s="4"/>
      <c r="B259" s="5"/>
      <c r="I259" s="4"/>
      <c r="L259" s="4"/>
      <c r="O259" s="4"/>
    </row>
    <row r="260" spans="1:15" ht="12.5">
      <c r="A260" s="4"/>
      <c r="B260" s="5"/>
      <c r="I260" s="4"/>
      <c r="L260" s="4"/>
      <c r="O260" s="4"/>
    </row>
    <row r="261" spans="1:15" ht="12.5">
      <c r="A261" s="4"/>
      <c r="B261" s="5"/>
      <c r="I261" s="4"/>
      <c r="L261" s="4"/>
      <c r="O261" s="4"/>
    </row>
    <row r="262" spans="1:15" ht="12.5">
      <c r="A262" s="4"/>
      <c r="B262" s="5"/>
      <c r="I262" s="4"/>
      <c r="L262" s="4"/>
      <c r="O262" s="4"/>
    </row>
    <row r="263" spans="1:15" ht="12.5">
      <c r="A263" s="4"/>
      <c r="B263" s="5"/>
      <c r="I263" s="4"/>
      <c r="L263" s="4"/>
      <c r="O263" s="4"/>
    </row>
    <row r="264" spans="1:15" ht="12.5">
      <c r="A264" s="4"/>
      <c r="B264" s="5"/>
      <c r="I264" s="4"/>
      <c r="L264" s="4"/>
      <c r="O264" s="4"/>
    </row>
    <row r="265" spans="1:15" ht="12.5">
      <c r="A265" s="4"/>
      <c r="B265" s="5"/>
      <c r="I265" s="4"/>
      <c r="L265" s="4"/>
      <c r="O265" s="4"/>
    </row>
    <row r="266" spans="1:15" ht="12.5">
      <c r="A266" s="4"/>
      <c r="B266" s="5"/>
      <c r="I266" s="4"/>
      <c r="L266" s="4"/>
      <c r="O266" s="4"/>
    </row>
    <row r="267" spans="1:15" ht="12.5">
      <c r="A267" s="4"/>
      <c r="B267" s="5"/>
      <c r="I267" s="4"/>
      <c r="L267" s="4"/>
      <c r="O267" s="4"/>
    </row>
    <row r="268" spans="1:15" ht="12.5">
      <c r="A268" s="4"/>
      <c r="B268" s="5"/>
      <c r="I268" s="4"/>
      <c r="L268" s="4"/>
      <c r="O268" s="4"/>
    </row>
    <row r="269" spans="1:15" ht="12.5">
      <c r="A269" s="4"/>
      <c r="B269" s="5"/>
      <c r="I269" s="4"/>
      <c r="L269" s="4"/>
      <c r="O269" s="4"/>
    </row>
    <row r="270" spans="1:15" ht="12.5">
      <c r="A270" s="4"/>
      <c r="B270" s="5"/>
      <c r="I270" s="4"/>
      <c r="L270" s="4"/>
      <c r="O270" s="4"/>
    </row>
    <row r="271" spans="1:15" ht="12.5">
      <c r="A271" s="4"/>
      <c r="B271" s="5"/>
      <c r="I271" s="4"/>
      <c r="L271" s="4"/>
      <c r="O271" s="4"/>
    </row>
    <row r="272" spans="1:15" ht="12.5">
      <c r="A272" s="4"/>
      <c r="B272" s="5"/>
      <c r="I272" s="4"/>
      <c r="L272" s="4"/>
      <c r="O272" s="4"/>
    </row>
    <row r="273" spans="1:15" ht="12.5">
      <c r="A273" s="4"/>
      <c r="B273" s="5"/>
      <c r="I273" s="4"/>
      <c r="L273" s="4"/>
      <c r="O273" s="4"/>
    </row>
    <row r="274" spans="1:15" ht="12.5">
      <c r="A274" s="4"/>
      <c r="B274" s="5"/>
      <c r="I274" s="4"/>
      <c r="L274" s="4"/>
      <c r="O274" s="4"/>
    </row>
    <row r="275" spans="1:15" ht="12.5">
      <c r="A275" s="4"/>
      <c r="B275" s="5"/>
      <c r="I275" s="4"/>
      <c r="L275" s="4"/>
      <c r="O275" s="4"/>
    </row>
    <row r="276" spans="1:15" ht="12.5">
      <c r="A276" s="4"/>
      <c r="B276" s="5"/>
      <c r="I276" s="4"/>
      <c r="L276" s="4"/>
      <c r="O276" s="4"/>
    </row>
    <row r="277" spans="1:15" ht="12.5">
      <c r="A277" s="4"/>
      <c r="B277" s="5"/>
      <c r="I277" s="4"/>
      <c r="L277" s="4"/>
      <c r="O277" s="4"/>
    </row>
    <row r="278" spans="1:15" ht="12.5">
      <c r="A278" s="4"/>
      <c r="B278" s="5"/>
      <c r="I278" s="4"/>
      <c r="L278" s="4"/>
      <c r="O278" s="4"/>
    </row>
    <row r="279" spans="1:15" ht="12.5">
      <c r="A279" s="4"/>
      <c r="B279" s="5"/>
      <c r="I279" s="4"/>
      <c r="L279" s="4"/>
      <c r="O279" s="4"/>
    </row>
    <row r="280" spans="1:15" ht="12.5">
      <c r="A280" s="4"/>
      <c r="B280" s="5"/>
      <c r="I280" s="4"/>
      <c r="L280" s="4"/>
      <c r="O280" s="4"/>
    </row>
    <row r="281" spans="1:15" ht="12.5">
      <c r="A281" s="4"/>
      <c r="B281" s="5"/>
      <c r="I281" s="4"/>
      <c r="L281" s="4"/>
      <c r="O281" s="4"/>
    </row>
    <row r="282" spans="1:15" ht="12.5">
      <c r="A282" s="4"/>
      <c r="B282" s="5"/>
      <c r="I282" s="4"/>
      <c r="L282" s="4"/>
      <c r="O282" s="4"/>
    </row>
    <row r="283" spans="1:15" ht="12.5">
      <c r="A283" s="4"/>
      <c r="B283" s="5"/>
      <c r="I283" s="4"/>
      <c r="L283" s="4"/>
      <c r="O283" s="4"/>
    </row>
    <row r="284" spans="1:15" ht="12.5">
      <c r="A284" s="4"/>
      <c r="B284" s="5"/>
      <c r="I284" s="4"/>
      <c r="L284" s="4"/>
      <c r="O284" s="4"/>
    </row>
    <row r="285" spans="1:15" ht="12.5">
      <c r="A285" s="4"/>
      <c r="B285" s="5"/>
      <c r="I285" s="4"/>
      <c r="L285" s="4"/>
      <c r="O285" s="4"/>
    </row>
    <row r="286" spans="1:15" ht="12.5">
      <c r="A286" s="4"/>
      <c r="B286" s="5"/>
      <c r="I286" s="4"/>
      <c r="L286" s="4"/>
      <c r="O286" s="4"/>
    </row>
    <row r="287" spans="1:15" ht="12.5">
      <c r="A287" s="4"/>
      <c r="B287" s="5"/>
      <c r="I287" s="4"/>
      <c r="L287" s="4"/>
      <c r="O287" s="4"/>
    </row>
    <row r="288" spans="1:15" ht="12.5">
      <c r="A288" s="4"/>
      <c r="B288" s="5"/>
      <c r="I288" s="4"/>
      <c r="L288" s="4"/>
      <c r="O288" s="4"/>
    </row>
    <row r="289" spans="1:15" ht="12.5">
      <c r="A289" s="4"/>
      <c r="B289" s="5"/>
      <c r="I289" s="4"/>
      <c r="L289" s="4"/>
      <c r="O289" s="4"/>
    </row>
    <row r="290" spans="1:15" ht="12.5">
      <c r="A290" s="4"/>
      <c r="B290" s="5"/>
      <c r="I290" s="4"/>
      <c r="L290" s="4"/>
      <c r="O290" s="4"/>
    </row>
    <row r="291" spans="1:15" ht="12.5">
      <c r="A291" s="4"/>
      <c r="B291" s="5"/>
      <c r="I291" s="4"/>
      <c r="L291" s="4"/>
      <c r="O291" s="4"/>
    </row>
    <row r="292" spans="1:15" ht="12.5">
      <c r="A292" s="4"/>
      <c r="B292" s="5"/>
      <c r="I292" s="4"/>
      <c r="L292" s="4"/>
      <c r="O292" s="4"/>
    </row>
    <row r="293" spans="1:15" ht="12.5">
      <c r="A293" s="4"/>
      <c r="B293" s="5"/>
      <c r="I293" s="4"/>
      <c r="L293" s="4"/>
      <c r="O293" s="4"/>
    </row>
    <row r="294" spans="1:15" ht="12.5">
      <c r="A294" s="4"/>
      <c r="B294" s="5"/>
      <c r="I294" s="4"/>
      <c r="L294" s="4"/>
      <c r="O294" s="4"/>
    </row>
    <row r="295" spans="1:15" ht="12.5">
      <c r="A295" s="4"/>
      <c r="B295" s="5"/>
      <c r="I295" s="4"/>
      <c r="L295" s="4"/>
      <c r="O295" s="4"/>
    </row>
    <row r="296" spans="1:15" ht="12.5">
      <c r="A296" s="4"/>
      <c r="B296" s="5"/>
      <c r="I296" s="4"/>
      <c r="L296" s="4"/>
      <c r="O296" s="4"/>
    </row>
    <row r="297" spans="1:15" ht="12.5">
      <c r="A297" s="4"/>
      <c r="B297" s="5"/>
      <c r="I297" s="4"/>
      <c r="L297" s="4"/>
      <c r="O297" s="4"/>
    </row>
    <row r="298" spans="1:15" ht="12.5">
      <c r="A298" s="4"/>
      <c r="B298" s="5"/>
      <c r="I298" s="4"/>
      <c r="L298" s="4"/>
      <c r="O298" s="4"/>
    </row>
    <row r="299" spans="1:15" ht="12.5">
      <c r="A299" s="4"/>
      <c r="B299" s="5"/>
      <c r="I299" s="4"/>
      <c r="L299" s="4"/>
      <c r="O299" s="4"/>
    </row>
    <row r="300" spans="1:15" ht="12.5">
      <c r="A300" s="4"/>
      <c r="B300" s="5"/>
      <c r="I300" s="4"/>
      <c r="L300" s="4"/>
      <c r="O300" s="4"/>
    </row>
    <row r="301" spans="1:15" ht="12.5">
      <c r="A301" s="4"/>
      <c r="B301" s="5"/>
      <c r="I301" s="4"/>
      <c r="L301" s="4"/>
      <c r="O301" s="4"/>
    </row>
    <row r="302" spans="1:15" ht="12.5">
      <c r="A302" s="4"/>
      <c r="B302" s="5"/>
      <c r="I302" s="4"/>
      <c r="L302" s="4"/>
      <c r="O302" s="4"/>
    </row>
    <row r="303" spans="1:15" ht="12.5">
      <c r="A303" s="4"/>
      <c r="B303" s="5"/>
      <c r="I303" s="4"/>
      <c r="L303" s="4"/>
      <c r="O303" s="4"/>
    </row>
    <row r="304" spans="1:15" ht="12.5">
      <c r="A304" s="4"/>
      <c r="B304" s="5"/>
      <c r="I304" s="4"/>
      <c r="L304" s="4"/>
      <c r="O304" s="4"/>
    </row>
    <row r="305" spans="1:15" ht="12.5">
      <c r="A305" s="4"/>
      <c r="B305" s="5"/>
      <c r="I305" s="4"/>
      <c r="L305" s="4"/>
      <c r="O305" s="4"/>
    </row>
    <row r="306" spans="1:15" ht="12.5">
      <c r="A306" s="4"/>
      <c r="B306" s="5"/>
      <c r="I306" s="4"/>
      <c r="L306" s="4"/>
      <c r="O306" s="4"/>
    </row>
    <row r="307" spans="1:15" ht="12.5">
      <c r="A307" s="4"/>
      <c r="B307" s="5"/>
      <c r="I307" s="4"/>
      <c r="L307" s="4"/>
      <c r="O307" s="4"/>
    </row>
    <row r="308" spans="1:15" ht="12.5">
      <c r="A308" s="4"/>
      <c r="B308" s="5"/>
      <c r="I308" s="4"/>
      <c r="L308" s="4"/>
      <c r="O308" s="4"/>
    </row>
    <row r="309" spans="1:15" ht="12.5">
      <c r="A309" s="4"/>
      <c r="B309" s="5"/>
      <c r="I309" s="4"/>
      <c r="L309" s="4"/>
      <c r="O309" s="4"/>
    </row>
    <row r="310" spans="1:15" ht="12.5">
      <c r="A310" s="4"/>
      <c r="B310" s="5"/>
      <c r="I310" s="4"/>
      <c r="L310" s="4"/>
      <c r="O310" s="4"/>
    </row>
    <row r="311" spans="1:15" ht="12.5">
      <c r="A311" s="4"/>
      <c r="B311" s="5"/>
      <c r="I311" s="4"/>
      <c r="L311" s="4"/>
      <c r="O311" s="4"/>
    </row>
    <row r="312" spans="1:15" ht="12.5">
      <c r="A312" s="4"/>
      <c r="B312" s="5"/>
      <c r="I312" s="4"/>
      <c r="L312" s="4"/>
      <c r="O312" s="4"/>
    </row>
    <row r="313" spans="1:15" ht="12.5">
      <c r="A313" s="4"/>
      <c r="B313" s="5"/>
      <c r="I313" s="4"/>
      <c r="L313" s="4"/>
      <c r="O313" s="4"/>
    </row>
    <row r="314" spans="1:15" ht="12.5">
      <c r="A314" s="4"/>
      <c r="B314" s="5"/>
      <c r="I314" s="4"/>
      <c r="L314" s="4"/>
      <c r="O314" s="4"/>
    </row>
    <row r="315" spans="1:15" ht="12.5">
      <c r="A315" s="4"/>
      <c r="B315" s="5"/>
      <c r="I315" s="4"/>
      <c r="L315" s="4"/>
      <c r="O315" s="4"/>
    </row>
    <row r="316" spans="1:15" ht="12.5">
      <c r="A316" s="4"/>
      <c r="B316" s="5"/>
      <c r="I316" s="4"/>
      <c r="L316" s="4"/>
      <c r="O316" s="4"/>
    </row>
    <row r="317" spans="1:15" ht="12.5">
      <c r="A317" s="4"/>
      <c r="B317" s="5"/>
      <c r="I317" s="4"/>
      <c r="L317" s="4"/>
      <c r="O317" s="4"/>
    </row>
    <row r="318" spans="1:15" ht="12.5">
      <c r="A318" s="4"/>
      <c r="B318" s="5"/>
      <c r="I318" s="4"/>
      <c r="L318" s="4"/>
      <c r="O318" s="4"/>
    </row>
    <row r="319" spans="1:15" ht="12.5">
      <c r="A319" s="4"/>
      <c r="B319" s="5"/>
      <c r="I319" s="4"/>
      <c r="L319" s="4"/>
      <c r="O319" s="4"/>
    </row>
    <row r="320" spans="1:15" ht="12.5">
      <c r="A320" s="4"/>
      <c r="B320" s="5"/>
      <c r="I320" s="4"/>
      <c r="L320" s="4"/>
      <c r="O320" s="4"/>
    </row>
    <row r="321" spans="1:15" ht="12.5">
      <c r="A321" s="4"/>
      <c r="B321" s="5"/>
      <c r="I321" s="4"/>
      <c r="L321" s="4"/>
      <c r="O321" s="4"/>
    </row>
    <row r="322" spans="1:15" ht="12.5">
      <c r="A322" s="4"/>
      <c r="B322" s="5"/>
      <c r="I322" s="4"/>
      <c r="L322" s="4"/>
      <c r="O322" s="4"/>
    </row>
    <row r="323" spans="1:15" ht="12.5">
      <c r="A323" s="4"/>
      <c r="B323" s="5"/>
      <c r="I323" s="4"/>
      <c r="L323" s="4"/>
      <c r="O323" s="4"/>
    </row>
    <row r="324" spans="1:15" ht="12.5">
      <c r="A324" s="4"/>
      <c r="B324" s="5"/>
      <c r="I324" s="4"/>
      <c r="L324" s="4"/>
      <c r="O324" s="4"/>
    </row>
    <row r="325" spans="1:15" ht="12.5">
      <c r="A325" s="4"/>
      <c r="B325" s="5"/>
      <c r="I325" s="4"/>
      <c r="L325" s="4"/>
      <c r="O325" s="4"/>
    </row>
    <row r="326" spans="1:15" ht="12.5">
      <c r="A326" s="4"/>
      <c r="B326" s="5"/>
      <c r="I326" s="4"/>
      <c r="L326" s="4"/>
      <c r="O326" s="4"/>
    </row>
    <row r="327" spans="1:15" ht="12.5">
      <c r="A327" s="4"/>
      <c r="B327" s="5"/>
      <c r="I327" s="4"/>
      <c r="L327" s="4"/>
      <c r="O327" s="4"/>
    </row>
    <row r="328" spans="1:15" ht="12.5">
      <c r="A328" s="4"/>
      <c r="B328" s="5"/>
      <c r="I328" s="4"/>
      <c r="L328" s="4"/>
      <c r="O328" s="4"/>
    </row>
    <row r="329" spans="1:15" ht="12.5">
      <c r="A329" s="4"/>
      <c r="B329" s="5"/>
      <c r="I329" s="4"/>
      <c r="L329" s="4"/>
      <c r="O329" s="4"/>
    </row>
    <row r="330" spans="1:15" ht="12.5">
      <c r="A330" s="4"/>
      <c r="B330" s="5"/>
      <c r="I330" s="4"/>
      <c r="L330" s="4"/>
      <c r="O330" s="4"/>
    </row>
    <row r="331" spans="1:15" ht="12.5">
      <c r="A331" s="4"/>
      <c r="B331" s="5"/>
      <c r="I331" s="4"/>
      <c r="L331" s="4"/>
      <c r="O331" s="4"/>
    </row>
    <row r="332" spans="1:15" ht="12.5">
      <c r="A332" s="4"/>
      <c r="B332" s="5"/>
      <c r="I332" s="4"/>
      <c r="L332" s="4"/>
      <c r="O332" s="4"/>
    </row>
    <row r="333" spans="1:15" ht="12.5">
      <c r="A333" s="4"/>
      <c r="B333" s="5"/>
      <c r="I333" s="4"/>
      <c r="L333" s="4"/>
      <c r="O333" s="4"/>
    </row>
    <row r="334" spans="1:15" ht="12.5">
      <c r="A334" s="4"/>
      <c r="B334" s="5"/>
      <c r="I334" s="4"/>
      <c r="L334" s="4"/>
      <c r="O334" s="4"/>
    </row>
    <row r="335" spans="1:15" ht="12.5">
      <c r="A335" s="4"/>
      <c r="B335" s="5"/>
      <c r="I335" s="4"/>
      <c r="L335" s="4"/>
      <c r="O335" s="4"/>
    </row>
    <row r="336" spans="1:15" ht="12.5">
      <c r="A336" s="4"/>
      <c r="B336" s="5"/>
      <c r="I336" s="4"/>
      <c r="L336" s="4"/>
      <c r="O336" s="4"/>
    </row>
    <row r="337" spans="1:15" ht="12.5">
      <c r="A337" s="4"/>
      <c r="B337" s="5"/>
      <c r="I337" s="4"/>
      <c r="L337" s="4"/>
      <c r="O337" s="4"/>
    </row>
    <row r="338" spans="1:15" ht="12.5">
      <c r="A338" s="4"/>
      <c r="B338" s="5"/>
      <c r="I338" s="4"/>
      <c r="L338" s="4"/>
      <c r="O338" s="4"/>
    </row>
    <row r="339" spans="1:15" ht="12.5">
      <c r="A339" s="4"/>
      <c r="B339" s="5"/>
      <c r="I339" s="4"/>
      <c r="L339" s="4"/>
      <c r="O339" s="4"/>
    </row>
    <row r="340" spans="1:15" ht="12.5">
      <c r="A340" s="4"/>
      <c r="B340" s="5"/>
      <c r="I340" s="4"/>
      <c r="L340" s="4"/>
      <c r="O340" s="4"/>
    </row>
    <row r="341" spans="1:15" ht="12.5">
      <c r="A341" s="4"/>
      <c r="B341" s="5"/>
      <c r="I341" s="4"/>
      <c r="L341" s="4"/>
      <c r="O341" s="4"/>
    </row>
    <row r="342" spans="1:15" ht="12.5">
      <c r="A342" s="4"/>
      <c r="B342" s="5"/>
      <c r="I342" s="4"/>
      <c r="L342" s="4"/>
      <c r="O342" s="4"/>
    </row>
    <row r="343" spans="1:15" ht="12.5">
      <c r="A343" s="4"/>
      <c r="B343" s="5"/>
      <c r="I343" s="4"/>
      <c r="L343" s="4"/>
      <c r="O343" s="4"/>
    </row>
    <row r="344" spans="1:15" ht="12.5">
      <c r="A344" s="4"/>
      <c r="B344" s="5"/>
      <c r="I344" s="4"/>
      <c r="L344" s="4"/>
      <c r="O344" s="4"/>
    </row>
    <row r="345" spans="1:15" ht="12.5">
      <c r="A345" s="4"/>
      <c r="B345" s="5"/>
      <c r="I345" s="4"/>
      <c r="L345" s="4"/>
      <c r="O345" s="4"/>
    </row>
    <row r="346" spans="1:15" ht="12.5">
      <c r="A346" s="4"/>
      <c r="B346" s="5"/>
      <c r="I346" s="4"/>
      <c r="L346" s="4"/>
      <c r="O346" s="4"/>
    </row>
    <row r="347" spans="1:15" ht="12.5">
      <c r="A347" s="4"/>
      <c r="B347" s="5"/>
      <c r="I347" s="4"/>
      <c r="L347" s="4"/>
      <c r="O347" s="4"/>
    </row>
    <row r="348" spans="1:15" ht="12.5">
      <c r="A348" s="4"/>
      <c r="B348" s="5"/>
      <c r="I348" s="4"/>
      <c r="L348" s="4"/>
      <c r="O348" s="4"/>
    </row>
    <row r="349" spans="1:15" ht="12.5">
      <c r="A349" s="4"/>
      <c r="B349" s="5"/>
      <c r="I349" s="4"/>
      <c r="L349" s="4"/>
      <c r="O349" s="4"/>
    </row>
    <row r="350" spans="1:15" ht="12.5">
      <c r="A350" s="4"/>
      <c r="B350" s="5"/>
      <c r="I350" s="4"/>
      <c r="L350" s="4"/>
      <c r="O350" s="4"/>
    </row>
    <row r="351" spans="1:15" ht="12.5">
      <c r="A351" s="4"/>
      <c r="B351" s="5"/>
      <c r="I351" s="4"/>
      <c r="L351" s="4"/>
      <c r="O351" s="4"/>
    </row>
    <row r="352" spans="1:15" ht="12.5">
      <c r="A352" s="4"/>
      <c r="B352" s="5"/>
      <c r="I352" s="4"/>
      <c r="L352" s="4"/>
      <c r="O352" s="4"/>
    </row>
    <row r="353" spans="1:15" ht="12.5">
      <c r="A353" s="4"/>
      <c r="B353" s="5"/>
      <c r="I353" s="4"/>
      <c r="L353" s="4"/>
      <c r="O353" s="4"/>
    </row>
    <row r="354" spans="1:15" ht="12.5">
      <c r="A354" s="4"/>
      <c r="B354" s="5"/>
      <c r="I354" s="4"/>
      <c r="L354" s="4"/>
      <c r="O354" s="4"/>
    </row>
    <row r="355" spans="1:15" ht="12.5">
      <c r="A355" s="4"/>
      <c r="B355" s="5"/>
      <c r="I355" s="4"/>
      <c r="L355" s="4"/>
      <c r="O355" s="4"/>
    </row>
    <row r="356" spans="1:15" ht="12.5">
      <c r="A356" s="4"/>
      <c r="B356" s="5"/>
      <c r="I356" s="4"/>
      <c r="L356" s="4"/>
      <c r="O356" s="4"/>
    </row>
    <row r="357" spans="1:15" ht="12.5">
      <c r="A357" s="4"/>
      <c r="B357" s="5"/>
      <c r="I357" s="4"/>
      <c r="L357" s="4"/>
      <c r="O357" s="4"/>
    </row>
    <row r="358" spans="1:15" ht="12.5">
      <c r="A358" s="4"/>
      <c r="B358" s="5"/>
      <c r="I358" s="4"/>
      <c r="L358" s="4"/>
      <c r="O358" s="4"/>
    </row>
    <row r="359" spans="1:15" ht="12.5">
      <c r="A359" s="4"/>
      <c r="B359" s="5"/>
      <c r="I359" s="4"/>
      <c r="L359" s="4"/>
      <c r="O359" s="4"/>
    </row>
    <row r="360" spans="1:15" ht="12.5">
      <c r="A360" s="4"/>
      <c r="B360" s="5"/>
      <c r="I360" s="4"/>
      <c r="L360" s="4"/>
      <c r="O360" s="4"/>
    </row>
    <row r="361" spans="1:15" ht="12.5">
      <c r="A361" s="4"/>
      <c r="B361" s="5"/>
      <c r="I361" s="4"/>
      <c r="L361" s="4"/>
      <c r="O361" s="4"/>
    </row>
    <row r="362" spans="1:15" ht="12.5">
      <c r="A362" s="4"/>
      <c r="B362" s="5"/>
      <c r="I362" s="4"/>
      <c r="L362" s="4"/>
      <c r="O362" s="4"/>
    </row>
    <row r="363" spans="1:15" ht="12.5">
      <c r="A363" s="4"/>
      <c r="B363" s="5"/>
      <c r="I363" s="4"/>
      <c r="L363" s="4"/>
      <c r="O363" s="4"/>
    </row>
    <row r="364" spans="1:15" ht="12.5">
      <c r="A364" s="4"/>
      <c r="B364" s="5"/>
      <c r="I364" s="4"/>
      <c r="L364" s="4"/>
      <c r="O364" s="4"/>
    </row>
    <row r="365" spans="1:15" ht="12.5">
      <c r="A365" s="4"/>
      <c r="B365" s="5"/>
      <c r="I365" s="4"/>
      <c r="L365" s="4"/>
      <c r="O365" s="4"/>
    </row>
    <row r="366" spans="1:15" ht="12.5">
      <c r="A366" s="4"/>
      <c r="B366" s="5"/>
      <c r="I366" s="4"/>
      <c r="L366" s="4"/>
      <c r="O366" s="4"/>
    </row>
    <row r="367" spans="1:15" ht="12.5">
      <c r="A367" s="4"/>
      <c r="B367" s="5"/>
      <c r="I367" s="4"/>
      <c r="L367" s="4"/>
      <c r="O367" s="4"/>
    </row>
    <row r="368" spans="1:15" ht="12.5">
      <c r="A368" s="4"/>
      <c r="B368" s="5"/>
      <c r="I368" s="4"/>
      <c r="L368" s="4"/>
      <c r="O368" s="4"/>
    </row>
    <row r="369" spans="1:15" ht="12.5">
      <c r="A369" s="4"/>
      <c r="B369" s="5"/>
      <c r="I369" s="4"/>
      <c r="L369" s="4"/>
      <c r="O369" s="4"/>
    </row>
    <row r="370" spans="1:15" ht="12.5">
      <c r="A370" s="4"/>
      <c r="B370" s="5"/>
      <c r="I370" s="4"/>
      <c r="L370" s="4"/>
      <c r="O370" s="4"/>
    </row>
    <row r="371" spans="1:15" ht="12.5">
      <c r="A371" s="4"/>
      <c r="B371" s="5"/>
      <c r="I371" s="4"/>
      <c r="L371" s="4"/>
      <c r="O371" s="4"/>
    </row>
    <row r="372" spans="1:15" ht="12.5">
      <c r="A372" s="4"/>
      <c r="B372" s="5"/>
      <c r="I372" s="4"/>
      <c r="L372" s="4"/>
      <c r="O372" s="4"/>
    </row>
    <row r="373" spans="1:15" ht="12.5">
      <c r="A373" s="4"/>
      <c r="B373" s="5"/>
      <c r="I373" s="4"/>
      <c r="L373" s="4"/>
      <c r="O373" s="4"/>
    </row>
    <row r="374" spans="1:15" ht="12.5">
      <c r="A374" s="4"/>
      <c r="B374" s="5"/>
      <c r="I374" s="4"/>
      <c r="L374" s="4"/>
      <c r="O374" s="4"/>
    </row>
    <row r="375" spans="1:15" ht="12.5">
      <c r="A375" s="4"/>
      <c r="B375" s="5"/>
      <c r="I375" s="4"/>
      <c r="L375" s="4"/>
      <c r="O375" s="4"/>
    </row>
    <row r="376" spans="1:15" ht="12.5">
      <c r="A376" s="4"/>
      <c r="B376" s="5"/>
      <c r="I376" s="4"/>
      <c r="L376" s="4"/>
      <c r="O376" s="4"/>
    </row>
    <row r="377" spans="1:15" ht="12.5">
      <c r="A377" s="4"/>
      <c r="B377" s="5"/>
      <c r="I377" s="4"/>
      <c r="L377" s="4"/>
      <c r="O377" s="4"/>
    </row>
    <row r="378" spans="1:15" ht="12.5">
      <c r="A378" s="4"/>
      <c r="B378" s="5"/>
      <c r="I378" s="4"/>
      <c r="L378" s="4"/>
      <c r="O378" s="4"/>
    </row>
    <row r="379" spans="1:15" ht="12.5">
      <c r="A379" s="4"/>
      <c r="B379" s="5"/>
      <c r="I379" s="4"/>
      <c r="L379" s="4"/>
      <c r="O379" s="4"/>
    </row>
    <row r="380" spans="1:15" ht="12.5">
      <c r="A380" s="4"/>
      <c r="B380" s="5"/>
      <c r="I380" s="4"/>
      <c r="L380" s="4"/>
      <c r="O380" s="4"/>
    </row>
    <row r="381" spans="1:15" ht="12.5">
      <c r="A381" s="4"/>
      <c r="B381" s="5"/>
      <c r="I381" s="4"/>
      <c r="L381" s="4"/>
      <c r="O381" s="4"/>
    </row>
    <row r="382" spans="1:15" ht="12.5">
      <c r="A382" s="4"/>
      <c r="B382" s="5"/>
      <c r="I382" s="4"/>
      <c r="L382" s="4"/>
      <c r="O382" s="4"/>
    </row>
    <row r="383" spans="1:15" ht="12.5">
      <c r="A383" s="4"/>
      <c r="B383" s="5"/>
      <c r="I383" s="4"/>
      <c r="L383" s="4"/>
      <c r="O383" s="4"/>
    </row>
    <row r="384" spans="1:15" ht="12.5">
      <c r="A384" s="4"/>
      <c r="B384" s="5"/>
      <c r="I384" s="4"/>
      <c r="L384" s="4"/>
      <c r="O384" s="4"/>
    </row>
    <row r="385" spans="1:15" ht="12.5">
      <c r="A385" s="4"/>
      <c r="B385" s="5"/>
      <c r="I385" s="4"/>
      <c r="L385" s="4"/>
      <c r="O385" s="4"/>
    </row>
    <row r="386" spans="1:15" ht="12.5">
      <c r="A386" s="4"/>
      <c r="B386" s="5"/>
      <c r="I386" s="4"/>
      <c r="L386" s="4"/>
      <c r="O386" s="4"/>
    </row>
    <row r="387" spans="1:15" ht="12.5">
      <c r="A387" s="4"/>
      <c r="B387" s="5"/>
      <c r="I387" s="4"/>
      <c r="L387" s="4"/>
      <c r="O387" s="4"/>
    </row>
    <row r="388" spans="1:15" ht="12.5">
      <c r="A388" s="4"/>
      <c r="B388" s="5"/>
      <c r="I388" s="4"/>
      <c r="L388" s="4"/>
      <c r="O388" s="4"/>
    </row>
    <row r="389" spans="1:15" ht="12.5">
      <c r="A389" s="4"/>
      <c r="B389" s="5"/>
      <c r="I389" s="4"/>
      <c r="L389" s="4"/>
      <c r="O389" s="4"/>
    </row>
    <row r="390" spans="1:15" ht="12.5">
      <c r="A390" s="4"/>
      <c r="B390" s="5"/>
      <c r="I390" s="4"/>
      <c r="L390" s="4"/>
      <c r="O390" s="4"/>
    </row>
    <row r="391" spans="1:15" ht="12.5">
      <c r="A391" s="4"/>
      <c r="B391" s="5"/>
      <c r="I391" s="4"/>
      <c r="L391" s="4"/>
      <c r="O391" s="4"/>
    </row>
    <row r="392" spans="1:15" ht="12.5">
      <c r="A392" s="4"/>
      <c r="B392" s="5"/>
      <c r="I392" s="4"/>
      <c r="L392" s="4"/>
      <c r="O392" s="4"/>
    </row>
    <row r="393" spans="1:15" ht="12.5">
      <c r="A393" s="4"/>
      <c r="B393" s="5"/>
      <c r="I393" s="4"/>
      <c r="L393" s="4"/>
      <c r="O393" s="4"/>
    </row>
    <row r="394" spans="1:15" ht="12.5">
      <c r="A394" s="4"/>
      <c r="B394" s="5"/>
      <c r="I394" s="4"/>
      <c r="L394" s="4"/>
      <c r="O394" s="4"/>
    </row>
    <row r="395" spans="1:15" ht="12.5">
      <c r="A395" s="4"/>
      <c r="B395" s="5"/>
      <c r="I395" s="4"/>
      <c r="L395" s="4"/>
      <c r="O395" s="4"/>
    </row>
    <row r="396" spans="1:15" ht="12.5">
      <c r="A396" s="4"/>
      <c r="B396" s="5"/>
      <c r="I396" s="4"/>
      <c r="L396" s="4"/>
      <c r="O396" s="4"/>
    </row>
    <row r="397" spans="1:15" ht="12.5">
      <c r="A397" s="4"/>
      <c r="B397" s="5"/>
      <c r="I397" s="4"/>
      <c r="L397" s="4"/>
      <c r="O397" s="4"/>
    </row>
    <row r="398" spans="1:15" ht="12.5">
      <c r="A398" s="4"/>
      <c r="B398" s="5"/>
      <c r="I398" s="4"/>
      <c r="L398" s="4"/>
      <c r="O398" s="4"/>
    </row>
    <row r="399" spans="1:15" ht="12.5">
      <c r="A399" s="4"/>
      <c r="B399" s="5"/>
      <c r="I399" s="4"/>
      <c r="L399" s="4"/>
      <c r="O399" s="4"/>
    </row>
    <row r="400" spans="1:15" ht="12.5">
      <c r="A400" s="4"/>
      <c r="B400" s="5"/>
      <c r="I400" s="4"/>
      <c r="L400" s="4"/>
      <c r="O400" s="4"/>
    </row>
    <row r="401" spans="1:15" ht="12.5">
      <c r="A401" s="4"/>
      <c r="B401" s="5"/>
      <c r="I401" s="4"/>
      <c r="L401" s="4"/>
      <c r="O401" s="4"/>
    </row>
    <row r="402" spans="1:15" ht="12.5">
      <c r="A402" s="4"/>
      <c r="B402" s="5"/>
      <c r="I402" s="4"/>
      <c r="L402" s="4"/>
      <c r="O402" s="4"/>
    </row>
    <row r="403" spans="1:15" ht="12.5">
      <c r="A403" s="4"/>
      <c r="B403" s="5"/>
      <c r="I403" s="4"/>
      <c r="L403" s="4"/>
      <c r="O403" s="4"/>
    </row>
    <row r="404" spans="1:15" ht="12.5">
      <c r="A404" s="4"/>
      <c r="B404" s="5"/>
      <c r="I404" s="4"/>
      <c r="L404" s="4"/>
      <c r="O404" s="4"/>
    </row>
    <row r="405" spans="1:15" ht="12.5">
      <c r="A405" s="4"/>
      <c r="B405" s="5"/>
      <c r="I405" s="4"/>
      <c r="L405" s="4"/>
      <c r="O405" s="4"/>
    </row>
    <row r="406" spans="1:15" ht="12.5">
      <c r="A406" s="4"/>
      <c r="B406" s="5"/>
      <c r="I406" s="4"/>
      <c r="L406" s="4"/>
      <c r="O406" s="4"/>
    </row>
    <row r="407" spans="1:15" ht="12.5">
      <c r="A407" s="4"/>
      <c r="B407" s="5"/>
      <c r="I407" s="4"/>
      <c r="L407" s="4"/>
      <c r="O407" s="4"/>
    </row>
    <row r="408" spans="1:15" ht="12.5">
      <c r="A408" s="4"/>
      <c r="B408" s="5"/>
      <c r="I408" s="4"/>
      <c r="L408" s="4"/>
      <c r="O408" s="4"/>
    </row>
    <row r="409" spans="1:15" ht="12.5">
      <c r="A409" s="4"/>
      <c r="B409" s="5"/>
      <c r="I409" s="4"/>
      <c r="L409" s="4"/>
      <c r="O409" s="4"/>
    </row>
    <row r="410" spans="1:15" ht="12.5">
      <c r="A410" s="4"/>
      <c r="B410" s="5"/>
      <c r="I410" s="4"/>
      <c r="L410" s="4"/>
      <c r="O410" s="4"/>
    </row>
    <row r="411" spans="1:15" ht="12.5">
      <c r="A411" s="4"/>
      <c r="B411" s="5"/>
      <c r="I411" s="4"/>
      <c r="L411" s="4"/>
      <c r="O411" s="4"/>
    </row>
    <row r="412" spans="1:15" ht="12.5">
      <c r="A412" s="4"/>
      <c r="B412" s="5"/>
      <c r="I412" s="4"/>
      <c r="L412" s="4"/>
      <c r="O412" s="4"/>
    </row>
    <row r="413" spans="1:15" ht="12.5">
      <c r="A413" s="4"/>
      <c r="B413" s="5"/>
      <c r="I413" s="4"/>
      <c r="L413" s="4"/>
      <c r="O413" s="4"/>
    </row>
    <row r="414" spans="1:15" ht="12.5">
      <c r="A414" s="4"/>
      <c r="B414" s="5"/>
      <c r="I414" s="4"/>
      <c r="L414" s="4"/>
      <c r="O414" s="4"/>
    </row>
    <row r="415" spans="1:15" ht="12.5">
      <c r="A415" s="4"/>
      <c r="B415" s="5"/>
      <c r="I415" s="4"/>
      <c r="L415" s="4"/>
      <c r="O415" s="4"/>
    </row>
    <row r="416" spans="1:15" ht="12.5">
      <c r="A416" s="4"/>
      <c r="B416" s="5"/>
      <c r="I416" s="4"/>
      <c r="L416" s="4"/>
      <c r="O416" s="4"/>
    </row>
    <row r="417" spans="1:15" ht="12.5">
      <c r="A417" s="4"/>
      <c r="B417" s="5"/>
      <c r="I417" s="4"/>
      <c r="L417" s="4"/>
      <c r="O417" s="4"/>
    </row>
    <row r="418" spans="1:15" ht="12.5">
      <c r="A418" s="4"/>
      <c r="B418" s="5"/>
      <c r="I418" s="4"/>
      <c r="L418" s="4"/>
      <c r="O418" s="4"/>
    </row>
    <row r="419" spans="1:15" ht="12.5">
      <c r="A419" s="4"/>
      <c r="B419" s="5"/>
      <c r="I419" s="4"/>
      <c r="L419" s="4"/>
      <c r="O419" s="4"/>
    </row>
    <row r="420" spans="1:15" ht="12.5">
      <c r="A420" s="4"/>
      <c r="B420" s="5"/>
      <c r="I420" s="4"/>
      <c r="L420" s="4"/>
      <c r="O420" s="4"/>
    </row>
    <row r="421" spans="1:15" ht="12.5">
      <c r="A421" s="4"/>
      <c r="B421" s="5"/>
      <c r="I421" s="4"/>
      <c r="L421" s="4"/>
      <c r="O421" s="4"/>
    </row>
    <row r="422" spans="1:15" ht="12.5">
      <c r="A422" s="4"/>
      <c r="B422" s="5"/>
      <c r="I422" s="4"/>
      <c r="L422" s="4"/>
      <c r="O422" s="4"/>
    </row>
    <row r="423" spans="1:15" ht="12.5">
      <c r="A423" s="4"/>
      <c r="B423" s="5"/>
      <c r="I423" s="4"/>
      <c r="L423" s="4"/>
      <c r="O423" s="4"/>
    </row>
    <row r="424" spans="1:15" ht="12.5">
      <c r="A424" s="4"/>
      <c r="B424" s="5"/>
      <c r="I424" s="4"/>
      <c r="L424" s="4"/>
      <c r="O424" s="4"/>
    </row>
    <row r="425" spans="1:15" ht="12.5">
      <c r="A425" s="4"/>
      <c r="B425" s="5"/>
      <c r="I425" s="4"/>
      <c r="L425" s="4"/>
      <c r="O425" s="4"/>
    </row>
    <row r="426" spans="1:15" ht="12.5">
      <c r="A426" s="4"/>
      <c r="B426" s="5"/>
      <c r="I426" s="4"/>
      <c r="L426" s="4"/>
      <c r="O426" s="4"/>
    </row>
    <row r="427" spans="1:15" ht="12.5">
      <c r="A427" s="4"/>
      <c r="B427" s="5"/>
      <c r="I427" s="4"/>
      <c r="L427" s="4"/>
      <c r="O427" s="4"/>
    </row>
    <row r="428" spans="1:15" ht="12.5">
      <c r="A428" s="4"/>
      <c r="B428" s="5"/>
      <c r="I428" s="4"/>
      <c r="L428" s="4"/>
      <c r="O428" s="4"/>
    </row>
    <row r="429" spans="1:15" ht="12.5">
      <c r="A429" s="4"/>
      <c r="B429" s="5"/>
      <c r="I429" s="4"/>
      <c r="L429" s="4"/>
      <c r="O429" s="4"/>
    </row>
    <row r="430" spans="1:15" ht="12.5">
      <c r="A430" s="4"/>
      <c r="B430" s="5"/>
      <c r="I430" s="4"/>
      <c r="L430" s="4"/>
      <c r="O430" s="4"/>
    </row>
    <row r="431" spans="1:15" ht="12.5">
      <c r="A431" s="4"/>
      <c r="B431" s="5"/>
      <c r="I431" s="4"/>
      <c r="L431" s="4"/>
      <c r="O431" s="4"/>
    </row>
    <row r="432" spans="1:15" ht="12.5">
      <c r="A432" s="4"/>
      <c r="B432" s="5"/>
      <c r="I432" s="4"/>
      <c r="L432" s="4"/>
      <c r="O432" s="4"/>
    </row>
    <row r="433" spans="1:15" ht="12.5">
      <c r="A433" s="4"/>
      <c r="B433" s="5"/>
      <c r="I433" s="4"/>
      <c r="L433" s="4"/>
      <c r="O433" s="4"/>
    </row>
    <row r="434" spans="1:15" ht="12.5">
      <c r="A434" s="4"/>
      <c r="B434" s="5"/>
      <c r="I434" s="4"/>
      <c r="L434" s="4"/>
      <c r="O434" s="4"/>
    </row>
    <row r="435" spans="1:15" ht="12.5">
      <c r="A435" s="4"/>
      <c r="B435" s="5"/>
      <c r="I435" s="4"/>
      <c r="L435" s="4"/>
      <c r="O435" s="4"/>
    </row>
    <row r="436" spans="1:15" ht="12.5">
      <c r="A436" s="4"/>
      <c r="B436" s="5"/>
      <c r="I436" s="4"/>
      <c r="L436" s="4"/>
      <c r="O436" s="4"/>
    </row>
    <row r="437" spans="1:15" ht="12.5">
      <c r="A437" s="4"/>
      <c r="B437" s="5"/>
      <c r="I437" s="4"/>
      <c r="L437" s="4"/>
      <c r="O437" s="4"/>
    </row>
    <row r="438" spans="1:15" ht="12.5">
      <c r="A438" s="4"/>
      <c r="B438" s="5"/>
      <c r="I438" s="4"/>
      <c r="L438" s="4"/>
      <c r="O438" s="4"/>
    </row>
    <row r="439" spans="1:15" ht="12.5">
      <c r="A439" s="4"/>
      <c r="B439" s="5"/>
      <c r="I439" s="4"/>
      <c r="L439" s="4"/>
      <c r="O439" s="4"/>
    </row>
    <row r="440" spans="1:15" ht="12.5">
      <c r="A440" s="4"/>
      <c r="B440" s="5"/>
      <c r="I440" s="4"/>
      <c r="L440" s="4"/>
      <c r="O440" s="4"/>
    </row>
    <row r="441" spans="1:15" ht="12.5">
      <c r="A441" s="4"/>
      <c r="B441" s="5"/>
      <c r="I441" s="4"/>
      <c r="L441" s="4"/>
      <c r="O441" s="4"/>
    </row>
    <row r="442" spans="1:15" ht="12.5">
      <c r="A442" s="4"/>
      <c r="B442" s="5"/>
      <c r="I442" s="4"/>
      <c r="L442" s="4"/>
      <c r="O442" s="4"/>
    </row>
    <row r="443" spans="1:15" ht="12.5">
      <c r="A443" s="4"/>
      <c r="B443" s="5"/>
      <c r="I443" s="4"/>
      <c r="L443" s="4"/>
      <c r="O443" s="4"/>
    </row>
    <row r="444" spans="1:15" ht="12.5">
      <c r="A444" s="4"/>
      <c r="B444" s="5"/>
      <c r="I444" s="4"/>
      <c r="L444" s="4"/>
      <c r="O444" s="4"/>
    </row>
    <row r="445" spans="1:15" ht="12.5">
      <c r="A445" s="4"/>
      <c r="B445" s="5"/>
      <c r="I445" s="4"/>
      <c r="L445" s="4"/>
      <c r="O445" s="4"/>
    </row>
    <row r="446" spans="1:15" ht="12.5">
      <c r="A446" s="4"/>
      <c r="B446" s="5"/>
      <c r="I446" s="4"/>
      <c r="L446" s="4"/>
      <c r="O446" s="4"/>
    </row>
    <row r="447" spans="1:15" ht="12.5">
      <c r="A447" s="4"/>
      <c r="B447" s="5"/>
      <c r="I447" s="4"/>
      <c r="L447" s="4"/>
      <c r="O447" s="4"/>
    </row>
    <row r="448" spans="1:15" ht="12.5">
      <c r="A448" s="4"/>
      <c r="B448" s="5"/>
      <c r="I448" s="4"/>
      <c r="L448" s="4"/>
      <c r="O448" s="4"/>
    </row>
    <row r="449" spans="1:15" ht="12.5">
      <c r="A449" s="4"/>
      <c r="B449" s="5"/>
      <c r="I449" s="4"/>
      <c r="L449" s="4"/>
      <c r="O449" s="4"/>
    </row>
    <row r="450" spans="1:15" ht="12.5">
      <c r="A450" s="4"/>
      <c r="B450" s="5"/>
      <c r="I450" s="4"/>
      <c r="L450" s="4"/>
      <c r="O450" s="4"/>
    </row>
    <row r="451" spans="1:15" ht="12.5">
      <c r="A451" s="4"/>
      <c r="B451" s="5"/>
      <c r="I451" s="4"/>
      <c r="L451" s="4"/>
      <c r="O451" s="4"/>
    </row>
    <row r="452" spans="1:15" ht="12.5">
      <c r="A452" s="4"/>
      <c r="B452" s="5"/>
      <c r="I452" s="4"/>
      <c r="L452" s="4"/>
      <c r="O452" s="4"/>
    </row>
    <row r="453" spans="1:15" ht="12.5">
      <c r="A453" s="4"/>
      <c r="B453" s="5"/>
      <c r="I453" s="4"/>
      <c r="L453" s="4"/>
      <c r="O453" s="4"/>
    </row>
    <row r="454" spans="1:15" ht="12.5">
      <c r="A454" s="4"/>
      <c r="B454" s="5"/>
      <c r="I454" s="4"/>
      <c r="L454" s="4"/>
      <c r="O454" s="4"/>
    </row>
    <row r="455" spans="1:15" ht="12.5">
      <c r="A455" s="4"/>
      <c r="B455" s="5"/>
      <c r="I455" s="4"/>
      <c r="L455" s="4"/>
      <c r="O455" s="4"/>
    </row>
    <row r="456" spans="1:15" ht="12.5">
      <c r="A456" s="4"/>
      <c r="B456" s="5"/>
      <c r="I456" s="4"/>
      <c r="L456" s="4"/>
      <c r="O456" s="4"/>
    </row>
    <row r="457" spans="1:15" ht="12.5">
      <c r="A457" s="4"/>
      <c r="B457" s="5"/>
      <c r="I457" s="4"/>
      <c r="L457" s="4"/>
      <c r="O457" s="4"/>
    </row>
    <row r="458" spans="1:15" ht="12.5">
      <c r="A458" s="4"/>
      <c r="B458" s="5"/>
      <c r="I458" s="4"/>
      <c r="L458" s="4"/>
      <c r="O458" s="4"/>
    </row>
    <row r="459" spans="1:15" ht="12.5">
      <c r="A459" s="4"/>
      <c r="B459" s="5"/>
      <c r="I459" s="4"/>
      <c r="L459" s="4"/>
      <c r="O459" s="4"/>
    </row>
    <row r="460" spans="1:15" ht="12.5">
      <c r="A460" s="4"/>
      <c r="B460" s="5"/>
      <c r="I460" s="4"/>
      <c r="L460" s="4"/>
      <c r="O460" s="4"/>
    </row>
    <row r="461" spans="1:15" ht="12.5">
      <c r="A461" s="4"/>
      <c r="B461" s="5"/>
      <c r="I461" s="4"/>
      <c r="L461" s="4"/>
      <c r="O461" s="4"/>
    </row>
    <row r="462" spans="1:15" ht="12.5">
      <c r="A462" s="4"/>
      <c r="B462" s="5"/>
      <c r="I462" s="4"/>
      <c r="L462" s="4"/>
      <c r="O462" s="4"/>
    </row>
    <row r="463" spans="1:15" ht="12.5">
      <c r="A463" s="4"/>
      <c r="B463" s="5"/>
      <c r="I463" s="4"/>
      <c r="L463" s="4"/>
      <c r="O463" s="4"/>
    </row>
    <row r="464" spans="1:15" ht="12.5">
      <c r="A464" s="4"/>
      <c r="B464" s="5"/>
      <c r="I464" s="4"/>
      <c r="L464" s="4"/>
      <c r="O464" s="4"/>
    </row>
    <row r="465" spans="1:15" ht="12.5">
      <c r="A465" s="4"/>
      <c r="B465" s="5"/>
      <c r="I465" s="4"/>
      <c r="L465" s="4"/>
      <c r="O465" s="4"/>
    </row>
    <row r="466" spans="1:15" ht="12.5">
      <c r="A466" s="4"/>
      <c r="B466" s="5"/>
      <c r="I466" s="4"/>
      <c r="L466" s="4"/>
      <c r="O466" s="4"/>
    </row>
    <row r="467" spans="1:15" ht="12.5">
      <c r="A467" s="4"/>
      <c r="B467" s="5"/>
      <c r="I467" s="4"/>
      <c r="L467" s="4"/>
      <c r="O467" s="4"/>
    </row>
    <row r="468" spans="1:15" ht="12.5">
      <c r="A468" s="4"/>
      <c r="B468" s="5"/>
      <c r="I468" s="4"/>
      <c r="L468" s="4"/>
      <c r="O468" s="4"/>
    </row>
    <row r="469" spans="1:15" ht="12.5">
      <c r="A469" s="4"/>
      <c r="B469" s="5"/>
      <c r="I469" s="4"/>
      <c r="L469" s="4"/>
      <c r="O469" s="4"/>
    </row>
    <row r="470" spans="1:15" ht="12.5">
      <c r="A470" s="4"/>
      <c r="B470" s="5"/>
      <c r="I470" s="4"/>
      <c r="L470" s="4"/>
      <c r="O470" s="4"/>
    </row>
    <row r="471" spans="1:15" ht="12.5">
      <c r="A471" s="4"/>
      <c r="B471" s="5"/>
      <c r="I471" s="4"/>
      <c r="L471" s="4"/>
      <c r="O471" s="4"/>
    </row>
    <row r="472" spans="1:15" ht="12.5">
      <c r="A472" s="4"/>
      <c r="B472" s="5"/>
      <c r="I472" s="4"/>
      <c r="L472" s="4"/>
      <c r="O472" s="4"/>
    </row>
    <row r="473" spans="1:15" ht="12.5">
      <c r="A473" s="4"/>
      <c r="B473" s="5"/>
      <c r="I473" s="4"/>
      <c r="L473" s="4"/>
      <c r="O473" s="4"/>
    </row>
    <row r="474" spans="1:15" ht="12.5">
      <c r="A474" s="4"/>
      <c r="B474" s="5"/>
      <c r="I474" s="4"/>
      <c r="L474" s="4"/>
      <c r="O474" s="4"/>
    </row>
    <row r="475" spans="1:15" ht="12.5">
      <c r="A475" s="4"/>
      <c r="B475" s="5"/>
      <c r="I475" s="4"/>
      <c r="L475" s="4"/>
      <c r="O475" s="4"/>
    </row>
    <row r="476" spans="1:15" ht="12.5">
      <c r="A476" s="4"/>
      <c r="B476" s="5"/>
      <c r="I476" s="4"/>
      <c r="L476" s="4"/>
      <c r="O476" s="4"/>
    </row>
    <row r="477" spans="1:15" ht="12.5">
      <c r="A477" s="4"/>
      <c r="B477" s="5"/>
      <c r="I477" s="4"/>
      <c r="L477" s="4"/>
      <c r="O477" s="4"/>
    </row>
    <row r="478" spans="1:15" ht="12.5">
      <c r="A478" s="4"/>
      <c r="B478" s="5"/>
      <c r="I478" s="4"/>
      <c r="L478" s="4"/>
      <c r="O478" s="4"/>
    </row>
    <row r="479" spans="1:15" ht="12.5">
      <c r="A479" s="4"/>
      <c r="B479" s="5"/>
      <c r="I479" s="4"/>
      <c r="L479" s="4"/>
      <c r="O479" s="4"/>
    </row>
    <row r="480" spans="1:15" ht="12.5">
      <c r="A480" s="4"/>
      <c r="B480" s="5"/>
      <c r="I480" s="4"/>
      <c r="L480" s="4"/>
      <c r="O480" s="4"/>
    </row>
    <row r="481" spans="1:15" ht="12.5">
      <c r="A481" s="4"/>
      <c r="B481" s="5"/>
      <c r="I481" s="4"/>
      <c r="L481" s="4"/>
      <c r="O481" s="4"/>
    </row>
    <row r="482" spans="1:15" ht="12.5">
      <c r="A482" s="4"/>
      <c r="B482" s="5"/>
      <c r="I482" s="4"/>
      <c r="L482" s="4"/>
      <c r="O482" s="4"/>
    </row>
    <row r="483" spans="1:15" ht="12.5">
      <c r="A483" s="4"/>
      <c r="B483" s="5"/>
      <c r="I483" s="4"/>
      <c r="L483" s="4"/>
      <c r="O483" s="4"/>
    </row>
    <row r="484" spans="1:15" ht="12.5">
      <c r="A484" s="4"/>
      <c r="B484" s="5"/>
      <c r="I484" s="4"/>
      <c r="L484" s="4"/>
      <c r="O484" s="4"/>
    </row>
    <row r="485" spans="1:15" ht="12.5">
      <c r="A485" s="4"/>
      <c r="B485" s="5"/>
      <c r="I485" s="4"/>
      <c r="L485" s="4"/>
      <c r="O485" s="4"/>
    </row>
    <row r="486" spans="1:15" ht="12.5">
      <c r="A486" s="4"/>
      <c r="B486" s="5"/>
      <c r="I486" s="4"/>
      <c r="L486" s="4"/>
      <c r="O486" s="4"/>
    </row>
    <row r="487" spans="1:15" ht="12.5">
      <c r="A487" s="4"/>
      <c r="B487" s="5"/>
      <c r="I487" s="4"/>
      <c r="L487" s="4"/>
      <c r="O487" s="4"/>
    </row>
    <row r="488" spans="1:15" ht="12.5">
      <c r="A488" s="4"/>
      <c r="B488" s="5"/>
      <c r="I488" s="4"/>
      <c r="L488" s="4"/>
      <c r="O488" s="4"/>
    </row>
    <row r="489" spans="1:15" ht="12.5">
      <c r="A489" s="4"/>
      <c r="B489" s="5"/>
      <c r="I489" s="4"/>
      <c r="L489" s="4"/>
      <c r="O489" s="4"/>
    </row>
    <row r="490" spans="1:15" ht="12.5">
      <c r="A490" s="4"/>
      <c r="B490" s="5"/>
      <c r="I490" s="4"/>
      <c r="L490" s="4"/>
      <c r="O490" s="4"/>
    </row>
    <row r="491" spans="1:15" ht="12.5">
      <c r="A491" s="4"/>
      <c r="B491" s="5"/>
      <c r="I491" s="4"/>
      <c r="L491" s="4"/>
      <c r="O491" s="4"/>
    </row>
    <row r="492" spans="1:15" ht="12.5">
      <c r="A492" s="4"/>
      <c r="B492" s="5"/>
      <c r="I492" s="4"/>
      <c r="L492" s="4"/>
      <c r="O492" s="4"/>
    </row>
    <row r="493" spans="1:15" ht="12.5">
      <c r="A493" s="4"/>
      <c r="B493" s="5"/>
      <c r="I493" s="4"/>
      <c r="L493" s="4"/>
      <c r="O493" s="4"/>
    </row>
    <row r="494" spans="1:15" ht="12.5">
      <c r="A494" s="4"/>
      <c r="B494" s="5"/>
      <c r="I494" s="4"/>
      <c r="L494" s="4"/>
      <c r="O494" s="4"/>
    </row>
    <row r="495" spans="1:15" ht="12.5">
      <c r="A495" s="4"/>
      <c r="B495" s="5"/>
      <c r="I495" s="4"/>
      <c r="L495" s="4"/>
      <c r="O495" s="4"/>
    </row>
    <row r="496" spans="1:15" ht="12.5">
      <c r="A496" s="4"/>
      <c r="B496" s="5"/>
      <c r="I496" s="4"/>
      <c r="L496" s="4"/>
      <c r="O496" s="4"/>
    </row>
    <row r="497" spans="1:15" ht="12.5">
      <c r="A497" s="4"/>
      <c r="B497" s="5"/>
      <c r="I497" s="4"/>
      <c r="L497" s="4"/>
      <c r="O497" s="4"/>
    </row>
    <row r="498" spans="1:15" ht="12.5">
      <c r="A498" s="4"/>
      <c r="B498" s="5"/>
      <c r="I498" s="4"/>
      <c r="L498" s="4"/>
      <c r="O498" s="4"/>
    </row>
    <row r="499" spans="1:15" ht="12.5">
      <c r="A499" s="4"/>
      <c r="B499" s="5"/>
      <c r="I499" s="4"/>
      <c r="L499" s="4"/>
      <c r="O499" s="4"/>
    </row>
    <row r="500" spans="1:15" ht="12.5">
      <c r="A500" s="4"/>
      <c r="B500" s="5"/>
      <c r="I500" s="4"/>
      <c r="L500" s="4"/>
      <c r="O500" s="4"/>
    </row>
    <row r="501" spans="1:15" ht="12.5">
      <c r="A501" s="4"/>
      <c r="B501" s="5"/>
      <c r="I501" s="4"/>
      <c r="L501" s="4"/>
      <c r="O501" s="4"/>
    </row>
    <row r="502" spans="1:15" ht="12.5">
      <c r="A502" s="4"/>
      <c r="B502" s="5"/>
      <c r="I502" s="4"/>
      <c r="L502" s="4"/>
      <c r="O502" s="4"/>
    </row>
    <row r="503" spans="1:15" ht="12.5">
      <c r="A503" s="4"/>
      <c r="B503" s="5"/>
      <c r="I503" s="4"/>
      <c r="L503" s="4"/>
      <c r="O503" s="4"/>
    </row>
    <row r="504" spans="1:15" ht="12.5">
      <c r="A504" s="4"/>
      <c r="B504" s="5"/>
      <c r="I504" s="4"/>
      <c r="L504" s="4"/>
      <c r="O504" s="4"/>
    </row>
    <row r="505" spans="1:15" ht="12.5">
      <c r="A505" s="4"/>
      <c r="B505" s="5"/>
      <c r="I505" s="4"/>
      <c r="L505" s="4"/>
      <c r="O505" s="4"/>
    </row>
    <row r="506" spans="1:15" ht="12.5">
      <c r="A506" s="4"/>
      <c r="B506" s="5"/>
      <c r="I506" s="4"/>
      <c r="L506" s="4"/>
      <c r="O506" s="4"/>
    </row>
    <row r="507" spans="1:15" ht="12.5">
      <c r="A507" s="4"/>
      <c r="B507" s="5"/>
      <c r="I507" s="4"/>
      <c r="L507" s="4"/>
      <c r="O507" s="4"/>
    </row>
    <row r="508" spans="1:15" ht="12.5">
      <c r="A508" s="4"/>
      <c r="B508" s="5"/>
      <c r="I508" s="4"/>
      <c r="L508" s="4"/>
      <c r="O508" s="4"/>
    </row>
    <row r="509" spans="1:15" ht="12.5">
      <c r="A509" s="4"/>
      <c r="B509" s="5"/>
      <c r="I509" s="4"/>
      <c r="L509" s="4"/>
      <c r="O509" s="4"/>
    </row>
    <row r="510" spans="1:15" ht="12.5">
      <c r="A510" s="4"/>
      <c r="B510" s="5"/>
      <c r="I510" s="4"/>
      <c r="L510" s="4"/>
      <c r="O510" s="4"/>
    </row>
    <row r="511" spans="1:15" ht="12.5">
      <c r="A511" s="4"/>
      <c r="B511" s="5"/>
      <c r="I511" s="4"/>
      <c r="L511" s="4"/>
      <c r="O511" s="4"/>
    </row>
    <row r="512" spans="1:15" ht="12.5">
      <c r="A512" s="4"/>
      <c r="B512" s="5"/>
      <c r="I512" s="4"/>
      <c r="L512" s="4"/>
      <c r="O512" s="4"/>
    </row>
    <row r="513" spans="1:15" ht="12.5">
      <c r="A513" s="4"/>
      <c r="B513" s="5"/>
      <c r="I513" s="4"/>
      <c r="L513" s="4"/>
      <c r="O513" s="4"/>
    </row>
    <row r="514" spans="1:15" ht="12.5">
      <c r="A514" s="4"/>
      <c r="B514" s="5"/>
      <c r="I514" s="4"/>
      <c r="L514" s="4"/>
      <c r="O514" s="4"/>
    </row>
    <row r="515" spans="1:15" ht="12.5">
      <c r="A515" s="4"/>
      <c r="B515" s="5"/>
      <c r="I515" s="4"/>
      <c r="L515" s="4"/>
      <c r="O515" s="4"/>
    </row>
    <row r="516" spans="1:15" ht="12.5">
      <c r="A516" s="4"/>
      <c r="B516" s="5"/>
      <c r="I516" s="4"/>
      <c r="L516" s="4"/>
      <c r="O516" s="4"/>
    </row>
    <row r="517" spans="1:15" ht="12.5">
      <c r="A517" s="4"/>
      <c r="B517" s="5"/>
      <c r="I517" s="4"/>
      <c r="L517" s="4"/>
      <c r="O517" s="4"/>
    </row>
    <row r="518" spans="1:15" ht="12.5">
      <c r="A518" s="4"/>
      <c r="B518" s="5"/>
      <c r="I518" s="4"/>
      <c r="L518" s="4"/>
      <c r="O518" s="4"/>
    </row>
    <row r="519" spans="1:15" ht="12.5">
      <c r="A519" s="4"/>
      <c r="B519" s="5"/>
      <c r="I519" s="4"/>
      <c r="L519" s="4"/>
      <c r="O519" s="4"/>
    </row>
    <row r="520" spans="1:15" ht="12.5">
      <c r="A520" s="4"/>
      <c r="B520" s="5"/>
      <c r="I520" s="4"/>
      <c r="L520" s="4"/>
      <c r="O520" s="4"/>
    </row>
    <row r="521" spans="1:15" ht="12.5">
      <c r="A521" s="4"/>
      <c r="B521" s="5"/>
      <c r="I521" s="4"/>
      <c r="L521" s="4"/>
      <c r="O521" s="4"/>
    </row>
    <row r="522" spans="1:15" ht="12.5">
      <c r="A522" s="4"/>
      <c r="B522" s="5"/>
      <c r="I522" s="4"/>
      <c r="L522" s="4"/>
      <c r="O522" s="4"/>
    </row>
    <row r="523" spans="1:15" ht="12.5">
      <c r="A523" s="4"/>
      <c r="B523" s="5"/>
      <c r="I523" s="4"/>
      <c r="L523" s="4"/>
      <c r="O523" s="4"/>
    </row>
    <row r="524" spans="1:15" ht="12.5">
      <c r="A524" s="4"/>
      <c r="B524" s="5"/>
      <c r="I524" s="4"/>
      <c r="L524" s="4"/>
      <c r="O524" s="4"/>
    </row>
    <row r="525" spans="1:15" ht="12.5">
      <c r="A525" s="4"/>
      <c r="B525" s="5"/>
      <c r="I525" s="4"/>
      <c r="L525" s="4"/>
      <c r="O525" s="4"/>
    </row>
    <row r="526" spans="1:15" ht="12.5">
      <c r="A526" s="4"/>
      <c r="B526" s="5"/>
      <c r="I526" s="4"/>
      <c r="L526" s="4"/>
      <c r="O526" s="4"/>
    </row>
    <row r="527" spans="1:15" ht="12.5">
      <c r="A527" s="4"/>
      <c r="B527" s="5"/>
      <c r="I527" s="4"/>
      <c r="L527" s="4"/>
      <c r="O527" s="4"/>
    </row>
    <row r="528" spans="1:15" ht="12.5">
      <c r="A528" s="4"/>
      <c r="B528" s="5"/>
      <c r="I528" s="4"/>
      <c r="L528" s="4"/>
      <c r="O528" s="4"/>
    </row>
    <row r="529" spans="1:15" ht="12.5">
      <c r="A529" s="4"/>
      <c r="B529" s="5"/>
      <c r="I529" s="4"/>
      <c r="L529" s="4"/>
      <c r="O529" s="4"/>
    </row>
    <row r="530" spans="1:15" ht="12.5">
      <c r="A530" s="4"/>
      <c r="B530" s="5"/>
      <c r="I530" s="4"/>
      <c r="L530" s="4"/>
      <c r="O530" s="4"/>
    </row>
    <row r="531" spans="1:15" ht="12.5">
      <c r="A531" s="4"/>
      <c r="B531" s="5"/>
      <c r="I531" s="4"/>
      <c r="L531" s="4"/>
      <c r="O531" s="4"/>
    </row>
    <row r="532" spans="1:15" ht="12.5">
      <c r="A532" s="4"/>
      <c r="B532" s="5"/>
      <c r="I532" s="4"/>
      <c r="L532" s="4"/>
      <c r="O532" s="4"/>
    </row>
    <row r="533" spans="1:15" ht="12.5">
      <c r="A533" s="4"/>
      <c r="B533" s="5"/>
      <c r="I533" s="4"/>
      <c r="L533" s="4"/>
      <c r="O533" s="4"/>
    </row>
    <row r="534" spans="1:15" ht="12.5">
      <c r="A534" s="4"/>
      <c r="B534" s="5"/>
      <c r="I534" s="4"/>
      <c r="L534" s="4"/>
      <c r="O534" s="4"/>
    </row>
    <row r="535" spans="1:15" ht="12.5">
      <c r="A535" s="4"/>
      <c r="B535" s="5"/>
      <c r="I535" s="4"/>
      <c r="L535" s="4"/>
      <c r="O535" s="4"/>
    </row>
    <row r="536" spans="1:15" ht="12.5">
      <c r="A536" s="4"/>
      <c r="B536" s="5"/>
      <c r="I536" s="4"/>
      <c r="L536" s="4"/>
      <c r="O536" s="4"/>
    </row>
    <row r="537" spans="1:15" ht="12.5">
      <c r="A537" s="4"/>
      <c r="B537" s="5"/>
      <c r="I537" s="4"/>
      <c r="L537" s="4"/>
      <c r="O537" s="4"/>
    </row>
    <row r="538" spans="1:15" ht="12.5">
      <c r="A538" s="4"/>
      <c r="B538" s="5"/>
      <c r="I538" s="4"/>
      <c r="L538" s="4"/>
      <c r="O538" s="4"/>
    </row>
    <row r="539" spans="1:15" ht="12.5">
      <c r="A539" s="4"/>
      <c r="B539" s="5"/>
      <c r="I539" s="4"/>
      <c r="L539" s="4"/>
      <c r="O539" s="4"/>
    </row>
    <row r="540" spans="1:15" ht="12.5">
      <c r="A540" s="4"/>
      <c r="B540" s="5"/>
      <c r="I540" s="4"/>
      <c r="L540" s="4"/>
      <c r="O540" s="4"/>
    </row>
    <row r="541" spans="1:15" ht="12.5">
      <c r="A541" s="4"/>
      <c r="B541" s="5"/>
      <c r="I541" s="4"/>
      <c r="L541" s="4"/>
      <c r="O541" s="4"/>
    </row>
    <row r="542" spans="1:15" ht="12.5">
      <c r="A542" s="4"/>
      <c r="B542" s="5"/>
      <c r="I542" s="4"/>
      <c r="L542" s="4"/>
      <c r="O542" s="4"/>
    </row>
    <row r="543" spans="1:15" ht="12.5">
      <c r="A543" s="4"/>
      <c r="B543" s="5"/>
      <c r="I543" s="4"/>
      <c r="L543" s="4"/>
      <c r="O543" s="4"/>
    </row>
    <row r="544" spans="1:15" ht="12.5">
      <c r="A544" s="4"/>
      <c r="B544" s="5"/>
      <c r="I544" s="4"/>
      <c r="L544" s="4"/>
      <c r="O544" s="4"/>
    </row>
    <row r="545" spans="1:15" ht="12.5">
      <c r="A545" s="4"/>
      <c r="B545" s="5"/>
      <c r="I545" s="4"/>
      <c r="L545" s="4"/>
      <c r="O545" s="4"/>
    </row>
    <row r="546" spans="1:15" ht="12.5">
      <c r="A546" s="4"/>
      <c r="B546" s="5"/>
      <c r="I546" s="4"/>
      <c r="L546" s="4"/>
      <c r="O546" s="4"/>
    </row>
    <row r="547" spans="1:15" ht="12.5">
      <c r="A547" s="4"/>
      <c r="B547" s="5"/>
      <c r="I547" s="4"/>
      <c r="L547" s="4"/>
      <c r="O547" s="4"/>
    </row>
    <row r="548" spans="1:15" ht="12.5">
      <c r="A548" s="4"/>
      <c r="B548" s="5"/>
      <c r="I548" s="4"/>
      <c r="L548" s="4"/>
      <c r="O548" s="4"/>
    </row>
    <row r="549" spans="1:15" ht="12.5">
      <c r="A549" s="4"/>
      <c r="B549" s="5"/>
      <c r="I549" s="4"/>
      <c r="L549" s="4"/>
      <c r="O549" s="4"/>
    </row>
    <row r="550" spans="1:15" ht="12.5">
      <c r="A550" s="4"/>
      <c r="B550" s="5"/>
      <c r="I550" s="4"/>
      <c r="L550" s="4"/>
      <c r="O550" s="4"/>
    </row>
    <row r="551" spans="1:15" ht="12.5">
      <c r="A551" s="4"/>
      <c r="B551" s="5"/>
      <c r="I551" s="4"/>
      <c r="L551" s="4"/>
      <c r="O551" s="4"/>
    </row>
    <row r="552" spans="1:15" ht="12.5">
      <c r="A552" s="4"/>
      <c r="B552" s="5"/>
      <c r="I552" s="4"/>
      <c r="L552" s="4"/>
      <c r="O552" s="4"/>
    </row>
    <row r="553" spans="1:15" ht="12.5">
      <c r="A553" s="4"/>
      <c r="B553" s="5"/>
      <c r="I553" s="4"/>
      <c r="L553" s="4"/>
      <c r="O553" s="4"/>
    </row>
    <row r="554" spans="1:15" ht="12.5">
      <c r="A554" s="4"/>
      <c r="B554" s="5"/>
      <c r="I554" s="4"/>
      <c r="L554" s="4"/>
      <c r="O554" s="4"/>
    </row>
    <row r="555" spans="1:15" ht="12.5">
      <c r="A555" s="4"/>
      <c r="B555" s="5"/>
      <c r="I555" s="4"/>
      <c r="L555" s="4"/>
      <c r="O555" s="4"/>
    </row>
    <row r="556" spans="1:15" ht="12.5">
      <c r="A556" s="4"/>
      <c r="B556" s="5"/>
      <c r="I556" s="4"/>
      <c r="L556" s="4"/>
      <c r="O556" s="4"/>
    </row>
    <row r="557" spans="1:15" ht="12.5">
      <c r="A557" s="4"/>
      <c r="B557" s="5"/>
      <c r="I557" s="4"/>
      <c r="L557" s="4"/>
      <c r="O557" s="4"/>
    </row>
    <row r="558" spans="1:15" ht="12.5">
      <c r="A558" s="4"/>
      <c r="B558" s="5"/>
      <c r="I558" s="4"/>
      <c r="L558" s="4"/>
      <c r="O558" s="4"/>
    </row>
    <row r="559" spans="1:15" ht="12.5">
      <c r="A559" s="4"/>
      <c r="B559" s="5"/>
      <c r="I559" s="4"/>
      <c r="L559" s="4"/>
      <c r="O559" s="4"/>
    </row>
    <row r="560" spans="1:15" ht="12.5">
      <c r="A560" s="4"/>
      <c r="B560" s="5"/>
      <c r="I560" s="4"/>
      <c r="L560" s="4"/>
      <c r="O560" s="4"/>
    </row>
    <row r="561" spans="1:15" ht="12.5">
      <c r="A561" s="4"/>
      <c r="B561" s="5"/>
      <c r="I561" s="4"/>
      <c r="L561" s="4"/>
      <c r="O561" s="4"/>
    </row>
    <row r="562" spans="1:15" ht="12.5">
      <c r="A562" s="4"/>
      <c r="B562" s="5"/>
      <c r="I562" s="4"/>
      <c r="L562" s="4"/>
      <c r="O562" s="4"/>
    </row>
    <row r="563" spans="1:15" ht="12.5">
      <c r="A563" s="4"/>
      <c r="B563" s="5"/>
      <c r="I563" s="4"/>
      <c r="L563" s="4"/>
      <c r="O563" s="4"/>
    </row>
    <row r="564" spans="1:15" ht="12.5">
      <c r="A564" s="4"/>
      <c r="B564" s="5"/>
      <c r="I564" s="4"/>
      <c r="L564" s="4"/>
      <c r="O564" s="4"/>
    </row>
    <row r="565" spans="1:15" ht="12.5">
      <c r="A565" s="4"/>
      <c r="B565" s="5"/>
      <c r="I565" s="4"/>
      <c r="L565" s="4"/>
      <c r="O565" s="4"/>
    </row>
    <row r="566" spans="1:15" ht="12.5">
      <c r="A566" s="4"/>
      <c r="B566" s="5"/>
      <c r="I566" s="4"/>
      <c r="L566" s="4"/>
      <c r="O566" s="4"/>
    </row>
    <row r="567" spans="1:15" ht="12.5">
      <c r="A567" s="4"/>
      <c r="B567" s="5"/>
      <c r="I567" s="4"/>
      <c r="L567" s="4"/>
      <c r="O567" s="4"/>
    </row>
    <row r="568" spans="1:15" ht="12.5">
      <c r="A568" s="4"/>
      <c r="B568" s="5"/>
      <c r="I568" s="4"/>
      <c r="L568" s="4"/>
      <c r="O568" s="4"/>
    </row>
    <row r="569" spans="1:15" ht="12.5">
      <c r="A569" s="4"/>
      <c r="B569" s="5"/>
      <c r="I569" s="4"/>
      <c r="L569" s="4"/>
      <c r="O569" s="4"/>
    </row>
    <row r="570" spans="1:15" ht="12.5">
      <c r="A570" s="4"/>
      <c r="B570" s="5"/>
      <c r="I570" s="4"/>
      <c r="L570" s="4"/>
      <c r="O570" s="4"/>
    </row>
    <row r="571" spans="1:15" ht="12.5">
      <c r="A571" s="4"/>
      <c r="B571" s="5"/>
      <c r="I571" s="4"/>
      <c r="L571" s="4"/>
      <c r="O571" s="4"/>
    </row>
    <row r="572" spans="1:15" ht="12.5">
      <c r="A572" s="4"/>
      <c r="B572" s="5"/>
      <c r="I572" s="4"/>
      <c r="L572" s="4"/>
      <c r="O572" s="4"/>
    </row>
    <row r="573" spans="1:15" ht="12.5">
      <c r="A573" s="4"/>
      <c r="B573" s="5"/>
      <c r="I573" s="4"/>
      <c r="L573" s="4"/>
      <c r="O573" s="4"/>
    </row>
    <row r="574" spans="1:15" ht="12.5">
      <c r="A574" s="4"/>
      <c r="B574" s="5"/>
      <c r="I574" s="4"/>
      <c r="L574" s="4"/>
      <c r="O574" s="4"/>
    </row>
    <row r="575" spans="1:15" ht="12.5">
      <c r="A575" s="4"/>
      <c r="B575" s="5"/>
      <c r="I575" s="4"/>
      <c r="L575" s="4"/>
      <c r="O575" s="4"/>
    </row>
    <row r="576" spans="1:15" ht="12.5">
      <c r="A576" s="4"/>
      <c r="B576" s="5"/>
      <c r="I576" s="4"/>
      <c r="L576" s="4"/>
      <c r="O576" s="4"/>
    </row>
    <row r="577" spans="1:15" ht="12.5">
      <c r="A577" s="4"/>
      <c r="B577" s="5"/>
      <c r="I577" s="4"/>
      <c r="L577" s="4"/>
      <c r="O577" s="4"/>
    </row>
    <row r="578" spans="1:15" ht="12.5">
      <c r="A578" s="4"/>
      <c r="B578" s="5"/>
      <c r="I578" s="4"/>
      <c r="L578" s="4"/>
      <c r="O578" s="4"/>
    </row>
    <row r="579" spans="1:15" ht="12.5">
      <c r="A579" s="4"/>
      <c r="B579" s="5"/>
      <c r="I579" s="4"/>
      <c r="L579" s="4"/>
      <c r="O579" s="4"/>
    </row>
    <row r="580" spans="1:15" ht="12.5">
      <c r="A580" s="4"/>
      <c r="B580" s="5"/>
      <c r="I580" s="4"/>
      <c r="L580" s="4"/>
      <c r="O580" s="4"/>
    </row>
    <row r="581" spans="1:15" ht="12.5">
      <c r="A581" s="4"/>
      <c r="B581" s="5"/>
      <c r="I581" s="4"/>
      <c r="L581" s="4"/>
      <c r="O581" s="4"/>
    </row>
    <row r="582" spans="1:15" ht="12.5">
      <c r="A582" s="4"/>
      <c r="B582" s="5"/>
      <c r="I582" s="4"/>
      <c r="L582" s="4"/>
      <c r="O582" s="4"/>
    </row>
    <row r="583" spans="1:15" ht="12.5">
      <c r="A583" s="4"/>
      <c r="B583" s="5"/>
      <c r="I583" s="4"/>
      <c r="L583" s="4"/>
      <c r="O583" s="4"/>
    </row>
    <row r="584" spans="1:15" ht="12.5">
      <c r="A584" s="4"/>
      <c r="B584" s="5"/>
      <c r="I584" s="4"/>
      <c r="L584" s="4"/>
      <c r="O584" s="4"/>
    </row>
    <row r="585" spans="1:15" ht="12.5">
      <c r="A585" s="4"/>
      <c r="B585" s="5"/>
      <c r="I585" s="4"/>
      <c r="L585" s="4"/>
      <c r="O585" s="4"/>
    </row>
    <row r="586" spans="1:15" ht="12.5">
      <c r="A586" s="4"/>
      <c r="B586" s="5"/>
      <c r="I586" s="4"/>
      <c r="L586" s="4"/>
      <c r="O586" s="4"/>
    </row>
    <row r="587" spans="1:15" ht="12.5">
      <c r="A587" s="4"/>
      <c r="B587" s="5"/>
      <c r="I587" s="4"/>
      <c r="L587" s="4"/>
      <c r="O587" s="4"/>
    </row>
    <row r="588" spans="1:15" ht="12.5">
      <c r="A588" s="4"/>
      <c r="B588" s="5"/>
      <c r="I588" s="4"/>
      <c r="L588" s="4"/>
      <c r="O588" s="4"/>
    </row>
    <row r="589" spans="1:15" ht="12.5">
      <c r="A589" s="4"/>
      <c r="B589" s="5"/>
      <c r="I589" s="4"/>
      <c r="L589" s="4"/>
      <c r="O589" s="4"/>
    </row>
    <row r="590" spans="1:15" ht="12.5">
      <c r="A590" s="4"/>
      <c r="B590" s="5"/>
      <c r="I590" s="4"/>
      <c r="L590" s="4"/>
      <c r="O590" s="4"/>
    </row>
    <row r="591" spans="1:15" ht="12.5">
      <c r="A591" s="4"/>
      <c r="B591" s="5"/>
      <c r="I591" s="4"/>
      <c r="L591" s="4"/>
      <c r="O591" s="4"/>
    </row>
    <row r="592" spans="1:15" ht="12.5">
      <c r="A592" s="4"/>
      <c r="B592" s="5"/>
      <c r="I592" s="4"/>
      <c r="L592" s="4"/>
      <c r="O592" s="4"/>
    </row>
    <row r="593" spans="1:15" ht="12.5">
      <c r="A593" s="4"/>
      <c r="B593" s="5"/>
      <c r="I593" s="4"/>
      <c r="L593" s="4"/>
      <c r="O593" s="4"/>
    </row>
    <row r="594" spans="1:15" ht="12.5">
      <c r="A594" s="4"/>
      <c r="B594" s="5"/>
      <c r="I594" s="4"/>
      <c r="L594" s="4"/>
      <c r="O594" s="4"/>
    </row>
    <row r="595" spans="1:15" ht="12.5">
      <c r="A595" s="4"/>
      <c r="B595" s="5"/>
      <c r="I595" s="4"/>
      <c r="L595" s="4"/>
      <c r="O595" s="4"/>
    </row>
    <row r="596" spans="1:15" ht="12.5">
      <c r="A596" s="4"/>
      <c r="B596" s="5"/>
      <c r="I596" s="4"/>
      <c r="L596" s="4"/>
      <c r="O596" s="4"/>
    </row>
    <row r="597" spans="1:15" ht="12.5">
      <c r="A597" s="4"/>
      <c r="B597" s="5"/>
      <c r="I597" s="4"/>
      <c r="L597" s="4"/>
      <c r="O597" s="4"/>
    </row>
    <row r="598" spans="1:15" ht="12.5">
      <c r="A598" s="4"/>
      <c r="B598" s="5"/>
      <c r="I598" s="4"/>
      <c r="L598" s="4"/>
      <c r="O598" s="4"/>
    </row>
    <row r="599" spans="1:15" ht="12.5">
      <c r="A599" s="4"/>
      <c r="B599" s="5"/>
      <c r="I599" s="4"/>
      <c r="L599" s="4"/>
      <c r="O599" s="4"/>
    </row>
    <row r="600" spans="1:15" ht="12.5">
      <c r="A600" s="4"/>
      <c r="B600" s="5"/>
      <c r="I600" s="4"/>
      <c r="L600" s="4"/>
      <c r="O600" s="4"/>
    </row>
    <row r="601" spans="1:15" ht="12.5">
      <c r="A601" s="4"/>
      <c r="B601" s="5"/>
      <c r="I601" s="4"/>
      <c r="L601" s="4"/>
      <c r="O601" s="4"/>
    </row>
    <row r="602" spans="1:15" ht="12.5">
      <c r="A602" s="4"/>
      <c r="B602" s="5"/>
      <c r="I602" s="4"/>
      <c r="L602" s="4"/>
      <c r="O602" s="4"/>
    </row>
    <row r="603" spans="1:15" ht="12.5">
      <c r="A603" s="4"/>
      <c r="B603" s="5"/>
      <c r="I603" s="4"/>
      <c r="L603" s="4"/>
      <c r="O603" s="4"/>
    </row>
    <row r="604" spans="1:15" ht="12.5">
      <c r="A604" s="4"/>
      <c r="B604" s="5"/>
      <c r="I604" s="4"/>
      <c r="L604" s="4"/>
      <c r="O604" s="4"/>
    </row>
    <row r="605" spans="1:15" ht="12.5">
      <c r="A605" s="4"/>
      <c r="B605" s="5"/>
      <c r="I605" s="4"/>
      <c r="L605" s="4"/>
      <c r="O605" s="4"/>
    </row>
    <row r="606" spans="1:15" ht="12.5">
      <c r="A606" s="4"/>
      <c r="B606" s="5"/>
      <c r="I606" s="4"/>
      <c r="L606" s="4"/>
      <c r="O606" s="4"/>
    </row>
    <row r="607" spans="1:15" ht="12.5">
      <c r="A607" s="4"/>
      <c r="B607" s="5"/>
      <c r="I607" s="4"/>
      <c r="L607" s="4"/>
      <c r="O607" s="4"/>
    </row>
    <row r="608" spans="1:15" ht="12.5">
      <c r="A608" s="4"/>
      <c r="B608" s="5"/>
      <c r="I608" s="4"/>
      <c r="L608" s="4"/>
      <c r="O608" s="4"/>
    </row>
    <row r="609" spans="1:15" ht="12.5">
      <c r="A609" s="4"/>
      <c r="B609" s="5"/>
      <c r="I609" s="4"/>
      <c r="L609" s="4"/>
      <c r="O609" s="4"/>
    </row>
    <row r="610" spans="1:15" ht="12.5">
      <c r="A610" s="4"/>
      <c r="B610" s="5"/>
      <c r="I610" s="4"/>
      <c r="L610" s="4"/>
      <c r="O610" s="4"/>
    </row>
    <row r="611" spans="1:15" ht="12.5">
      <c r="A611" s="4"/>
      <c r="B611" s="5"/>
      <c r="I611" s="4"/>
      <c r="L611" s="4"/>
      <c r="O611" s="4"/>
    </row>
    <row r="612" spans="1:15" ht="12.5">
      <c r="A612" s="4"/>
      <c r="B612" s="5"/>
      <c r="I612" s="4"/>
      <c r="L612" s="4"/>
      <c r="O612" s="4"/>
    </row>
    <row r="613" spans="1:15" ht="12.5">
      <c r="A613" s="4"/>
      <c r="B613" s="5"/>
      <c r="I613" s="4"/>
      <c r="L613" s="4"/>
      <c r="O613" s="4"/>
    </row>
    <row r="614" spans="1:15" ht="12.5">
      <c r="A614" s="4"/>
      <c r="B614" s="5"/>
      <c r="I614" s="4"/>
      <c r="L614" s="4"/>
      <c r="O614" s="4"/>
    </row>
    <row r="615" spans="1:15" ht="12.5">
      <c r="A615" s="4"/>
      <c r="B615" s="5"/>
      <c r="I615" s="4"/>
      <c r="L615" s="4"/>
      <c r="O615" s="4"/>
    </row>
    <row r="616" spans="1:15" ht="12.5">
      <c r="A616" s="4"/>
      <c r="B616" s="5"/>
      <c r="I616" s="4"/>
      <c r="L616" s="4"/>
      <c r="O616" s="4"/>
    </row>
    <row r="617" spans="1:15" ht="12.5">
      <c r="A617" s="4"/>
      <c r="B617" s="5"/>
      <c r="I617" s="4"/>
      <c r="L617" s="4"/>
      <c r="O617" s="4"/>
    </row>
    <row r="618" spans="1:15" ht="12.5">
      <c r="A618" s="4"/>
      <c r="B618" s="5"/>
      <c r="I618" s="4"/>
      <c r="L618" s="4"/>
      <c r="O618" s="4"/>
    </row>
    <row r="619" spans="1:15" ht="12.5">
      <c r="A619" s="4"/>
      <c r="B619" s="5"/>
      <c r="I619" s="4"/>
      <c r="L619" s="4"/>
      <c r="O619" s="4"/>
    </row>
    <row r="620" spans="1:15" ht="12.5">
      <c r="A620" s="4"/>
      <c r="B620" s="5"/>
      <c r="I620" s="4"/>
      <c r="L620" s="4"/>
      <c r="O620" s="4"/>
    </row>
    <row r="621" spans="1:15" ht="12.5">
      <c r="A621" s="4"/>
      <c r="B621" s="5"/>
      <c r="I621" s="4"/>
      <c r="L621" s="4"/>
      <c r="O621" s="4"/>
    </row>
    <row r="622" spans="1:15" ht="12.5">
      <c r="A622" s="4"/>
      <c r="B622" s="5"/>
      <c r="I622" s="4"/>
      <c r="L622" s="4"/>
      <c r="O622" s="4"/>
    </row>
    <row r="623" spans="1:15" ht="12.5">
      <c r="A623" s="4"/>
      <c r="B623" s="5"/>
      <c r="I623" s="4"/>
      <c r="L623" s="4"/>
      <c r="O623" s="4"/>
    </row>
    <row r="624" spans="1:15" ht="12.5">
      <c r="A624" s="4"/>
      <c r="B624" s="5"/>
      <c r="I624" s="4"/>
      <c r="L624" s="4"/>
      <c r="O624" s="4"/>
    </row>
    <row r="625" spans="1:15" ht="12.5">
      <c r="A625" s="4"/>
      <c r="B625" s="5"/>
      <c r="I625" s="4"/>
      <c r="L625" s="4"/>
      <c r="O625" s="4"/>
    </row>
    <row r="626" spans="1:15" ht="12.5">
      <c r="A626" s="4"/>
      <c r="B626" s="5"/>
      <c r="I626" s="4"/>
      <c r="L626" s="4"/>
      <c r="O626" s="4"/>
    </row>
    <row r="627" spans="1:15" ht="12.5">
      <c r="A627" s="4"/>
      <c r="B627" s="5"/>
      <c r="I627" s="4"/>
      <c r="L627" s="4"/>
      <c r="O627" s="4"/>
    </row>
    <row r="628" spans="1:15" ht="12.5">
      <c r="A628" s="4"/>
      <c r="B628" s="5"/>
      <c r="I628" s="4"/>
      <c r="L628" s="4"/>
      <c r="O628" s="4"/>
    </row>
    <row r="629" spans="1:15" ht="12.5">
      <c r="A629" s="4"/>
      <c r="B629" s="5"/>
      <c r="I629" s="4"/>
      <c r="L629" s="4"/>
      <c r="O629" s="4"/>
    </row>
    <row r="630" spans="1:15" ht="12.5">
      <c r="A630" s="4"/>
      <c r="B630" s="5"/>
      <c r="I630" s="4"/>
      <c r="L630" s="4"/>
      <c r="O630" s="4"/>
    </row>
    <row r="631" spans="1:15" ht="12.5">
      <c r="A631" s="4"/>
      <c r="B631" s="5"/>
      <c r="I631" s="4"/>
      <c r="L631" s="4"/>
      <c r="O631" s="4"/>
    </row>
    <row r="632" spans="1:15" ht="12.5">
      <c r="A632" s="4"/>
      <c r="B632" s="5"/>
      <c r="I632" s="4"/>
      <c r="L632" s="4"/>
      <c r="O632" s="4"/>
    </row>
    <row r="633" spans="1:15" ht="12.5">
      <c r="A633" s="4"/>
      <c r="B633" s="5"/>
      <c r="I633" s="4"/>
      <c r="L633" s="4"/>
      <c r="O633" s="4"/>
    </row>
    <row r="634" spans="1:15" ht="12.5">
      <c r="A634" s="4"/>
      <c r="B634" s="5"/>
      <c r="I634" s="4"/>
      <c r="L634" s="4"/>
      <c r="O634" s="4"/>
    </row>
    <row r="635" spans="1:15" ht="12.5">
      <c r="A635" s="4"/>
      <c r="B635" s="5"/>
      <c r="I635" s="4"/>
      <c r="L635" s="4"/>
      <c r="O635" s="4"/>
    </row>
    <row r="636" spans="1:15" ht="12.5">
      <c r="A636" s="4"/>
      <c r="B636" s="5"/>
      <c r="I636" s="4"/>
      <c r="L636" s="4"/>
      <c r="O636" s="4"/>
    </row>
    <row r="637" spans="1:15" ht="12.5">
      <c r="A637" s="4"/>
      <c r="B637" s="5"/>
      <c r="I637" s="4"/>
      <c r="L637" s="4"/>
      <c r="O637" s="4"/>
    </row>
    <row r="638" spans="1:15" ht="12.5">
      <c r="A638" s="4"/>
      <c r="B638" s="5"/>
      <c r="I638" s="4"/>
      <c r="L638" s="4"/>
      <c r="O638" s="4"/>
    </row>
    <row r="639" spans="1:15" ht="12.5">
      <c r="A639" s="4"/>
      <c r="B639" s="5"/>
      <c r="I639" s="4"/>
      <c r="L639" s="4"/>
      <c r="O639" s="4"/>
    </row>
    <row r="640" spans="1:15" ht="12.5">
      <c r="A640" s="4"/>
      <c r="B640" s="5"/>
      <c r="I640" s="4"/>
      <c r="L640" s="4"/>
      <c r="O640" s="4"/>
    </row>
    <row r="641" spans="1:15" ht="12.5">
      <c r="A641" s="4"/>
      <c r="B641" s="5"/>
      <c r="I641" s="4"/>
      <c r="L641" s="4"/>
      <c r="O641" s="4"/>
    </row>
    <row r="642" spans="1:15" ht="12.5">
      <c r="A642" s="4"/>
      <c r="B642" s="5"/>
      <c r="I642" s="4"/>
      <c r="L642" s="4"/>
      <c r="O642" s="4"/>
    </row>
    <row r="643" spans="1:15" ht="12.5">
      <c r="A643" s="4"/>
      <c r="B643" s="5"/>
      <c r="I643" s="4"/>
      <c r="L643" s="4"/>
      <c r="O643" s="4"/>
    </row>
    <row r="644" spans="1:15" ht="12.5">
      <c r="A644" s="4"/>
      <c r="B644" s="5"/>
      <c r="I644" s="4"/>
      <c r="L644" s="4"/>
      <c r="O644" s="4"/>
    </row>
    <row r="645" spans="1:15" ht="12.5">
      <c r="A645" s="4"/>
      <c r="B645" s="5"/>
      <c r="I645" s="4"/>
      <c r="L645" s="4"/>
      <c r="O645" s="4"/>
    </row>
    <row r="646" spans="1:15" ht="12.5">
      <c r="A646" s="4"/>
      <c r="B646" s="5"/>
      <c r="I646" s="4"/>
      <c r="L646" s="4"/>
      <c r="O646" s="4"/>
    </row>
    <row r="647" spans="1:15" ht="12.5">
      <c r="A647" s="4"/>
      <c r="B647" s="5"/>
      <c r="I647" s="4"/>
      <c r="L647" s="4"/>
      <c r="O647" s="4"/>
    </row>
    <row r="648" spans="1:15" ht="12.5">
      <c r="A648" s="4"/>
      <c r="B648" s="5"/>
      <c r="I648" s="4"/>
      <c r="L648" s="4"/>
      <c r="O648" s="4"/>
    </row>
    <row r="649" spans="1:15" ht="12.5">
      <c r="A649" s="4"/>
      <c r="B649" s="5"/>
      <c r="I649" s="4"/>
      <c r="L649" s="4"/>
      <c r="O649" s="4"/>
    </row>
    <row r="650" spans="1:15" ht="12.5">
      <c r="A650" s="4"/>
      <c r="B650" s="5"/>
      <c r="I650" s="4"/>
      <c r="L650" s="4"/>
      <c r="O650" s="4"/>
    </row>
    <row r="651" spans="1:15" ht="12.5">
      <c r="A651" s="4"/>
      <c r="B651" s="5"/>
      <c r="I651" s="4"/>
      <c r="L651" s="4"/>
      <c r="O651" s="4"/>
    </row>
    <row r="652" spans="1:15" ht="12.5">
      <c r="A652" s="4"/>
      <c r="B652" s="5"/>
      <c r="I652" s="4"/>
      <c r="L652" s="4"/>
      <c r="O652" s="4"/>
    </row>
    <row r="653" spans="1:15" ht="12.5">
      <c r="A653" s="4"/>
      <c r="B653" s="5"/>
      <c r="I653" s="4"/>
      <c r="L653" s="4"/>
      <c r="O653" s="4"/>
    </row>
    <row r="654" spans="1:15" ht="12.5">
      <c r="A654" s="4"/>
      <c r="B654" s="5"/>
      <c r="I654" s="4"/>
      <c r="L654" s="4"/>
      <c r="O654" s="4"/>
    </row>
    <row r="655" spans="1:15" ht="12.5">
      <c r="A655" s="4"/>
      <c r="B655" s="5"/>
      <c r="I655" s="4"/>
      <c r="L655" s="4"/>
      <c r="O655" s="4"/>
    </row>
    <row r="656" spans="1:15" ht="12.5">
      <c r="A656" s="4"/>
      <c r="B656" s="5"/>
      <c r="I656" s="4"/>
      <c r="L656" s="4"/>
      <c r="O656" s="4"/>
    </row>
    <row r="657" spans="1:15" ht="12.5">
      <c r="A657" s="4"/>
      <c r="B657" s="5"/>
      <c r="I657" s="4"/>
      <c r="L657" s="4"/>
      <c r="O657" s="4"/>
    </row>
    <row r="658" spans="1:15" ht="12.5">
      <c r="A658" s="4"/>
      <c r="B658" s="5"/>
      <c r="I658" s="4"/>
      <c r="L658" s="4"/>
      <c r="O658" s="4"/>
    </row>
    <row r="659" spans="1:15" ht="12.5">
      <c r="A659" s="4"/>
      <c r="B659" s="5"/>
      <c r="I659" s="4"/>
      <c r="L659" s="4"/>
      <c r="O659" s="4"/>
    </row>
    <row r="660" spans="1:15" ht="12.5">
      <c r="A660" s="4"/>
      <c r="B660" s="5"/>
      <c r="I660" s="4"/>
      <c r="L660" s="4"/>
      <c r="O660" s="4"/>
    </row>
    <row r="661" spans="1:15" ht="12.5">
      <c r="A661" s="4"/>
      <c r="B661" s="5"/>
      <c r="I661" s="4"/>
      <c r="L661" s="4"/>
      <c r="O661" s="4"/>
    </row>
    <row r="662" spans="1:15" ht="12.5">
      <c r="A662" s="4"/>
      <c r="B662" s="5"/>
      <c r="I662" s="4"/>
      <c r="L662" s="4"/>
      <c r="O662" s="4"/>
    </row>
    <row r="663" spans="1:15" ht="12.5">
      <c r="A663" s="4"/>
      <c r="B663" s="5"/>
      <c r="I663" s="4"/>
      <c r="L663" s="4"/>
      <c r="O663" s="4"/>
    </row>
    <row r="664" spans="1:15" ht="12.5">
      <c r="A664" s="4"/>
      <c r="B664" s="5"/>
      <c r="I664" s="4"/>
      <c r="L664" s="4"/>
      <c r="O664" s="4"/>
    </row>
    <row r="665" spans="1:15" ht="12.5">
      <c r="A665" s="4"/>
      <c r="B665" s="5"/>
      <c r="I665" s="4"/>
      <c r="L665" s="4"/>
      <c r="O665" s="4"/>
    </row>
    <row r="666" spans="1:15" ht="12.5">
      <c r="A666" s="4"/>
      <c r="B666" s="5"/>
      <c r="I666" s="4"/>
      <c r="L666" s="4"/>
      <c r="O666" s="4"/>
    </row>
    <row r="667" spans="1:15" ht="12.5">
      <c r="A667" s="4"/>
      <c r="B667" s="5"/>
      <c r="I667" s="4"/>
      <c r="L667" s="4"/>
      <c r="O667" s="4"/>
    </row>
    <row r="668" spans="1:15" ht="12.5">
      <c r="A668" s="4"/>
      <c r="B668" s="5"/>
      <c r="I668" s="4"/>
      <c r="L668" s="4"/>
      <c r="O668" s="4"/>
    </row>
    <row r="669" spans="1:15" ht="12.5">
      <c r="A669" s="4"/>
      <c r="B669" s="5"/>
      <c r="I669" s="4"/>
      <c r="L669" s="4"/>
      <c r="O669" s="4"/>
    </row>
    <row r="670" spans="1:15" ht="12.5">
      <c r="A670" s="4"/>
      <c r="B670" s="5"/>
      <c r="I670" s="4"/>
      <c r="L670" s="4"/>
      <c r="O670" s="4"/>
    </row>
    <row r="671" spans="1:15" ht="12.5">
      <c r="A671" s="4"/>
      <c r="B671" s="5"/>
      <c r="I671" s="4"/>
      <c r="L671" s="4"/>
      <c r="O671" s="4"/>
    </row>
    <row r="672" spans="1:15" ht="12.5">
      <c r="A672" s="4"/>
      <c r="B672" s="5"/>
      <c r="I672" s="4"/>
      <c r="L672" s="4"/>
      <c r="O672" s="4"/>
    </row>
    <row r="673" spans="1:15" ht="12.5">
      <c r="A673" s="4"/>
      <c r="B673" s="5"/>
      <c r="I673" s="4"/>
      <c r="L673" s="4"/>
      <c r="O673" s="4"/>
    </row>
    <row r="674" spans="1:15" ht="12.5">
      <c r="A674" s="4"/>
      <c r="B674" s="5"/>
      <c r="I674" s="4"/>
      <c r="L674" s="4"/>
      <c r="O674" s="4"/>
    </row>
    <row r="675" spans="1:15" ht="12.5">
      <c r="A675" s="4"/>
      <c r="B675" s="5"/>
      <c r="I675" s="4"/>
      <c r="L675" s="4"/>
      <c r="O675" s="4"/>
    </row>
    <row r="676" spans="1:15" ht="12.5">
      <c r="A676" s="4"/>
      <c r="B676" s="5"/>
      <c r="I676" s="4"/>
      <c r="L676" s="4"/>
      <c r="O676" s="4"/>
    </row>
    <row r="677" spans="1:15" ht="12.5">
      <c r="A677" s="4"/>
      <c r="B677" s="5"/>
      <c r="I677" s="4"/>
      <c r="L677" s="4"/>
      <c r="O677" s="4"/>
    </row>
    <row r="678" spans="1:15" ht="12.5">
      <c r="A678" s="4"/>
      <c r="B678" s="5"/>
      <c r="I678" s="4"/>
      <c r="L678" s="4"/>
      <c r="O678" s="4"/>
    </row>
    <row r="679" spans="1:15" ht="12.5">
      <c r="A679" s="4"/>
      <c r="B679" s="5"/>
      <c r="I679" s="4"/>
      <c r="L679" s="4"/>
      <c r="O679" s="4"/>
    </row>
    <row r="680" spans="1:15" ht="12.5">
      <c r="A680" s="4"/>
      <c r="B680" s="5"/>
      <c r="I680" s="4"/>
      <c r="L680" s="4"/>
      <c r="O680" s="4"/>
    </row>
    <row r="681" spans="1:15" ht="12.5">
      <c r="A681" s="4"/>
      <c r="B681" s="5"/>
      <c r="I681" s="4"/>
      <c r="L681" s="4"/>
      <c r="O681" s="4"/>
    </row>
    <row r="682" spans="1:15" ht="12.5">
      <c r="A682" s="4"/>
      <c r="B682" s="5"/>
      <c r="I682" s="4"/>
      <c r="L682" s="4"/>
      <c r="O682" s="4"/>
    </row>
    <row r="683" spans="1:15" ht="12.5">
      <c r="A683" s="4"/>
      <c r="B683" s="5"/>
      <c r="I683" s="4"/>
      <c r="L683" s="4"/>
      <c r="O683" s="4"/>
    </row>
    <row r="684" spans="1:15" ht="12.5">
      <c r="A684" s="4"/>
      <c r="B684" s="5"/>
      <c r="I684" s="4"/>
      <c r="L684" s="4"/>
      <c r="O684" s="4"/>
    </row>
    <row r="685" spans="1:15" ht="12.5">
      <c r="A685" s="4"/>
      <c r="B685" s="5"/>
      <c r="I685" s="4"/>
      <c r="L685" s="4"/>
      <c r="O685" s="4"/>
    </row>
    <row r="686" spans="1:15" ht="12.5">
      <c r="A686" s="4"/>
      <c r="B686" s="5"/>
      <c r="I686" s="4"/>
      <c r="L686" s="4"/>
      <c r="O686" s="4"/>
    </row>
    <row r="687" spans="1:15" ht="12.5">
      <c r="A687" s="4"/>
      <c r="B687" s="5"/>
      <c r="I687" s="4"/>
      <c r="L687" s="4"/>
      <c r="O687" s="4"/>
    </row>
    <row r="688" spans="1:15" ht="12.5">
      <c r="A688" s="4"/>
      <c r="B688" s="5"/>
      <c r="I688" s="4"/>
      <c r="L688" s="4"/>
      <c r="O688" s="4"/>
    </row>
    <row r="689" spans="1:15" ht="12.5">
      <c r="A689" s="4"/>
      <c r="B689" s="5"/>
      <c r="I689" s="4"/>
      <c r="L689" s="4"/>
      <c r="O689" s="4"/>
    </row>
    <row r="690" spans="1:15" ht="12.5">
      <c r="A690" s="4"/>
      <c r="B690" s="5"/>
      <c r="I690" s="4"/>
      <c r="L690" s="4"/>
      <c r="O690" s="4"/>
    </row>
    <row r="691" spans="1:15" ht="12.5">
      <c r="A691" s="4"/>
      <c r="B691" s="5"/>
      <c r="I691" s="4"/>
      <c r="L691" s="4"/>
      <c r="O691" s="4"/>
    </row>
    <row r="692" spans="1:15" ht="12.5">
      <c r="A692" s="4"/>
      <c r="B692" s="5"/>
      <c r="I692" s="4"/>
      <c r="L692" s="4"/>
      <c r="O692" s="4"/>
    </row>
    <row r="693" spans="1:15" ht="12.5">
      <c r="A693" s="4"/>
      <c r="B693" s="5"/>
      <c r="I693" s="4"/>
      <c r="L693" s="4"/>
      <c r="O693" s="4"/>
    </row>
    <row r="694" spans="1:15" ht="12.5">
      <c r="A694" s="4"/>
      <c r="B694" s="5"/>
      <c r="I694" s="4"/>
      <c r="L694" s="4"/>
      <c r="O694" s="4"/>
    </row>
    <row r="695" spans="1:15" ht="12.5">
      <c r="A695" s="4"/>
      <c r="B695" s="5"/>
      <c r="I695" s="4"/>
      <c r="L695" s="4"/>
      <c r="O695" s="4"/>
    </row>
    <row r="696" spans="1:15" ht="12.5">
      <c r="A696" s="4"/>
      <c r="B696" s="5"/>
      <c r="I696" s="4"/>
      <c r="L696" s="4"/>
      <c r="O696" s="4"/>
    </row>
    <row r="697" spans="1:15" ht="12.5">
      <c r="A697" s="4"/>
      <c r="B697" s="5"/>
      <c r="I697" s="4"/>
      <c r="L697" s="4"/>
      <c r="O697" s="4"/>
    </row>
    <row r="698" spans="1:15" ht="12.5">
      <c r="A698" s="4"/>
      <c r="B698" s="5"/>
      <c r="I698" s="4"/>
      <c r="L698" s="4"/>
      <c r="O698" s="4"/>
    </row>
    <row r="699" spans="1:15" ht="12.5">
      <c r="A699" s="4"/>
      <c r="B699" s="5"/>
      <c r="I699" s="4"/>
      <c r="L699" s="4"/>
      <c r="O699" s="4"/>
    </row>
    <row r="700" spans="1:15" ht="12.5">
      <c r="A700" s="4"/>
      <c r="B700" s="5"/>
      <c r="I700" s="4"/>
      <c r="L700" s="4"/>
      <c r="O700" s="4"/>
    </row>
    <row r="701" spans="1:15" ht="12.5">
      <c r="A701" s="4"/>
      <c r="B701" s="5"/>
      <c r="I701" s="4"/>
      <c r="L701" s="4"/>
      <c r="O701" s="4"/>
    </row>
    <row r="702" spans="1:15" ht="12.5">
      <c r="A702" s="4"/>
      <c r="B702" s="5"/>
      <c r="I702" s="4"/>
      <c r="L702" s="4"/>
      <c r="O702" s="4"/>
    </row>
    <row r="703" spans="1:15" ht="12.5">
      <c r="A703" s="4"/>
      <c r="B703" s="5"/>
      <c r="I703" s="4"/>
      <c r="L703" s="4"/>
      <c r="O703" s="4"/>
    </row>
    <row r="704" spans="1:15" ht="12.5">
      <c r="A704" s="4"/>
      <c r="B704" s="5"/>
      <c r="I704" s="4"/>
      <c r="L704" s="4"/>
      <c r="O704" s="4"/>
    </row>
    <row r="705" spans="1:15" ht="12.5">
      <c r="A705" s="4"/>
      <c r="B705" s="5"/>
      <c r="I705" s="4"/>
      <c r="L705" s="4"/>
      <c r="O705" s="4"/>
    </row>
    <row r="706" spans="1:15" ht="12.5">
      <c r="A706" s="4"/>
      <c r="B706" s="5"/>
      <c r="I706" s="4"/>
      <c r="L706" s="4"/>
      <c r="O706" s="4"/>
    </row>
    <row r="707" spans="1:15" ht="12.5">
      <c r="A707" s="4"/>
      <c r="B707" s="5"/>
      <c r="I707" s="4"/>
      <c r="L707" s="4"/>
      <c r="O707" s="4"/>
    </row>
    <row r="708" spans="1:15" ht="12.5">
      <c r="A708" s="4"/>
      <c r="B708" s="5"/>
      <c r="I708" s="4"/>
      <c r="L708" s="4"/>
      <c r="O708" s="4"/>
    </row>
    <row r="709" spans="1:15" ht="12.5">
      <c r="A709" s="4"/>
      <c r="B709" s="5"/>
      <c r="I709" s="4"/>
      <c r="L709" s="4"/>
      <c r="O709" s="4"/>
    </row>
    <row r="710" spans="1:15" ht="12.5">
      <c r="A710" s="4"/>
      <c r="B710" s="5"/>
      <c r="I710" s="4"/>
      <c r="L710" s="4"/>
      <c r="O710" s="4"/>
    </row>
    <row r="711" spans="1:15" ht="12.5">
      <c r="A711" s="4"/>
      <c r="B711" s="5"/>
      <c r="I711" s="4"/>
      <c r="L711" s="4"/>
      <c r="O711" s="4"/>
    </row>
    <row r="712" spans="1:15" ht="12.5">
      <c r="A712" s="4"/>
      <c r="B712" s="5"/>
      <c r="I712" s="4"/>
      <c r="L712" s="4"/>
      <c r="O712" s="4"/>
    </row>
    <row r="713" spans="1:15" ht="12.5">
      <c r="A713" s="4"/>
      <c r="B713" s="5"/>
      <c r="I713" s="4"/>
      <c r="L713" s="4"/>
      <c r="O713" s="4"/>
    </row>
    <row r="714" spans="1:15" ht="12.5">
      <c r="A714" s="4"/>
      <c r="B714" s="5"/>
      <c r="I714" s="4"/>
      <c r="L714" s="4"/>
      <c r="O714" s="4"/>
    </row>
    <row r="715" spans="1:15" ht="12.5">
      <c r="A715" s="4"/>
      <c r="B715" s="5"/>
      <c r="I715" s="4"/>
      <c r="L715" s="4"/>
      <c r="O715" s="4"/>
    </row>
    <row r="716" spans="1:15" ht="12.5">
      <c r="A716" s="4"/>
      <c r="B716" s="5"/>
      <c r="I716" s="4"/>
      <c r="L716" s="4"/>
      <c r="O716" s="4"/>
    </row>
    <row r="717" spans="1:15" ht="12.5">
      <c r="A717" s="4"/>
      <c r="B717" s="5"/>
      <c r="I717" s="4"/>
      <c r="L717" s="4"/>
      <c r="O717" s="4"/>
    </row>
    <row r="718" spans="1:15" ht="12.5">
      <c r="A718" s="4"/>
      <c r="B718" s="5"/>
      <c r="I718" s="4"/>
      <c r="L718" s="4"/>
      <c r="O718" s="4"/>
    </row>
    <row r="719" spans="1:15" ht="12.5">
      <c r="A719" s="4"/>
      <c r="B719" s="5"/>
      <c r="I719" s="4"/>
      <c r="L719" s="4"/>
      <c r="O719" s="4"/>
    </row>
    <row r="720" spans="1:15" ht="12.5">
      <c r="A720" s="4"/>
      <c r="B720" s="5"/>
      <c r="I720" s="4"/>
      <c r="L720" s="4"/>
      <c r="O720" s="4"/>
    </row>
    <row r="721" spans="1:15" ht="12.5">
      <c r="A721" s="4"/>
      <c r="B721" s="5"/>
      <c r="I721" s="4"/>
      <c r="L721" s="4"/>
      <c r="O721" s="4"/>
    </row>
    <row r="722" spans="1:15" ht="12.5">
      <c r="A722" s="4"/>
      <c r="B722" s="5"/>
      <c r="I722" s="4"/>
      <c r="L722" s="4"/>
      <c r="O722" s="4"/>
    </row>
    <row r="723" spans="1:15" ht="12.5">
      <c r="A723" s="4"/>
      <c r="B723" s="5"/>
      <c r="I723" s="4"/>
      <c r="L723" s="4"/>
      <c r="O723" s="4"/>
    </row>
    <row r="724" spans="1:15" ht="12.5">
      <c r="A724" s="4"/>
      <c r="B724" s="5"/>
      <c r="I724" s="4"/>
      <c r="L724" s="4"/>
      <c r="O724" s="4"/>
    </row>
    <row r="725" spans="1:15" ht="12.5">
      <c r="A725" s="4"/>
      <c r="B725" s="5"/>
      <c r="I725" s="4"/>
      <c r="L725" s="4"/>
      <c r="O725" s="4"/>
    </row>
    <row r="726" spans="1:15" ht="12.5">
      <c r="A726" s="4"/>
      <c r="B726" s="5"/>
      <c r="I726" s="4"/>
      <c r="L726" s="4"/>
      <c r="O726" s="4"/>
    </row>
    <row r="727" spans="1:15" ht="12.5">
      <c r="A727" s="4"/>
      <c r="B727" s="5"/>
      <c r="I727" s="4"/>
      <c r="L727" s="4"/>
      <c r="O727" s="4"/>
    </row>
    <row r="728" spans="1:15" ht="12.5">
      <c r="A728" s="4"/>
      <c r="B728" s="5"/>
      <c r="I728" s="4"/>
      <c r="L728" s="4"/>
      <c r="O728" s="4"/>
    </row>
    <row r="729" spans="1:15" ht="12.5">
      <c r="A729" s="4"/>
      <c r="B729" s="5"/>
      <c r="I729" s="4"/>
      <c r="L729" s="4"/>
      <c r="O729" s="4"/>
    </row>
    <row r="730" spans="1:15" ht="12.5">
      <c r="A730" s="4"/>
      <c r="B730" s="5"/>
      <c r="I730" s="4"/>
      <c r="L730" s="4"/>
      <c r="O730" s="4"/>
    </row>
    <row r="731" spans="1:15" ht="12.5">
      <c r="A731" s="4"/>
      <c r="B731" s="5"/>
      <c r="I731" s="4"/>
      <c r="L731" s="4"/>
      <c r="O731" s="4"/>
    </row>
    <row r="732" spans="1:15" ht="12.5">
      <c r="A732" s="4"/>
      <c r="B732" s="5"/>
      <c r="I732" s="4"/>
      <c r="L732" s="4"/>
      <c r="O732" s="4"/>
    </row>
    <row r="733" spans="1:15" ht="12.5">
      <c r="A733" s="4"/>
      <c r="B733" s="5"/>
      <c r="I733" s="4"/>
      <c r="L733" s="4"/>
      <c r="O733" s="4"/>
    </row>
    <row r="734" spans="1:15" ht="12.5">
      <c r="A734" s="4"/>
      <c r="B734" s="5"/>
      <c r="I734" s="4"/>
      <c r="L734" s="4"/>
      <c r="O734" s="4"/>
    </row>
    <row r="735" spans="1:15" ht="12.5">
      <c r="A735" s="4"/>
      <c r="B735" s="5"/>
      <c r="I735" s="4"/>
      <c r="L735" s="4"/>
      <c r="O735" s="4"/>
    </row>
    <row r="736" spans="1:15" ht="12.5">
      <c r="A736" s="4"/>
      <c r="B736" s="5"/>
      <c r="I736" s="4"/>
      <c r="L736" s="4"/>
      <c r="O736" s="4"/>
    </row>
    <row r="737" spans="1:15" ht="12.5">
      <c r="A737" s="4"/>
      <c r="B737" s="5"/>
      <c r="I737" s="4"/>
      <c r="L737" s="4"/>
      <c r="O737" s="4"/>
    </row>
    <row r="738" spans="1:15" ht="12.5">
      <c r="A738" s="4"/>
      <c r="B738" s="5"/>
      <c r="I738" s="4"/>
      <c r="L738" s="4"/>
      <c r="O738" s="4"/>
    </row>
    <row r="739" spans="1:15" ht="12.5">
      <c r="A739" s="4"/>
      <c r="B739" s="5"/>
      <c r="I739" s="4"/>
      <c r="L739" s="4"/>
      <c r="O739" s="4"/>
    </row>
    <row r="740" spans="1:15" ht="12.5">
      <c r="A740" s="4"/>
      <c r="B740" s="5"/>
      <c r="I740" s="4"/>
      <c r="L740" s="4"/>
      <c r="O740" s="4"/>
    </row>
    <row r="741" spans="1:15" ht="12.5">
      <c r="A741" s="4"/>
      <c r="B741" s="5"/>
      <c r="I741" s="4"/>
      <c r="L741" s="4"/>
      <c r="O741" s="4"/>
    </row>
    <row r="742" spans="1:15" ht="12.5">
      <c r="A742" s="4"/>
      <c r="B742" s="5"/>
      <c r="I742" s="4"/>
      <c r="L742" s="4"/>
      <c r="O742" s="4"/>
    </row>
    <row r="743" spans="1:15" ht="12.5">
      <c r="A743" s="4"/>
      <c r="B743" s="5"/>
      <c r="I743" s="4"/>
      <c r="L743" s="4"/>
      <c r="O743" s="4"/>
    </row>
    <row r="744" spans="1:15" ht="12.5">
      <c r="A744" s="4"/>
      <c r="B744" s="5"/>
      <c r="I744" s="4"/>
      <c r="L744" s="4"/>
      <c r="O744" s="4"/>
    </row>
    <row r="745" spans="1:15" ht="12.5">
      <c r="A745" s="4"/>
      <c r="B745" s="5"/>
      <c r="I745" s="4"/>
      <c r="L745" s="4"/>
      <c r="O745" s="4"/>
    </row>
    <row r="746" spans="1:15" ht="12.5">
      <c r="A746" s="4"/>
      <c r="B746" s="5"/>
      <c r="I746" s="4"/>
      <c r="L746" s="4"/>
      <c r="O746" s="4"/>
    </row>
    <row r="747" spans="1:15" ht="12.5">
      <c r="A747" s="4"/>
      <c r="B747" s="5"/>
      <c r="I747" s="4"/>
      <c r="L747" s="4"/>
      <c r="O747" s="4"/>
    </row>
    <row r="748" spans="1:15" ht="12.5">
      <c r="A748" s="4"/>
      <c r="B748" s="5"/>
      <c r="I748" s="4"/>
      <c r="L748" s="4"/>
      <c r="O748" s="4"/>
    </row>
    <row r="749" spans="1:15" ht="12.5">
      <c r="A749" s="4"/>
      <c r="B749" s="5"/>
      <c r="I749" s="4"/>
      <c r="L749" s="4"/>
      <c r="O749" s="4"/>
    </row>
    <row r="750" spans="1:15" ht="12.5">
      <c r="A750" s="4"/>
      <c r="B750" s="5"/>
      <c r="I750" s="4"/>
      <c r="L750" s="4"/>
      <c r="O750" s="4"/>
    </row>
    <row r="751" spans="1:15" ht="12.5">
      <c r="A751" s="4"/>
      <c r="B751" s="5"/>
      <c r="I751" s="4"/>
      <c r="L751" s="4"/>
      <c r="O751" s="4"/>
    </row>
    <row r="752" spans="1:15" ht="12.5">
      <c r="A752" s="4"/>
      <c r="B752" s="5"/>
      <c r="I752" s="4"/>
      <c r="L752" s="4"/>
      <c r="O752" s="4"/>
    </row>
    <row r="753" spans="1:15" ht="12.5">
      <c r="A753" s="4"/>
      <c r="B753" s="5"/>
      <c r="I753" s="4"/>
      <c r="L753" s="4"/>
      <c r="O753" s="4"/>
    </row>
    <row r="754" spans="1:15" ht="12.5">
      <c r="A754" s="4"/>
      <c r="B754" s="5"/>
      <c r="I754" s="4"/>
      <c r="L754" s="4"/>
      <c r="O754" s="4"/>
    </row>
    <row r="755" spans="1:15" ht="12.5">
      <c r="A755" s="4"/>
      <c r="B755" s="5"/>
      <c r="I755" s="4"/>
      <c r="L755" s="4"/>
      <c r="O755" s="4"/>
    </row>
    <row r="756" spans="1:15" ht="12.5">
      <c r="A756" s="4"/>
      <c r="B756" s="5"/>
      <c r="I756" s="4"/>
      <c r="L756" s="4"/>
      <c r="O756" s="4"/>
    </row>
    <row r="757" spans="1:15" ht="12.5">
      <c r="A757" s="4"/>
      <c r="B757" s="5"/>
      <c r="I757" s="4"/>
      <c r="L757" s="4"/>
      <c r="O757" s="4"/>
    </row>
    <row r="758" spans="1:15" ht="12.5">
      <c r="A758" s="4"/>
      <c r="B758" s="5"/>
      <c r="I758" s="4"/>
      <c r="L758" s="4"/>
      <c r="O758" s="4"/>
    </row>
    <row r="759" spans="1:15" ht="12.5">
      <c r="A759" s="4"/>
      <c r="B759" s="5"/>
      <c r="I759" s="4"/>
      <c r="L759" s="4"/>
      <c r="O759" s="4"/>
    </row>
    <row r="760" spans="1:15" ht="12.5">
      <c r="A760" s="4"/>
      <c r="B760" s="5"/>
      <c r="I760" s="4"/>
      <c r="L760" s="4"/>
      <c r="O760" s="4"/>
    </row>
    <row r="761" spans="1:15" ht="12.5">
      <c r="A761" s="4"/>
      <c r="B761" s="5"/>
      <c r="I761" s="4"/>
      <c r="L761" s="4"/>
      <c r="O761" s="4"/>
    </row>
    <row r="762" spans="1:15" ht="12.5">
      <c r="A762" s="4"/>
      <c r="B762" s="5"/>
      <c r="I762" s="4"/>
      <c r="L762" s="4"/>
      <c r="O762" s="4"/>
    </row>
    <row r="763" spans="1:15" ht="12.5">
      <c r="A763" s="4"/>
      <c r="B763" s="5"/>
      <c r="I763" s="4"/>
      <c r="L763" s="4"/>
      <c r="O763" s="4"/>
    </row>
    <row r="764" spans="1:15" ht="12.5">
      <c r="A764" s="4"/>
      <c r="B764" s="5"/>
      <c r="I764" s="4"/>
      <c r="L764" s="4"/>
      <c r="O764" s="4"/>
    </row>
    <row r="765" spans="1:15" ht="12.5">
      <c r="A765" s="4"/>
      <c r="B765" s="5"/>
      <c r="I765" s="4"/>
      <c r="L765" s="4"/>
      <c r="O765" s="4"/>
    </row>
    <row r="766" spans="1:15" ht="12.5">
      <c r="A766" s="4"/>
      <c r="B766" s="5"/>
      <c r="I766" s="4"/>
      <c r="L766" s="4"/>
      <c r="O766" s="4"/>
    </row>
    <row r="767" spans="1:15" ht="12.5">
      <c r="A767" s="4"/>
      <c r="B767" s="5"/>
      <c r="I767" s="4"/>
      <c r="L767" s="4"/>
      <c r="O767" s="4"/>
    </row>
    <row r="768" spans="1:15" ht="12.5">
      <c r="A768" s="4"/>
      <c r="B768" s="5"/>
      <c r="I768" s="4"/>
      <c r="L768" s="4"/>
      <c r="O768" s="4"/>
    </row>
    <row r="769" spans="1:15" ht="12.5">
      <c r="A769" s="4"/>
      <c r="B769" s="5"/>
      <c r="I769" s="4"/>
      <c r="L769" s="4"/>
      <c r="O769" s="4"/>
    </row>
    <row r="770" spans="1:15" ht="12.5">
      <c r="A770" s="4"/>
      <c r="B770" s="5"/>
      <c r="I770" s="4"/>
      <c r="L770" s="4"/>
      <c r="O770" s="4"/>
    </row>
    <row r="771" spans="1:15" ht="12.5">
      <c r="A771" s="4"/>
      <c r="B771" s="5"/>
      <c r="I771" s="4"/>
      <c r="L771" s="4"/>
      <c r="O771" s="4"/>
    </row>
    <row r="772" spans="1:15" ht="12.5">
      <c r="A772" s="4"/>
      <c r="B772" s="5"/>
      <c r="I772" s="4"/>
      <c r="L772" s="4"/>
      <c r="O772" s="4"/>
    </row>
    <row r="773" spans="1:15" ht="12.5">
      <c r="A773" s="4"/>
      <c r="B773" s="5"/>
      <c r="I773" s="4"/>
      <c r="L773" s="4"/>
      <c r="O773" s="4"/>
    </row>
    <row r="774" spans="1:15" ht="12.5">
      <c r="A774" s="4"/>
      <c r="B774" s="5"/>
      <c r="I774" s="4"/>
      <c r="L774" s="4"/>
      <c r="O774" s="4"/>
    </row>
    <row r="775" spans="1:15" ht="12.5">
      <c r="A775" s="4"/>
      <c r="B775" s="5"/>
      <c r="I775" s="4"/>
      <c r="L775" s="4"/>
      <c r="O775" s="4"/>
    </row>
    <row r="776" spans="1:15" ht="12.5">
      <c r="A776" s="4"/>
      <c r="B776" s="5"/>
      <c r="I776" s="4"/>
      <c r="L776" s="4"/>
      <c r="O776" s="4"/>
    </row>
    <row r="777" spans="1:15" ht="12.5">
      <c r="A777" s="4"/>
      <c r="B777" s="5"/>
      <c r="I777" s="4"/>
      <c r="L777" s="4"/>
      <c r="O777" s="4"/>
    </row>
    <row r="778" spans="1:15" ht="12.5">
      <c r="A778" s="4"/>
      <c r="B778" s="5"/>
      <c r="I778" s="4"/>
      <c r="L778" s="4"/>
      <c r="O778" s="4"/>
    </row>
    <row r="779" spans="1:15" ht="12.5">
      <c r="A779" s="4"/>
      <c r="B779" s="5"/>
      <c r="I779" s="4"/>
      <c r="L779" s="4"/>
      <c r="O779" s="4"/>
    </row>
    <row r="780" spans="1:15" ht="12.5">
      <c r="A780" s="4"/>
      <c r="B780" s="5"/>
      <c r="I780" s="4"/>
      <c r="L780" s="4"/>
      <c r="O780" s="4"/>
    </row>
    <row r="781" spans="1:15" ht="12.5">
      <c r="A781" s="4"/>
      <c r="B781" s="5"/>
      <c r="I781" s="4"/>
      <c r="L781" s="4"/>
      <c r="O781" s="4"/>
    </row>
    <row r="782" spans="1:15" ht="12.5">
      <c r="A782" s="4"/>
      <c r="B782" s="5"/>
      <c r="I782" s="4"/>
      <c r="L782" s="4"/>
      <c r="O782" s="4"/>
    </row>
    <row r="783" spans="1:15" ht="12.5">
      <c r="A783" s="4"/>
      <c r="B783" s="5"/>
      <c r="I783" s="4"/>
      <c r="L783" s="4"/>
      <c r="O783" s="4"/>
    </row>
    <row r="784" spans="1:15" ht="12.5">
      <c r="A784" s="4"/>
      <c r="B784" s="5"/>
      <c r="I784" s="4"/>
      <c r="L784" s="4"/>
      <c r="O784" s="4"/>
    </row>
    <row r="785" spans="1:15" ht="12.5">
      <c r="A785" s="4"/>
      <c r="B785" s="5"/>
      <c r="I785" s="4"/>
      <c r="L785" s="4"/>
      <c r="O785" s="4"/>
    </row>
    <row r="786" spans="1:15" ht="12.5">
      <c r="A786" s="4"/>
      <c r="B786" s="5"/>
      <c r="I786" s="4"/>
      <c r="L786" s="4"/>
      <c r="O786" s="4"/>
    </row>
    <row r="787" spans="1:15" ht="12.5">
      <c r="A787" s="4"/>
      <c r="B787" s="5"/>
      <c r="I787" s="4"/>
      <c r="L787" s="4"/>
      <c r="O787" s="4"/>
    </row>
    <row r="788" spans="1:15" ht="12.5">
      <c r="A788" s="4"/>
      <c r="B788" s="5"/>
      <c r="I788" s="4"/>
      <c r="L788" s="4"/>
      <c r="O788" s="4"/>
    </row>
    <row r="789" spans="1:15" ht="12.5">
      <c r="A789" s="4"/>
      <c r="B789" s="5"/>
      <c r="I789" s="4"/>
      <c r="L789" s="4"/>
      <c r="O789" s="4"/>
    </row>
    <row r="790" spans="1:15" ht="12.5">
      <c r="A790" s="4"/>
      <c r="B790" s="5"/>
      <c r="I790" s="4"/>
      <c r="L790" s="4"/>
      <c r="O790" s="4"/>
    </row>
    <row r="791" spans="1:15" ht="12.5">
      <c r="A791" s="4"/>
      <c r="B791" s="5"/>
      <c r="I791" s="4"/>
      <c r="L791" s="4"/>
      <c r="O791" s="4"/>
    </row>
    <row r="792" spans="1:15" ht="12.5">
      <c r="A792" s="4"/>
      <c r="B792" s="5"/>
      <c r="I792" s="4"/>
      <c r="L792" s="4"/>
      <c r="O792" s="4"/>
    </row>
    <row r="793" spans="1:15" ht="12.5">
      <c r="A793" s="4"/>
      <c r="B793" s="5"/>
      <c r="I793" s="4"/>
      <c r="L793" s="4"/>
      <c r="O793" s="4"/>
    </row>
    <row r="794" spans="1:15" ht="12.5">
      <c r="A794" s="4"/>
      <c r="B794" s="5"/>
      <c r="I794" s="4"/>
      <c r="L794" s="4"/>
      <c r="O794" s="4"/>
    </row>
    <row r="795" spans="1:15" ht="12.5">
      <c r="A795" s="4"/>
      <c r="B795" s="5"/>
      <c r="I795" s="4"/>
      <c r="L795" s="4"/>
      <c r="O795" s="4"/>
    </row>
    <row r="796" spans="1:15" ht="12.5">
      <c r="A796" s="4"/>
      <c r="B796" s="5"/>
      <c r="I796" s="4"/>
      <c r="L796" s="4"/>
      <c r="O796" s="4"/>
    </row>
    <row r="797" spans="1:15" ht="12.5">
      <c r="A797" s="4"/>
      <c r="B797" s="5"/>
      <c r="I797" s="4"/>
      <c r="L797" s="4"/>
      <c r="O797" s="4"/>
    </row>
    <row r="798" spans="1:15" ht="12.5">
      <c r="A798" s="4"/>
      <c r="B798" s="5"/>
      <c r="I798" s="4"/>
      <c r="L798" s="4"/>
      <c r="O798" s="4"/>
    </row>
    <row r="799" spans="1:15" ht="12.5">
      <c r="A799" s="4"/>
      <c r="B799" s="5"/>
      <c r="I799" s="4"/>
      <c r="L799" s="4"/>
      <c r="O799" s="4"/>
    </row>
    <row r="800" spans="1:15" ht="12.5">
      <c r="A800" s="4"/>
      <c r="B800" s="5"/>
      <c r="I800" s="4"/>
      <c r="L800" s="4"/>
      <c r="O800" s="4"/>
    </row>
    <row r="801" spans="1:15" ht="12.5">
      <c r="A801" s="4"/>
      <c r="B801" s="5"/>
      <c r="I801" s="4"/>
      <c r="L801" s="4"/>
      <c r="O801" s="4"/>
    </row>
    <row r="802" spans="1:15" ht="12.5">
      <c r="A802" s="4"/>
      <c r="B802" s="5"/>
      <c r="I802" s="4"/>
      <c r="L802" s="4"/>
      <c r="O802" s="4"/>
    </row>
    <row r="803" spans="1:15" ht="12.5">
      <c r="A803" s="4"/>
      <c r="B803" s="5"/>
      <c r="I803" s="4"/>
      <c r="L803" s="4"/>
      <c r="O803" s="4"/>
    </row>
    <row r="804" spans="1:15" ht="12.5">
      <c r="A804" s="4"/>
      <c r="B804" s="5"/>
      <c r="I804" s="4"/>
      <c r="L804" s="4"/>
      <c r="O804" s="4"/>
    </row>
    <row r="805" spans="1:15" ht="12.5">
      <c r="A805" s="4"/>
      <c r="B805" s="5"/>
      <c r="I805" s="4"/>
      <c r="L805" s="4"/>
      <c r="O805" s="4"/>
    </row>
    <row r="806" spans="1:15" ht="12.5">
      <c r="A806" s="4"/>
      <c r="B806" s="5"/>
      <c r="I806" s="4"/>
      <c r="L806" s="4"/>
      <c r="O806" s="4"/>
    </row>
    <row r="807" spans="1:15" ht="12.5">
      <c r="A807" s="4"/>
      <c r="B807" s="5"/>
      <c r="I807" s="4"/>
      <c r="L807" s="4"/>
      <c r="O807" s="4"/>
    </row>
    <row r="808" spans="1:15" ht="12.5">
      <c r="A808" s="4"/>
      <c r="B808" s="5"/>
      <c r="I808" s="4"/>
      <c r="L808" s="4"/>
      <c r="O808" s="4"/>
    </row>
    <row r="809" spans="1:15" ht="12.5">
      <c r="A809" s="4"/>
      <c r="B809" s="5"/>
      <c r="I809" s="4"/>
      <c r="L809" s="4"/>
      <c r="O809" s="4"/>
    </row>
    <row r="810" spans="1:15" ht="12.5">
      <c r="A810" s="4"/>
      <c r="B810" s="5"/>
      <c r="I810" s="4"/>
      <c r="L810" s="4"/>
      <c r="O810" s="4"/>
    </row>
    <row r="811" spans="1:15" ht="12.5">
      <c r="A811" s="4"/>
      <c r="B811" s="5"/>
      <c r="I811" s="4"/>
      <c r="L811" s="4"/>
      <c r="O811" s="4"/>
    </row>
    <row r="812" spans="1:15" ht="12.5">
      <c r="A812" s="4"/>
      <c r="B812" s="5"/>
      <c r="I812" s="4"/>
      <c r="L812" s="4"/>
      <c r="O812" s="4"/>
    </row>
    <row r="813" spans="1:15" ht="12.5">
      <c r="A813" s="4"/>
      <c r="B813" s="5"/>
      <c r="I813" s="4"/>
      <c r="L813" s="4"/>
      <c r="O813" s="4"/>
    </row>
    <row r="814" spans="1:15" ht="12.5">
      <c r="A814" s="4"/>
      <c r="B814" s="5"/>
      <c r="I814" s="4"/>
      <c r="L814" s="4"/>
      <c r="O814" s="4"/>
    </row>
    <row r="815" spans="1:15" ht="12.5">
      <c r="A815" s="4"/>
      <c r="B815" s="5"/>
      <c r="I815" s="4"/>
      <c r="L815" s="4"/>
      <c r="O815" s="4"/>
    </row>
    <row r="816" spans="1:15" ht="12.5">
      <c r="A816" s="4"/>
      <c r="B816" s="5"/>
      <c r="I816" s="4"/>
      <c r="L816" s="4"/>
      <c r="O816" s="4"/>
    </row>
    <row r="817" spans="1:15" ht="12.5">
      <c r="A817" s="4"/>
      <c r="B817" s="5"/>
      <c r="I817" s="4"/>
      <c r="L817" s="4"/>
      <c r="O817" s="4"/>
    </row>
    <row r="818" spans="1:15" ht="12.5">
      <c r="A818" s="4"/>
      <c r="B818" s="5"/>
      <c r="I818" s="4"/>
      <c r="L818" s="4"/>
      <c r="O818" s="4"/>
    </row>
    <row r="819" spans="1:15" ht="12.5">
      <c r="A819" s="4"/>
      <c r="B819" s="5"/>
      <c r="I819" s="4"/>
      <c r="L819" s="4"/>
      <c r="O819" s="4"/>
    </row>
    <row r="820" spans="1:15" ht="12.5">
      <c r="A820" s="4"/>
      <c r="B820" s="5"/>
      <c r="I820" s="4"/>
      <c r="L820" s="4"/>
      <c r="O820" s="4"/>
    </row>
    <row r="821" spans="1:15" ht="12.5">
      <c r="A821" s="4"/>
      <c r="B821" s="5"/>
      <c r="I821" s="4"/>
      <c r="L821" s="4"/>
      <c r="O821" s="4"/>
    </row>
    <row r="822" spans="1:15" ht="12.5">
      <c r="A822" s="4"/>
      <c r="B822" s="5"/>
      <c r="I822" s="4"/>
      <c r="L822" s="4"/>
      <c r="O822" s="4"/>
    </row>
    <row r="823" spans="1:15" ht="12.5">
      <c r="A823" s="4"/>
      <c r="B823" s="5"/>
      <c r="I823" s="4"/>
      <c r="L823" s="4"/>
      <c r="O823" s="4"/>
    </row>
    <row r="824" spans="1:15" ht="12.5">
      <c r="A824" s="4"/>
      <c r="B824" s="5"/>
      <c r="I824" s="4"/>
      <c r="L824" s="4"/>
      <c r="O824" s="4"/>
    </row>
    <row r="825" spans="1:15" ht="12.5">
      <c r="A825" s="4"/>
      <c r="B825" s="5"/>
      <c r="I825" s="4"/>
      <c r="L825" s="4"/>
      <c r="O825" s="4"/>
    </row>
    <row r="826" spans="1:15" ht="12.5">
      <c r="A826" s="4"/>
      <c r="B826" s="5"/>
      <c r="I826" s="4"/>
      <c r="L826" s="4"/>
      <c r="O826" s="4"/>
    </row>
    <row r="827" spans="1:15" ht="12.5">
      <c r="A827" s="4"/>
      <c r="B827" s="5"/>
      <c r="I827" s="4"/>
      <c r="L827" s="4"/>
      <c r="O827" s="4"/>
    </row>
    <row r="828" spans="1:15" ht="12.5">
      <c r="A828" s="4"/>
      <c r="B828" s="5"/>
      <c r="I828" s="4"/>
      <c r="L828" s="4"/>
      <c r="O828" s="4"/>
    </row>
    <row r="829" spans="1:15" ht="12.5">
      <c r="A829" s="4"/>
      <c r="B829" s="5"/>
      <c r="I829" s="4"/>
      <c r="L829" s="4"/>
      <c r="O829" s="4"/>
    </row>
    <row r="830" spans="1:15" ht="12.5">
      <c r="A830" s="4"/>
      <c r="B830" s="5"/>
      <c r="I830" s="4"/>
      <c r="L830" s="4"/>
      <c r="O830" s="4"/>
    </row>
    <row r="831" spans="1:15" ht="12.5">
      <c r="A831" s="4"/>
      <c r="B831" s="5"/>
      <c r="I831" s="4"/>
      <c r="L831" s="4"/>
      <c r="O831" s="4"/>
    </row>
    <row r="832" spans="1:15" ht="12.5">
      <c r="A832" s="4"/>
      <c r="B832" s="5"/>
      <c r="I832" s="4"/>
      <c r="L832" s="4"/>
      <c r="O832" s="4"/>
    </row>
    <row r="833" spans="1:15" ht="12.5">
      <c r="A833" s="4"/>
      <c r="B833" s="5"/>
      <c r="I833" s="4"/>
      <c r="L833" s="4"/>
      <c r="O833" s="4"/>
    </row>
    <row r="834" spans="1:15" ht="12.5">
      <c r="A834" s="4"/>
      <c r="B834" s="5"/>
      <c r="I834" s="4"/>
      <c r="L834" s="4"/>
      <c r="O834" s="4"/>
    </row>
    <row r="835" spans="1:15" ht="12.5">
      <c r="A835" s="4"/>
      <c r="B835" s="5"/>
      <c r="I835" s="4"/>
      <c r="L835" s="4"/>
      <c r="O835" s="4"/>
    </row>
    <row r="836" spans="1:15" ht="12.5">
      <c r="A836" s="4"/>
      <c r="B836" s="5"/>
      <c r="I836" s="4"/>
      <c r="L836" s="4"/>
      <c r="O836" s="4"/>
    </row>
    <row r="837" spans="1:15" ht="12.5">
      <c r="A837" s="4"/>
      <c r="B837" s="5"/>
      <c r="I837" s="4"/>
      <c r="L837" s="4"/>
      <c r="O837" s="4"/>
    </row>
    <row r="838" spans="1:15" ht="12.5">
      <c r="A838" s="4"/>
      <c r="B838" s="5"/>
      <c r="I838" s="4"/>
      <c r="L838" s="4"/>
      <c r="O838" s="4"/>
    </row>
    <row r="839" spans="1:15" ht="12.5">
      <c r="A839" s="4"/>
      <c r="B839" s="5"/>
      <c r="I839" s="4"/>
      <c r="L839" s="4"/>
      <c r="O839" s="4"/>
    </row>
    <row r="840" spans="1:15" ht="12.5">
      <c r="A840" s="4"/>
      <c r="B840" s="5"/>
      <c r="I840" s="4"/>
      <c r="L840" s="4"/>
      <c r="O840" s="4"/>
    </row>
    <row r="841" spans="1:15" ht="12.5">
      <c r="A841" s="4"/>
      <c r="B841" s="5"/>
      <c r="I841" s="4"/>
      <c r="L841" s="4"/>
      <c r="O841" s="4"/>
    </row>
    <row r="842" spans="1:15" ht="12.5">
      <c r="A842" s="4"/>
      <c r="B842" s="5"/>
      <c r="I842" s="4"/>
      <c r="L842" s="4"/>
      <c r="O842" s="4"/>
    </row>
    <row r="843" spans="1:15" ht="12.5">
      <c r="A843" s="4"/>
      <c r="B843" s="5"/>
      <c r="I843" s="4"/>
      <c r="L843" s="4"/>
      <c r="O843" s="4"/>
    </row>
    <row r="844" spans="1:15" ht="12.5">
      <c r="A844" s="4"/>
      <c r="B844" s="5"/>
      <c r="I844" s="4"/>
      <c r="L844" s="4"/>
      <c r="O844" s="4"/>
    </row>
    <row r="845" spans="1:15" ht="12.5">
      <c r="A845" s="4"/>
      <c r="B845" s="5"/>
      <c r="I845" s="4"/>
      <c r="L845" s="4"/>
      <c r="O845" s="4"/>
    </row>
    <row r="846" spans="1:15" ht="12.5">
      <c r="A846" s="4"/>
      <c r="B846" s="5"/>
      <c r="I846" s="4"/>
      <c r="L846" s="4"/>
      <c r="O846" s="4"/>
    </row>
    <row r="847" spans="1:15" ht="12.5">
      <c r="A847" s="4"/>
      <c r="B847" s="5"/>
      <c r="I847" s="4"/>
      <c r="L847" s="4"/>
      <c r="O847" s="4"/>
    </row>
    <row r="848" spans="1:15" ht="12.5">
      <c r="A848" s="4"/>
      <c r="B848" s="5"/>
      <c r="I848" s="4"/>
      <c r="L848" s="4"/>
      <c r="O848" s="4"/>
    </row>
    <row r="849" spans="1:15" ht="12.5">
      <c r="A849" s="4"/>
      <c r="B849" s="5"/>
      <c r="I849" s="4"/>
      <c r="L849" s="4"/>
      <c r="O849" s="4"/>
    </row>
    <row r="850" spans="1:15" ht="12.5">
      <c r="A850" s="4"/>
      <c r="B850" s="5"/>
      <c r="I850" s="4"/>
      <c r="L850" s="4"/>
      <c r="O850" s="4"/>
    </row>
    <row r="851" spans="1:15" ht="12.5">
      <c r="A851" s="4"/>
      <c r="B851" s="5"/>
      <c r="I851" s="4"/>
      <c r="L851" s="4"/>
      <c r="O851" s="4"/>
    </row>
    <row r="852" spans="1:15" ht="12.5">
      <c r="A852" s="4"/>
      <c r="B852" s="5"/>
      <c r="I852" s="4"/>
      <c r="L852" s="4"/>
      <c r="O852" s="4"/>
    </row>
    <row r="853" spans="1:15" ht="12.5">
      <c r="A853" s="4"/>
      <c r="B853" s="5"/>
      <c r="I853" s="4"/>
      <c r="L853" s="4"/>
      <c r="O853" s="4"/>
    </row>
    <row r="854" spans="1:15" ht="12.5">
      <c r="A854" s="4"/>
      <c r="B854" s="5"/>
      <c r="I854" s="4"/>
      <c r="L854" s="4"/>
      <c r="O854" s="4"/>
    </row>
    <row r="855" spans="1:15" ht="12.5">
      <c r="A855" s="4"/>
      <c r="B855" s="5"/>
      <c r="I855" s="4"/>
      <c r="L855" s="4"/>
      <c r="O855" s="4"/>
    </row>
    <row r="856" spans="1:15" ht="12.5">
      <c r="A856" s="4"/>
      <c r="B856" s="5"/>
      <c r="I856" s="4"/>
      <c r="L856" s="4"/>
      <c r="O856" s="4"/>
    </row>
    <row r="857" spans="1:15" ht="12.5">
      <c r="A857" s="4"/>
      <c r="B857" s="5"/>
      <c r="I857" s="4"/>
      <c r="L857" s="4"/>
      <c r="O857" s="4"/>
    </row>
    <row r="858" spans="1:15" ht="12.5">
      <c r="A858" s="4"/>
      <c r="B858" s="5"/>
      <c r="I858" s="4"/>
      <c r="L858" s="4"/>
      <c r="O858" s="4"/>
    </row>
    <row r="859" spans="1:15" ht="12.5">
      <c r="A859" s="4"/>
      <c r="B859" s="5"/>
      <c r="I859" s="4"/>
      <c r="L859" s="4"/>
      <c r="O859" s="4"/>
    </row>
    <row r="860" spans="1:15" ht="12.5">
      <c r="A860" s="4"/>
      <c r="B860" s="5"/>
      <c r="I860" s="4"/>
      <c r="L860" s="4"/>
      <c r="O860" s="4"/>
    </row>
    <row r="861" spans="1:15" ht="12.5">
      <c r="A861" s="4"/>
      <c r="B861" s="5"/>
      <c r="I861" s="4"/>
      <c r="L861" s="4"/>
      <c r="O861" s="4"/>
    </row>
    <row r="862" spans="1:15" ht="12.5">
      <c r="A862" s="4"/>
      <c r="B862" s="5"/>
      <c r="I862" s="4"/>
      <c r="L862" s="4"/>
      <c r="O862" s="4"/>
    </row>
    <row r="863" spans="1:15" ht="12.5">
      <c r="A863" s="4"/>
      <c r="B863" s="5"/>
      <c r="I863" s="4"/>
      <c r="L863" s="4"/>
      <c r="O863" s="4"/>
    </row>
    <row r="864" spans="1:15" ht="12.5">
      <c r="A864" s="4"/>
      <c r="B864" s="5"/>
      <c r="I864" s="4"/>
      <c r="L864" s="4"/>
      <c r="O864" s="4"/>
    </row>
    <row r="865" spans="1:15" ht="12.5">
      <c r="A865" s="4"/>
      <c r="B865" s="5"/>
      <c r="I865" s="4"/>
      <c r="L865" s="4"/>
      <c r="O865" s="4"/>
    </row>
    <row r="866" spans="1:15" ht="12.5">
      <c r="A866" s="4"/>
      <c r="B866" s="5"/>
      <c r="I866" s="4"/>
      <c r="L866" s="4"/>
      <c r="O866" s="4"/>
    </row>
    <row r="867" spans="1:15" ht="12.5">
      <c r="A867" s="4"/>
      <c r="B867" s="5"/>
      <c r="I867" s="4"/>
      <c r="L867" s="4"/>
      <c r="O867" s="4"/>
    </row>
    <row r="868" spans="1:15" ht="12.5">
      <c r="A868" s="4"/>
      <c r="B868" s="5"/>
      <c r="I868" s="4"/>
      <c r="L868" s="4"/>
      <c r="O868" s="4"/>
    </row>
    <row r="869" spans="1:15" ht="12.5">
      <c r="A869" s="4"/>
      <c r="B869" s="5"/>
      <c r="I869" s="4"/>
      <c r="L869" s="4"/>
      <c r="O869" s="4"/>
    </row>
    <row r="870" spans="1:15" ht="12.5">
      <c r="A870" s="4"/>
      <c r="B870" s="5"/>
      <c r="I870" s="4"/>
      <c r="L870" s="4"/>
      <c r="O870" s="4"/>
    </row>
    <row r="871" spans="1:15" ht="12.5">
      <c r="A871" s="4"/>
      <c r="B871" s="5"/>
      <c r="I871" s="4"/>
      <c r="L871" s="4"/>
      <c r="O871" s="4"/>
    </row>
    <row r="872" spans="1:15" ht="12.5">
      <c r="A872" s="4"/>
      <c r="B872" s="5"/>
      <c r="I872" s="4"/>
      <c r="L872" s="4"/>
      <c r="O872" s="4"/>
    </row>
    <row r="873" spans="1:15" ht="12.5">
      <c r="A873" s="4"/>
      <c r="B873" s="5"/>
      <c r="I873" s="4"/>
      <c r="L873" s="4"/>
      <c r="O873" s="4"/>
    </row>
    <row r="874" spans="1:15" ht="12.5">
      <c r="A874" s="4"/>
      <c r="B874" s="5"/>
      <c r="I874" s="4"/>
      <c r="L874" s="4"/>
      <c r="O874" s="4"/>
    </row>
    <row r="875" spans="1:15" ht="12.5">
      <c r="A875" s="4"/>
      <c r="B875" s="5"/>
      <c r="I875" s="4"/>
      <c r="L875" s="4"/>
      <c r="O875" s="4"/>
    </row>
    <row r="876" spans="1:15" ht="12.5">
      <c r="A876" s="4"/>
      <c r="B876" s="5"/>
      <c r="I876" s="4"/>
      <c r="L876" s="4"/>
      <c r="O876" s="4"/>
    </row>
    <row r="877" spans="1:15" ht="12.5">
      <c r="A877" s="4"/>
      <c r="B877" s="5"/>
      <c r="I877" s="4"/>
      <c r="L877" s="4"/>
      <c r="O877" s="4"/>
    </row>
    <row r="878" spans="1:15" ht="12.5">
      <c r="A878" s="4"/>
      <c r="B878" s="5"/>
      <c r="I878" s="4"/>
      <c r="L878" s="4"/>
      <c r="O878" s="4"/>
    </row>
    <row r="879" spans="1:15" ht="12.5">
      <c r="A879" s="4"/>
      <c r="B879" s="5"/>
      <c r="I879" s="4"/>
      <c r="L879" s="4"/>
      <c r="O879" s="4"/>
    </row>
    <row r="880" spans="1:15" ht="12.5">
      <c r="A880" s="4"/>
      <c r="B880" s="5"/>
      <c r="I880" s="4"/>
      <c r="L880" s="4"/>
      <c r="O880" s="4"/>
    </row>
    <row r="881" spans="1:15" ht="12.5">
      <c r="A881" s="4"/>
      <c r="B881" s="5"/>
      <c r="I881" s="4"/>
      <c r="L881" s="4"/>
      <c r="O881" s="4"/>
    </row>
    <row r="882" spans="1:15" ht="12.5">
      <c r="A882" s="4"/>
      <c r="B882" s="5"/>
      <c r="I882" s="4"/>
      <c r="L882" s="4"/>
      <c r="O882" s="4"/>
    </row>
    <row r="883" spans="1:15" ht="12.5">
      <c r="A883" s="4"/>
      <c r="B883" s="5"/>
      <c r="I883" s="4"/>
      <c r="L883" s="4"/>
      <c r="O883" s="4"/>
    </row>
    <row r="884" spans="1:15" ht="12.5">
      <c r="A884" s="4"/>
      <c r="B884" s="5"/>
      <c r="I884" s="4"/>
      <c r="L884" s="4"/>
      <c r="O884" s="4"/>
    </row>
    <row r="885" spans="1:15" ht="12.5">
      <c r="A885" s="4"/>
      <c r="B885" s="5"/>
      <c r="I885" s="4"/>
      <c r="L885" s="4"/>
      <c r="O885" s="4"/>
    </row>
    <row r="886" spans="1:15" ht="12.5">
      <c r="A886" s="4"/>
      <c r="B886" s="5"/>
      <c r="I886" s="4"/>
      <c r="L886" s="4"/>
      <c r="O886" s="4"/>
    </row>
    <row r="887" spans="1:15" ht="12.5">
      <c r="A887" s="4"/>
      <c r="B887" s="5"/>
      <c r="I887" s="4"/>
      <c r="L887" s="4"/>
      <c r="O887" s="4"/>
    </row>
    <row r="888" spans="1:15" ht="12.5">
      <c r="A888" s="4"/>
      <c r="B888" s="5"/>
      <c r="I888" s="4"/>
      <c r="L888" s="4"/>
      <c r="O888" s="4"/>
    </row>
    <row r="889" spans="1:15" ht="12.5">
      <c r="A889" s="4"/>
      <c r="B889" s="5"/>
      <c r="I889" s="4"/>
      <c r="L889" s="4"/>
      <c r="O889" s="4"/>
    </row>
    <row r="890" spans="1:15" ht="12.5">
      <c r="A890" s="4"/>
      <c r="B890" s="5"/>
      <c r="I890" s="4"/>
      <c r="L890" s="4"/>
      <c r="O890" s="4"/>
    </row>
    <row r="891" spans="1:15" ht="12.5">
      <c r="A891" s="4"/>
      <c r="B891" s="5"/>
      <c r="I891" s="4"/>
      <c r="L891" s="4"/>
      <c r="O891" s="4"/>
    </row>
    <row r="892" spans="1:15" ht="12.5">
      <c r="A892" s="4"/>
      <c r="B892" s="5"/>
      <c r="I892" s="4"/>
      <c r="L892" s="4"/>
      <c r="O892" s="4"/>
    </row>
    <row r="893" spans="1:15" ht="12.5">
      <c r="A893" s="4"/>
      <c r="B893" s="5"/>
      <c r="I893" s="4"/>
      <c r="L893" s="4"/>
      <c r="O893" s="4"/>
    </row>
    <row r="894" spans="1:15" ht="12.5">
      <c r="A894" s="4"/>
      <c r="B894" s="5"/>
      <c r="I894" s="4"/>
      <c r="L894" s="4"/>
      <c r="O894" s="4"/>
    </row>
    <row r="895" spans="1:15" ht="12.5">
      <c r="A895" s="4"/>
      <c r="B895" s="5"/>
      <c r="I895" s="4"/>
      <c r="L895" s="4"/>
      <c r="O895" s="4"/>
    </row>
    <row r="896" spans="1:15" ht="12.5">
      <c r="A896" s="4"/>
      <c r="B896" s="5"/>
      <c r="I896" s="4"/>
      <c r="L896" s="4"/>
      <c r="O896" s="4"/>
    </row>
    <row r="897" spans="1:15" ht="12.5">
      <c r="A897" s="4"/>
      <c r="B897" s="5"/>
      <c r="I897" s="4"/>
      <c r="L897" s="4"/>
      <c r="O897" s="4"/>
    </row>
    <row r="898" spans="1:15" ht="12.5">
      <c r="A898" s="4"/>
      <c r="B898" s="5"/>
      <c r="I898" s="4"/>
      <c r="L898" s="4"/>
      <c r="O898" s="4"/>
    </row>
    <row r="899" spans="1:15" ht="12.5">
      <c r="A899" s="4"/>
      <c r="B899" s="5"/>
      <c r="I899" s="4"/>
      <c r="L899" s="4"/>
      <c r="O899" s="4"/>
    </row>
    <row r="900" spans="1:15" ht="12.5">
      <c r="A900" s="4"/>
      <c r="B900" s="5"/>
      <c r="I900" s="4"/>
      <c r="L900" s="4"/>
      <c r="O900" s="4"/>
    </row>
    <row r="901" spans="1:15" ht="12.5">
      <c r="A901" s="4"/>
      <c r="B901" s="5"/>
      <c r="I901" s="4"/>
      <c r="L901" s="4"/>
      <c r="O901" s="4"/>
    </row>
    <row r="902" spans="1:15" ht="12.5">
      <c r="A902" s="4"/>
      <c r="B902" s="5"/>
      <c r="I902" s="4"/>
      <c r="L902" s="4"/>
      <c r="O902" s="4"/>
    </row>
    <row r="903" spans="1:15" ht="12.5">
      <c r="A903" s="4"/>
      <c r="B903" s="5"/>
      <c r="I903" s="4"/>
      <c r="L903" s="4"/>
      <c r="O903" s="4"/>
    </row>
    <row r="904" spans="1:15" ht="12.5">
      <c r="A904" s="4"/>
      <c r="B904" s="5"/>
      <c r="I904" s="4"/>
      <c r="L904" s="4"/>
      <c r="O904" s="4"/>
    </row>
    <row r="905" spans="1:15" ht="12.5">
      <c r="A905" s="4"/>
      <c r="B905" s="5"/>
      <c r="I905" s="4"/>
      <c r="L905" s="4"/>
      <c r="O905" s="4"/>
    </row>
    <row r="906" spans="1:15" ht="12.5">
      <c r="A906" s="4"/>
      <c r="B906" s="5"/>
      <c r="I906" s="4"/>
      <c r="L906" s="4"/>
      <c r="O906" s="4"/>
    </row>
    <row r="907" spans="1:15" ht="12.5">
      <c r="A907" s="4"/>
      <c r="B907" s="5"/>
      <c r="I907" s="4"/>
      <c r="L907" s="4"/>
      <c r="O907" s="4"/>
    </row>
    <row r="908" spans="1:15" ht="12.5">
      <c r="A908" s="4"/>
      <c r="B908" s="5"/>
      <c r="I908" s="4"/>
      <c r="L908" s="4"/>
      <c r="O908" s="4"/>
    </row>
    <row r="909" spans="1:15" ht="12.5">
      <c r="A909" s="4"/>
      <c r="B909" s="5"/>
      <c r="I909" s="4"/>
      <c r="L909" s="4"/>
      <c r="O909" s="4"/>
    </row>
    <row r="910" spans="1:15" ht="12.5">
      <c r="A910" s="4"/>
      <c r="B910" s="5"/>
      <c r="I910" s="4"/>
      <c r="L910" s="4"/>
      <c r="O910" s="4"/>
    </row>
    <row r="911" spans="1:15" ht="12.5">
      <c r="A911" s="4"/>
      <c r="B911" s="5"/>
      <c r="I911" s="4"/>
      <c r="L911" s="4"/>
      <c r="O911" s="4"/>
    </row>
    <row r="912" spans="1:15" ht="12.5">
      <c r="A912" s="4"/>
      <c r="B912" s="5"/>
      <c r="I912" s="4"/>
      <c r="L912" s="4"/>
      <c r="O912" s="4"/>
    </row>
    <row r="913" spans="1:15" ht="12.5">
      <c r="A913" s="4"/>
      <c r="B913" s="5"/>
      <c r="I913" s="4"/>
      <c r="L913" s="4"/>
      <c r="O913" s="4"/>
    </row>
    <row r="914" spans="1:15" ht="12.5">
      <c r="A914" s="4"/>
      <c r="B914" s="5"/>
      <c r="I914" s="4"/>
      <c r="L914" s="4"/>
      <c r="O914" s="4"/>
    </row>
    <row r="915" spans="1:15" ht="12.5">
      <c r="A915" s="4"/>
      <c r="B915" s="5"/>
      <c r="I915" s="4"/>
      <c r="L915" s="4"/>
      <c r="O915" s="4"/>
    </row>
    <row r="916" spans="1:15" ht="12.5">
      <c r="A916" s="4"/>
      <c r="B916" s="5"/>
      <c r="I916" s="4"/>
      <c r="L916" s="4"/>
      <c r="O916" s="4"/>
    </row>
    <row r="917" spans="1:15" ht="12.5">
      <c r="A917" s="4"/>
      <c r="B917" s="5"/>
      <c r="I917" s="4"/>
      <c r="L917" s="4"/>
      <c r="O917" s="4"/>
    </row>
    <row r="918" spans="1:15" ht="12.5">
      <c r="A918" s="4"/>
      <c r="B918" s="5"/>
      <c r="I918" s="4"/>
      <c r="L918" s="4"/>
      <c r="O918" s="4"/>
    </row>
    <row r="919" spans="1:15" ht="12.5">
      <c r="A919" s="4"/>
      <c r="B919" s="5"/>
      <c r="I919" s="4"/>
      <c r="L919" s="4"/>
      <c r="O919" s="4"/>
    </row>
    <row r="920" spans="1:15" ht="12.5">
      <c r="A920" s="4"/>
      <c r="B920" s="5"/>
      <c r="I920" s="4"/>
      <c r="L920" s="4"/>
      <c r="O920" s="4"/>
    </row>
    <row r="921" spans="1:15" ht="12.5">
      <c r="A921" s="4"/>
      <c r="B921" s="5"/>
      <c r="I921" s="4"/>
      <c r="L921" s="4"/>
      <c r="O921" s="4"/>
    </row>
    <row r="922" spans="1:15" ht="12.5">
      <c r="A922" s="4"/>
      <c r="B922" s="5"/>
      <c r="I922" s="4"/>
      <c r="L922" s="4"/>
      <c r="O922" s="4"/>
    </row>
    <row r="923" spans="1:15" ht="12.5">
      <c r="A923" s="4"/>
      <c r="B923" s="5"/>
      <c r="I923" s="4"/>
      <c r="L923" s="4"/>
      <c r="O923" s="4"/>
    </row>
    <row r="924" spans="1:15" ht="12.5">
      <c r="A924" s="4"/>
      <c r="B924" s="5"/>
      <c r="I924" s="4"/>
      <c r="L924" s="4"/>
      <c r="O924" s="4"/>
    </row>
    <row r="925" spans="1:15" ht="12.5">
      <c r="A925" s="4"/>
      <c r="B925" s="5"/>
      <c r="I925" s="4"/>
      <c r="L925" s="4"/>
      <c r="O925" s="4"/>
    </row>
    <row r="926" spans="1:15" ht="12.5">
      <c r="A926" s="4"/>
      <c r="B926" s="5"/>
      <c r="I926" s="4"/>
      <c r="L926" s="4"/>
      <c r="O926" s="4"/>
    </row>
    <row r="927" spans="1:15" ht="12.5">
      <c r="A927" s="4"/>
      <c r="B927" s="5"/>
      <c r="I927" s="4"/>
      <c r="L927" s="4"/>
      <c r="O927" s="4"/>
    </row>
    <row r="928" spans="1:15" ht="12.5">
      <c r="A928" s="4"/>
      <c r="B928" s="5"/>
      <c r="I928" s="4"/>
      <c r="L928" s="4"/>
      <c r="O928" s="4"/>
    </row>
    <row r="929" spans="1:15" ht="12.5">
      <c r="A929" s="4"/>
      <c r="B929" s="5"/>
      <c r="I929" s="4"/>
      <c r="L929" s="4"/>
      <c r="O929" s="4"/>
    </row>
    <row r="930" spans="1:15" ht="12.5">
      <c r="A930" s="4"/>
      <c r="B930" s="5"/>
      <c r="I930" s="4"/>
      <c r="L930" s="4"/>
      <c r="O930" s="4"/>
    </row>
    <row r="931" spans="1:15" ht="12.5">
      <c r="A931" s="4"/>
      <c r="B931" s="5"/>
      <c r="I931" s="4"/>
      <c r="L931" s="4"/>
      <c r="O931" s="4"/>
    </row>
    <row r="932" spans="1:15" ht="12.5">
      <c r="A932" s="4"/>
      <c r="B932" s="5"/>
      <c r="I932" s="4"/>
      <c r="L932" s="4"/>
      <c r="O932" s="4"/>
    </row>
    <row r="933" spans="1:15" ht="12.5">
      <c r="A933" s="4"/>
      <c r="B933" s="5"/>
      <c r="I933" s="4"/>
      <c r="L933" s="4"/>
      <c r="O933" s="4"/>
    </row>
    <row r="934" spans="1:15" ht="12.5">
      <c r="A934" s="4"/>
      <c r="B934" s="5"/>
      <c r="I934" s="4"/>
      <c r="L934" s="4"/>
      <c r="O934" s="4"/>
    </row>
    <row r="935" spans="1:15" ht="12.5">
      <c r="A935" s="4"/>
      <c r="B935" s="5"/>
      <c r="I935" s="4"/>
      <c r="L935" s="4"/>
      <c r="O935" s="4"/>
    </row>
    <row r="936" spans="1:15" ht="12.5">
      <c r="A936" s="4"/>
      <c r="B936" s="5"/>
      <c r="I936" s="4"/>
      <c r="L936" s="4"/>
      <c r="O936" s="4"/>
    </row>
    <row r="937" spans="1:15" ht="12.5">
      <c r="A937" s="4"/>
      <c r="B937" s="5"/>
      <c r="I937" s="4"/>
      <c r="L937" s="4"/>
      <c r="O937" s="4"/>
    </row>
    <row r="938" spans="1:15" ht="12.5">
      <c r="A938" s="4"/>
      <c r="B938" s="5"/>
      <c r="I938" s="4"/>
      <c r="L938" s="4"/>
      <c r="O938" s="4"/>
    </row>
    <row r="939" spans="1:15" ht="12.5">
      <c r="A939" s="4"/>
      <c r="B939" s="5"/>
      <c r="I939" s="4"/>
      <c r="L939" s="4"/>
      <c r="O939" s="4"/>
    </row>
    <row r="940" spans="1:15" ht="12.5">
      <c r="A940" s="4"/>
      <c r="B940" s="5"/>
      <c r="I940" s="4"/>
      <c r="L940" s="4"/>
      <c r="O940" s="4"/>
    </row>
    <row r="941" spans="1:15" ht="12.5">
      <c r="A941" s="4"/>
      <c r="B941" s="5"/>
      <c r="I941" s="4"/>
      <c r="L941" s="4"/>
      <c r="O941" s="4"/>
    </row>
    <row r="942" spans="1:15" ht="12.5">
      <c r="A942" s="4"/>
      <c r="B942" s="5"/>
      <c r="I942" s="4"/>
      <c r="L942" s="4"/>
      <c r="O942" s="4"/>
    </row>
    <row r="943" spans="1:15" ht="12.5">
      <c r="A943" s="4"/>
      <c r="B943" s="5"/>
      <c r="I943" s="4"/>
      <c r="L943" s="4"/>
      <c r="O943" s="4"/>
    </row>
    <row r="944" spans="1:15" ht="12.5">
      <c r="A944" s="4"/>
      <c r="B944" s="5"/>
      <c r="I944" s="4"/>
      <c r="L944" s="4"/>
      <c r="O944" s="4"/>
    </row>
    <row r="945" spans="1:15" ht="12.5">
      <c r="A945" s="4"/>
      <c r="B945" s="5"/>
      <c r="I945" s="4"/>
      <c r="L945" s="4"/>
      <c r="O945" s="4"/>
    </row>
    <row r="946" spans="1:15" ht="12.5">
      <c r="A946" s="4"/>
      <c r="B946" s="5"/>
      <c r="I946" s="4"/>
      <c r="L946" s="4"/>
      <c r="O946" s="4"/>
    </row>
    <row r="947" spans="1:15" ht="12.5">
      <c r="A947" s="4"/>
      <c r="B947" s="5"/>
      <c r="I947" s="4"/>
      <c r="L947" s="4"/>
      <c r="O947" s="4"/>
    </row>
    <row r="948" spans="1:15" ht="12.5">
      <c r="A948" s="4"/>
      <c r="B948" s="5"/>
      <c r="I948" s="4"/>
      <c r="L948" s="4"/>
      <c r="O948" s="4"/>
    </row>
    <row r="949" spans="1:15" ht="12.5">
      <c r="A949" s="4"/>
      <c r="B949" s="5"/>
      <c r="I949" s="4"/>
      <c r="L949" s="4"/>
      <c r="O949" s="4"/>
    </row>
    <row r="950" spans="1:15" ht="12.5">
      <c r="A950" s="4"/>
      <c r="B950" s="5"/>
      <c r="I950" s="4"/>
      <c r="L950" s="4"/>
      <c r="O950" s="4"/>
    </row>
    <row r="951" spans="1:15" ht="12.5">
      <c r="A951" s="4"/>
      <c r="B951" s="5"/>
      <c r="I951" s="4"/>
      <c r="L951" s="4"/>
      <c r="O951" s="4"/>
    </row>
    <row r="952" spans="1:15" ht="12.5">
      <c r="A952" s="4"/>
      <c r="B952" s="5"/>
      <c r="I952" s="4"/>
      <c r="L952" s="4"/>
      <c r="O952" s="4"/>
    </row>
    <row r="953" spans="1:15" ht="12.5">
      <c r="A953" s="4"/>
      <c r="B953" s="5"/>
      <c r="I953" s="4"/>
      <c r="L953" s="4"/>
      <c r="O953" s="4"/>
    </row>
    <row r="954" spans="1:15" ht="12.5">
      <c r="A954" s="4"/>
      <c r="B954" s="5"/>
      <c r="I954" s="4"/>
      <c r="L954" s="4"/>
      <c r="O954" s="4"/>
    </row>
    <row r="955" spans="1:15" ht="12.5">
      <c r="A955" s="4"/>
      <c r="B955" s="5"/>
      <c r="I955" s="4"/>
      <c r="L955" s="4"/>
      <c r="O955" s="4"/>
    </row>
    <row r="956" spans="1:15" ht="12.5">
      <c r="A956" s="4"/>
      <c r="B956" s="5"/>
      <c r="I956" s="4"/>
      <c r="L956" s="4"/>
      <c r="O956" s="4"/>
    </row>
    <row r="957" spans="1:15" ht="12.5">
      <c r="A957" s="4"/>
      <c r="B957" s="5"/>
      <c r="I957" s="4"/>
      <c r="L957" s="4"/>
      <c r="O957" s="4"/>
    </row>
    <row r="958" spans="1:15" ht="12.5">
      <c r="A958" s="4"/>
      <c r="B958" s="5"/>
      <c r="I958" s="4"/>
      <c r="L958" s="4"/>
      <c r="O958" s="4"/>
    </row>
    <row r="959" spans="1:15" ht="12.5">
      <c r="A959" s="4"/>
      <c r="B959" s="5"/>
      <c r="I959" s="4"/>
      <c r="L959" s="4"/>
      <c r="O959" s="4"/>
    </row>
    <row r="960" spans="1:15" ht="12.5">
      <c r="A960" s="4"/>
      <c r="B960" s="5"/>
      <c r="I960" s="4"/>
      <c r="L960" s="4"/>
      <c r="O960" s="4"/>
    </row>
    <row r="961" spans="1:15" ht="12.5">
      <c r="A961" s="4"/>
      <c r="B961" s="5"/>
      <c r="I961" s="4"/>
      <c r="L961" s="4"/>
      <c r="O961" s="4"/>
    </row>
    <row r="962" spans="1:15" ht="12.5">
      <c r="A962" s="4"/>
      <c r="B962" s="5"/>
      <c r="I962" s="4"/>
      <c r="L962" s="4"/>
      <c r="O962" s="4"/>
    </row>
    <row r="963" spans="1:15" ht="12.5">
      <c r="A963" s="4"/>
      <c r="B963" s="5"/>
      <c r="I963" s="4"/>
      <c r="L963" s="4"/>
      <c r="O963" s="4"/>
    </row>
    <row r="964" spans="1:15" ht="12.5">
      <c r="A964" s="4"/>
      <c r="B964" s="5"/>
      <c r="I964" s="4"/>
      <c r="L964" s="4"/>
      <c r="O964" s="4"/>
    </row>
    <row r="965" spans="1:15" ht="12.5">
      <c r="A965" s="4"/>
      <c r="B965" s="5"/>
      <c r="I965" s="4"/>
      <c r="L965" s="4"/>
      <c r="O965" s="4"/>
    </row>
    <row r="966" spans="1:15" ht="12.5">
      <c r="A966" s="4"/>
      <c r="B966" s="5"/>
      <c r="I966" s="4"/>
      <c r="L966" s="4"/>
      <c r="O966" s="4"/>
    </row>
    <row r="967" spans="1:15" ht="12.5">
      <c r="A967" s="4"/>
      <c r="B967" s="5"/>
      <c r="I967" s="4"/>
      <c r="L967" s="4"/>
      <c r="O967" s="4"/>
    </row>
    <row r="968" spans="1:15" ht="12.5">
      <c r="A968" s="4"/>
      <c r="B968" s="5"/>
      <c r="I968" s="4"/>
      <c r="L968" s="4"/>
      <c r="O968" s="4"/>
    </row>
    <row r="969" spans="1:15" ht="12.5">
      <c r="A969" s="4"/>
      <c r="B969" s="5"/>
      <c r="I969" s="4"/>
      <c r="L969" s="4"/>
      <c r="O969" s="4"/>
    </row>
    <row r="970" spans="1:15" ht="12.5">
      <c r="A970" s="4"/>
      <c r="B970" s="5"/>
      <c r="I970" s="4"/>
      <c r="L970" s="4"/>
      <c r="O970" s="4"/>
    </row>
    <row r="971" spans="1:15" ht="12.5">
      <c r="A971" s="4"/>
      <c r="B971" s="5"/>
      <c r="I971" s="4"/>
      <c r="L971" s="4"/>
      <c r="O971" s="4"/>
    </row>
    <row r="972" spans="1:15" ht="12.5">
      <c r="A972" s="4"/>
      <c r="B972" s="5"/>
      <c r="I972" s="4"/>
      <c r="L972" s="4"/>
      <c r="O972" s="4"/>
    </row>
    <row r="973" spans="1:15" ht="12.5">
      <c r="A973" s="4"/>
      <c r="B973" s="5"/>
      <c r="I973" s="4"/>
      <c r="L973" s="4"/>
      <c r="O973" s="4"/>
    </row>
    <row r="974" spans="1:15" ht="12.5">
      <c r="A974" s="4"/>
      <c r="B974" s="5"/>
      <c r="I974" s="4"/>
      <c r="L974" s="4"/>
      <c r="O974" s="4"/>
    </row>
    <row r="975" spans="1:15" ht="12.5">
      <c r="A975" s="4"/>
      <c r="B975" s="5"/>
      <c r="I975" s="4"/>
      <c r="L975" s="4"/>
      <c r="O975" s="4"/>
    </row>
    <row r="976" spans="1:15" ht="12.5">
      <c r="A976" s="4"/>
      <c r="B976" s="5"/>
      <c r="I976" s="4"/>
      <c r="L976" s="4"/>
      <c r="O976" s="4"/>
    </row>
    <row r="977" spans="1:15" ht="12.5">
      <c r="A977" s="4"/>
      <c r="B977" s="5"/>
      <c r="I977" s="4"/>
      <c r="L977" s="4"/>
      <c r="O977" s="4"/>
    </row>
    <row r="978" spans="1:15" ht="12.5">
      <c r="A978" s="4"/>
      <c r="B978" s="5"/>
      <c r="I978" s="4"/>
      <c r="L978" s="4"/>
      <c r="O978" s="4"/>
    </row>
    <row r="979" spans="1:15" ht="12.5">
      <c r="A979" s="4"/>
      <c r="B979" s="5"/>
      <c r="I979" s="4"/>
      <c r="L979" s="4"/>
      <c r="O979" s="4"/>
    </row>
    <row r="980" spans="1:15" ht="12.5">
      <c r="A980" s="4"/>
      <c r="B980" s="5"/>
      <c r="I980" s="4"/>
      <c r="L980" s="4"/>
      <c r="O980" s="4"/>
    </row>
    <row r="981" spans="1:15" ht="12.5">
      <c r="A981" s="4"/>
      <c r="B981" s="5"/>
      <c r="I981" s="4"/>
      <c r="L981" s="4"/>
      <c r="O981" s="4"/>
    </row>
    <row r="982" spans="1:15" ht="12.5">
      <c r="A982" s="4"/>
      <c r="B982" s="5"/>
      <c r="I982" s="4"/>
      <c r="L982" s="4"/>
      <c r="O982" s="4"/>
    </row>
    <row r="983" spans="1:15" ht="12.5">
      <c r="A983" s="4"/>
      <c r="B983" s="5"/>
      <c r="I983" s="4"/>
      <c r="L983" s="4"/>
      <c r="O983" s="4"/>
    </row>
    <row r="984" spans="1:15" ht="12.5">
      <c r="A984" s="4"/>
      <c r="B984" s="5"/>
      <c r="I984" s="4"/>
      <c r="L984" s="4"/>
      <c r="O984" s="4"/>
    </row>
    <row r="985" spans="1:15" ht="12.5">
      <c r="A985" s="4"/>
      <c r="B985" s="5"/>
      <c r="I985" s="4"/>
      <c r="L985" s="4"/>
      <c r="O985" s="4"/>
    </row>
    <row r="986" spans="1:15" ht="12.5">
      <c r="A986" s="4"/>
      <c r="B986" s="5"/>
      <c r="I986" s="4"/>
      <c r="L986" s="4"/>
      <c r="O986" s="4"/>
    </row>
    <row r="987" spans="1:15" ht="12.5">
      <c r="A987" s="4"/>
      <c r="B987" s="5"/>
      <c r="I987" s="4"/>
      <c r="L987" s="4"/>
      <c r="O987" s="4"/>
    </row>
    <row r="988" spans="1:15" ht="12.5">
      <c r="A988" s="4"/>
      <c r="B988" s="5"/>
      <c r="I988" s="4"/>
      <c r="L988" s="4"/>
      <c r="O988" s="4"/>
    </row>
    <row r="989" spans="1:15" ht="12.5">
      <c r="A989" s="4"/>
      <c r="B989" s="5"/>
      <c r="I989" s="4"/>
      <c r="L989" s="4"/>
      <c r="O989" s="4"/>
    </row>
    <row r="990" spans="1:15" ht="12.5">
      <c r="A990" s="4"/>
      <c r="B990" s="5"/>
      <c r="I990" s="4"/>
      <c r="L990" s="4"/>
      <c r="O990" s="4"/>
    </row>
    <row r="991" spans="1:15" ht="12.5">
      <c r="A991" s="4"/>
      <c r="B991" s="5"/>
      <c r="I991" s="4"/>
      <c r="L991" s="4"/>
      <c r="O991" s="4"/>
    </row>
    <row r="992" spans="1:15" ht="12.5">
      <c r="A992" s="4"/>
      <c r="B992" s="5"/>
      <c r="I992" s="4"/>
      <c r="L992" s="4"/>
      <c r="O992" s="4"/>
    </row>
    <row r="993" spans="1:15" ht="12.5">
      <c r="A993" s="4"/>
      <c r="B993" s="5"/>
      <c r="I993" s="4"/>
      <c r="L993" s="4"/>
      <c r="O993" s="4"/>
    </row>
    <row r="994" spans="1:15" ht="12.5">
      <c r="A994" s="4"/>
      <c r="B994" s="5"/>
      <c r="I994" s="4"/>
      <c r="L994" s="4"/>
      <c r="O994" s="4"/>
    </row>
    <row r="995" spans="1:15" ht="12.5">
      <c r="A995" s="4"/>
      <c r="B995" s="5"/>
      <c r="I995" s="4"/>
      <c r="L995" s="4"/>
      <c r="O995" s="4"/>
    </row>
    <row r="996" spans="1:15" ht="12.5">
      <c r="A996" s="4"/>
      <c r="B996" s="5"/>
      <c r="I996" s="4"/>
      <c r="L996" s="4"/>
      <c r="O996" s="4"/>
    </row>
    <row r="997" spans="1:15" ht="12.5">
      <c r="A997" s="4"/>
      <c r="B997" s="5"/>
      <c r="I997" s="4"/>
      <c r="L997" s="4"/>
      <c r="O997" s="4"/>
    </row>
    <row r="998" spans="1:15" ht="12.5">
      <c r="A998" s="4"/>
      <c r="B998" s="5"/>
      <c r="I998" s="4"/>
      <c r="L998" s="4"/>
      <c r="O998" s="4"/>
    </row>
    <row r="999" spans="1:15" ht="12.5">
      <c r="A999" s="4"/>
      <c r="B999" s="5"/>
      <c r="I999" s="4"/>
      <c r="L999" s="4"/>
      <c r="O999" s="4"/>
    </row>
    <row r="1000" spans="1:15" ht="12.5">
      <c r="A1000" s="4"/>
      <c r="B1000" s="5"/>
      <c r="I1000" s="4"/>
      <c r="L1000" s="4"/>
      <c r="O1000" s="4"/>
    </row>
    <row r="1001" spans="1:15" ht="12.5">
      <c r="A1001" s="4"/>
      <c r="B1001" s="5"/>
      <c r="I1001" s="4"/>
      <c r="L1001" s="4"/>
      <c r="O1001" s="4"/>
    </row>
    <row r="1002" spans="1:15" ht="12.5">
      <c r="A1002" s="4"/>
      <c r="B1002" s="5"/>
      <c r="I1002" s="4"/>
      <c r="L1002" s="4"/>
      <c r="O100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7"/>
  <sheetViews>
    <sheetView workbookViewId="0"/>
  </sheetViews>
  <sheetFormatPr baseColWidth="10" defaultColWidth="12.6328125" defaultRowHeight="15.75" customHeight="1"/>
  <cols>
    <col min="4" max="4" width="50.7265625" customWidth="1"/>
    <col min="8" max="8" width="66.90625" customWidth="1"/>
  </cols>
  <sheetData>
    <row r="1" spans="1:35" ht="13">
      <c r="A1" s="1" t="s">
        <v>527</v>
      </c>
      <c r="B1" s="1" t="s">
        <v>0</v>
      </c>
      <c r="C1" s="1" t="s">
        <v>528</v>
      </c>
      <c r="D1" s="3" t="s">
        <v>2</v>
      </c>
      <c r="E1" s="3" t="s">
        <v>3</v>
      </c>
      <c r="F1" s="3" t="s">
        <v>4</v>
      </c>
      <c r="G1" s="3" t="s">
        <v>5</v>
      </c>
      <c r="H1" s="3" t="s">
        <v>7</v>
      </c>
      <c r="I1" s="1" t="s">
        <v>8</v>
      </c>
      <c r="J1" s="3" t="s">
        <v>9</v>
      </c>
      <c r="K1" s="1" t="s">
        <v>10</v>
      </c>
      <c r="L1" s="1" t="s">
        <v>11</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4" t="s">
        <v>529</v>
      </c>
      <c r="B2" s="4">
        <v>900791195</v>
      </c>
      <c r="C2" s="4">
        <v>5</v>
      </c>
      <c r="D2" s="6" t="s">
        <v>247</v>
      </c>
      <c r="E2" s="6"/>
      <c r="F2" s="6"/>
      <c r="G2" s="6" t="s">
        <v>16</v>
      </c>
      <c r="H2" s="6" t="s">
        <v>248</v>
      </c>
      <c r="I2" s="4"/>
      <c r="J2" s="6" t="s">
        <v>249</v>
      </c>
      <c r="L2" s="4" t="s">
        <v>250</v>
      </c>
      <c r="M2" s="6" t="s">
        <v>251</v>
      </c>
    </row>
    <row r="3" spans="1:35" ht="15.75" customHeight="1">
      <c r="A3" s="4" t="s">
        <v>530</v>
      </c>
      <c r="B3" s="4">
        <v>32184489</v>
      </c>
      <c r="C3" s="4"/>
      <c r="D3" s="6" t="s">
        <v>252</v>
      </c>
      <c r="E3" s="6"/>
      <c r="F3" s="6"/>
      <c r="G3" s="6" t="s">
        <v>16</v>
      </c>
      <c r="H3" s="6" t="s">
        <v>248</v>
      </c>
      <c r="I3" s="4"/>
      <c r="J3" s="6" t="s">
        <v>249</v>
      </c>
      <c r="L3" s="4" t="s">
        <v>250</v>
      </c>
      <c r="M3" s="6" t="s">
        <v>251</v>
      </c>
    </row>
    <row r="4" spans="1:35" ht="15.75" customHeight="1">
      <c r="A4" s="4" t="s">
        <v>529</v>
      </c>
      <c r="B4" s="4">
        <v>901233605</v>
      </c>
      <c r="C4" s="4">
        <v>4</v>
      </c>
      <c r="D4" s="6" t="s">
        <v>253</v>
      </c>
      <c r="E4" s="6"/>
      <c r="F4" s="6"/>
      <c r="G4" s="6" t="s">
        <v>16</v>
      </c>
      <c r="H4" s="6" t="s">
        <v>254</v>
      </c>
      <c r="I4" s="4"/>
      <c r="J4" s="6" t="s">
        <v>255</v>
      </c>
      <c r="L4" s="4" t="s">
        <v>250</v>
      </c>
      <c r="M4" s="6" t="s">
        <v>251</v>
      </c>
    </row>
    <row r="5" spans="1:35" ht="15.75" customHeight="1">
      <c r="A5" s="4" t="s">
        <v>529</v>
      </c>
      <c r="B5" s="4">
        <v>900818708</v>
      </c>
      <c r="C5" s="4">
        <v>2</v>
      </c>
      <c r="D5" s="6" t="s">
        <v>256</v>
      </c>
      <c r="E5" s="6"/>
      <c r="F5" s="6"/>
      <c r="G5" s="6" t="s">
        <v>16</v>
      </c>
      <c r="H5" s="6" t="s">
        <v>257</v>
      </c>
      <c r="I5" s="4"/>
      <c r="J5" s="6" t="s">
        <v>255</v>
      </c>
      <c r="L5" s="4" t="s">
        <v>250</v>
      </c>
      <c r="M5" s="6" t="s">
        <v>251</v>
      </c>
    </row>
    <row r="6" spans="1:35" ht="15.75" customHeight="1">
      <c r="A6" s="4" t="s">
        <v>529</v>
      </c>
      <c r="B6" s="4">
        <v>900590446</v>
      </c>
      <c r="C6" s="4">
        <v>6</v>
      </c>
      <c r="D6" s="6" t="s">
        <v>258</v>
      </c>
      <c r="E6" s="6"/>
      <c r="F6" s="6"/>
      <c r="G6" s="6" t="s">
        <v>16</v>
      </c>
      <c r="H6" s="6" t="s">
        <v>259</v>
      </c>
      <c r="I6" s="4"/>
      <c r="J6" s="6" t="s">
        <v>260</v>
      </c>
      <c r="L6" s="4" t="s">
        <v>250</v>
      </c>
      <c r="M6" s="6" t="s">
        <v>251</v>
      </c>
    </row>
    <row r="7" spans="1:35" ht="15.75" customHeight="1">
      <c r="A7" s="4" t="s">
        <v>529</v>
      </c>
      <c r="B7" s="4">
        <v>900145045</v>
      </c>
      <c r="C7" s="4">
        <v>9</v>
      </c>
      <c r="D7" s="6" t="s">
        <v>261</v>
      </c>
      <c r="E7" s="6"/>
      <c r="F7" s="6"/>
      <c r="G7" s="6" t="s">
        <v>16</v>
      </c>
      <c r="H7" s="6" t="s">
        <v>262</v>
      </c>
      <c r="I7" s="4"/>
      <c r="J7" s="6" t="s">
        <v>263</v>
      </c>
      <c r="L7" s="4" t="s">
        <v>250</v>
      </c>
      <c r="M7" s="6" t="s">
        <v>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I21"/>
  <sheetViews>
    <sheetView workbookViewId="0"/>
  </sheetViews>
  <sheetFormatPr baseColWidth="10" defaultColWidth="12.6328125" defaultRowHeight="15.75" customHeight="1"/>
  <sheetData>
    <row r="1" spans="1:35" ht="13">
      <c r="A1" s="1" t="s">
        <v>527</v>
      </c>
      <c r="B1" s="1" t="s">
        <v>0</v>
      </c>
      <c r="C1" s="1" t="s">
        <v>528</v>
      </c>
      <c r="D1" s="3" t="s">
        <v>2</v>
      </c>
      <c r="E1" s="3" t="s">
        <v>3</v>
      </c>
      <c r="F1" s="3" t="s">
        <v>4</v>
      </c>
      <c r="G1" s="3" t="s">
        <v>5</v>
      </c>
      <c r="H1" s="3" t="s">
        <v>7</v>
      </c>
      <c r="I1" s="1" t="s">
        <v>8</v>
      </c>
      <c r="J1" s="3" t="s">
        <v>9</v>
      </c>
      <c r="K1" s="1" t="s">
        <v>10</v>
      </c>
      <c r="L1" s="1" t="s">
        <v>11</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4" t="s">
        <v>529</v>
      </c>
      <c r="B2" s="4">
        <v>901388220</v>
      </c>
      <c r="C2" s="4">
        <v>8</v>
      </c>
      <c r="D2" s="6" t="s">
        <v>265</v>
      </c>
      <c r="E2" s="6"/>
      <c r="F2" s="6"/>
      <c r="G2" s="6" t="s">
        <v>16</v>
      </c>
      <c r="I2" s="4"/>
      <c r="J2" s="6" t="s">
        <v>266</v>
      </c>
      <c r="L2" s="4" t="s">
        <v>267</v>
      </c>
      <c r="M2" s="6" t="s">
        <v>264</v>
      </c>
    </row>
    <row r="3" spans="1:35" ht="15.75" customHeight="1">
      <c r="A3" s="4" t="s">
        <v>530</v>
      </c>
      <c r="B3" s="4">
        <v>51588109</v>
      </c>
      <c r="C3" s="4">
        <v>3</v>
      </c>
      <c r="D3" s="6" t="s">
        <v>268</v>
      </c>
      <c r="E3" s="6"/>
      <c r="F3" s="6"/>
      <c r="G3" s="6" t="s">
        <v>16</v>
      </c>
      <c r="H3" s="6" t="s">
        <v>269</v>
      </c>
      <c r="I3" s="4"/>
      <c r="J3" s="6" t="s">
        <v>270</v>
      </c>
      <c r="L3" s="4" t="s">
        <v>267</v>
      </c>
      <c r="M3" s="6" t="s">
        <v>264</v>
      </c>
    </row>
    <row r="4" spans="1:35" ht="15.75" customHeight="1">
      <c r="A4" s="4" t="s">
        <v>529</v>
      </c>
      <c r="B4" s="4">
        <v>900990013</v>
      </c>
      <c r="C4" s="4">
        <v>7</v>
      </c>
      <c r="D4" s="6" t="s">
        <v>271</v>
      </c>
      <c r="E4" s="6"/>
      <c r="F4" s="6"/>
      <c r="G4" s="6" t="s">
        <v>16</v>
      </c>
      <c r="H4" s="6" t="s">
        <v>272</v>
      </c>
      <c r="I4" s="4"/>
      <c r="J4" s="6" t="s">
        <v>273</v>
      </c>
      <c r="L4" s="4" t="s">
        <v>267</v>
      </c>
      <c r="M4" s="6" t="s">
        <v>264</v>
      </c>
    </row>
    <row r="5" spans="1:35" ht="15.75" customHeight="1">
      <c r="A5" s="4" t="s">
        <v>530</v>
      </c>
      <c r="B5" s="4">
        <v>1044431163</v>
      </c>
      <c r="C5" s="4">
        <v>2</v>
      </c>
      <c r="D5" s="6" t="s">
        <v>274</v>
      </c>
      <c r="E5" s="6"/>
      <c r="F5" s="6"/>
      <c r="G5" s="6" t="s">
        <v>16</v>
      </c>
      <c r="H5" s="6" t="s">
        <v>275</v>
      </c>
      <c r="I5" s="4"/>
      <c r="J5" s="6" t="s">
        <v>276</v>
      </c>
      <c r="L5" s="4" t="s">
        <v>267</v>
      </c>
      <c r="M5" s="6" t="s">
        <v>264</v>
      </c>
    </row>
    <row r="6" spans="1:35" ht="15.75" customHeight="1">
      <c r="A6" s="4" t="s">
        <v>529</v>
      </c>
      <c r="B6" s="4">
        <v>901410045</v>
      </c>
      <c r="C6" s="4">
        <v>9</v>
      </c>
      <c r="D6" s="6" t="s">
        <v>277</v>
      </c>
      <c r="E6" s="6"/>
      <c r="F6" s="6"/>
      <c r="G6" s="6" t="s">
        <v>16</v>
      </c>
      <c r="H6" s="6" t="s">
        <v>278</v>
      </c>
      <c r="I6" s="4"/>
      <c r="J6" s="6" t="s">
        <v>279</v>
      </c>
      <c r="L6" s="4" t="s">
        <v>267</v>
      </c>
      <c r="M6" s="6" t="s">
        <v>264</v>
      </c>
    </row>
    <row r="7" spans="1:35" ht="15.75" customHeight="1">
      <c r="A7" s="4" t="s">
        <v>529</v>
      </c>
      <c r="B7" s="4">
        <v>901187231</v>
      </c>
      <c r="C7" s="4">
        <v>6</v>
      </c>
      <c r="D7" s="6" t="s">
        <v>280</v>
      </c>
      <c r="E7" s="6"/>
      <c r="F7" s="6"/>
      <c r="G7" s="6" t="s">
        <v>16</v>
      </c>
      <c r="I7" s="4"/>
      <c r="J7" s="6" t="s">
        <v>281</v>
      </c>
      <c r="L7" s="4" t="s">
        <v>267</v>
      </c>
      <c r="M7" s="6" t="s">
        <v>264</v>
      </c>
    </row>
    <row r="8" spans="1:35" ht="15.75" customHeight="1">
      <c r="A8" s="4" t="s">
        <v>529</v>
      </c>
      <c r="B8" s="4">
        <v>901268852</v>
      </c>
      <c r="C8" s="4">
        <v>8</v>
      </c>
      <c r="D8" s="6" t="s">
        <v>282</v>
      </c>
      <c r="E8" s="6"/>
      <c r="F8" s="6"/>
      <c r="G8" s="6" t="s">
        <v>16</v>
      </c>
      <c r="H8" s="6" t="s">
        <v>283</v>
      </c>
      <c r="I8" s="4"/>
      <c r="J8" s="6" t="s">
        <v>281</v>
      </c>
      <c r="L8" s="4" t="s">
        <v>267</v>
      </c>
      <c r="M8" s="6" t="s">
        <v>264</v>
      </c>
    </row>
    <row r="9" spans="1:35" ht="15.75" customHeight="1">
      <c r="A9" s="4" t="s">
        <v>529</v>
      </c>
      <c r="B9" s="4">
        <v>901381639</v>
      </c>
      <c r="C9" s="4">
        <v>8</v>
      </c>
      <c r="D9" s="6" t="s">
        <v>284</v>
      </c>
      <c r="E9" s="6"/>
      <c r="F9" s="6"/>
      <c r="G9" s="6" t="s">
        <v>16</v>
      </c>
      <c r="H9" s="6" t="s">
        <v>285</v>
      </c>
      <c r="I9" s="4"/>
      <c r="J9" s="6" t="s">
        <v>286</v>
      </c>
      <c r="L9" s="4" t="s">
        <v>267</v>
      </c>
      <c r="M9" s="6" t="s">
        <v>264</v>
      </c>
    </row>
    <row r="10" spans="1:35" ht="15.75" customHeight="1">
      <c r="A10" s="4" t="s">
        <v>529</v>
      </c>
      <c r="B10" s="4">
        <v>811007952</v>
      </c>
      <c r="C10" s="4">
        <v>0</v>
      </c>
      <c r="D10" s="6" t="s">
        <v>287</v>
      </c>
      <c r="E10" s="6"/>
      <c r="F10" s="6"/>
      <c r="G10" s="6" t="s">
        <v>16</v>
      </c>
      <c r="H10" s="6" t="s">
        <v>288</v>
      </c>
      <c r="I10" s="4"/>
      <c r="J10" s="6" t="s">
        <v>289</v>
      </c>
      <c r="L10" s="4" t="s">
        <v>267</v>
      </c>
      <c r="M10" s="6" t="s">
        <v>264</v>
      </c>
    </row>
    <row r="11" spans="1:35" ht="15.75" customHeight="1">
      <c r="A11" s="4" t="s">
        <v>529</v>
      </c>
      <c r="B11" s="4">
        <v>900386828</v>
      </c>
      <c r="C11" s="4">
        <v>2</v>
      </c>
      <c r="D11" s="6" t="s">
        <v>290</v>
      </c>
      <c r="E11" s="6"/>
      <c r="F11" s="6"/>
      <c r="G11" s="6" t="s">
        <v>16</v>
      </c>
      <c r="H11" s="6" t="s">
        <v>291</v>
      </c>
      <c r="I11" s="4"/>
      <c r="J11" s="6" t="s">
        <v>289</v>
      </c>
      <c r="L11" s="4" t="s">
        <v>267</v>
      </c>
      <c r="M11" s="6" t="s">
        <v>264</v>
      </c>
    </row>
    <row r="12" spans="1:35" ht="15.75" customHeight="1">
      <c r="A12" s="4" t="s">
        <v>529</v>
      </c>
      <c r="B12" s="4">
        <v>901570046</v>
      </c>
      <c r="C12" s="4">
        <v>1</v>
      </c>
      <c r="D12" s="6" t="s">
        <v>292</v>
      </c>
      <c r="E12" s="6"/>
      <c r="F12" s="6"/>
      <c r="G12" s="6" t="s">
        <v>16</v>
      </c>
      <c r="H12" s="6" t="s">
        <v>293</v>
      </c>
      <c r="I12" s="4"/>
      <c r="J12" s="6" t="s">
        <v>294</v>
      </c>
      <c r="L12" s="4" t="s">
        <v>267</v>
      </c>
      <c r="M12" s="6" t="s">
        <v>264</v>
      </c>
    </row>
    <row r="13" spans="1:35" ht="15.75" customHeight="1">
      <c r="A13" s="4" t="s">
        <v>529</v>
      </c>
      <c r="B13" s="4">
        <v>811041400</v>
      </c>
      <c r="C13" s="4">
        <v>0</v>
      </c>
      <c r="D13" s="6" t="s">
        <v>295</v>
      </c>
      <c r="E13" s="6"/>
      <c r="F13" s="6"/>
      <c r="G13" s="6" t="s">
        <v>16</v>
      </c>
      <c r="H13" s="6" t="s">
        <v>296</v>
      </c>
      <c r="I13" s="4"/>
      <c r="J13" s="6" t="s">
        <v>297</v>
      </c>
      <c r="L13" s="4" t="s">
        <v>267</v>
      </c>
      <c r="M13" s="6" t="s">
        <v>264</v>
      </c>
    </row>
    <row r="14" spans="1:35" ht="15.75" customHeight="1">
      <c r="A14" s="4" t="s">
        <v>529</v>
      </c>
      <c r="B14" s="4">
        <v>901194718</v>
      </c>
      <c r="C14" s="4">
        <v>1</v>
      </c>
      <c r="D14" s="6" t="s">
        <v>298</v>
      </c>
      <c r="E14" s="6"/>
      <c r="F14" s="6"/>
      <c r="G14" s="6" t="s">
        <v>16</v>
      </c>
      <c r="H14" s="6" t="s">
        <v>299</v>
      </c>
      <c r="I14" s="4"/>
      <c r="J14" s="6" t="s">
        <v>300</v>
      </c>
      <c r="L14" s="4" t="s">
        <v>267</v>
      </c>
      <c r="M14" s="6" t="s">
        <v>301</v>
      </c>
    </row>
    <row r="15" spans="1:35" ht="15.75" customHeight="1">
      <c r="A15" s="4" t="s">
        <v>529</v>
      </c>
      <c r="B15" s="4">
        <v>900865281</v>
      </c>
      <c r="C15" s="4">
        <v>1</v>
      </c>
      <c r="D15" s="6" t="s">
        <v>302</v>
      </c>
      <c r="E15" s="6"/>
      <c r="F15" s="6"/>
      <c r="G15" s="6" t="s">
        <v>16</v>
      </c>
      <c r="H15" s="6" t="s">
        <v>303</v>
      </c>
      <c r="I15" s="4"/>
      <c r="J15" s="6" t="s">
        <v>289</v>
      </c>
      <c r="L15" s="4" t="s">
        <v>267</v>
      </c>
      <c r="M15" s="6" t="s">
        <v>304</v>
      </c>
    </row>
    <row r="16" spans="1:35" ht="15.75" customHeight="1">
      <c r="A16" s="4" t="s">
        <v>529</v>
      </c>
      <c r="B16" s="4">
        <v>901221968</v>
      </c>
      <c r="C16" s="4">
        <v>0</v>
      </c>
      <c r="D16" s="6" t="s">
        <v>305</v>
      </c>
      <c r="E16" s="6"/>
      <c r="F16" s="6"/>
      <c r="G16" s="6" t="s">
        <v>16</v>
      </c>
      <c r="H16" s="6" t="s">
        <v>306</v>
      </c>
      <c r="I16" s="4"/>
      <c r="J16" s="6" t="s">
        <v>307</v>
      </c>
      <c r="L16" s="4" t="s">
        <v>267</v>
      </c>
      <c r="M16" s="6" t="s">
        <v>304</v>
      </c>
    </row>
    <row r="17" spans="1:14" ht="15.75" customHeight="1">
      <c r="A17" s="4" t="s">
        <v>529</v>
      </c>
      <c r="B17" s="4">
        <v>811000995</v>
      </c>
      <c r="C17" s="4">
        <v>5</v>
      </c>
      <c r="D17" s="6" t="s">
        <v>308</v>
      </c>
      <c r="E17" s="6"/>
      <c r="F17" s="6"/>
      <c r="G17" s="6" t="s">
        <v>16</v>
      </c>
      <c r="H17" s="6" t="s">
        <v>309</v>
      </c>
      <c r="I17" s="4"/>
      <c r="J17" s="6" t="s">
        <v>310</v>
      </c>
      <c r="L17" s="4" t="s">
        <v>267</v>
      </c>
      <c r="M17" s="6" t="s">
        <v>311</v>
      </c>
    </row>
    <row r="18" spans="1:14" ht="15.75" customHeight="1">
      <c r="A18" s="4" t="s">
        <v>529</v>
      </c>
      <c r="B18" s="4">
        <v>900231102</v>
      </c>
      <c r="C18" s="4">
        <v>9</v>
      </c>
      <c r="D18" s="6" t="s">
        <v>312</v>
      </c>
      <c r="E18" s="6"/>
      <c r="F18" s="6"/>
      <c r="G18" s="6" t="s">
        <v>16</v>
      </c>
      <c r="H18" s="6" t="s">
        <v>313</v>
      </c>
      <c r="I18" s="4"/>
      <c r="J18" s="6" t="s">
        <v>294</v>
      </c>
      <c r="L18" s="4" t="s">
        <v>267</v>
      </c>
      <c r="M18" s="6" t="s">
        <v>311</v>
      </c>
    </row>
    <row r="19" spans="1:14" ht="15.75" customHeight="1">
      <c r="A19" s="14"/>
      <c r="B19" s="14"/>
      <c r="C19" s="14"/>
      <c r="D19" s="12" t="s">
        <v>314</v>
      </c>
      <c r="E19" s="12"/>
      <c r="F19" s="12"/>
      <c r="G19" s="12"/>
      <c r="H19" s="12" t="s">
        <v>315</v>
      </c>
      <c r="I19" s="14"/>
      <c r="J19" s="12"/>
      <c r="K19" s="12"/>
      <c r="L19" s="14"/>
      <c r="M19" s="12"/>
      <c r="N19" s="12"/>
    </row>
    <row r="20" spans="1:14" ht="12.5">
      <c r="A20" s="4" t="s">
        <v>530</v>
      </c>
      <c r="B20" s="4">
        <v>25717799</v>
      </c>
      <c r="C20" s="4"/>
      <c r="D20" s="6" t="s">
        <v>316</v>
      </c>
      <c r="E20" s="6"/>
      <c r="F20" s="6"/>
      <c r="G20" s="6" t="s">
        <v>16</v>
      </c>
      <c r="H20" s="6" t="s">
        <v>317</v>
      </c>
      <c r="I20" s="4"/>
      <c r="J20" s="6" t="s">
        <v>318</v>
      </c>
      <c r="L20" s="4" t="s">
        <v>267</v>
      </c>
      <c r="M20" s="6" t="s">
        <v>311</v>
      </c>
      <c r="N20" s="6" t="s">
        <v>319</v>
      </c>
    </row>
    <row r="21" spans="1:14" ht="12.5">
      <c r="A21" s="16" t="s">
        <v>529</v>
      </c>
      <c r="B21" s="16">
        <v>901304691</v>
      </c>
      <c r="C21" s="16">
        <v>3</v>
      </c>
      <c r="D21" s="18" t="s">
        <v>320</v>
      </c>
      <c r="E21" s="18"/>
      <c r="F21" s="18"/>
      <c r="G21" s="18" t="s">
        <v>16</v>
      </c>
      <c r="H21" s="18" t="s">
        <v>321</v>
      </c>
      <c r="I21" s="16"/>
      <c r="J21" s="18" t="s">
        <v>322</v>
      </c>
      <c r="K21" s="18"/>
      <c r="L21" s="16" t="s">
        <v>267</v>
      </c>
      <c r="M21" s="18" t="s">
        <v>311</v>
      </c>
      <c r="N21"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7"/>
  <sheetViews>
    <sheetView workbookViewId="0"/>
  </sheetViews>
  <sheetFormatPr baseColWidth="10" defaultColWidth="12.6328125" defaultRowHeight="15.75" customHeight="1"/>
  <sheetData>
    <row r="1" spans="1:35" ht="13">
      <c r="A1" s="1" t="s">
        <v>527</v>
      </c>
      <c r="B1" s="1" t="s">
        <v>0</v>
      </c>
      <c r="C1" s="1" t="s">
        <v>528</v>
      </c>
      <c r="D1" s="3" t="s">
        <v>2</v>
      </c>
      <c r="E1" s="3" t="s">
        <v>3</v>
      </c>
      <c r="F1" s="3" t="s">
        <v>4</v>
      </c>
      <c r="G1" s="3" t="s">
        <v>5</v>
      </c>
      <c r="H1" s="3" t="s">
        <v>7</v>
      </c>
      <c r="I1" s="1" t="s">
        <v>8</v>
      </c>
      <c r="J1" s="3" t="s">
        <v>9</v>
      </c>
      <c r="K1" s="1" t="s">
        <v>10</v>
      </c>
      <c r="L1" s="1" t="s">
        <v>11</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4" t="s">
        <v>529</v>
      </c>
      <c r="B2" s="4">
        <v>901421923</v>
      </c>
      <c r="C2" s="4">
        <v>8</v>
      </c>
      <c r="D2" s="6" t="s">
        <v>323</v>
      </c>
      <c r="E2" s="6"/>
      <c r="F2" s="6"/>
      <c r="G2" s="6" t="s">
        <v>16</v>
      </c>
      <c r="H2" s="6" t="s">
        <v>324</v>
      </c>
      <c r="I2" s="4"/>
      <c r="J2" s="6" t="s">
        <v>325</v>
      </c>
      <c r="L2" s="4" t="s">
        <v>326</v>
      </c>
      <c r="M2" s="6" t="s">
        <v>311</v>
      </c>
    </row>
    <row r="3" spans="1:35" ht="15.75" customHeight="1">
      <c r="A3" s="4" t="s">
        <v>529</v>
      </c>
      <c r="B3" s="4">
        <v>901608954</v>
      </c>
      <c r="C3" s="4">
        <v>0</v>
      </c>
      <c r="D3" s="6" t="s">
        <v>327</v>
      </c>
      <c r="E3" s="6"/>
      <c r="F3" s="6"/>
      <c r="G3" s="6" t="s">
        <v>16</v>
      </c>
      <c r="H3" s="6" t="s">
        <v>328</v>
      </c>
      <c r="I3" s="4"/>
      <c r="J3" s="6" t="s">
        <v>325</v>
      </c>
      <c r="L3" s="4" t="s">
        <v>326</v>
      </c>
      <c r="M3" s="6" t="s">
        <v>311</v>
      </c>
      <c r="N3" s="19" t="s">
        <v>329</v>
      </c>
    </row>
    <row r="4" spans="1:35" ht="15.75" customHeight="1">
      <c r="A4" s="4" t="s">
        <v>529</v>
      </c>
      <c r="B4" s="4">
        <v>900619947</v>
      </c>
      <c r="C4" s="4">
        <v>2</v>
      </c>
      <c r="D4" s="6" t="s">
        <v>330</v>
      </c>
      <c r="E4" s="6"/>
      <c r="F4" s="6"/>
      <c r="G4" s="6" t="s">
        <v>16</v>
      </c>
      <c r="H4" s="6" t="s">
        <v>331</v>
      </c>
      <c r="J4" s="6" t="s">
        <v>46</v>
      </c>
      <c r="L4" s="4" t="s">
        <v>326</v>
      </c>
      <c r="M4" s="6" t="s">
        <v>332</v>
      </c>
    </row>
    <row r="5" spans="1:35" ht="15.75" customHeight="1">
      <c r="A5" s="4" t="s">
        <v>529</v>
      </c>
      <c r="B5" s="4">
        <v>806011452</v>
      </c>
      <c r="C5" s="4"/>
      <c r="D5" s="6" t="s">
        <v>333</v>
      </c>
      <c r="E5" s="6"/>
      <c r="F5" s="6"/>
      <c r="G5" s="6" t="s">
        <v>107</v>
      </c>
      <c r="H5" s="6" t="s">
        <v>334</v>
      </c>
      <c r="I5" s="4"/>
      <c r="J5" s="6" t="s">
        <v>335</v>
      </c>
      <c r="L5" s="4" t="s">
        <v>326</v>
      </c>
      <c r="M5" s="6" t="s">
        <v>311</v>
      </c>
    </row>
    <row r="6" spans="1:35" ht="15.75" customHeight="1">
      <c r="A6" s="4" t="s">
        <v>529</v>
      </c>
      <c r="B6" s="4">
        <v>800192164</v>
      </c>
      <c r="C6" s="4">
        <v>4</v>
      </c>
      <c r="D6" s="6" t="s">
        <v>336</v>
      </c>
      <c r="E6" s="6"/>
      <c r="F6" s="6"/>
      <c r="G6" s="6" t="s">
        <v>16</v>
      </c>
      <c r="H6" s="6" t="s">
        <v>337</v>
      </c>
      <c r="I6" s="4"/>
      <c r="J6" s="6" t="s">
        <v>335</v>
      </c>
      <c r="L6" s="20" t="s">
        <v>326</v>
      </c>
      <c r="M6" s="21" t="s">
        <v>311</v>
      </c>
    </row>
    <row r="7" spans="1:35" ht="15.75" customHeight="1">
      <c r="A7" s="4" t="s">
        <v>530</v>
      </c>
      <c r="B7" s="4">
        <v>94528456</v>
      </c>
      <c r="C7" s="4"/>
      <c r="D7" s="6" t="s">
        <v>338</v>
      </c>
      <c r="E7" s="6"/>
      <c r="F7" s="6"/>
      <c r="G7" s="6" t="s">
        <v>107</v>
      </c>
      <c r="H7" s="6" t="s">
        <v>339</v>
      </c>
      <c r="I7" s="4"/>
      <c r="J7" s="6" t="s">
        <v>335</v>
      </c>
      <c r="L7" s="20" t="s">
        <v>326</v>
      </c>
      <c r="M7" s="6" t="s">
        <v>340</v>
      </c>
      <c r="N7" s="6" t="s">
        <v>341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I4"/>
  <sheetViews>
    <sheetView workbookViewId="0"/>
  </sheetViews>
  <sheetFormatPr baseColWidth="10" defaultColWidth="12.6328125" defaultRowHeight="15.75" customHeight="1"/>
  <cols>
    <col min="4" max="4" width="26.36328125" customWidth="1"/>
  </cols>
  <sheetData>
    <row r="1" spans="1:35" ht="13">
      <c r="A1" s="1" t="s">
        <v>527</v>
      </c>
      <c r="B1" s="1" t="s">
        <v>0</v>
      </c>
      <c r="C1" s="1" t="s">
        <v>528</v>
      </c>
      <c r="D1" s="3" t="s">
        <v>2</v>
      </c>
      <c r="E1" s="3" t="s">
        <v>3</v>
      </c>
      <c r="F1" s="3" t="s">
        <v>4</v>
      </c>
      <c r="G1" s="3" t="s">
        <v>5</v>
      </c>
      <c r="H1" s="3" t="s">
        <v>7</v>
      </c>
      <c r="I1" s="1" t="s">
        <v>8</v>
      </c>
      <c r="J1" s="3" t="s">
        <v>9</v>
      </c>
      <c r="K1" s="1" t="s">
        <v>10</v>
      </c>
      <c r="L1" s="1" t="s">
        <v>11</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4" t="s">
        <v>529</v>
      </c>
      <c r="B2" s="4">
        <v>901474775</v>
      </c>
      <c r="C2" s="4">
        <v>1</v>
      </c>
      <c r="D2" s="6" t="s">
        <v>342</v>
      </c>
      <c r="E2" s="6"/>
      <c r="F2" s="6"/>
      <c r="G2" s="6" t="s">
        <v>16</v>
      </c>
      <c r="H2" s="6" t="s">
        <v>343</v>
      </c>
      <c r="I2" s="4"/>
      <c r="J2" s="6" t="s">
        <v>344</v>
      </c>
      <c r="L2" s="20" t="s">
        <v>345</v>
      </c>
      <c r="M2" s="6" t="s">
        <v>332</v>
      </c>
    </row>
    <row r="3" spans="1:35" ht="15.75" customHeight="1">
      <c r="A3" s="4" t="s">
        <v>529</v>
      </c>
      <c r="B3" s="4">
        <v>901554475</v>
      </c>
      <c r="C3" s="4">
        <v>0</v>
      </c>
      <c r="D3" s="6" t="s">
        <v>346</v>
      </c>
      <c r="E3" s="6"/>
      <c r="F3" s="6"/>
      <c r="G3" s="6" t="s">
        <v>16</v>
      </c>
      <c r="H3" s="6" t="s">
        <v>343</v>
      </c>
      <c r="I3" s="4"/>
      <c r="J3" s="6" t="s">
        <v>344</v>
      </c>
      <c r="L3" s="20" t="s">
        <v>345</v>
      </c>
      <c r="M3" s="6" t="s">
        <v>332</v>
      </c>
    </row>
    <row r="4" spans="1:35" ht="15.75" customHeight="1">
      <c r="A4" s="4" t="s">
        <v>529</v>
      </c>
      <c r="B4" s="4">
        <v>901534006</v>
      </c>
      <c r="C4" s="4"/>
      <c r="D4" s="6" t="s">
        <v>347</v>
      </c>
      <c r="E4" s="6"/>
      <c r="F4" s="6"/>
      <c r="G4" s="6" t="s">
        <v>107</v>
      </c>
      <c r="H4" s="6" t="s">
        <v>348</v>
      </c>
      <c r="I4" s="4"/>
      <c r="J4" s="6" t="s">
        <v>344</v>
      </c>
      <c r="L4" s="4" t="s">
        <v>345</v>
      </c>
      <c r="M4" s="6" t="s">
        <v>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I18"/>
  <sheetViews>
    <sheetView workbookViewId="0"/>
  </sheetViews>
  <sheetFormatPr baseColWidth="10" defaultColWidth="12.6328125" defaultRowHeight="15.75" customHeight="1"/>
  <cols>
    <col min="4" max="4" width="41.6328125" customWidth="1"/>
  </cols>
  <sheetData>
    <row r="1" spans="1:35" ht="13">
      <c r="A1" s="1" t="s">
        <v>527</v>
      </c>
      <c r="B1" s="1" t="s">
        <v>0</v>
      </c>
      <c r="C1" s="1" t="s">
        <v>528</v>
      </c>
      <c r="D1" s="3" t="s">
        <v>2</v>
      </c>
      <c r="E1" s="3" t="s">
        <v>3</v>
      </c>
      <c r="F1" s="3" t="s">
        <v>4</v>
      </c>
      <c r="G1" s="3" t="s">
        <v>5</v>
      </c>
      <c r="H1" s="3" t="s">
        <v>7</v>
      </c>
      <c r="I1" s="1" t="s">
        <v>8</v>
      </c>
      <c r="J1" s="3" t="s">
        <v>9</v>
      </c>
      <c r="K1" s="1" t="s">
        <v>10</v>
      </c>
      <c r="L1" s="1" t="s">
        <v>11</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4"/>
      <c r="B2" s="4"/>
      <c r="C2" s="4"/>
      <c r="D2" s="6" t="s">
        <v>386</v>
      </c>
      <c r="E2" s="6"/>
      <c r="F2" s="6"/>
      <c r="G2" s="6" t="s">
        <v>16</v>
      </c>
      <c r="H2" s="6" t="s">
        <v>387</v>
      </c>
      <c r="I2" s="4"/>
      <c r="J2" s="6" t="s">
        <v>388</v>
      </c>
      <c r="L2" s="4" t="s">
        <v>389</v>
      </c>
      <c r="M2" s="6" t="s">
        <v>390</v>
      </c>
    </row>
    <row r="3" spans="1:35" ht="15.75" customHeight="1">
      <c r="A3" s="4"/>
      <c r="B3" s="4"/>
      <c r="C3" s="4"/>
      <c r="D3" s="6" t="s">
        <v>391</v>
      </c>
      <c r="E3" s="6"/>
      <c r="F3" s="6"/>
      <c r="G3" s="6" t="s">
        <v>16</v>
      </c>
      <c r="H3" s="6" t="s">
        <v>387</v>
      </c>
      <c r="I3" s="4"/>
      <c r="J3" s="6" t="s">
        <v>388</v>
      </c>
      <c r="L3" s="4" t="s">
        <v>389</v>
      </c>
      <c r="M3" s="6" t="s">
        <v>390</v>
      </c>
    </row>
    <row r="4" spans="1:35" ht="15.75" customHeight="1">
      <c r="A4" s="4"/>
      <c r="B4" s="4"/>
      <c r="C4" s="4"/>
      <c r="D4" s="6" t="s">
        <v>392</v>
      </c>
      <c r="E4" s="6"/>
      <c r="F4" s="6"/>
      <c r="G4" s="6" t="s">
        <v>16</v>
      </c>
      <c r="H4" s="6" t="s">
        <v>393</v>
      </c>
      <c r="I4" s="4"/>
      <c r="L4" s="4" t="s">
        <v>389</v>
      </c>
      <c r="M4" s="6" t="s">
        <v>390</v>
      </c>
    </row>
    <row r="5" spans="1:35" ht="15.75" customHeight="1">
      <c r="A5" s="4"/>
      <c r="B5" s="4"/>
      <c r="C5" s="4"/>
      <c r="D5" s="6" t="s">
        <v>394</v>
      </c>
      <c r="E5" s="6"/>
      <c r="F5" s="6"/>
      <c r="G5" s="6" t="s">
        <v>16</v>
      </c>
      <c r="H5" s="6" t="s">
        <v>395</v>
      </c>
      <c r="I5" s="4"/>
      <c r="L5" s="4" t="s">
        <v>389</v>
      </c>
      <c r="M5" s="6" t="s">
        <v>390</v>
      </c>
    </row>
    <row r="6" spans="1:35" ht="15.75" customHeight="1">
      <c r="A6" s="4"/>
      <c r="B6" s="4"/>
      <c r="C6" s="4"/>
      <c r="D6" s="6" t="s">
        <v>396</v>
      </c>
      <c r="E6" s="6"/>
      <c r="F6" s="6"/>
      <c r="G6" s="6" t="s">
        <v>16</v>
      </c>
      <c r="H6" s="6" t="s">
        <v>397</v>
      </c>
      <c r="I6" s="4"/>
      <c r="L6" s="4" t="s">
        <v>389</v>
      </c>
      <c r="M6" s="6" t="s">
        <v>390</v>
      </c>
    </row>
    <row r="7" spans="1:35" ht="15.75" customHeight="1">
      <c r="A7" s="4"/>
      <c r="B7" s="4"/>
      <c r="C7" s="4"/>
      <c r="D7" s="6" t="s">
        <v>398</v>
      </c>
      <c r="E7" s="6"/>
      <c r="F7" s="6"/>
      <c r="G7" s="6" t="s">
        <v>16</v>
      </c>
      <c r="H7" s="6" t="s">
        <v>399</v>
      </c>
      <c r="I7" s="4"/>
      <c r="L7" s="4" t="s">
        <v>389</v>
      </c>
      <c r="M7" s="6" t="s">
        <v>390</v>
      </c>
    </row>
    <row r="8" spans="1:35" ht="15.75" customHeight="1">
      <c r="A8" s="4"/>
      <c r="B8" s="4"/>
      <c r="C8" s="4"/>
      <c r="D8" s="6" t="s">
        <v>400</v>
      </c>
      <c r="E8" s="6"/>
      <c r="F8" s="6"/>
      <c r="G8" s="6" t="s">
        <v>16</v>
      </c>
      <c r="H8" s="6" t="s">
        <v>401</v>
      </c>
      <c r="I8" s="4"/>
      <c r="L8" s="4" t="s">
        <v>389</v>
      </c>
      <c r="M8" s="6" t="s">
        <v>390</v>
      </c>
    </row>
    <row r="9" spans="1:35" ht="15.75" customHeight="1">
      <c r="A9" s="4"/>
      <c r="B9" s="4">
        <v>901574566</v>
      </c>
      <c r="C9" s="4"/>
      <c r="D9" s="6" t="s">
        <v>402</v>
      </c>
      <c r="E9" s="6"/>
      <c r="F9" s="6"/>
      <c r="G9" s="6" t="s">
        <v>16</v>
      </c>
      <c r="H9" s="6" t="s">
        <v>403</v>
      </c>
      <c r="I9" s="4"/>
      <c r="L9" s="4" t="s">
        <v>389</v>
      </c>
      <c r="M9" s="6" t="s">
        <v>390</v>
      </c>
    </row>
    <row r="10" spans="1:35" ht="15.75" customHeight="1">
      <c r="A10" s="16"/>
      <c r="B10" s="16"/>
      <c r="C10" s="16"/>
      <c r="D10" s="18" t="s">
        <v>404</v>
      </c>
      <c r="E10" s="18"/>
      <c r="F10" s="18"/>
      <c r="G10" s="18" t="s">
        <v>16</v>
      </c>
      <c r="H10" s="18" t="s">
        <v>405</v>
      </c>
      <c r="I10" s="16"/>
      <c r="J10" s="18"/>
      <c r="K10" s="18"/>
      <c r="L10" s="16" t="s">
        <v>389</v>
      </c>
      <c r="M10" s="18" t="s">
        <v>390</v>
      </c>
      <c r="N10" s="18"/>
    </row>
    <row r="11" spans="1:35" ht="15.75" customHeight="1">
      <c r="A11" s="4"/>
      <c r="B11" s="4"/>
      <c r="C11" s="4"/>
      <c r="D11" s="6" t="s">
        <v>406</v>
      </c>
      <c r="E11" s="6"/>
      <c r="F11" s="6"/>
      <c r="G11" s="6" t="s">
        <v>16</v>
      </c>
      <c r="H11" s="6" t="s">
        <v>407</v>
      </c>
      <c r="I11" s="4"/>
      <c r="L11" s="4" t="s">
        <v>389</v>
      </c>
      <c r="M11" s="6" t="s">
        <v>390</v>
      </c>
    </row>
    <row r="12" spans="1:35" ht="15.75" customHeight="1">
      <c r="A12" s="14"/>
      <c r="B12" s="14"/>
      <c r="C12" s="14"/>
      <c r="D12" s="12" t="s">
        <v>408</v>
      </c>
      <c r="E12" s="12"/>
      <c r="F12" s="12"/>
      <c r="G12" s="12" t="s">
        <v>16</v>
      </c>
      <c r="H12" s="12"/>
      <c r="I12" s="14"/>
      <c r="J12" s="12"/>
      <c r="K12" s="12"/>
      <c r="L12" s="14" t="s">
        <v>389</v>
      </c>
      <c r="M12" s="12" t="s">
        <v>390</v>
      </c>
      <c r="N12" s="12" t="s">
        <v>409</v>
      </c>
    </row>
    <row r="13" spans="1:35" ht="15.75" customHeight="1">
      <c r="A13" s="4"/>
      <c r="B13" s="4"/>
      <c r="C13" s="4"/>
      <c r="D13" s="6" t="s">
        <v>410</v>
      </c>
      <c r="E13" s="6"/>
      <c r="F13" s="6"/>
      <c r="G13" s="6" t="s">
        <v>16</v>
      </c>
      <c r="H13" s="6" t="s">
        <v>411</v>
      </c>
      <c r="I13" s="4"/>
      <c r="L13" s="4" t="s">
        <v>389</v>
      </c>
      <c r="M13" s="6" t="s">
        <v>390</v>
      </c>
    </row>
    <row r="14" spans="1:35" ht="15.75" customHeight="1">
      <c r="A14" s="4"/>
      <c r="B14" s="4"/>
      <c r="C14" s="4"/>
      <c r="D14" s="6" t="s">
        <v>412</v>
      </c>
      <c r="E14" s="6"/>
      <c r="F14" s="6"/>
      <c r="G14" s="6" t="s">
        <v>16</v>
      </c>
      <c r="H14" s="6" t="s">
        <v>413</v>
      </c>
      <c r="I14" s="4"/>
      <c r="L14" s="4" t="s">
        <v>389</v>
      </c>
      <c r="M14" s="6" t="s">
        <v>390</v>
      </c>
    </row>
    <row r="15" spans="1:35" ht="15.75" customHeight="1">
      <c r="A15" s="4"/>
      <c r="B15" s="4"/>
      <c r="C15" s="4"/>
      <c r="D15" s="6" t="s">
        <v>414</v>
      </c>
      <c r="E15" s="6"/>
      <c r="F15" s="6"/>
      <c r="G15" s="6" t="s">
        <v>16</v>
      </c>
      <c r="I15" s="4"/>
      <c r="L15" s="4" t="s">
        <v>389</v>
      </c>
      <c r="M15" s="6" t="s">
        <v>390</v>
      </c>
    </row>
    <row r="16" spans="1:35" ht="15.75" customHeight="1">
      <c r="A16" s="4"/>
      <c r="B16" s="4"/>
      <c r="C16" s="4"/>
      <c r="D16" s="6" t="s">
        <v>415</v>
      </c>
      <c r="E16" s="6"/>
      <c r="F16" s="6"/>
      <c r="G16" s="6" t="s">
        <v>16</v>
      </c>
      <c r="H16" s="6" t="s">
        <v>416</v>
      </c>
      <c r="I16" s="4"/>
      <c r="L16" s="4" t="s">
        <v>389</v>
      </c>
      <c r="M16" s="6" t="s">
        <v>390</v>
      </c>
    </row>
    <row r="17" spans="1:13" ht="15.75" customHeight="1">
      <c r="A17" s="4"/>
      <c r="B17" s="4"/>
      <c r="C17" s="4"/>
      <c r="D17" s="6" t="s">
        <v>417</v>
      </c>
      <c r="E17" s="6"/>
      <c r="F17" s="6"/>
      <c r="G17" s="6" t="s">
        <v>16</v>
      </c>
      <c r="I17" s="4"/>
      <c r="L17" s="4" t="s">
        <v>389</v>
      </c>
      <c r="M17" s="6" t="s">
        <v>390</v>
      </c>
    </row>
    <row r="18" spans="1:13" ht="15.75" customHeight="1">
      <c r="A18" s="4"/>
      <c r="B18" s="4"/>
      <c r="C18" s="4"/>
      <c r="D18" s="6" t="s">
        <v>418</v>
      </c>
      <c r="E18" s="6"/>
      <c r="F18" s="6"/>
      <c r="G18" s="6" t="s">
        <v>16</v>
      </c>
      <c r="I18" s="4"/>
      <c r="L18" s="4" t="s">
        <v>389</v>
      </c>
      <c r="M18" s="6" t="s">
        <v>390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I18"/>
  <sheetViews>
    <sheetView workbookViewId="0"/>
  </sheetViews>
  <sheetFormatPr baseColWidth="10" defaultColWidth="12.6328125" defaultRowHeight="15.75" customHeight="1"/>
  <cols>
    <col min="4" max="4" width="43.6328125" customWidth="1"/>
  </cols>
  <sheetData>
    <row r="1" spans="1:35" ht="13">
      <c r="A1" s="1" t="s">
        <v>527</v>
      </c>
      <c r="B1" s="1" t="s">
        <v>0</v>
      </c>
      <c r="C1" s="1" t="s">
        <v>1</v>
      </c>
      <c r="D1" s="3" t="s">
        <v>2</v>
      </c>
      <c r="E1" s="3" t="s">
        <v>3</v>
      </c>
      <c r="F1" s="3" t="s">
        <v>4</v>
      </c>
      <c r="G1" s="3" t="s">
        <v>5</v>
      </c>
      <c r="H1" s="3" t="s">
        <v>7</v>
      </c>
      <c r="I1" s="1" t="s">
        <v>8</v>
      </c>
      <c r="J1" s="3" t="s">
        <v>9</v>
      </c>
      <c r="K1" s="1" t="s">
        <v>10</v>
      </c>
      <c r="L1" s="1" t="s">
        <v>11</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4"/>
      <c r="B2" s="4"/>
      <c r="C2" s="4"/>
      <c r="D2" s="6" t="s">
        <v>419</v>
      </c>
      <c r="E2" s="6"/>
      <c r="F2" s="6"/>
      <c r="G2" s="6" t="s">
        <v>16</v>
      </c>
      <c r="H2" s="6" t="s">
        <v>420</v>
      </c>
      <c r="I2" s="4"/>
      <c r="L2" s="4" t="s">
        <v>421</v>
      </c>
      <c r="M2" s="6" t="s">
        <v>422</v>
      </c>
    </row>
    <row r="3" spans="1:35" ht="15.75" customHeight="1">
      <c r="A3" s="4"/>
      <c r="B3" s="4"/>
      <c r="C3" s="4"/>
      <c r="D3" s="6" t="s">
        <v>423</v>
      </c>
      <c r="E3" s="6"/>
      <c r="F3" s="6"/>
      <c r="G3" s="6" t="s">
        <v>16</v>
      </c>
      <c r="H3" s="6" t="s">
        <v>424</v>
      </c>
      <c r="I3" s="4"/>
      <c r="L3" s="4" t="s">
        <v>421</v>
      </c>
      <c r="M3" s="6" t="s">
        <v>422</v>
      </c>
    </row>
    <row r="4" spans="1:35" ht="15.75" customHeight="1">
      <c r="A4" s="4"/>
      <c r="B4" s="4"/>
      <c r="C4" s="4"/>
      <c r="D4" s="6" t="s">
        <v>425</v>
      </c>
      <c r="E4" s="6"/>
      <c r="F4" s="6"/>
      <c r="G4" s="6" t="s">
        <v>16</v>
      </c>
      <c r="H4" s="6" t="s">
        <v>426</v>
      </c>
      <c r="I4" s="4"/>
      <c r="L4" s="4" t="s">
        <v>421</v>
      </c>
      <c r="M4" s="6" t="s">
        <v>422</v>
      </c>
    </row>
    <row r="5" spans="1:35" ht="15.75" customHeight="1">
      <c r="A5" s="4"/>
      <c r="B5" s="4"/>
      <c r="C5" s="4"/>
      <c r="D5" s="6" t="s">
        <v>427</v>
      </c>
      <c r="E5" s="6"/>
      <c r="F5" s="6"/>
      <c r="G5" s="6" t="s">
        <v>16</v>
      </c>
      <c r="H5" s="6" t="s">
        <v>428</v>
      </c>
      <c r="I5" s="4"/>
      <c r="L5" s="4" t="s">
        <v>421</v>
      </c>
      <c r="M5" s="6" t="s">
        <v>422</v>
      </c>
    </row>
    <row r="6" spans="1:35" ht="15.75" customHeight="1">
      <c r="A6" s="4"/>
      <c r="B6" s="4"/>
      <c r="C6" s="4"/>
      <c r="D6" s="6" t="s">
        <v>429</v>
      </c>
      <c r="E6" s="6"/>
      <c r="F6" s="6"/>
      <c r="G6" s="6" t="s">
        <v>16</v>
      </c>
      <c r="H6" s="6" t="s">
        <v>428</v>
      </c>
      <c r="I6" s="4"/>
      <c r="L6" s="4" t="s">
        <v>421</v>
      </c>
      <c r="M6" s="6" t="s">
        <v>422</v>
      </c>
    </row>
    <row r="7" spans="1:35" ht="15.75" customHeight="1">
      <c r="A7" s="4"/>
      <c r="B7" s="4"/>
      <c r="C7" s="4"/>
      <c r="D7" s="6" t="s">
        <v>430</v>
      </c>
      <c r="E7" s="6"/>
      <c r="F7" s="6"/>
      <c r="G7" s="6" t="s">
        <v>16</v>
      </c>
      <c r="H7" s="6" t="s">
        <v>431</v>
      </c>
      <c r="I7" s="4"/>
      <c r="L7" s="4" t="s">
        <v>421</v>
      </c>
      <c r="M7" s="6" t="s">
        <v>422</v>
      </c>
    </row>
    <row r="8" spans="1:35" ht="15.75" customHeight="1">
      <c r="A8" s="4"/>
      <c r="B8" s="4"/>
      <c r="C8" s="4"/>
      <c r="D8" s="6" t="s">
        <v>432</v>
      </c>
      <c r="E8" s="6"/>
      <c r="F8" s="6"/>
      <c r="G8" s="6" t="s">
        <v>16</v>
      </c>
      <c r="H8" s="6" t="s">
        <v>433</v>
      </c>
      <c r="I8" s="4"/>
      <c r="L8" s="4" t="s">
        <v>147</v>
      </c>
      <c r="M8" s="6" t="s">
        <v>434</v>
      </c>
    </row>
    <row r="9" spans="1:35" ht="15.75" customHeight="1">
      <c r="A9" s="4"/>
      <c r="B9" s="4"/>
      <c r="C9" s="4"/>
      <c r="D9" s="6" t="s">
        <v>435</v>
      </c>
      <c r="E9" s="6"/>
      <c r="F9" s="6"/>
      <c r="G9" s="6" t="s">
        <v>16</v>
      </c>
      <c r="H9" s="6" t="s">
        <v>436</v>
      </c>
      <c r="I9" s="4"/>
      <c r="L9" s="4" t="s">
        <v>147</v>
      </c>
      <c r="M9" s="6" t="s">
        <v>434</v>
      </c>
    </row>
    <row r="10" spans="1:35" ht="15.75" customHeight="1">
      <c r="A10" s="4"/>
      <c r="B10" s="4"/>
      <c r="C10" s="4"/>
      <c r="D10" s="6" t="s">
        <v>437</v>
      </c>
      <c r="E10" s="6"/>
      <c r="F10" s="6"/>
      <c r="G10" s="6" t="s">
        <v>16</v>
      </c>
      <c r="I10" s="4"/>
      <c r="L10" s="4" t="s">
        <v>147</v>
      </c>
      <c r="M10" s="6" t="s">
        <v>434</v>
      </c>
    </row>
    <row r="11" spans="1:35" ht="15.75" customHeight="1">
      <c r="A11" s="4"/>
      <c r="B11" s="4">
        <v>901661591</v>
      </c>
      <c r="C11" s="4"/>
      <c r="D11" s="6" t="s">
        <v>438</v>
      </c>
      <c r="E11" s="6"/>
      <c r="F11" s="6"/>
      <c r="G11" s="6" t="s">
        <v>16</v>
      </c>
      <c r="H11" s="6" t="s">
        <v>439</v>
      </c>
      <c r="I11" s="4"/>
      <c r="L11" s="4" t="s">
        <v>421</v>
      </c>
      <c r="M11" s="6" t="s">
        <v>422</v>
      </c>
    </row>
    <row r="12" spans="1:35" ht="15.75" customHeight="1">
      <c r="A12" s="4"/>
      <c r="B12" s="4"/>
      <c r="C12" s="4"/>
      <c r="D12" s="6" t="s">
        <v>440</v>
      </c>
      <c r="E12" s="6"/>
      <c r="F12" s="6"/>
      <c r="G12" s="6" t="s">
        <v>16</v>
      </c>
      <c r="H12" s="6" t="s">
        <v>441</v>
      </c>
      <c r="I12" s="4"/>
      <c r="L12" s="4" t="s">
        <v>421</v>
      </c>
      <c r="M12" s="6" t="s">
        <v>422</v>
      </c>
    </row>
    <row r="13" spans="1:35" ht="15.75" customHeight="1">
      <c r="A13" s="4"/>
      <c r="B13" s="4"/>
      <c r="C13" s="4"/>
      <c r="D13" s="6" t="s">
        <v>442</v>
      </c>
      <c r="E13" s="6"/>
      <c r="F13" s="6"/>
      <c r="G13" s="6" t="s">
        <v>16</v>
      </c>
      <c r="H13" s="6" t="s">
        <v>443</v>
      </c>
      <c r="I13" s="4"/>
      <c r="L13" s="4" t="s">
        <v>147</v>
      </c>
      <c r="M13" s="6" t="s">
        <v>434</v>
      </c>
    </row>
    <row r="14" spans="1:35" ht="15.75" customHeight="1">
      <c r="A14" s="4"/>
      <c r="B14" s="4">
        <v>901490405</v>
      </c>
      <c r="C14" s="4"/>
      <c r="D14" s="6" t="s">
        <v>444</v>
      </c>
      <c r="E14" s="6"/>
      <c r="F14" s="6"/>
      <c r="G14" s="6" t="s">
        <v>107</v>
      </c>
      <c r="H14" s="6" t="s">
        <v>445</v>
      </c>
      <c r="I14" s="4"/>
      <c r="L14" s="4" t="s">
        <v>421</v>
      </c>
      <c r="M14" s="6" t="s">
        <v>422</v>
      </c>
    </row>
    <row r="15" spans="1:35" ht="15.75" customHeight="1">
      <c r="A15" s="4"/>
      <c r="B15" s="4">
        <v>901495248</v>
      </c>
      <c r="C15" s="4"/>
      <c r="D15" s="6" t="s">
        <v>446</v>
      </c>
      <c r="E15" s="6"/>
      <c r="F15" s="6"/>
      <c r="G15" s="6" t="s">
        <v>447</v>
      </c>
      <c r="H15" s="6" t="s">
        <v>448</v>
      </c>
      <c r="I15" s="4"/>
      <c r="L15" s="4" t="s">
        <v>421</v>
      </c>
      <c r="M15" s="6" t="s">
        <v>449</v>
      </c>
      <c r="N15" s="6" t="s">
        <v>450</v>
      </c>
    </row>
    <row r="16" spans="1:35" ht="15.75" customHeight="1">
      <c r="A16" s="4"/>
      <c r="B16" s="4"/>
      <c r="C16" s="4"/>
      <c r="D16" s="6" t="s">
        <v>451</v>
      </c>
      <c r="E16" s="6"/>
      <c r="F16" s="6"/>
      <c r="G16" s="6" t="s">
        <v>107</v>
      </c>
      <c r="H16" s="6" t="s">
        <v>452</v>
      </c>
      <c r="I16" s="4"/>
      <c r="L16" s="4" t="s">
        <v>421</v>
      </c>
      <c r="M16" s="6" t="s">
        <v>453</v>
      </c>
      <c r="N16" s="6" t="s">
        <v>454</v>
      </c>
    </row>
    <row r="17" spans="1:13" ht="15.75" customHeight="1">
      <c r="A17" s="4"/>
      <c r="B17" s="4"/>
      <c r="C17" s="4"/>
      <c r="D17" s="6" t="s">
        <v>455</v>
      </c>
      <c r="E17" s="6"/>
      <c r="F17" s="6"/>
      <c r="G17" s="6" t="s">
        <v>447</v>
      </c>
      <c r="H17" s="12" t="s">
        <v>456</v>
      </c>
      <c r="I17" s="4"/>
      <c r="L17" s="4"/>
    </row>
    <row r="18" spans="1:13" ht="15.75" customHeight="1">
      <c r="A18" s="4"/>
      <c r="B18" s="4"/>
      <c r="C18" s="4"/>
      <c r="D18" s="6" t="s">
        <v>457</v>
      </c>
      <c r="E18" s="6"/>
      <c r="F18" s="6"/>
      <c r="G18" s="6" t="s">
        <v>16</v>
      </c>
      <c r="H18" s="6" t="s">
        <v>458</v>
      </c>
      <c r="I18" s="4"/>
      <c r="L18" s="4" t="s">
        <v>421</v>
      </c>
      <c r="M18" s="6" t="s">
        <v>453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I1001"/>
  <sheetViews>
    <sheetView workbookViewId="0"/>
  </sheetViews>
  <sheetFormatPr baseColWidth="10" defaultColWidth="12.6328125" defaultRowHeight="15.75" customHeight="1"/>
  <cols>
    <col min="1" max="1" width="18.08984375" customWidth="1"/>
    <col min="3" max="3" width="7.36328125" customWidth="1"/>
    <col min="4" max="4" width="35.453125" customWidth="1"/>
    <col min="5" max="5" width="27" customWidth="1"/>
  </cols>
  <sheetData>
    <row r="1" spans="1:35" ht="13">
      <c r="A1" s="2" t="s">
        <v>0</v>
      </c>
      <c r="B1" s="28" t="s">
        <v>531</v>
      </c>
      <c r="C1" s="3" t="s">
        <v>1</v>
      </c>
      <c r="D1" s="3" t="s">
        <v>2</v>
      </c>
      <c r="E1" s="3" t="s">
        <v>3</v>
      </c>
      <c r="F1" s="3" t="s">
        <v>4</v>
      </c>
      <c r="G1" s="3" t="s">
        <v>5</v>
      </c>
      <c r="H1" s="3" t="s">
        <v>532</v>
      </c>
      <c r="I1" s="3" t="s">
        <v>7</v>
      </c>
      <c r="J1" s="1" t="s">
        <v>8</v>
      </c>
      <c r="K1" s="3" t="s">
        <v>9</v>
      </c>
      <c r="L1" s="1" t="s">
        <v>10</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5"/>
      <c r="B2" s="29">
        <v>301600</v>
      </c>
      <c r="C2" s="18"/>
      <c r="D2" s="18" t="s">
        <v>459</v>
      </c>
      <c r="E2" s="6"/>
      <c r="F2" s="6"/>
      <c r="G2" s="6" t="s">
        <v>16</v>
      </c>
      <c r="H2" s="6"/>
      <c r="I2" s="6" t="s">
        <v>460</v>
      </c>
      <c r="J2" s="4"/>
      <c r="M2" s="6" t="s">
        <v>434</v>
      </c>
    </row>
    <row r="3" spans="1:35" ht="15.75" customHeight="1">
      <c r="A3" s="5"/>
      <c r="B3" s="29">
        <v>200000</v>
      </c>
      <c r="C3" s="18"/>
      <c r="D3" s="18" t="s">
        <v>461</v>
      </c>
      <c r="E3" s="6"/>
      <c r="F3" s="6"/>
      <c r="G3" s="6" t="s">
        <v>16</v>
      </c>
      <c r="H3" s="6"/>
      <c r="I3" s="6" t="s">
        <v>460</v>
      </c>
      <c r="J3" s="4"/>
      <c r="M3" s="6" t="s">
        <v>434</v>
      </c>
    </row>
    <row r="4" spans="1:35" ht="15.75" customHeight="1">
      <c r="A4" s="5"/>
      <c r="B4" s="29">
        <v>182512</v>
      </c>
      <c r="C4" s="18"/>
      <c r="D4" s="18" t="s">
        <v>462</v>
      </c>
      <c r="E4" s="6"/>
      <c r="F4" s="6"/>
      <c r="G4" s="6" t="s">
        <v>16</v>
      </c>
      <c r="H4" s="6"/>
      <c r="I4" s="6" t="s">
        <v>463</v>
      </c>
      <c r="J4" s="4"/>
      <c r="M4" s="6" t="s">
        <v>434</v>
      </c>
    </row>
    <row r="5" spans="1:35" ht="15.75" customHeight="1">
      <c r="A5" s="5"/>
      <c r="B5" s="29">
        <v>350000</v>
      </c>
      <c r="C5" s="18"/>
      <c r="D5" s="18" t="s">
        <v>464</v>
      </c>
      <c r="E5" s="6"/>
      <c r="F5" s="6"/>
      <c r="G5" s="6" t="s">
        <v>16</v>
      </c>
      <c r="H5" s="6"/>
      <c r="I5" s="6" t="s">
        <v>465</v>
      </c>
      <c r="J5" s="4"/>
      <c r="M5" s="6" t="s">
        <v>434</v>
      </c>
    </row>
    <row r="6" spans="1:35" ht="15.75" customHeight="1">
      <c r="A6" s="5">
        <v>901476143</v>
      </c>
      <c r="B6" s="29">
        <v>380000</v>
      </c>
      <c r="C6" s="18"/>
      <c r="D6" s="18" t="s">
        <v>466</v>
      </c>
      <c r="E6" s="6"/>
      <c r="F6" s="6"/>
      <c r="G6" s="6" t="s">
        <v>16</v>
      </c>
      <c r="H6" s="6"/>
      <c r="I6" s="6" t="s">
        <v>467</v>
      </c>
      <c r="J6" s="4"/>
      <c r="M6" s="6" t="s">
        <v>434</v>
      </c>
    </row>
    <row r="7" spans="1:35" ht="15.75" customHeight="1">
      <c r="A7" s="5"/>
      <c r="B7" s="29">
        <v>300000</v>
      </c>
      <c r="C7" s="18"/>
      <c r="D7" s="18" t="s">
        <v>468</v>
      </c>
      <c r="E7" s="6"/>
      <c r="F7" s="6"/>
      <c r="G7" s="6" t="s">
        <v>16</v>
      </c>
      <c r="H7" s="6"/>
      <c r="I7" s="6" t="s">
        <v>469</v>
      </c>
      <c r="J7" s="4"/>
      <c r="M7" s="6" t="s">
        <v>434</v>
      </c>
    </row>
    <row r="8" spans="1:35" ht="15.75" customHeight="1">
      <c r="A8" s="5"/>
      <c r="B8" s="29">
        <v>490000</v>
      </c>
      <c r="C8" s="18"/>
      <c r="D8" s="18" t="s">
        <v>470</v>
      </c>
      <c r="E8" s="6"/>
      <c r="F8" s="6"/>
      <c r="G8" s="6" t="s">
        <v>16</v>
      </c>
      <c r="H8" s="6"/>
      <c r="I8" s="6" t="s">
        <v>471</v>
      </c>
      <c r="J8" s="4"/>
      <c r="M8" s="6" t="s">
        <v>434</v>
      </c>
    </row>
    <row r="9" spans="1:35" ht="15.75" customHeight="1">
      <c r="A9" s="5"/>
      <c r="B9" s="29">
        <v>290000</v>
      </c>
      <c r="C9" s="18"/>
      <c r="D9" s="18" t="s">
        <v>472</v>
      </c>
      <c r="E9" s="6"/>
      <c r="F9" s="6"/>
      <c r="G9" s="6" t="s">
        <v>16</v>
      </c>
      <c r="H9" s="6"/>
      <c r="I9" s="6" t="s">
        <v>473</v>
      </c>
      <c r="J9" s="4"/>
      <c r="M9" s="6" t="s">
        <v>434</v>
      </c>
    </row>
    <row r="10" spans="1:35" ht="15.75" customHeight="1">
      <c r="A10" s="5"/>
      <c r="B10" s="29">
        <v>515750</v>
      </c>
      <c r="C10" s="18"/>
      <c r="D10" s="18" t="s">
        <v>474</v>
      </c>
      <c r="E10" s="6"/>
      <c r="F10" s="6"/>
      <c r="G10" s="6" t="s">
        <v>16</v>
      </c>
      <c r="H10" s="6"/>
      <c r="I10" s="6" t="s">
        <v>475</v>
      </c>
      <c r="J10" s="4"/>
      <c r="M10" s="6" t="s">
        <v>434</v>
      </c>
    </row>
    <row r="11" spans="1:35" ht="15.75" customHeight="1">
      <c r="A11" s="5"/>
      <c r="B11" s="29">
        <v>243318</v>
      </c>
      <c r="C11" s="18"/>
      <c r="D11" s="18" t="s">
        <v>476</v>
      </c>
      <c r="E11" s="6"/>
      <c r="F11" s="6"/>
      <c r="G11" s="6" t="s">
        <v>16</v>
      </c>
      <c r="H11" s="6"/>
      <c r="I11" s="6" t="s">
        <v>477</v>
      </c>
      <c r="J11" s="4"/>
      <c r="M11" s="6" t="s">
        <v>434</v>
      </c>
    </row>
    <row r="12" spans="1:35" ht="15.75" customHeight="1">
      <c r="A12" s="5"/>
      <c r="B12" s="29">
        <v>560000</v>
      </c>
      <c r="C12" s="18"/>
      <c r="D12" s="18" t="s">
        <v>478</v>
      </c>
      <c r="E12" s="6"/>
      <c r="F12" s="6"/>
      <c r="G12" s="6" t="s">
        <v>16</v>
      </c>
      <c r="H12" s="6"/>
      <c r="I12" s="6" t="s">
        <v>479</v>
      </c>
      <c r="J12" s="4"/>
      <c r="M12" s="6" t="s">
        <v>434</v>
      </c>
    </row>
    <row r="13" spans="1:35" ht="13">
      <c r="A13" s="30"/>
      <c r="B13" s="31"/>
      <c r="C13" s="32"/>
      <c r="D13" s="32"/>
      <c r="E13" s="32"/>
      <c r="F13" s="32"/>
      <c r="G13" s="32"/>
      <c r="H13" s="32"/>
      <c r="I13" s="32"/>
      <c r="J13" s="33"/>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row>
    <row r="14" spans="1:35" ht="15.75" customHeight="1">
      <c r="A14" s="5">
        <v>830110373</v>
      </c>
      <c r="B14" s="29">
        <v>420000</v>
      </c>
      <c r="C14" s="18"/>
      <c r="D14" s="18" t="s">
        <v>480</v>
      </c>
      <c r="E14" s="6" t="s">
        <v>481</v>
      </c>
      <c r="F14" s="6">
        <v>3214728750</v>
      </c>
      <c r="G14" s="6" t="s">
        <v>16</v>
      </c>
      <c r="H14" s="6" t="s">
        <v>533</v>
      </c>
      <c r="I14" s="6" t="s">
        <v>483</v>
      </c>
      <c r="J14" s="4"/>
    </row>
    <row r="15" spans="1:35" ht="15.75" customHeight="1">
      <c r="A15" s="5">
        <v>900621871</v>
      </c>
      <c r="B15" s="29">
        <v>355750</v>
      </c>
      <c r="C15" s="18"/>
      <c r="D15" s="18" t="s">
        <v>484</v>
      </c>
      <c r="E15" s="6" t="s">
        <v>485</v>
      </c>
      <c r="F15" s="6">
        <v>3104904162</v>
      </c>
      <c r="G15" s="6" t="s">
        <v>16</v>
      </c>
      <c r="H15" s="6" t="s">
        <v>534</v>
      </c>
      <c r="I15" s="6" t="s">
        <v>487</v>
      </c>
    </row>
    <row r="16" spans="1:35" ht="15.75" customHeight="1">
      <c r="A16" s="5">
        <v>8250096</v>
      </c>
      <c r="B16" s="29">
        <v>355750</v>
      </c>
      <c r="C16" s="18"/>
      <c r="D16" s="18" t="s">
        <v>488</v>
      </c>
      <c r="E16" s="6" t="s">
        <v>485</v>
      </c>
      <c r="F16" s="6">
        <v>3104904162</v>
      </c>
      <c r="G16" s="6" t="s">
        <v>16</v>
      </c>
      <c r="H16" s="6" t="s">
        <v>534</v>
      </c>
      <c r="I16" s="6" t="s">
        <v>487</v>
      </c>
    </row>
    <row r="17" spans="1:16" ht="15.75" customHeight="1">
      <c r="A17" s="5">
        <v>900803178</v>
      </c>
      <c r="B17" s="29">
        <v>288500</v>
      </c>
      <c r="C17" s="18"/>
      <c r="D17" s="18" t="s">
        <v>489</v>
      </c>
      <c r="E17" s="6" t="s">
        <v>485</v>
      </c>
      <c r="F17" s="6">
        <v>3104904162</v>
      </c>
      <c r="G17" s="6" t="s">
        <v>16</v>
      </c>
      <c r="H17" s="6" t="s">
        <v>534</v>
      </c>
      <c r="I17" s="6" t="s">
        <v>487</v>
      </c>
    </row>
    <row r="18" spans="1:16" ht="15.75" customHeight="1">
      <c r="A18" s="5" t="s">
        <v>535</v>
      </c>
      <c r="B18" s="29">
        <v>450000</v>
      </c>
      <c r="D18" s="6" t="s">
        <v>490</v>
      </c>
      <c r="E18" s="27" t="s">
        <v>491</v>
      </c>
      <c r="F18" s="5">
        <v>3173798989</v>
      </c>
      <c r="G18" s="6" t="s">
        <v>16</v>
      </c>
      <c r="H18" s="6" t="s">
        <v>389</v>
      </c>
      <c r="I18" s="6" t="s">
        <v>536</v>
      </c>
      <c r="J18" s="4"/>
      <c r="M18" s="4"/>
      <c r="P18" s="4"/>
    </row>
    <row r="19" spans="1:16" ht="15.75" customHeight="1">
      <c r="A19" s="5" t="s">
        <v>537</v>
      </c>
      <c r="B19" s="29">
        <v>225000</v>
      </c>
      <c r="D19" s="6" t="s">
        <v>493</v>
      </c>
      <c r="E19" s="27" t="s">
        <v>494</v>
      </c>
      <c r="F19" s="5">
        <v>3023230023</v>
      </c>
      <c r="G19" s="6" t="s">
        <v>495</v>
      </c>
      <c r="H19" s="6"/>
      <c r="I19" s="6" t="s">
        <v>496</v>
      </c>
      <c r="J19" s="4"/>
      <c r="M19" s="4"/>
      <c r="P19" s="4"/>
    </row>
    <row r="23" spans="1:16" ht="12.5">
      <c r="A23" s="5"/>
      <c r="B23" s="34"/>
      <c r="C23" s="18"/>
      <c r="D23" s="18"/>
    </row>
    <row r="24" spans="1:16" ht="12.5">
      <c r="A24" s="5"/>
      <c r="B24" s="34"/>
      <c r="C24" s="18"/>
      <c r="D24" s="18"/>
    </row>
    <row r="25" spans="1:16" ht="12.5">
      <c r="A25" s="5"/>
      <c r="B25" s="34"/>
      <c r="C25" s="18"/>
      <c r="D25" s="18"/>
    </row>
    <row r="26" spans="1:16" ht="12.5">
      <c r="A26" s="5"/>
      <c r="B26" s="34"/>
      <c r="C26" s="18"/>
      <c r="D26" s="18"/>
    </row>
    <row r="27" spans="1:16" ht="12.5">
      <c r="A27" s="5"/>
      <c r="B27" s="34"/>
      <c r="C27" s="18"/>
      <c r="D27" s="18"/>
    </row>
    <row r="28" spans="1:16" ht="12.5">
      <c r="A28" s="5"/>
      <c r="B28" s="34"/>
      <c r="C28" s="18"/>
      <c r="D28" s="18"/>
    </row>
    <row r="29" spans="1:16" ht="12.5">
      <c r="A29" s="5"/>
      <c r="B29" s="34"/>
      <c r="C29" s="18"/>
      <c r="D29" s="18"/>
    </row>
    <row r="30" spans="1:16" ht="12.5">
      <c r="A30" s="5"/>
      <c r="B30" s="34"/>
      <c r="C30" s="18"/>
      <c r="D30" s="18"/>
    </row>
    <row r="31" spans="1:16" ht="12.5">
      <c r="A31" s="5"/>
      <c r="B31" s="34"/>
      <c r="C31" s="18"/>
      <c r="D31" s="18"/>
    </row>
    <row r="32" spans="1:16" ht="12.5">
      <c r="A32" s="5"/>
      <c r="B32" s="34"/>
      <c r="C32" s="18"/>
      <c r="D32" s="18"/>
    </row>
    <row r="33" spans="1:4" ht="12.5">
      <c r="A33" s="5"/>
      <c r="B33" s="34"/>
      <c r="C33" s="18"/>
      <c r="D33" s="18"/>
    </row>
    <row r="34" spans="1:4" ht="12.5">
      <c r="A34" s="5"/>
      <c r="B34" s="34"/>
      <c r="C34" s="18"/>
      <c r="D34" s="18"/>
    </row>
    <row r="35" spans="1:4" ht="12.5">
      <c r="A35" s="5"/>
      <c r="B35" s="34"/>
      <c r="C35" s="18"/>
      <c r="D35" s="18"/>
    </row>
    <row r="36" spans="1:4" ht="12.5">
      <c r="A36" s="5"/>
      <c r="B36" s="34"/>
      <c r="C36" s="18"/>
      <c r="D36" s="18"/>
    </row>
    <row r="37" spans="1:4" ht="12.5">
      <c r="A37" s="5"/>
      <c r="B37" s="34"/>
      <c r="C37" s="18"/>
      <c r="D37" s="18"/>
    </row>
    <row r="38" spans="1:4" ht="12.5">
      <c r="A38" s="5"/>
      <c r="B38" s="34"/>
      <c r="C38" s="18"/>
      <c r="D38" s="18"/>
    </row>
    <row r="39" spans="1:4" ht="12.5">
      <c r="A39" s="5"/>
      <c r="B39" s="34"/>
      <c r="C39" s="18"/>
      <c r="D39" s="18"/>
    </row>
    <row r="40" spans="1:4" ht="12.5">
      <c r="A40" s="5"/>
      <c r="B40" s="34"/>
      <c r="C40" s="18"/>
      <c r="D40" s="18"/>
    </row>
    <row r="41" spans="1:4" ht="12.5">
      <c r="A41" s="5"/>
      <c r="B41" s="34"/>
      <c r="C41" s="18"/>
      <c r="D41" s="18"/>
    </row>
    <row r="42" spans="1:4" ht="12.5">
      <c r="A42" s="5"/>
      <c r="B42" s="34"/>
      <c r="C42" s="18"/>
      <c r="D42" s="18"/>
    </row>
    <row r="43" spans="1:4" ht="12.5">
      <c r="A43" s="5"/>
      <c r="B43" s="34"/>
      <c r="C43" s="18"/>
      <c r="D43" s="18"/>
    </row>
    <row r="44" spans="1:4" ht="12.5">
      <c r="A44" s="5"/>
      <c r="B44" s="34"/>
      <c r="C44" s="18"/>
      <c r="D44" s="18"/>
    </row>
    <row r="45" spans="1:4" ht="12.5">
      <c r="A45" s="5"/>
      <c r="B45" s="34"/>
      <c r="C45" s="18"/>
      <c r="D45" s="18"/>
    </row>
    <row r="46" spans="1:4" ht="12.5">
      <c r="A46" s="5"/>
      <c r="B46" s="34"/>
      <c r="C46" s="18"/>
      <c r="D46" s="18"/>
    </row>
    <row r="47" spans="1:4" ht="12.5">
      <c r="A47" s="5"/>
      <c r="B47" s="34"/>
      <c r="C47" s="18"/>
      <c r="D47" s="18"/>
    </row>
    <row r="48" spans="1:4" ht="12.5">
      <c r="A48" s="5"/>
      <c r="B48" s="34"/>
      <c r="C48" s="18"/>
      <c r="D48" s="18"/>
    </row>
    <row r="49" spans="1:4" ht="12.5">
      <c r="A49" s="5"/>
      <c r="B49" s="34"/>
      <c r="C49" s="18"/>
      <c r="D49" s="18"/>
    </row>
    <row r="50" spans="1:4" ht="12.5">
      <c r="A50" s="5"/>
      <c r="B50" s="34"/>
      <c r="C50" s="18"/>
      <c r="D50" s="18"/>
    </row>
    <row r="51" spans="1:4" ht="12.5">
      <c r="A51" s="5"/>
      <c r="B51" s="34"/>
      <c r="C51" s="18"/>
      <c r="D51" s="18"/>
    </row>
    <row r="52" spans="1:4" ht="12.5">
      <c r="A52" s="5"/>
      <c r="B52" s="34"/>
      <c r="C52" s="18"/>
      <c r="D52" s="18"/>
    </row>
    <row r="53" spans="1:4" ht="12.5">
      <c r="A53" s="5"/>
      <c r="B53" s="34"/>
      <c r="C53" s="18"/>
      <c r="D53" s="18"/>
    </row>
    <row r="54" spans="1:4" ht="12.5">
      <c r="A54" s="5"/>
      <c r="B54" s="34"/>
      <c r="C54" s="18"/>
      <c r="D54" s="18"/>
    </row>
    <row r="55" spans="1:4" ht="12.5">
      <c r="A55" s="5"/>
      <c r="B55" s="34"/>
      <c r="C55" s="18"/>
      <c r="D55" s="18"/>
    </row>
    <row r="56" spans="1:4" ht="12.5">
      <c r="A56" s="5"/>
      <c r="B56" s="34"/>
      <c r="C56" s="18"/>
      <c r="D56" s="18"/>
    </row>
    <row r="57" spans="1:4" ht="12.5">
      <c r="A57" s="5"/>
      <c r="B57" s="34"/>
      <c r="C57" s="18"/>
      <c r="D57" s="18"/>
    </row>
    <row r="58" spans="1:4" ht="12.5">
      <c r="A58" s="5"/>
      <c r="B58" s="34"/>
      <c r="C58" s="18"/>
      <c r="D58" s="18"/>
    </row>
    <row r="59" spans="1:4" ht="12.5">
      <c r="A59" s="5"/>
      <c r="B59" s="34"/>
      <c r="C59" s="18"/>
      <c r="D59" s="18"/>
    </row>
    <row r="60" spans="1:4" ht="12.5">
      <c r="A60" s="5"/>
      <c r="B60" s="34"/>
      <c r="C60" s="18"/>
      <c r="D60" s="18"/>
    </row>
    <row r="61" spans="1:4" ht="12.5">
      <c r="A61" s="5"/>
      <c r="B61" s="34"/>
      <c r="C61" s="18"/>
      <c r="D61" s="18"/>
    </row>
    <row r="62" spans="1:4" ht="12.5">
      <c r="A62" s="5"/>
      <c r="B62" s="34"/>
      <c r="C62" s="18"/>
      <c r="D62" s="18"/>
    </row>
    <row r="63" spans="1:4" ht="12.5">
      <c r="A63" s="5"/>
      <c r="B63" s="34"/>
      <c r="C63" s="18"/>
      <c r="D63" s="18"/>
    </row>
    <row r="64" spans="1:4" ht="12.5">
      <c r="A64" s="5"/>
      <c r="B64" s="34"/>
      <c r="C64" s="18"/>
      <c r="D64" s="18"/>
    </row>
    <row r="65" spans="1:4" ht="12.5">
      <c r="A65" s="5"/>
      <c r="B65" s="34"/>
      <c r="C65" s="18"/>
      <c r="D65" s="18"/>
    </row>
    <row r="66" spans="1:4" ht="12.5">
      <c r="A66" s="5"/>
      <c r="B66" s="34"/>
      <c r="C66" s="18"/>
      <c r="D66" s="18"/>
    </row>
    <row r="67" spans="1:4" ht="12.5">
      <c r="A67" s="5"/>
      <c r="B67" s="34"/>
      <c r="C67" s="18"/>
      <c r="D67" s="18"/>
    </row>
    <row r="68" spans="1:4" ht="12.5">
      <c r="A68" s="5"/>
      <c r="B68" s="34"/>
      <c r="C68" s="18"/>
      <c r="D68" s="18"/>
    </row>
    <row r="69" spans="1:4" ht="12.5">
      <c r="A69" s="5"/>
      <c r="B69" s="34"/>
      <c r="C69" s="18"/>
      <c r="D69" s="18"/>
    </row>
    <row r="70" spans="1:4" ht="12.5">
      <c r="A70" s="5"/>
      <c r="B70" s="34"/>
      <c r="C70" s="18"/>
      <c r="D70" s="18"/>
    </row>
    <row r="71" spans="1:4" ht="12.5">
      <c r="A71" s="5"/>
      <c r="B71" s="34"/>
      <c r="C71" s="18"/>
      <c r="D71" s="18"/>
    </row>
    <row r="72" spans="1:4" ht="12.5">
      <c r="A72" s="5"/>
      <c r="B72" s="34"/>
      <c r="C72" s="18"/>
      <c r="D72" s="18"/>
    </row>
    <row r="73" spans="1:4" ht="12.5">
      <c r="A73" s="5"/>
      <c r="B73" s="34"/>
      <c r="C73" s="18"/>
      <c r="D73" s="18"/>
    </row>
    <row r="74" spans="1:4" ht="12.5">
      <c r="A74" s="5"/>
      <c r="B74" s="34"/>
      <c r="C74" s="18"/>
      <c r="D74" s="18"/>
    </row>
    <row r="75" spans="1:4" ht="12.5">
      <c r="A75" s="5"/>
      <c r="B75" s="34"/>
      <c r="C75" s="18"/>
      <c r="D75" s="18"/>
    </row>
    <row r="76" spans="1:4" ht="12.5">
      <c r="A76" s="5"/>
      <c r="B76" s="34"/>
      <c r="C76" s="18"/>
      <c r="D76" s="18"/>
    </row>
    <row r="77" spans="1:4" ht="12.5">
      <c r="A77" s="5"/>
      <c r="B77" s="34"/>
      <c r="C77" s="18"/>
      <c r="D77" s="18"/>
    </row>
    <row r="78" spans="1:4" ht="12.5">
      <c r="A78" s="5"/>
      <c r="B78" s="34"/>
      <c r="C78" s="18"/>
      <c r="D78" s="18"/>
    </row>
    <row r="79" spans="1:4" ht="12.5">
      <c r="A79" s="5"/>
      <c r="B79" s="34"/>
      <c r="C79" s="18"/>
      <c r="D79" s="18"/>
    </row>
    <row r="80" spans="1:4" ht="12.5">
      <c r="A80" s="5"/>
      <c r="B80" s="34"/>
      <c r="C80" s="18"/>
      <c r="D80" s="18"/>
    </row>
    <row r="81" spans="1:4" ht="12.5">
      <c r="A81" s="5"/>
      <c r="B81" s="34"/>
      <c r="C81" s="18"/>
      <c r="D81" s="18"/>
    </row>
    <row r="82" spans="1:4" ht="12.5">
      <c r="A82" s="5"/>
      <c r="B82" s="34"/>
      <c r="C82" s="18"/>
      <c r="D82" s="18"/>
    </row>
    <row r="83" spans="1:4" ht="12.5">
      <c r="A83" s="5"/>
      <c r="B83" s="34"/>
      <c r="C83" s="18"/>
      <c r="D83" s="18"/>
    </row>
    <row r="84" spans="1:4" ht="12.5">
      <c r="A84" s="5"/>
      <c r="B84" s="34"/>
      <c r="C84" s="18"/>
      <c r="D84" s="18"/>
    </row>
    <row r="85" spans="1:4" ht="12.5">
      <c r="A85" s="5"/>
      <c r="B85" s="34"/>
      <c r="C85" s="18"/>
      <c r="D85" s="18"/>
    </row>
    <row r="86" spans="1:4" ht="12.5">
      <c r="A86" s="5"/>
      <c r="B86" s="34"/>
      <c r="C86" s="18"/>
      <c r="D86" s="18"/>
    </row>
    <row r="87" spans="1:4" ht="12.5">
      <c r="A87" s="5"/>
      <c r="B87" s="34"/>
      <c r="C87" s="18"/>
      <c r="D87" s="18"/>
    </row>
    <row r="88" spans="1:4" ht="12.5">
      <c r="A88" s="5"/>
      <c r="B88" s="34"/>
      <c r="C88" s="18"/>
      <c r="D88" s="18"/>
    </row>
    <row r="89" spans="1:4" ht="12.5">
      <c r="A89" s="5"/>
      <c r="B89" s="34"/>
      <c r="C89" s="18"/>
      <c r="D89" s="18"/>
    </row>
    <row r="90" spans="1:4" ht="12.5">
      <c r="A90" s="5"/>
      <c r="B90" s="34"/>
      <c r="C90" s="18"/>
      <c r="D90" s="18"/>
    </row>
    <row r="91" spans="1:4" ht="12.5">
      <c r="A91" s="5"/>
      <c r="B91" s="34"/>
      <c r="C91" s="18"/>
      <c r="D91" s="18"/>
    </row>
    <row r="92" spans="1:4" ht="12.5">
      <c r="A92" s="5"/>
      <c r="B92" s="34"/>
      <c r="C92" s="18"/>
      <c r="D92" s="18"/>
    </row>
    <row r="93" spans="1:4" ht="12.5">
      <c r="A93" s="5"/>
      <c r="B93" s="34"/>
      <c r="C93" s="18"/>
      <c r="D93" s="18"/>
    </row>
    <row r="94" spans="1:4" ht="12.5">
      <c r="A94" s="5"/>
      <c r="B94" s="34"/>
      <c r="C94" s="18"/>
      <c r="D94" s="18"/>
    </row>
    <row r="95" spans="1:4" ht="12.5">
      <c r="A95" s="5"/>
      <c r="B95" s="34"/>
      <c r="C95" s="18"/>
      <c r="D95" s="18"/>
    </row>
    <row r="96" spans="1:4" ht="12.5">
      <c r="A96" s="5"/>
      <c r="B96" s="34"/>
      <c r="C96" s="18"/>
      <c r="D96" s="18"/>
    </row>
    <row r="97" spans="1:4" ht="12.5">
      <c r="A97" s="5"/>
      <c r="B97" s="34"/>
      <c r="C97" s="18"/>
      <c r="D97" s="18"/>
    </row>
    <row r="98" spans="1:4" ht="12.5">
      <c r="A98" s="5"/>
      <c r="B98" s="34"/>
      <c r="C98" s="18"/>
      <c r="D98" s="18"/>
    </row>
    <row r="99" spans="1:4" ht="12.5">
      <c r="A99" s="5"/>
      <c r="B99" s="34"/>
      <c r="C99" s="18"/>
      <c r="D99" s="18"/>
    </row>
    <row r="100" spans="1:4" ht="12.5">
      <c r="A100" s="5"/>
      <c r="B100" s="34"/>
      <c r="C100" s="18"/>
      <c r="D100" s="18"/>
    </row>
    <row r="101" spans="1:4" ht="12.5">
      <c r="A101" s="5"/>
      <c r="B101" s="34"/>
      <c r="C101" s="18"/>
      <c r="D101" s="18"/>
    </row>
    <row r="102" spans="1:4" ht="12.5">
      <c r="A102" s="5"/>
      <c r="B102" s="34"/>
      <c r="C102" s="18"/>
      <c r="D102" s="18"/>
    </row>
    <row r="103" spans="1:4" ht="12.5">
      <c r="A103" s="5"/>
      <c r="B103" s="34"/>
      <c r="C103" s="18"/>
      <c r="D103" s="18"/>
    </row>
    <row r="104" spans="1:4" ht="12.5">
      <c r="A104" s="5"/>
      <c r="B104" s="34"/>
      <c r="C104" s="18"/>
      <c r="D104" s="18"/>
    </row>
    <row r="105" spans="1:4" ht="12.5">
      <c r="A105" s="5"/>
      <c r="B105" s="34"/>
      <c r="C105" s="18"/>
      <c r="D105" s="18"/>
    </row>
    <row r="106" spans="1:4" ht="12.5">
      <c r="A106" s="5"/>
      <c r="B106" s="34"/>
      <c r="C106" s="18"/>
      <c r="D106" s="18"/>
    </row>
    <row r="107" spans="1:4" ht="12.5">
      <c r="A107" s="5"/>
      <c r="B107" s="34"/>
      <c r="C107" s="18"/>
      <c r="D107" s="18"/>
    </row>
    <row r="108" spans="1:4" ht="12.5">
      <c r="A108" s="5"/>
      <c r="B108" s="34"/>
      <c r="C108" s="18"/>
      <c r="D108" s="18"/>
    </row>
    <row r="109" spans="1:4" ht="12.5">
      <c r="A109" s="5"/>
      <c r="B109" s="34"/>
      <c r="C109" s="18"/>
      <c r="D109" s="18"/>
    </row>
    <row r="110" spans="1:4" ht="12.5">
      <c r="A110" s="5"/>
      <c r="B110" s="34"/>
      <c r="C110" s="18"/>
      <c r="D110" s="18"/>
    </row>
    <row r="111" spans="1:4" ht="12.5">
      <c r="A111" s="5"/>
      <c r="B111" s="34"/>
      <c r="C111" s="18"/>
      <c r="D111" s="18"/>
    </row>
    <row r="112" spans="1:4" ht="12.5">
      <c r="A112" s="5"/>
      <c r="B112" s="34"/>
      <c r="C112" s="18"/>
      <c r="D112" s="18"/>
    </row>
    <row r="113" spans="1:4" ht="12.5">
      <c r="A113" s="5"/>
      <c r="B113" s="34"/>
      <c r="C113" s="18"/>
      <c r="D113" s="18"/>
    </row>
    <row r="114" spans="1:4" ht="12.5">
      <c r="A114" s="5"/>
      <c r="B114" s="34"/>
      <c r="C114" s="18"/>
      <c r="D114" s="18"/>
    </row>
    <row r="115" spans="1:4" ht="12.5">
      <c r="A115" s="5"/>
      <c r="B115" s="34"/>
      <c r="C115" s="18"/>
      <c r="D115" s="18"/>
    </row>
    <row r="116" spans="1:4" ht="12.5">
      <c r="A116" s="5"/>
      <c r="B116" s="34"/>
      <c r="C116" s="18"/>
      <c r="D116" s="18"/>
    </row>
    <row r="117" spans="1:4" ht="12.5">
      <c r="A117" s="5"/>
      <c r="B117" s="34"/>
      <c r="C117" s="18"/>
      <c r="D117" s="18"/>
    </row>
    <row r="118" spans="1:4" ht="12.5">
      <c r="A118" s="5"/>
      <c r="B118" s="34"/>
      <c r="C118" s="18"/>
      <c r="D118" s="18"/>
    </row>
    <row r="119" spans="1:4" ht="12.5">
      <c r="A119" s="5"/>
      <c r="B119" s="34"/>
      <c r="C119" s="18"/>
      <c r="D119" s="18"/>
    </row>
    <row r="120" spans="1:4" ht="12.5">
      <c r="A120" s="5"/>
      <c r="B120" s="34"/>
      <c r="C120" s="18"/>
      <c r="D120" s="18"/>
    </row>
    <row r="121" spans="1:4" ht="12.5">
      <c r="A121" s="5"/>
      <c r="B121" s="34"/>
      <c r="C121" s="18"/>
      <c r="D121" s="18"/>
    </row>
    <row r="122" spans="1:4" ht="12.5">
      <c r="A122" s="5"/>
      <c r="B122" s="34"/>
      <c r="C122" s="18"/>
      <c r="D122" s="18"/>
    </row>
    <row r="123" spans="1:4" ht="12.5">
      <c r="A123" s="5"/>
      <c r="B123" s="34"/>
      <c r="C123" s="18"/>
      <c r="D123" s="18"/>
    </row>
    <row r="124" spans="1:4" ht="12.5">
      <c r="A124" s="5"/>
      <c r="B124" s="34"/>
      <c r="C124" s="18"/>
      <c r="D124" s="18"/>
    </row>
    <row r="125" spans="1:4" ht="12.5">
      <c r="A125" s="5"/>
      <c r="B125" s="34"/>
      <c r="C125" s="18"/>
      <c r="D125" s="18"/>
    </row>
    <row r="126" spans="1:4" ht="12.5">
      <c r="A126" s="5"/>
      <c r="B126" s="34"/>
      <c r="C126" s="18"/>
      <c r="D126" s="18"/>
    </row>
    <row r="127" spans="1:4" ht="12.5">
      <c r="A127" s="5"/>
      <c r="B127" s="34"/>
      <c r="C127" s="18"/>
      <c r="D127" s="18"/>
    </row>
    <row r="128" spans="1:4" ht="12.5">
      <c r="A128" s="5"/>
      <c r="B128" s="34"/>
      <c r="C128" s="18"/>
      <c r="D128" s="18"/>
    </row>
    <row r="129" spans="1:4" ht="12.5">
      <c r="A129" s="5"/>
      <c r="B129" s="34"/>
      <c r="C129" s="18"/>
      <c r="D129" s="18"/>
    </row>
    <row r="130" spans="1:4" ht="12.5">
      <c r="A130" s="5"/>
      <c r="B130" s="34"/>
      <c r="C130" s="18"/>
      <c r="D130" s="18"/>
    </row>
    <row r="131" spans="1:4" ht="12.5">
      <c r="A131" s="5"/>
      <c r="B131" s="34"/>
      <c r="C131" s="18"/>
      <c r="D131" s="18"/>
    </row>
    <row r="132" spans="1:4" ht="12.5">
      <c r="A132" s="5"/>
      <c r="B132" s="34"/>
      <c r="C132" s="18"/>
      <c r="D132" s="18"/>
    </row>
    <row r="133" spans="1:4" ht="12.5">
      <c r="A133" s="5"/>
      <c r="B133" s="34"/>
      <c r="C133" s="18"/>
      <c r="D133" s="18"/>
    </row>
    <row r="134" spans="1:4" ht="12.5">
      <c r="A134" s="5"/>
      <c r="B134" s="34"/>
      <c r="C134" s="18"/>
      <c r="D134" s="18"/>
    </row>
    <row r="135" spans="1:4" ht="12.5">
      <c r="A135" s="5"/>
      <c r="B135" s="34"/>
      <c r="C135" s="18"/>
      <c r="D135" s="18"/>
    </row>
    <row r="136" spans="1:4" ht="12.5">
      <c r="A136" s="5"/>
      <c r="B136" s="34"/>
      <c r="C136" s="18"/>
      <c r="D136" s="18"/>
    </row>
    <row r="137" spans="1:4" ht="12.5">
      <c r="A137" s="5"/>
      <c r="B137" s="34"/>
      <c r="C137" s="18"/>
      <c r="D137" s="18"/>
    </row>
    <row r="138" spans="1:4" ht="12.5">
      <c r="A138" s="5"/>
      <c r="B138" s="34"/>
      <c r="C138" s="18"/>
      <c r="D138" s="18"/>
    </row>
    <row r="139" spans="1:4" ht="12.5">
      <c r="A139" s="5"/>
      <c r="B139" s="34"/>
      <c r="C139" s="18"/>
      <c r="D139" s="18"/>
    </row>
    <row r="140" spans="1:4" ht="12.5">
      <c r="A140" s="5"/>
      <c r="B140" s="34"/>
      <c r="C140" s="18"/>
      <c r="D140" s="18"/>
    </row>
    <row r="141" spans="1:4" ht="12.5">
      <c r="A141" s="5"/>
      <c r="B141" s="34"/>
      <c r="C141" s="18"/>
      <c r="D141" s="18"/>
    </row>
    <row r="142" spans="1:4" ht="12.5">
      <c r="A142" s="5"/>
      <c r="B142" s="34"/>
      <c r="C142" s="18"/>
      <c r="D142" s="18"/>
    </row>
    <row r="143" spans="1:4" ht="12.5">
      <c r="A143" s="5"/>
      <c r="B143" s="34"/>
      <c r="C143" s="18"/>
      <c r="D143" s="18"/>
    </row>
    <row r="144" spans="1:4" ht="12.5">
      <c r="A144" s="5"/>
      <c r="B144" s="34"/>
      <c r="C144" s="18"/>
      <c r="D144" s="18"/>
    </row>
    <row r="145" spans="1:4" ht="12.5">
      <c r="A145" s="5"/>
      <c r="B145" s="34"/>
      <c r="C145" s="18"/>
      <c r="D145" s="18"/>
    </row>
    <row r="146" spans="1:4" ht="12.5">
      <c r="A146" s="5"/>
      <c r="B146" s="34"/>
      <c r="C146" s="18"/>
      <c r="D146" s="18"/>
    </row>
    <row r="147" spans="1:4" ht="12.5">
      <c r="A147" s="5"/>
      <c r="B147" s="34"/>
      <c r="C147" s="18"/>
      <c r="D147" s="18"/>
    </row>
    <row r="148" spans="1:4" ht="12.5">
      <c r="A148" s="5"/>
      <c r="B148" s="34"/>
      <c r="C148" s="18"/>
      <c r="D148" s="18"/>
    </row>
    <row r="149" spans="1:4" ht="12.5">
      <c r="A149" s="5"/>
      <c r="B149" s="34"/>
      <c r="C149" s="18"/>
      <c r="D149" s="18"/>
    </row>
    <row r="150" spans="1:4" ht="12.5">
      <c r="A150" s="5"/>
      <c r="B150" s="34"/>
      <c r="C150" s="18"/>
      <c r="D150" s="18"/>
    </row>
    <row r="151" spans="1:4" ht="12.5">
      <c r="A151" s="5"/>
      <c r="B151" s="34"/>
      <c r="C151" s="18"/>
      <c r="D151" s="18"/>
    </row>
    <row r="152" spans="1:4" ht="12.5">
      <c r="A152" s="5"/>
      <c r="B152" s="34"/>
      <c r="C152" s="18"/>
      <c r="D152" s="18"/>
    </row>
    <row r="153" spans="1:4" ht="12.5">
      <c r="A153" s="5"/>
      <c r="B153" s="34"/>
      <c r="C153" s="18"/>
      <c r="D153" s="18"/>
    </row>
    <row r="154" spans="1:4" ht="12.5">
      <c r="A154" s="5"/>
      <c r="B154" s="34"/>
      <c r="C154" s="18"/>
      <c r="D154" s="18"/>
    </row>
    <row r="155" spans="1:4" ht="12.5">
      <c r="A155" s="5"/>
      <c r="B155" s="34"/>
      <c r="C155" s="18"/>
      <c r="D155" s="18"/>
    </row>
    <row r="156" spans="1:4" ht="12.5">
      <c r="A156" s="5"/>
      <c r="B156" s="34"/>
      <c r="C156" s="18"/>
      <c r="D156" s="18"/>
    </row>
    <row r="157" spans="1:4" ht="12.5">
      <c r="A157" s="5"/>
      <c r="B157" s="34"/>
      <c r="C157" s="18"/>
      <c r="D157" s="18"/>
    </row>
    <row r="158" spans="1:4" ht="12.5">
      <c r="A158" s="5"/>
      <c r="B158" s="34"/>
      <c r="C158" s="18"/>
      <c r="D158" s="18"/>
    </row>
    <row r="159" spans="1:4" ht="12.5">
      <c r="A159" s="5"/>
      <c r="B159" s="34"/>
      <c r="C159" s="18"/>
      <c r="D159" s="18"/>
    </row>
    <row r="160" spans="1:4" ht="12.5">
      <c r="A160" s="5"/>
      <c r="B160" s="34"/>
      <c r="C160" s="18"/>
      <c r="D160" s="18"/>
    </row>
    <row r="161" spans="1:4" ht="12.5">
      <c r="A161" s="5"/>
      <c r="B161" s="34"/>
      <c r="C161" s="18"/>
      <c r="D161" s="18"/>
    </row>
    <row r="162" spans="1:4" ht="12.5">
      <c r="A162" s="5"/>
      <c r="B162" s="34"/>
      <c r="C162" s="18"/>
      <c r="D162" s="18"/>
    </row>
    <row r="163" spans="1:4" ht="12.5">
      <c r="A163" s="5"/>
      <c r="B163" s="34"/>
      <c r="C163" s="18"/>
      <c r="D163" s="18"/>
    </row>
    <row r="164" spans="1:4" ht="12.5">
      <c r="A164" s="5"/>
      <c r="B164" s="34"/>
      <c r="C164" s="18"/>
      <c r="D164" s="18"/>
    </row>
    <row r="165" spans="1:4" ht="12.5">
      <c r="A165" s="5"/>
      <c r="B165" s="34"/>
      <c r="C165" s="18"/>
      <c r="D165" s="18"/>
    </row>
    <row r="166" spans="1:4" ht="12.5">
      <c r="A166" s="5"/>
      <c r="B166" s="34"/>
      <c r="C166" s="18"/>
      <c r="D166" s="18"/>
    </row>
    <row r="167" spans="1:4" ht="12.5">
      <c r="A167" s="5"/>
      <c r="B167" s="34"/>
      <c r="C167" s="18"/>
      <c r="D167" s="18"/>
    </row>
    <row r="168" spans="1:4" ht="12.5">
      <c r="A168" s="5"/>
      <c r="B168" s="34"/>
      <c r="C168" s="18"/>
      <c r="D168" s="18"/>
    </row>
    <row r="169" spans="1:4" ht="12.5">
      <c r="A169" s="5"/>
      <c r="B169" s="34"/>
      <c r="C169" s="18"/>
      <c r="D169" s="18"/>
    </row>
    <row r="170" spans="1:4" ht="12.5">
      <c r="A170" s="5"/>
      <c r="B170" s="34"/>
      <c r="C170" s="18"/>
      <c r="D170" s="18"/>
    </row>
    <row r="171" spans="1:4" ht="12.5">
      <c r="A171" s="5"/>
      <c r="B171" s="34"/>
      <c r="C171" s="18"/>
      <c r="D171" s="18"/>
    </row>
    <row r="172" spans="1:4" ht="12.5">
      <c r="A172" s="5"/>
      <c r="B172" s="34"/>
      <c r="C172" s="18"/>
      <c r="D172" s="18"/>
    </row>
    <row r="173" spans="1:4" ht="12.5">
      <c r="A173" s="5"/>
      <c r="B173" s="34"/>
      <c r="C173" s="18"/>
      <c r="D173" s="18"/>
    </row>
    <row r="174" spans="1:4" ht="12.5">
      <c r="A174" s="5"/>
      <c r="B174" s="34"/>
      <c r="C174" s="18"/>
      <c r="D174" s="18"/>
    </row>
    <row r="175" spans="1:4" ht="12.5">
      <c r="A175" s="5"/>
      <c r="B175" s="34"/>
      <c r="C175" s="18"/>
      <c r="D175" s="18"/>
    </row>
    <row r="176" spans="1:4" ht="12.5">
      <c r="A176" s="5"/>
      <c r="B176" s="34"/>
      <c r="C176" s="18"/>
      <c r="D176" s="18"/>
    </row>
    <row r="177" spans="1:4" ht="12.5">
      <c r="A177" s="5"/>
      <c r="B177" s="34"/>
      <c r="C177" s="18"/>
      <c r="D177" s="18"/>
    </row>
    <row r="178" spans="1:4" ht="12.5">
      <c r="A178" s="5"/>
      <c r="B178" s="34"/>
      <c r="C178" s="18"/>
      <c r="D178" s="18"/>
    </row>
    <row r="179" spans="1:4" ht="12.5">
      <c r="A179" s="5"/>
      <c r="B179" s="34"/>
      <c r="C179" s="18"/>
      <c r="D179" s="18"/>
    </row>
    <row r="180" spans="1:4" ht="12.5">
      <c r="A180" s="5"/>
      <c r="B180" s="34"/>
      <c r="C180" s="18"/>
      <c r="D180" s="18"/>
    </row>
    <row r="181" spans="1:4" ht="12.5">
      <c r="A181" s="5"/>
      <c r="B181" s="34"/>
      <c r="C181" s="18"/>
      <c r="D181" s="18"/>
    </row>
    <row r="182" spans="1:4" ht="12.5">
      <c r="A182" s="5"/>
      <c r="B182" s="34"/>
      <c r="C182" s="18"/>
      <c r="D182" s="18"/>
    </row>
    <row r="183" spans="1:4" ht="12.5">
      <c r="A183" s="5"/>
      <c r="B183" s="34"/>
      <c r="C183" s="18"/>
      <c r="D183" s="18"/>
    </row>
    <row r="184" spans="1:4" ht="12.5">
      <c r="A184" s="5"/>
      <c r="B184" s="34"/>
      <c r="C184" s="18"/>
      <c r="D184" s="18"/>
    </row>
    <row r="185" spans="1:4" ht="12.5">
      <c r="A185" s="5"/>
      <c r="B185" s="34"/>
      <c r="C185" s="18"/>
      <c r="D185" s="18"/>
    </row>
    <row r="186" spans="1:4" ht="12.5">
      <c r="A186" s="5"/>
      <c r="B186" s="34"/>
      <c r="C186" s="18"/>
      <c r="D186" s="18"/>
    </row>
    <row r="187" spans="1:4" ht="12.5">
      <c r="A187" s="5"/>
      <c r="B187" s="34"/>
      <c r="C187" s="18"/>
      <c r="D187" s="18"/>
    </row>
    <row r="188" spans="1:4" ht="12.5">
      <c r="A188" s="5"/>
      <c r="B188" s="34"/>
      <c r="C188" s="18"/>
      <c r="D188" s="18"/>
    </row>
    <row r="189" spans="1:4" ht="12.5">
      <c r="A189" s="5"/>
      <c r="B189" s="34"/>
      <c r="C189" s="18"/>
      <c r="D189" s="18"/>
    </row>
    <row r="190" spans="1:4" ht="12.5">
      <c r="A190" s="5"/>
      <c r="B190" s="34"/>
      <c r="C190" s="18"/>
      <c r="D190" s="18"/>
    </row>
    <row r="191" spans="1:4" ht="12.5">
      <c r="A191" s="5"/>
      <c r="B191" s="34"/>
      <c r="C191" s="18"/>
      <c r="D191" s="18"/>
    </row>
    <row r="192" spans="1:4" ht="12.5">
      <c r="A192" s="5"/>
      <c r="B192" s="34"/>
      <c r="C192" s="18"/>
      <c r="D192" s="18"/>
    </row>
    <row r="193" spans="1:4" ht="12.5">
      <c r="A193" s="5"/>
      <c r="B193" s="34"/>
      <c r="C193" s="18"/>
      <c r="D193" s="18"/>
    </row>
    <row r="194" spans="1:4" ht="12.5">
      <c r="A194" s="5"/>
      <c r="B194" s="34"/>
      <c r="C194" s="18"/>
      <c r="D194" s="18"/>
    </row>
    <row r="195" spans="1:4" ht="12.5">
      <c r="A195" s="5"/>
      <c r="B195" s="34"/>
      <c r="C195" s="18"/>
      <c r="D195" s="18"/>
    </row>
    <row r="196" spans="1:4" ht="12.5">
      <c r="A196" s="5"/>
      <c r="B196" s="34"/>
      <c r="C196" s="18"/>
      <c r="D196" s="18"/>
    </row>
    <row r="197" spans="1:4" ht="12.5">
      <c r="A197" s="5"/>
      <c r="B197" s="34"/>
      <c r="C197" s="18"/>
      <c r="D197" s="18"/>
    </row>
    <row r="198" spans="1:4" ht="12.5">
      <c r="A198" s="5"/>
      <c r="B198" s="34"/>
      <c r="C198" s="18"/>
      <c r="D198" s="18"/>
    </row>
    <row r="199" spans="1:4" ht="12.5">
      <c r="A199" s="5"/>
      <c r="B199" s="34"/>
      <c r="C199" s="18"/>
      <c r="D199" s="18"/>
    </row>
    <row r="200" spans="1:4" ht="12.5">
      <c r="A200" s="5"/>
      <c r="B200" s="34"/>
      <c r="C200" s="18"/>
      <c r="D200" s="18"/>
    </row>
    <row r="201" spans="1:4" ht="12.5">
      <c r="A201" s="5"/>
      <c r="B201" s="34"/>
      <c r="C201" s="18"/>
      <c r="D201" s="18"/>
    </row>
    <row r="202" spans="1:4" ht="12.5">
      <c r="A202" s="5"/>
      <c r="B202" s="34"/>
      <c r="C202" s="18"/>
      <c r="D202" s="18"/>
    </row>
    <row r="203" spans="1:4" ht="12.5">
      <c r="A203" s="5"/>
      <c r="B203" s="34"/>
      <c r="C203" s="18"/>
      <c r="D203" s="18"/>
    </row>
    <row r="204" spans="1:4" ht="12.5">
      <c r="A204" s="5"/>
      <c r="B204" s="34"/>
      <c r="C204" s="18"/>
      <c r="D204" s="18"/>
    </row>
    <row r="205" spans="1:4" ht="12.5">
      <c r="A205" s="5"/>
      <c r="B205" s="34"/>
      <c r="C205" s="18"/>
      <c r="D205" s="18"/>
    </row>
    <row r="206" spans="1:4" ht="12.5">
      <c r="A206" s="5"/>
      <c r="B206" s="34"/>
      <c r="C206" s="18"/>
      <c r="D206" s="18"/>
    </row>
    <row r="207" spans="1:4" ht="12.5">
      <c r="A207" s="5"/>
      <c r="B207" s="34"/>
      <c r="C207" s="18"/>
      <c r="D207" s="18"/>
    </row>
    <row r="208" spans="1:4" ht="12.5">
      <c r="A208" s="5"/>
      <c r="B208" s="34"/>
      <c r="C208" s="18"/>
      <c r="D208" s="18"/>
    </row>
    <row r="209" spans="1:4" ht="12.5">
      <c r="A209" s="5"/>
      <c r="B209" s="34"/>
      <c r="C209" s="18"/>
      <c r="D209" s="18"/>
    </row>
    <row r="210" spans="1:4" ht="12.5">
      <c r="A210" s="5"/>
      <c r="B210" s="34"/>
      <c r="C210" s="18"/>
      <c r="D210" s="18"/>
    </row>
    <row r="211" spans="1:4" ht="12.5">
      <c r="A211" s="5"/>
      <c r="B211" s="34"/>
      <c r="C211" s="18"/>
      <c r="D211" s="18"/>
    </row>
    <row r="212" spans="1:4" ht="12.5">
      <c r="A212" s="5"/>
      <c r="B212" s="34"/>
      <c r="C212" s="18"/>
      <c r="D212" s="18"/>
    </row>
    <row r="213" spans="1:4" ht="12.5">
      <c r="A213" s="5"/>
      <c r="B213" s="34"/>
      <c r="C213" s="18"/>
      <c r="D213" s="18"/>
    </row>
    <row r="214" spans="1:4" ht="12.5">
      <c r="A214" s="5"/>
      <c r="B214" s="34"/>
      <c r="C214" s="18"/>
      <c r="D214" s="18"/>
    </row>
    <row r="215" spans="1:4" ht="12.5">
      <c r="A215" s="5"/>
      <c r="B215" s="34"/>
      <c r="C215" s="18"/>
      <c r="D215" s="18"/>
    </row>
    <row r="216" spans="1:4" ht="12.5">
      <c r="A216" s="5"/>
      <c r="B216" s="34"/>
      <c r="C216" s="18"/>
      <c r="D216" s="18"/>
    </row>
    <row r="217" spans="1:4" ht="12.5">
      <c r="A217" s="5"/>
      <c r="B217" s="34"/>
      <c r="C217" s="18"/>
      <c r="D217" s="18"/>
    </row>
    <row r="218" spans="1:4" ht="12.5">
      <c r="A218" s="5"/>
      <c r="B218" s="34"/>
      <c r="C218" s="18"/>
      <c r="D218" s="18"/>
    </row>
    <row r="219" spans="1:4" ht="12.5">
      <c r="A219" s="5"/>
      <c r="B219" s="34"/>
      <c r="C219" s="18"/>
      <c r="D219" s="18"/>
    </row>
    <row r="220" spans="1:4" ht="12.5">
      <c r="A220" s="5"/>
      <c r="B220" s="34"/>
      <c r="C220" s="18"/>
      <c r="D220" s="18"/>
    </row>
    <row r="221" spans="1:4" ht="12.5">
      <c r="A221" s="5"/>
      <c r="B221" s="34"/>
      <c r="C221" s="18"/>
      <c r="D221" s="18"/>
    </row>
    <row r="222" spans="1:4" ht="12.5">
      <c r="A222" s="5"/>
      <c r="B222" s="34"/>
      <c r="C222" s="18"/>
      <c r="D222" s="18"/>
    </row>
    <row r="223" spans="1:4" ht="12.5">
      <c r="A223" s="5"/>
      <c r="B223" s="34"/>
      <c r="C223" s="18"/>
      <c r="D223" s="18"/>
    </row>
    <row r="224" spans="1:4" ht="12.5">
      <c r="A224" s="5"/>
      <c r="B224" s="34"/>
      <c r="C224" s="18"/>
      <c r="D224" s="18"/>
    </row>
    <row r="225" spans="1:4" ht="12.5">
      <c r="A225" s="5"/>
      <c r="B225" s="34"/>
      <c r="C225" s="18"/>
      <c r="D225" s="18"/>
    </row>
    <row r="226" spans="1:4" ht="12.5">
      <c r="A226" s="5"/>
      <c r="B226" s="34"/>
      <c r="C226" s="18"/>
      <c r="D226" s="18"/>
    </row>
    <row r="227" spans="1:4" ht="12.5">
      <c r="A227" s="5"/>
      <c r="B227" s="34"/>
      <c r="C227" s="18"/>
      <c r="D227" s="18"/>
    </row>
    <row r="228" spans="1:4" ht="12.5">
      <c r="A228" s="5"/>
      <c r="B228" s="34"/>
      <c r="C228" s="18"/>
      <c r="D228" s="18"/>
    </row>
    <row r="229" spans="1:4" ht="12.5">
      <c r="A229" s="5"/>
      <c r="B229" s="34"/>
      <c r="C229" s="18"/>
      <c r="D229" s="18"/>
    </row>
    <row r="230" spans="1:4" ht="12.5">
      <c r="A230" s="5"/>
      <c r="B230" s="34"/>
      <c r="C230" s="18"/>
      <c r="D230" s="18"/>
    </row>
    <row r="231" spans="1:4" ht="12.5">
      <c r="A231" s="5"/>
      <c r="B231" s="34"/>
      <c r="C231" s="18"/>
      <c r="D231" s="18"/>
    </row>
    <row r="232" spans="1:4" ht="12.5">
      <c r="A232" s="5"/>
      <c r="B232" s="34"/>
      <c r="C232" s="18"/>
      <c r="D232" s="18"/>
    </row>
    <row r="233" spans="1:4" ht="12.5">
      <c r="A233" s="5"/>
      <c r="B233" s="34"/>
      <c r="C233" s="18"/>
      <c r="D233" s="18"/>
    </row>
    <row r="234" spans="1:4" ht="12.5">
      <c r="A234" s="5"/>
      <c r="B234" s="34"/>
      <c r="C234" s="18"/>
      <c r="D234" s="18"/>
    </row>
    <row r="235" spans="1:4" ht="12.5">
      <c r="A235" s="5"/>
      <c r="B235" s="34"/>
      <c r="C235" s="18"/>
      <c r="D235" s="18"/>
    </row>
    <row r="236" spans="1:4" ht="12.5">
      <c r="A236" s="5"/>
      <c r="B236" s="34"/>
      <c r="C236" s="18"/>
      <c r="D236" s="18"/>
    </row>
    <row r="237" spans="1:4" ht="12.5">
      <c r="A237" s="5"/>
      <c r="B237" s="34"/>
      <c r="C237" s="18"/>
      <c r="D237" s="18"/>
    </row>
    <row r="238" spans="1:4" ht="12.5">
      <c r="A238" s="5"/>
      <c r="B238" s="34"/>
      <c r="C238" s="18"/>
      <c r="D238" s="18"/>
    </row>
    <row r="239" spans="1:4" ht="12.5">
      <c r="A239" s="5"/>
      <c r="B239" s="34"/>
      <c r="C239" s="18"/>
      <c r="D239" s="18"/>
    </row>
    <row r="240" spans="1:4" ht="12.5">
      <c r="A240" s="5"/>
      <c r="B240" s="34"/>
      <c r="C240" s="18"/>
      <c r="D240" s="18"/>
    </row>
    <row r="241" spans="1:4" ht="12.5">
      <c r="A241" s="5"/>
      <c r="B241" s="34"/>
      <c r="C241" s="18"/>
      <c r="D241" s="18"/>
    </row>
    <row r="242" spans="1:4" ht="12.5">
      <c r="A242" s="5"/>
      <c r="B242" s="34"/>
      <c r="C242" s="18"/>
      <c r="D242" s="18"/>
    </row>
    <row r="243" spans="1:4" ht="12.5">
      <c r="A243" s="5"/>
      <c r="B243" s="34"/>
      <c r="C243" s="18"/>
      <c r="D243" s="18"/>
    </row>
    <row r="244" spans="1:4" ht="12.5">
      <c r="A244" s="5"/>
      <c r="B244" s="34"/>
      <c r="C244" s="18"/>
      <c r="D244" s="18"/>
    </row>
    <row r="245" spans="1:4" ht="12.5">
      <c r="A245" s="5"/>
      <c r="B245" s="34"/>
      <c r="C245" s="18"/>
      <c r="D245" s="18"/>
    </row>
    <row r="246" spans="1:4" ht="12.5">
      <c r="A246" s="5"/>
      <c r="B246" s="34"/>
      <c r="C246" s="18"/>
      <c r="D246" s="18"/>
    </row>
    <row r="247" spans="1:4" ht="12.5">
      <c r="A247" s="5"/>
      <c r="B247" s="34"/>
      <c r="C247" s="18"/>
      <c r="D247" s="18"/>
    </row>
    <row r="248" spans="1:4" ht="12.5">
      <c r="A248" s="5"/>
      <c r="B248" s="34"/>
      <c r="C248" s="18"/>
      <c r="D248" s="18"/>
    </row>
    <row r="249" spans="1:4" ht="12.5">
      <c r="A249" s="5"/>
      <c r="B249" s="34"/>
      <c r="C249" s="18"/>
      <c r="D249" s="18"/>
    </row>
    <row r="250" spans="1:4" ht="12.5">
      <c r="A250" s="5"/>
      <c r="B250" s="34"/>
      <c r="C250" s="18"/>
      <c r="D250" s="18"/>
    </row>
    <row r="251" spans="1:4" ht="12.5">
      <c r="A251" s="5"/>
      <c r="B251" s="34"/>
      <c r="C251" s="18"/>
      <c r="D251" s="18"/>
    </row>
    <row r="252" spans="1:4" ht="12.5">
      <c r="A252" s="5"/>
      <c r="B252" s="34"/>
      <c r="C252" s="18"/>
      <c r="D252" s="18"/>
    </row>
    <row r="253" spans="1:4" ht="12.5">
      <c r="A253" s="5"/>
      <c r="B253" s="34"/>
      <c r="C253" s="18"/>
      <c r="D253" s="18"/>
    </row>
    <row r="254" spans="1:4" ht="12.5">
      <c r="A254" s="5"/>
      <c r="B254" s="34"/>
      <c r="C254" s="18"/>
      <c r="D254" s="18"/>
    </row>
    <row r="255" spans="1:4" ht="12.5">
      <c r="A255" s="5"/>
      <c r="B255" s="34"/>
      <c r="C255" s="18"/>
      <c r="D255" s="18"/>
    </row>
    <row r="256" spans="1:4" ht="12.5">
      <c r="A256" s="5"/>
      <c r="B256" s="34"/>
      <c r="C256" s="18"/>
      <c r="D256" s="18"/>
    </row>
    <row r="257" spans="1:4" ht="12.5">
      <c r="A257" s="5"/>
      <c r="B257" s="34"/>
      <c r="C257" s="18"/>
      <c r="D257" s="18"/>
    </row>
    <row r="258" spans="1:4" ht="12.5">
      <c r="A258" s="5"/>
      <c r="B258" s="34"/>
      <c r="C258" s="18"/>
      <c r="D258" s="18"/>
    </row>
    <row r="259" spans="1:4" ht="12.5">
      <c r="A259" s="5"/>
      <c r="B259" s="34"/>
      <c r="C259" s="18"/>
      <c r="D259" s="18"/>
    </row>
    <row r="260" spans="1:4" ht="12.5">
      <c r="A260" s="5"/>
      <c r="B260" s="34"/>
      <c r="C260" s="18"/>
      <c r="D260" s="18"/>
    </row>
    <row r="261" spans="1:4" ht="12.5">
      <c r="A261" s="5"/>
      <c r="B261" s="34"/>
      <c r="C261" s="18"/>
      <c r="D261" s="18"/>
    </row>
    <row r="262" spans="1:4" ht="12.5">
      <c r="A262" s="5"/>
      <c r="B262" s="34"/>
      <c r="C262" s="18"/>
      <c r="D262" s="18"/>
    </row>
    <row r="263" spans="1:4" ht="12.5">
      <c r="A263" s="5"/>
      <c r="B263" s="34"/>
      <c r="C263" s="18"/>
      <c r="D263" s="18"/>
    </row>
    <row r="264" spans="1:4" ht="12.5">
      <c r="A264" s="5"/>
      <c r="B264" s="34"/>
      <c r="C264" s="18"/>
      <c r="D264" s="18"/>
    </row>
    <row r="265" spans="1:4" ht="12.5">
      <c r="A265" s="5"/>
      <c r="B265" s="34"/>
      <c r="C265" s="18"/>
      <c r="D265" s="18"/>
    </row>
    <row r="266" spans="1:4" ht="12.5">
      <c r="A266" s="5"/>
      <c r="B266" s="34"/>
      <c r="C266" s="18"/>
      <c r="D266" s="18"/>
    </row>
    <row r="267" spans="1:4" ht="12.5">
      <c r="A267" s="5"/>
      <c r="B267" s="34"/>
      <c r="C267" s="18"/>
      <c r="D267" s="18"/>
    </row>
    <row r="268" spans="1:4" ht="12.5">
      <c r="A268" s="5"/>
      <c r="B268" s="34"/>
      <c r="C268" s="18"/>
      <c r="D268" s="18"/>
    </row>
    <row r="269" spans="1:4" ht="12.5">
      <c r="A269" s="5"/>
      <c r="B269" s="34"/>
      <c r="C269" s="18"/>
      <c r="D269" s="18"/>
    </row>
    <row r="270" spans="1:4" ht="12.5">
      <c r="A270" s="5"/>
      <c r="B270" s="34"/>
      <c r="C270" s="18"/>
      <c r="D270" s="18"/>
    </row>
    <row r="271" spans="1:4" ht="12.5">
      <c r="A271" s="5"/>
      <c r="B271" s="34"/>
      <c r="C271" s="18"/>
      <c r="D271" s="18"/>
    </row>
    <row r="272" spans="1:4" ht="12.5">
      <c r="A272" s="5"/>
      <c r="B272" s="34"/>
      <c r="C272" s="18"/>
      <c r="D272" s="18"/>
    </row>
    <row r="273" spans="1:4" ht="12.5">
      <c r="A273" s="5"/>
      <c r="B273" s="34"/>
      <c r="C273" s="18"/>
      <c r="D273" s="18"/>
    </row>
    <row r="274" spans="1:4" ht="12.5">
      <c r="A274" s="5"/>
      <c r="B274" s="34"/>
      <c r="C274" s="18"/>
      <c r="D274" s="18"/>
    </row>
    <row r="275" spans="1:4" ht="12.5">
      <c r="A275" s="5"/>
      <c r="B275" s="34"/>
      <c r="C275" s="18"/>
      <c r="D275" s="18"/>
    </row>
    <row r="276" spans="1:4" ht="12.5">
      <c r="A276" s="5"/>
      <c r="B276" s="34"/>
      <c r="C276" s="18"/>
      <c r="D276" s="18"/>
    </row>
    <row r="277" spans="1:4" ht="12.5">
      <c r="A277" s="5"/>
      <c r="B277" s="34"/>
      <c r="C277" s="18"/>
      <c r="D277" s="18"/>
    </row>
    <row r="278" spans="1:4" ht="12.5">
      <c r="A278" s="5"/>
      <c r="B278" s="34"/>
      <c r="C278" s="18"/>
      <c r="D278" s="18"/>
    </row>
    <row r="279" spans="1:4" ht="12.5">
      <c r="A279" s="5"/>
      <c r="B279" s="34"/>
      <c r="C279" s="18"/>
      <c r="D279" s="18"/>
    </row>
    <row r="280" spans="1:4" ht="12.5">
      <c r="A280" s="5"/>
      <c r="B280" s="34"/>
      <c r="C280" s="18"/>
      <c r="D280" s="18"/>
    </row>
    <row r="281" spans="1:4" ht="12.5">
      <c r="A281" s="5"/>
      <c r="B281" s="34"/>
      <c r="C281" s="18"/>
      <c r="D281" s="18"/>
    </row>
    <row r="282" spans="1:4" ht="12.5">
      <c r="A282" s="5"/>
      <c r="B282" s="34"/>
      <c r="C282" s="18"/>
      <c r="D282" s="18"/>
    </row>
    <row r="283" spans="1:4" ht="12.5">
      <c r="A283" s="5"/>
      <c r="B283" s="34"/>
      <c r="C283" s="18"/>
      <c r="D283" s="18"/>
    </row>
    <row r="284" spans="1:4" ht="12.5">
      <c r="A284" s="5"/>
      <c r="B284" s="34"/>
      <c r="C284" s="18"/>
      <c r="D284" s="18"/>
    </row>
    <row r="285" spans="1:4" ht="12.5">
      <c r="A285" s="5"/>
      <c r="B285" s="34"/>
      <c r="C285" s="18"/>
      <c r="D285" s="18"/>
    </row>
    <row r="286" spans="1:4" ht="12.5">
      <c r="A286" s="5"/>
      <c r="B286" s="34"/>
      <c r="C286" s="18"/>
      <c r="D286" s="18"/>
    </row>
    <row r="287" spans="1:4" ht="12.5">
      <c r="A287" s="5"/>
      <c r="B287" s="34"/>
      <c r="C287" s="18"/>
      <c r="D287" s="18"/>
    </row>
    <row r="288" spans="1:4" ht="12.5">
      <c r="A288" s="5"/>
      <c r="B288" s="34"/>
      <c r="C288" s="18"/>
      <c r="D288" s="18"/>
    </row>
    <row r="289" spans="1:4" ht="12.5">
      <c r="A289" s="5"/>
      <c r="B289" s="34"/>
      <c r="C289" s="18"/>
      <c r="D289" s="18"/>
    </row>
    <row r="290" spans="1:4" ht="12.5">
      <c r="A290" s="5"/>
      <c r="B290" s="34"/>
      <c r="C290" s="18"/>
      <c r="D290" s="18"/>
    </row>
    <row r="291" spans="1:4" ht="12.5">
      <c r="A291" s="5"/>
      <c r="B291" s="34"/>
      <c r="C291" s="18"/>
      <c r="D291" s="18"/>
    </row>
    <row r="292" spans="1:4" ht="12.5">
      <c r="A292" s="5"/>
      <c r="B292" s="34"/>
      <c r="C292" s="18"/>
      <c r="D292" s="18"/>
    </row>
    <row r="293" spans="1:4" ht="12.5">
      <c r="A293" s="5"/>
      <c r="B293" s="34"/>
      <c r="C293" s="18"/>
      <c r="D293" s="18"/>
    </row>
    <row r="294" spans="1:4" ht="12.5">
      <c r="A294" s="5"/>
      <c r="B294" s="34"/>
      <c r="C294" s="18"/>
      <c r="D294" s="18"/>
    </row>
    <row r="295" spans="1:4" ht="12.5">
      <c r="A295" s="5"/>
      <c r="B295" s="34"/>
      <c r="C295" s="18"/>
      <c r="D295" s="18"/>
    </row>
    <row r="296" spans="1:4" ht="12.5">
      <c r="A296" s="5"/>
      <c r="B296" s="34"/>
      <c r="C296" s="18"/>
      <c r="D296" s="18"/>
    </row>
    <row r="297" spans="1:4" ht="12.5">
      <c r="A297" s="5"/>
      <c r="B297" s="34"/>
      <c r="C297" s="18"/>
      <c r="D297" s="18"/>
    </row>
    <row r="298" spans="1:4" ht="12.5">
      <c r="A298" s="5"/>
      <c r="B298" s="34"/>
      <c r="C298" s="18"/>
      <c r="D298" s="18"/>
    </row>
    <row r="299" spans="1:4" ht="12.5">
      <c r="A299" s="5"/>
      <c r="B299" s="34"/>
      <c r="C299" s="18"/>
      <c r="D299" s="18"/>
    </row>
    <row r="300" spans="1:4" ht="12.5">
      <c r="A300" s="5"/>
      <c r="B300" s="34"/>
      <c r="C300" s="18"/>
      <c r="D300" s="18"/>
    </row>
    <row r="301" spans="1:4" ht="12.5">
      <c r="A301" s="5"/>
      <c r="B301" s="34"/>
      <c r="C301" s="18"/>
      <c r="D301" s="18"/>
    </row>
    <row r="302" spans="1:4" ht="12.5">
      <c r="A302" s="5"/>
      <c r="B302" s="34"/>
      <c r="C302" s="18"/>
      <c r="D302" s="18"/>
    </row>
    <row r="303" spans="1:4" ht="12.5">
      <c r="A303" s="5"/>
      <c r="B303" s="34"/>
      <c r="C303" s="18"/>
      <c r="D303" s="18"/>
    </row>
    <row r="304" spans="1:4" ht="12.5">
      <c r="A304" s="5"/>
      <c r="B304" s="34"/>
      <c r="C304" s="18"/>
      <c r="D304" s="18"/>
    </row>
    <row r="305" spans="1:4" ht="12.5">
      <c r="A305" s="5"/>
      <c r="B305" s="34"/>
      <c r="C305" s="18"/>
      <c r="D305" s="18"/>
    </row>
    <row r="306" spans="1:4" ht="12.5">
      <c r="A306" s="5"/>
      <c r="B306" s="34"/>
      <c r="C306" s="18"/>
      <c r="D306" s="18"/>
    </row>
    <row r="307" spans="1:4" ht="12.5">
      <c r="A307" s="5"/>
      <c r="B307" s="34"/>
      <c r="C307" s="18"/>
      <c r="D307" s="18"/>
    </row>
    <row r="308" spans="1:4" ht="12.5">
      <c r="A308" s="5"/>
      <c r="B308" s="34"/>
      <c r="C308" s="18"/>
      <c r="D308" s="18"/>
    </row>
    <row r="309" spans="1:4" ht="12.5">
      <c r="A309" s="5"/>
      <c r="B309" s="34"/>
      <c r="C309" s="18"/>
      <c r="D309" s="18"/>
    </row>
    <row r="310" spans="1:4" ht="12.5">
      <c r="A310" s="5"/>
      <c r="B310" s="34"/>
      <c r="C310" s="18"/>
      <c r="D310" s="18"/>
    </row>
    <row r="311" spans="1:4" ht="12.5">
      <c r="A311" s="5"/>
      <c r="B311" s="34"/>
      <c r="C311" s="18"/>
      <c r="D311" s="18"/>
    </row>
    <row r="312" spans="1:4" ht="12.5">
      <c r="A312" s="5"/>
      <c r="B312" s="34"/>
      <c r="C312" s="18"/>
      <c r="D312" s="18"/>
    </row>
    <row r="313" spans="1:4" ht="12.5">
      <c r="A313" s="5"/>
      <c r="B313" s="34"/>
      <c r="C313" s="18"/>
      <c r="D313" s="18"/>
    </row>
    <row r="314" spans="1:4" ht="12.5">
      <c r="A314" s="5"/>
      <c r="B314" s="34"/>
      <c r="C314" s="18"/>
      <c r="D314" s="18"/>
    </row>
    <row r="315" spans="1:4" ht="12.5">
      <c r="A315" s="5"/>
      <c r="B315" s="34"/>
      <c r="C315" s="18"/>
      <c r="D315" s="18"/>
    </row>
    <row r="316" spans="1:4" ht="12.5">
      <c r="A316" s="5"/>
      <c r="B316" s="34"/>
      <c r="C316" s="18"/>
      <c r="D316" s="18"/>
    </row>
    <row r="317" spans="1:4" ht="12.5">
      <c r="A317" s="5"/>
      <c r="B317" s="34"/>
      <c r="C317" s="18"/>
      <c r="D317" s="18"/>
    </row>
    <row r="318" spans="1:4" ht="12.5">
      <c r="A318" s="5"/>
      <c r="B318" s="34"/>
      <c r="C318" s="18"/>
      <c r="D318" s="18"/>
    </row>
    <row r="319" spans="1:4" ht="12.5">
      <c r="A319" s="5"/>
      <c r="B319" s="34"/>
      <c r="C319" s="18"/>
      <c r="D319" s="18"/>
    </row>
    <row r="320" spans="1:4" ht="12.5">
      <c r="A320" s="5"/>
      <c r="B320" s="34"/>
      <c r="C320" s="18"/>
      <c r="D320" s="18"/>
    </row>
    <row r="321" spans="1:4" ht="12.5">
      <c r="A321" s="5"/>
      <c r="B321" s="34"/>
      <c r="C321" s="18"/>
      <c r="D321" s="18"/>
    </row>
    <row r="322" spans="1:4" ht="12.5">
      <c r="A322" s="5"/>
      <c r="B322" s="34"/>
      <c r="C322" s="18"/>
      <c r="D322" s="18"/>
    </row>
    <row r="323" spans="1:4" ht="12.5">
      <c r="A323" s="5"/>
      <c r="B323" s="34"/>
      <c r="C323" s="18"/>
      <c r="D323" s="18"/>
    </row>
    <row r="324" spans="1:4" ht="12.5">
      <c r="A324" s="5"/>
      <c r="B324" s="34"/>
      <c r="C324" s="18"/>
      <c r="D324" s="18"/>
    </row>
    <row r="325" spans="1:4" ht="12.5">
      <c r="A325" s="5"/>
      <c r="B325" s="34"/>
      <c r="C325" s="18"/>
      <c r="D325" s="18"/>
    </row>
    <row r="326" spans="1:4" ht="12.5">
      <c r="A326" s="5"/>
      <c r="B326" s="34"/>
      <c r="C326" s="18"/>
      <c r="D326" s="18"/>
    </row>
    <row r="327" spans="1:4" ht="12.5">
      <c r="A327" s="5"/>
      <c r="B327" s="34"/>
      <c r="C327" s="18"/>
      <c r="D327" s="18"/>
    </row>
    <row r="328" spans="1:4" ht="12.5">
      <c r="A328" s="5"/>
      <c r="B328" s="34"/>
      <c r="C328" s="18"/>
      <c r="D328" s="18"/>
    </row>
    <row r="329" spans="1:4" ht="12.5">
      <c r="A329" s="5"/>
      <c r="B329" s="34"/>
      <c r="C329" s="18"/>
      <c r="D329" s="18"/>
    </row>
    <row r="330" spans="1:4" ht="12.5">
      <c r="A330" s="5"/>
      <c r="B330" s="34"/>
      <c r="C330" s="18"/>
      <c r="D330" s="18"/>
    </row>
    <row r="331" spans="1:4" ht="12.5">
      <c r="A331" s="5"/>
      <c r="B331" s="34"/>
      <c r="C331" s="18"/>
      <c r="D331" s="18"/>
    </row>
    <row r="332" spans="1:4" ht="12.5">
      <c r="A332" s="5"/>
      <c r="B332" s="34"/>
      <c r="C332" s="18"/>
      <c r="D332" s="18"/>
    </row>
    <row r="333" spans="1:4" ht="12.5">
      <c r="A333" s="5"/>
      <c r="B333" s="34"/>
      <c r="C333" s="18"/>
      <c r="D333" s="18"/>
    </row>
    <row r="334" spans="1:4" ht="12.5">
      <c r="A334" s="5"/>
      <c r="B334" s="34"/>
      <c r="C334" s="18"/>
      <c r="D334" s="18"/>
    </row>
    <row r="335" spans="1:4" ht="12.5">
      <c r="A335" s="5"/>
      <c r="B335" s="34"/>
      <c r="C335" s="18"/>
      <c r="D335" s="18"/>
    </row>
    <row r="336" spans="1:4" ht="12.5">
      <c r="A336" s="5"/>
      <c r="B336" s="34"/>
      <c r="C336" s="18"/>
      <c r="D336" s="18"/>
    </row>
    <row r="337" spans="1:4" ht="12.5">
      <c r="A337" s="5"/>
      <c r="B337" s="34"/>
      <c r="C337" s="18"/>
      <c r="D337" s="18"/>
    </row>
    <row r="338" spans="1:4" ht="12.5">
      <c r="A338" s="5"/>
      <c r="B338" s="34"/>
      <c r="C338" s="18"/>
      <c r="D338" s="18"/>
    </row>
    <row r="339" spans="1:4" ht="12.5">
      <c r="A339" s="5"/>
      <c r="B339" s="34"/>
      <c r="C339" s="18"/>
      <c r="D339" s="18"/>
    </row>
    <row r="340" spans="1:4" ht="12.5">
      <c r="A340" s="5"/>
      <c r="B340" s="34"/>
      <c r="C340" s="18"/>
      <c r="D340" s="18"/>
    </row>
    <row r="341" spans="1:4" ht="12.5">
      <c r="A341" s="5"/>
      <c r="B341" s="34"/>
      <c r="C341" s="18"/>
      <c r="D341" s="18"/>
    </row>
    <row r="342" spans="1:4" ht="12.5">
      <c r="A342" s="5"/>
      <c r="B342" s="34"/>
      <c r="C342" s="18"/>
      <c r="D342" s="18"/>
    </row>
    <row r="343" spans="1:4" ht="12.5">
      <c r="A343" s="5"/>
      <c r="B343" s="34"/>
      <c r="C343" s="18"/>
      <c r="D343" s="18"/>
    </row>
    <row r="344" spans="1:4" ht="12.5">
      <c r="A344" s="5"/>
      <c r="B344" s="34"/>
      <c r="C344" s="18"/>
      <c r="D344" s="18"/>
    </row>
    <row r="345" spans="1:4" ht="12.5">
      <c r="A345" s="5"/>
      <c r="B345" s="34"/>
      <c r="C345" s="18"/>
      <c r="D345" s="18"/>
    </row>
    <row r="346" spans="1:4" ht="12.5">
      <c r="A346" s="5"/>
      <c r="B346" s="34"/>
      <c r="C346" s="18"/>
      <c r="D346" s="18"/>
    </row>
    <row r="347" spans="1:4" ht="12.5">
      <c r="A347" s="5"/>
      <c r="B347" s="34"/>
      <c r="C347" s="18"/>
      <c r="D347" s="18"/>
    </row>
    <row r="348" spans="1:4" ht="12.5">
      <c r="A348" s="5"/>
      <c r="B348" s="34"/>
      <c r="C348" s="18"/>
      <c r="D348" s="18"/>
    </row>
    <row r="349" spans="1:4" ht="12.5">
      <c r="A349" s="5"/>
      <c r="B349" s="34"/>
      <c r="C349" s="18"/>
      <c r="D349" s="18"/>
    </row>
    <row r="350" spans="1:4" ht="12.5">
      <c r="A350" s="5"/>
      <c r="B350" s="34"/>
      <c r="C350" s="18"/>
      <c r="D350" s="18"/>
    </row>
    <row r="351" spans="1:4" ht="12.5">
      <c r="A351" s="5"/>
      <c r="B351" s="34"/>
      <c r="C351" s="18"/>
      <c r="D351" s="18"/>
    </row>
    <row r="352" spans="1:4" ht="12.5">
      <c r="A352" s="5"/>
      <c r="B352" s="34"/>
      <c r="C352" s="18"/>
      <c r="D352" s="18"/>
    </row>
    <row r="353" spans="1:4" ht="12.5">
      <c r="A353" s="5"/>
      <c r="B353" s="34"/>
      <c r="C353" s="18"/>
      <c r="D353" s="18"/>
    </row>
    <row r="354" spans="1:4" ht="12.5">
      <c r="A354" s="5"/>
      <c r="B354" s="34"/>
      <c r="C354" s="18"/>
      <c r="D354" s="18"/>
    </row>
    <row r="355" spans="1:4" ht="12.5">
      <c r="A355" s="5"/>
      <c r="B355" s="34"/>
      <c r="C355" s="18"/>
      <c r="D355" s="18"/>
    </row>
    <row r="356" spans="1:4" ht="12.5">
      <c r="A356" s="5"/>
      <c r="B356" s="34"/>
      <c r="C356" s="18"/>
      <c r="D356" s="18"/>
    </row>
    <row r="357" spans="1:4" ht="12.5">
      <c r="A357" s="5"/>
      <c r="B357" s="34"/>
      <c r="C357" s="18"/>
      <c r="D357" s="18"/>
    </row>
    <row r="358" spans="1:4" ht="12.5">
      <c r="A358" s="5"/>
      <c r="B358" s="34"/>
      <c r="C358" s="18"/>
      <c r="D358" s="18"/>
    </row>
    <row r="359" spans="1:4" ht="12.5">
      <c r="A359" s="5"/>
      <c r="B359" s="34"/>
      <c r="C359" s="18"/>
      <c r="D359" s="18"/>
    </row>
    <row r="360" spans="1:4" ht="12.5">
      <c r="A360" s="5"/>
      <c r="B360" s="34"/>
      <c r="C360" s="18"/>
      <c r="D360" s="18"/>
    </row>
    <row r="361" spans="1:4" ht="12.5">
      <c r="A361" s="5"/>
      <c r="B361" s="34"/>
      <c r="C361" s="18"/>
      <c r="D361" s="18"/>
    </row>
    <row r="362" spans="1:4" ht="12.5">
      <c r="A362" s="5"/>
      <c r="B362" s="34"/>
      <c r="C362" s="18"/>
      <c r="D362" s="18"/>
    </row>
    <row r="363" spans="1:4" ht="12.5">
      <c r="A363" s="5"/>
      <c r="B363" s="34"/>
      <c r="C363" s="18"/>
      <c r="D363" s="18"/>
    </row>
    <row r="364" spans="1:4" ht="12.5">
      <c r="A364" s="5"/>
      <c r="B364" s="34"/>
      <c r="C364" s="18"/>
      <c r="D364" s="18"/>
    </row>
    <row r="365" spans="1:4" ht="12.5">
      <c r="A365" s="5"/>
      <c r="B365" s="34"/>
      <c r="C365" s="18"/>
      <c r="D365" s="18"/>
    </row>
    <row r="366" spans="1:4" ht="12.5">
      <c r="A366" s="5"/>
      <c r="B366" s="34"/>
      <c r="C366" s="18"/>
      <c r="D366" s="18"/>
    </row>
    <row r="367" spans="1:4" ht="12.5">
      <c r="A367" s="5"/>
      <c r="B367" s="34"/>
      <c r="C367" s="18"/>
      <c r="D367" s="18"/>
    </row>
    <row r="368" spans="1:4" ht="12.5">
      <c r="A368" s="5"/>
      <c r="B368" s="34"/>
      <c r="C368" s="18"/>
      <c r="D368" s="18"/>
    </row>
    <row r="369" spans="1:4" ht="12.5">
      <c r="A369" s="5"/>
      <c r="B369" s="34"/>
      <c r="C369" s="18"/>
      <c r="D369" s="18"/>
    </row>
    <row r="370" spans="1:4" ht="12.5">
      <c r="A370" s="5"/>
      <c r="B370" s="34"/>
      <c r="C370" s="18"/>
      <c r="D370" s="18"/>
    </row>
    <row r="371" spans="1:4" ht="12.5">
      <c r="A371" s="5"/>
      <c r="B371" s="34"/>
      <c r="C371" s="18"/>
      <c r="D371" s="18"/>
    </row>
    <row r="372" spans="1:4" ht="12.5">
      <c r="A372" s="5"/>
      <c r="B372" s="34"/>
      <c r="C372" s="18"/>
      <c r="D372" s="18"/>
    </row>
    <row r="373" spans="1:4" ht="12.5">
      <c r="A373" s="5"/>
      <c r="B373" s="34"/>
      <c r="C373" s="18"/>
      <c r="D373" s="18"/>
    </row>
    <row r="374" spans="1:4" ht="12.5">
      <c r="A374" s="5"/>
      <c r="B374" s="34"/>
      <c r="C374" s="18"/>
      <c r="D374" s="18"/>
    </row>
    <row r="375" spans="1:4" ht="12.5">
      <c r="A375" s="5"/>
      <c r="B375" s="34"/>
      <c r="C375" s="18"/>
      <c r="D375" s="18"/>
    </row>
    <row r="376" spans="1:4" ht="12.5">
      <c r="A376" s="5"/>
      <c r="B376" s="34"/>
      <c r="C376" s="18"/>
      <c r="D376" s="18"/>
    </row>
    <row r="377" spans="1:4" ht="12.5">
      <c r="A377" s="5"/>
      <c r="B377" s="34"/>
      <c r="C377" s="18"/>
      <c r="D377" s="18"/>
    </row>
    <row r="378" spans="1:4" ht="12.5">
      <c r="A378" s="5"/>
      <c r="B378" s="34"/>
      <c r="C378" s="18"/>
      <c r="D378" s="18"/>
    </row>
    <row r="379" spans="1:4" ht="12.5">
      <c r="A379" s="5"/>
      <c r="B379" s="34"/>
      <c r="C379" s="18"/>
      <c r="D379" s="18"/>
    </row>
    <row r="380" spans="1:4" ht="12.5">
      <c r="A380" s="5"/>
      <c r="B380" s="34"/>
      <c r="C380" s="18"/>
      <c r="D380" s="18"/>
    </row>
    <row r="381" spans="1:4" ht="12.5">
      <c r="A381" s="5"/>
      <c r="B381" s="34"/>
      <c r="C381" s="18"/>
      <c r="D381" s="18"/>
    </row>
    <row r="382" spans="1:4" ht="12.5">
      <c r="A382" s="5"/>
      <c r="B382" s="34"/>
      <c r="C382" s="18"/>
      <c r="D382" s="18"/>
    </row>
    <row r="383" spans="1:4" ht="12.5">
      <c r="A383" s="5"/>
      <c r="B383" s="34"/>
      <c r="C383" s="18"/>
      <c r="D383" s="18"/>
    </row>
    <row r="384" spans="1:4" ht="12.5">
      <c r="A384" s="5"/>
      <c r="B384" s="34"/>
      <c r="C384" s="18"/>
      <c r="D384" s="18"/>
    </row>
    <row r="385" spans="1:4" ht="12.5">
      <c r="A385" s="5"/>
      <c r="B385" s="34"/>
      <c r="C385" s="18"/>
      <c r="D385" s="18"/>
    </row>
    <row r="386" spans="1:4" ht="12.5">
      <c r="A386" s="5"/>
      <c r="B386" s="34"/>
      <c r="C386" s="18"/>
      <c r="D386" s="18"/>
    </row>
    <row r="387" spans="1:4" ht="12.5">
      <c r="A387" s="5"/>
      <c r="B387" s="34"/>
      <c r="C387" s="18"/>
      <c r="D387" s="18"/>
    </row>
    <row r="388" spans="1:4" ht="12.5">
      <c r="A388" s="5"/>
      <c r="B388" s="34"/>
      <c r="C388" s="18"/>
      <c r="D388" s="18"/>
    </row>
    <row r="389" spans="1:4" ht="12.5">
      <c r="A389" s="5"/>
      <c r="B389" s="34"/>
      <c r="C389" s="18"/>
      <c r="D389" s="18"/>
    </row>
    <row r="390" spans="1:4" ht="12.5">
      <c r="A390" s="5"/>
      <c r="B390" s="34"/>
      <c r="C390" s="18"/>
      <c r="D390" s="18"/>
    </row>
    <row r="391" spans="1:4" ht="12.5">
      <c r="A391" s="5"/>
      <c r="B391" s="34"/>
      <c r="C391" s="18"/>
      <c r="D391" s="18"/>
    </row>
    <row r="392" spans="1:4" ht="12.5">
      <c r="A392" s="5"/>
      <c r="B392" s="34"/>
      <c r="C392" s="18"/>
      <c r="D392" s="18"/>
    </row>
    <row r="393" spans="1:4" ht="12.5">
      <c r="A393" s="5"/>
      <c r="B393" s="34"/>
      <c r="C393" s="18"/>
      <c r="D393" s="18"/>
    </row>
    <row r="394" spans="1:4" ht="12.5">
      <c r="A394" s="5"/>
      <c r="B394" s="34"/>
      <c r="C394" s="18"/>
      <c r="D394" s="18"/>
    </row>
    <row r="395" spans="1:4" ht="12.5">
      <c r="A395" s="5"/>
      <c r="B395" s="34"/>
      <c r="C395" s="18"/>
      <c r="D395" s="18"/>
    </row>
    <row r="396" spans="1:4" ht="12.5">
      <c r="A396" s="5"/>
      <c r="B396" s="34"/>
      <c r="C396" s="18"/>
      <c r="D396" s="18"/>
    </row>
    <row r="397" spans="1:4" ht="12.5">
      <c r="A397" s="5"/>
      <c r="B397" s="34"/>
      <c r="C397" s="18"/>
      <c r="D397" s="18"/>
    </row>
    <row r="398" spans="1:4" ht="12.5">
      <c r="A398" s="5"/>
      <c r="B398" s="34"/>
      <c r="C398" s="18"/>
      <c r="D398" s="18"/>
    </row>
    <row r="399" spans="1:4" ht="12.5">
      <c r="A399" s="5"/>
      <c r="B399" s="34"/>
      <c r="C399" s="18"/>
      <c r="D399" s="18"/>
    </row>
    <row r="400" spans="1:4" ht="12.5">
      <c r="A400" s="5"/>
      <c r="B400" s="34"/>
      <c r="C400" s="18"/>
      <c r="D400" s="18"/>
    </row>
    <row r="401" spans="1:4" ht="12.5">
      <c r="A401" s="5"/>
      <c r="B401" s="34"/>
      <c r="C401" s="18"/>
      <c r="D401" s="18"/>
    </row>
    <row r="402" spans="1:4" ht="12.5">
      <c r="A402" s="5"/>
      <c r="B402" s="34"/>
      <c r="C402" s="18"/>
      <c r="D402" s="18"/>
    </row>
    <row r="403" spans="1:4" ht="12.5">
      <c r="A403" s="5"/>
      <c r="B403" s="34"/>
      <c r="C403" s="18"/>
      <c r="D403" s="18"/>
    </row>
    <row r="404" spans="1:4" ht="12.5">
      <c r="A404" s="5"/>
      <c r="B404" s="34"/>
      <c r="C404" s="18"/>
      <c r="D404" s="18"/>
    </row>
    <row r="405" spans="1:4" ht="12.5">
      <c r="A405" s="5"/>
      <c r="B405" s="34"/>
      <c r="C405" s="18"/>
      <c r="D405" s="18"/>
    </row>
    <row r="406" spans="1:4" ht="12.5">
      <c r="A406" s="5"/>
      <c r="B406" s="34"/>
      <c r="C406" s="18"/>
      <c r="D406" s="18"/>
    </row>
    <row r="407" spans="1:4" ht="12.5">
      <c r="A407" s="5"/>
      <c r="B407" s="34"/>
      <c r="C407" s="18"/>
      <c r="D407" s="18"/>
    </row>
    <row r="408" spans="1:4" ht="12.5">
      <c r="A408" s="5"/>
      <c r="B408" s="34"/>
      <c r="C408" s="18"/>
      <c r="D408" s="18"/>
    </row>
    <row r="409" spans="1:4" ht="12.5">
      <c r="A409" s="5"/>
      <c r="B409" s="34"/>
      <c r="C409" s="18"/>
      <c r="D409" s="18"/>
    </row>
    <row r="410" spans="1:4" ht="12.5">
      <c r="A410" s="5"/>
      <c r="B410" s="34"/>
      <c r="C410" s="18"/>
      <c r="D410" s="18"/>
    </row>
    <row r="411" spans="1:4" ht="12.5">
      <c r="A411" s="5"/>
      <c r="B411" s="34"/>
      <c r="C411" s="18"/>
      <c r="D411" s="18"/>
    </row>
    <row r="412" spans="1:4" ht="12.5">
      <c r="A412" s="5"/>
      <c r="B412" s="34"/>
      <c r="C412" s="18"/>
      <c r="D412" s="18"/>
    </row>
    <row r="413" spans="1:4" ht="12.5">
      <c r="A413" s="5"/>
      <c r="B413" s="34"/>
      <c r="C413" s="18"/>
      <c r="D413" s="18"/>
    </row>
    <row r="414" spans="1:4" ht="12.5">
      <c r="A414" s="5"/>
      <c r="B414" s="34"/>
      <c r="C414" s="18"/>
      <c r="D414" s="18"/>
    </row>
    <row r="415" spans="1:4" ht="12.5">
      <c r="A415" s="5"/>
      <c r="B415" s="34"/>
      <c r="C415" s="18"/>
      <c r="D415" s="18"/>
    </row>
    <row r="416" spans="1:4" ht="12.5">
      <c r="A416" s="5"/>
      <c r="B416" s="34"/>
      <c r="C416" s="18"/>
      <c r="D416" s="18"/>
    </row>
    <row r="417" spans="1:4" ht="12.5">
      <c r="A417" s="5"/>
      <c r="B417" s="34"/>
      <c r="C417" s="18"/>
      <c r="D417" s="18"/>
    </row>
    <row r="418" spans="1:4" ht="12.5">
      <c r="A418" s="5"/>
      <c r="B418" s="34"/>
      <c r="C418" s="18"/>
      <c r="D418" s="18"/>
    </row>
    <row r="419" spans="1:4" ht="12.5">
      <c r="A419" s="5"/>
      <c r="B419" s="34"/>
      <c r="C419" s="18"/>
      <c r="D419" s="18"/>
    </row>
    <row r="420" spans="1:4" ht="12.5">
      <c r="A420" s="5"/>
      <c r="B420" s="34"/>
      <c r="C420" s="18"/>
      <c r="D420" s="18"/>
    </row>
    <row r="421" spans="1:4" ht="12.5">
      <c r="A421" s="5"/>
      <c r="B421" s="34"/>
      <c r="C421" s="18"/>
      <c r="D421" s="18"/>
    </row>
    <row r="422" spans="1:4" ht="12.5">
      <c r="A422" s="5"/>
      <c r="B422" s="34"/>
      <c r="C422" s="18"/>
      <c r="D422" s="18"/>
    </row>
    <row r="423" spans="1:4" ht="12.5">
      <c r="A423" s="5"/>
      <c r="B423" s="34"/>
      <c r="C423" s="18"/>
      <c r="D423" s="18"/>
    </row>
    <row r="424" spans="1:4" ht="12.5">
      <c r="A424" s="5"/>
      <c r="B424" s="34"/>
      <c r="C424" s="18"/>
      <c r="D424" s="18"/>
    </row>
    <row r="425" spans="1:4" ht="12.5">
      <c r="A425" s="5"/>
      <c r="B425" s="34"/>
      <c r="C425" s="18"/>
      <c r="D425" s="18"/>
    </row>
    <row r="426" spans="1:4" ht="12.5">
      <c r="A426" s="5"/>
      <c r="B426" s="34"/>
      <c r="C426" s="18"/>
      <c r="D426" s="18"/>
    </row>
    <row r="427" spans="1:4" ht="12.5">
      <c r="A427" s="5"/>
      <c r="B427" s="34"/>
      <c r="C427" s="18"/>
      <c r="D427" s="18"/>
    </row>
    <row r="428" spans="1:4" ht="12.5">
      <c r="A428" s="5"/>
      <c r="B428" s="34"/>
      <c r="C428" s="18"/>
      <c r="D428" s="18"/>
    </row>
    <row r="429" spans="1:4" ht="12.5">
      <c r="A429" s="5"/>
      <c r="B429" s="34"/>
      <c r="C429" s="18"/>
      <c r="D429" s="18"/>
    </row>
    <row r="430" spans="1:4" ht="12.5">
      <c r="A430" s="5"/>
      <c r="B430" s="34"/>
      <c r="C430" s="18"/>
      <c r="D430" s="18"/>
    </row>
    <row r="431" spans="1:4" ht="12.5">
      <c r="A431" s="5"/>
      <c r="B431" s="34"/>
      <c r="C431" s="18"/>
      <c r="D431" s="18"/>
    </row>
    <row r="432" spans="1:4" ht="12.5">
      <c r="A432" s="5"/>
      <c r="B432" s="34"/>
      <c r="C432" s="18"/>
      <c r="D432" s="18"/>
    </row>
    <row r="433" spans="1:4" ht="12.5">
      <c r="A433" s="5"/>
      <c r="B433" s="34"/>
      <c r="C433" s="18"/>
      <c r="D433" s="18"/>
    </row>
    <row r="434" spans="1:4" ht="12.5">
      <c r="A434" s="5"/>
      <c r="B434" s="34"/>
      <c r="C434" s="18"/>
      <c r="D434" s="18"/>
    </row>
    <row r="435" spans="1:4" ht="12.5">
      <c r="A435" s="5"/>
      <c r="B435" s="34"/>
      <c r="C435" s="18"/>
      <c r="D435" s="18"/>
    </row>
    <row r="436" spans="1:4" ht="12.5">
      <c r="A436" s="5"/>
      <c r="B436" s="34"/>
      <c r="C436" s="18"/>
      <c r="D436" s="18"/>
    </row>
    <row r="437" spans="1:4" ht="12.5">
      <c r="A437" s="5"/>
      <c r="B437" s="34"/>
      <c r="C437" s="18"/>
      <c r="D437" s="18"/>
    </row>
    <row r="438" spans="1:4" ht="12.5">
      <c r="A438" s="5"/>
      <c r="B438" s="34"/>
      <c r="C438" s="18"/>
      <c r="D438" s="18"/>
    </row>
    <row r="439" spans="1:4" ht="12.5">
      <c r="A439" s="5"/>
      <c r="B439" s="34"/>
      <c r="C439" s="18"/>
      <c r="D439" s="18"/>
    </row>
    <row r="440" spans="1:4" ht="12.5">
      <c r="A440" s="5"/>
      <c r="B440" s="34"/>
      <c r="C440" s="18"/>
      <c r="D440" s="18"/>
    </row>
    <row r="441" spans="1:4" ht="12.5">
      <c r="A441" s="5"/>
      <c r="B441" s="34"/>
      <c r="C441" s="18"/>
      <c r="D441" s="18"/>
    </row>
    <row r="442" spans="1:4" ht="12.5">
      <c r="A442" s="5"/>
      <c r="B442" s="34"/>
      <c r="C442" s="18"/>
      <c r="D442" s="18"/>
    </row>
    <row r="443" spans="1:4" ht="12.5">
      <c r="A443" s="5"/>
      <c r="B443" s="34"/>
      <c r="C443" s="18"/>
      <c r="D443" s="18"/>
    </row>
    <row r="444" spans="1:4" ht="12.5">
      <c r="A444" s="5"/>
      <c r="B444" s="34"/>
      <c r="C444" s="18"/>
      <c r="D444" s="18"/>
    </row>
    <row r="445" spans="1:4" ht="12.5">
      <c r="A445" s="5"/>
      <c r="B445" s="34"/>
      <c r="C445" s="18"/>
      <c r="D445" s="18"/>
    </row>
    <row r="446" spans="1:4" ht="12.5">
      <c r="A446" s="5"/>
      <c r="B446" s="34"/>
      <c r="C446" s="18"/>
      <c r="D446" s="18"/>
    </row>
    <row r="447" spans="1:4" ht="12.5">
      <c r="A447" s="5"/>
      <c r="B447" s="34"/>
      <c r="C447" s="18"/>
      <c r="D447" s="18"/>
    </row>
    <row r="448" spans="1:4" ht="12.5">
      <c r="A448" s="5"/>
      <c r="B448" s="34"/>
      <c r="C448" s="18"/>
      <c r="D448" s="18"/>
    </row>
    <row r="449" spans="1:4" ht="12.5">
      <c r="A449" s="5"/>
      <c r="B449" s="34"/>
      <c r="C449" s="18"/>
      <c r="D449" s="18"/>
    </row>
    <row r="450" spans="1:4" ht="12.5">
      <c r="A450" s="5"/>
      <c r="B450" s="34"/>
      <c r="C450" s="18"/>
      <c r="D450" s="18"/>
    </row>
    <row r="451" spans="1:4" ht="12.5">
      <c r="A451" s="5"/>
      <c r="B451" s="34"/>
      <c r="C451" s="18"/>
      <c r="D451" s="18"/>
    </row>
    <row r="452" spans="1:4" ht="12.5">
      <c r="A452" s="5"/>
      <c r="B452" s="34"/>
      <c r="C452" s="18"/>
      <c r="D452" s="18"/>
    </row>
    <row r="453" spans="1:4" ht="12.5">
      <c r="A453" s="5"/>
      <c r="B453" s="34"/>
      <c r="C453" s="18"/>
      <c r="D453" s="18"/>
    </row>
    <row r="454" spans="1:4" ht="12.5">
      <c r="A454" s="5"/>
      <c r="B454" s="34"/>
      <c r="C454" s="18"/>
      <c r="D454" s="18"/>
    </row>
    <row r="455" spans="1:4" ht="12.5">
      <c r="A455" s="5"/>
      <c r="B455" s="34"/>
      <c r="C455" s="18"/>
      <c r="D455" s="18"/>
    </row>
    <row r="456" spans="1:4" ht="12.5">
      <c r="A456" s="5"/>
      <c r="B456" s="34"/>
      <c r="C456" s="18"/>
      <c r="D456" s="18"/>
    </row>
    <row r="457" spans="1:4" ht="12.5">
      <c r="A457" s="5"/>
      <c r="B457" s="34"/>
      <c r="C457" s="18"/>
      <c r="D457" s="18"/>
    </row>
    <row r="458" spans="1:4" ht="12.5">
      <c r="A458" s="5"/>
      <c r="B458" s="34"/>
      <c r="C458" s="18"/>
      <c r="D458" s="18"/>
    </row>
    <row r="459" spans="1:4" ht="12.5">
      <c r="A459" s="5"/>
      <c r="B459" s="34"/>
      <c r="C459" s="18"/>
      <c r="D459" s="18"/>
    </row>
    <row r="460" spans="1:4" ht="12.5">
      <c r="A460" s="5"/>
      <c r="B460" s="34"/>
      <c r="C460" s="18"/>
      <c r="D460" s="18"/>
    </row>
    <row r="461" spans="1:4" ht="12.5">
      <c r="A461" s="5"/>
      <c r="B461" s="34"/>
      <c r="C461" s="18"/>
      <c r="D461" s="18"/>
    </row>
    <row r="462" spans="1:4" ht="12.5">
      <c r="A462" s="5"/>
      <c r="B462" s="34"/>
      <c r="C462" s="18"/>
      <c r="D462" s="18"/>
    </row>
    <row r="463" spans="1:4" ht="12.5">
      <c r="A463" s="5"/>
      <c r="B463" s="34"/>
      <c r="C463" s="18"/>
      <c r="D463" s="18"/>
    </row>
    <row r="464" spans="1:4" ht="12.5">
      <c r="A464" s="5"/>
      <c r="B464" s="34"/>
      <c r="C464" s="18"/>
      <c r="D464" s="18"/>
    </row>
    <row r="465" spans="1:4" ht="12.5">
      <c r="A465" s="5"/>
      <c r="B465" s="34"/>
      <c r="C465" s="18"/>
      <c r="D465" s="18"/>
    </row>
    <row r="466" spans="1:4" ht="12.5">
      <c r="A466" s="5"/>
      <c r="B466" s="34"/>
      <c r="C466" s="18"/>
      <c r="D466" s="18"/>
    </row>
    <row r="467" spans="1:4" ht="12.5">
      <c r="A467" s="5"/>
      <c r="B467" s="34"/>
      <c r="C467" s="18"/>
      <c r="D467" s="18"/>
    </row>
    <row r="468" spans="1:4" ht="12.5">
      <c r="A468" s="5"/>
      <c r="B468" s="34"/>
      <c r="C468" s="18"/>
      <c r="D468" s="18"/>
    </row>
    <row r="469" spans="1:4" ht="12.5">
      <c r="A469" s="5"/>
      <c r="B469" s="34"/>
      <c r="C469" s="18"/>
      <c r="D469" s="18"/>
    </row>
    <row r="470" spans="1:4" ht="12.5">
      <c r="A470" s="5"/>
      <c r="B470" s="34"/>
      <c r="C470" s="18"/>
      <c r="D470" s="18"/>
    </row>
    <row r="471" spans="1:4" ht="12.5">
      <c r="A471" s="5"/>
      <c r="B471" s="34"/>
      <c r="C471" s="18"/>
      <c r="D471" s="18"/>
    </row>
    <row r="472" spans="1:4" ht="12.5">
      <c r="A472" s="5"/>
      <c r="B472" s="34"/>
      <c r="C472" s="18"/>
      <c r="D472" s="18"/>
    </row>
    <row r="473" spans="1:4" ht="12.5">
      <c r="A473" s="5"/>
      <c r="B473" s="34"/>
      <c r="C473" s="18"/>
      <c r="D473" s="18"/>
    </row>
    <row r="474" spans="1:4" ht="12.5">
      <c r="A474" s="5"/>
      <c r="B474" s="34"/>
      <c r="C474" s="18"/>
      <c r="D474" s="18"/>
    </row>
    <row r="475" spans="1:4" ht="12.5">
      <c r="A475" s="5"/>
      <c r="B475" s="34"/>
      <c r="C475" s="18"/>
      <c r="D475" s="18"/>
    </row>
    <row r="476" spans="1:4" ht="12.5">
      <c r="A476" s="5"/>
      <c r="B476" s="34"/>
      <c r="C476" s="18"/>
      <c r="D476" s="18"/>
    </row>
    <row r="477" spans="1:4" ht="12.5">
      <c r="A477" s="5"/>
      <c r="B477" s="34"/>
      <c r="C477" s="18"/>
      <c r="D477" s="18"/>
    </row>
    <row r="478" spans="1:4" ht="12.5">
      <c r="A478" s="5"/>
      <c r="B478" s="34"/>
      <c r="C478" s="18"/>
      <c r="D478" s="18"/>
    </row>
    <row r="479" spans="1:4" ht="12.5">
      <c r="A479" s="5"/>
      <c r="B479" s="34"/>
      <c r="C479" s="18"/>
      <c r="D479" s="18"/>
    </row>
    <row r="480" spans="1:4" ht="12.5">
      <c r="A480" s="5"/>
      <c r="B480" s="34"/>
      <c r="C480" s="18"/>
      <c r="D480" s="18"/>
    </row>
    <row r="481" spans="1:4" ht="12.5">
      <c r="A481" s="5"/>
      <c r="B481" s="34"/>
      <c r="C481" s="18"/>
      <c r="D481" s="18"/>
    </row>
    <row r="482" spans="1:4" ht="12.5">
      <c r="A482" s="5"/>
      <c r="B482" s="34"/>
      <c r="C482" s="18"/>
      <c r="D482" s="18"/>
    </row>
    <row r="483" spans="1:4" ht="12.5">
      <c r="A483" s="5"/>
      <c r="B483" s="34"/>
      <c r="C483" s="18"/>
      <c r="D483" s="18"/>
    </row>
    <row r="484" spans="1:4" ht="12.5">
      <c r="A484" s="5"/>
      <c r="B484" s="34"/>
      <c r="C484" s="18"/>
      <c r="D484" s="18"/>
    </row>
    <row r="485" spans="1:4" ht="12.5">
      <c r="A485" s="5"/>
      <c r="B485" s="34"/>
      <c r="C485" s="18"/>
      <c r="D485" s="18"/>
    </row>
    <row r="486" spans="1:4" ht="12.5">
      <c r="A486" s="5"/>
      <c r="B486" s="34"/>
      <c r="C486" s="18"/>
      <c r="D486" s="18"/>
    </row>
    <row r="487" spans="1:4" ht="12.5">
      <c r="A487" s="5"/>
      <c r="B487" s="34"/>
      <c r="C487" s="18"/>
      <c r="D487" s="18"/>
    </row>
    <row r="488" spans="1:4" ht="12.5">
      <c r="A488" s="5"/>
      <c r="B488" s="34"/>
      <c r="C488" s="18"/>
      <c r="D488" s="18"/>
    </row>
    <row r="489" spans="1:4" ht="12.5">
      <c r="A489" s="5"/>
      <c r="B489" s="34"/>
      <c r="C489" s="18"/>
      <c r="D489" s="18"/>
    </row>
    <row r="490" spans="1:4" ht="12.5">
      <c r="A490" s="5"/>
      <c r="B490" s="34"/>
      <c r="C490" s="18"/>
      <c r="D490" s="18"/>
    </row>
    <row r="491" spans="1:4" ht="12.5">
      <c r="A491" s="5"/>
      <c r="B491" s="34"/>
      <c r="C491" s="18"/>
      <c r="D491" s="18"/>
    </row>
    <row r="492" spans="1:4" ht="12.5">
      <c r="A492" s="5"/>
      <c r="B492" s="34"/>
      <c r="C492" s="18"/>
      <c r="D492" s="18"/>
    </row>
    <row r="493" spans="1:4" ht="12.5">
      <c r="A493" s="5"/>
      <c r="B493" s="34"/>
      <c r="C493" s="18"/>
      <c r="D493" s="18"/>
    </row>
    <row r="494" spans="1:4" ht="12.5">
      <c r="A494" s="5"/>
      <c r="B494" s="34"/>
      <c r="C494" s="18"/>
      <c r="D494" s="18"/>
    </row>
    <row r="495" spans="1:4" ht="12.5">
      <c r="A495" s="5"/>
      <c r="B495" s="34"/>
      <c r="C495" s="18"/>
      <c r="D495" s="18"/>
    </row>
    <row r="496" spans="1:4" ht="12.5">
      <c r="A496" s="5"/>
      <c r="B496" s="34"/>
      <c r="C496" s="18"/>
      <c r="D496" s="18"/>
    </row>
    <row r="497" spans="1:4" ht="12.5">
      <c r="A497" s="5"/>
      <c r="B497" s="34"/>
      <c r="C497" s="18"/>
      <c r="D497" s="18"/>
    </row>
    <row r="498" spans="1:4" ht="12.5">
      <c r="A498" s="5"/>
      <c r="B498" s="34"/>
      <c r="C498" s="18"/>
      <c r="D498" s="18"/>
    </row>
    <row r="499" spans="1:4" ht="12.5">
      <c r="A499" s="5"/>
      <c r="B499" s="34"/>
      <c r="C499" s="18"/>
      <c r="D499" s="18"/>
    </row>
    <row r="500" spans="1:4" ht="12.5">
      <c r="A500" s="5"/>
      <c r="B500" s="34"/>
      <c r="C500" s="18"/>
      <c r="D500" s="18"/>
    </row>
    <row r="501" spans="1:4" ht="12.5">
      <c r="A501" s="5"/>
      <c r="B501" s="34"/>
      <c r="C501" s="18"/>
      <c r="D501" s="18"/>
    </row>
    <row r="502" spans="1:4" ht="12.5">
      <c r="A502" s="5"/>
      <c r="B502" s="34"/>
      <c r="C502" s="18"/>
      <c r="D502" s="18"/>
    </row>
    <row r="503" spans="1:4" ht="12.5">
      <c r="A503" s="5"/>
      <c r="B503" s="34"/>
      <c r="C503" s="18"/>
      <c r="D503" s="18"/>
    </row>
    <row r="504" spans="1:4" ht="12.5">
      <c r="A504" s="5"/>
      <c r="B504" s="34"/>
      <c r="C504" s="18"/>
      <c r="D504" s="18"/>
    </row>
    <row r="505" spans="1:4" ht="12.5">
      <c r="A505" s="5"/>
      <c r="B505" s="34"/>
      <c r="C505" s="18"/>
      <c r="D505" s="18"/>
    </row>
    <row r="506" spans="1:4" ht="12.5">
      <c r="A506" s="5"/>
      <c r="B506" s="34"/>
      <c r="C506" s="18"/>
      <c r="D506" s="18"/>
    </row>
    <row r="507" spans="1:4" ht="12.5">
      <c r="A507" s="5"/>
      <c r="B507" s="34"/>
      <c r="C507" s="18"/>
      <c r="D507" s="18"/>
    </row>
    <row r="508" spans="1:4" ht="12.5">
      <c r="A508" s="5"/>
      <c r="B508" s="34"/>
      <c r="C508" s="18"/>
      <c r="D508" s="18"/>
    </row>
    <row r="509" spans="1:4" ht="12.5">
      <c r="A509" s="5"/>
      <c r="B509" s="34"/>
      <c r="C509" s="18"/>
      <c r="D509" s="18"/>
    </row>
    <row r="510" spans="1:4" ht="12.5">
      <c r="A510" s="5"/>
      <c r="B510" s="34"/>
      <c r="C510" s="18"/>
      <c r="D510" s="18"/>
    </row>
    <row r="511" spans="1:4" ht="12.5">
      <c r="A511" s="5"/>
      <c r="B511" s="34"/>
      <c r="C511" s="18"/>
      <c r="D511" s="18"/>
    </row>
    <row r="512" spans="1:4" ht="12.5">
      <c r="A512" s="5"/>
      <c r="B512" s="34"/>
      <c r="C512" s="18"/>
      <c r="D512" s="18"/>
    </row>
    <row r="513" spans="1:4" ht="12.5">
      <c r="A513" s="5"/>
      <c r="B513" s="34"/>
      <c r="C513" s="18"/>
      <c r="D513" s="18"/>
    </row>
    <row r="514" spans="1:4" ht="12.5">
      <c r="A514" s="5"/>
      <c r="B514" s="34"/>
      <c r="C514" s="18"/>
      <c r="D514" s="18"/>
    </row>
    <row r="515" spans="1:4" ht="12.5">
      <c r="A515" s="5"/>
      <c r="B515" s="34"/>
      <c r="C515" s="18"/>
      <c r="D515" s="18"/>
    </row>
    <row r="516" spans="1:4" ht="12.5">
      <c r="A516" s="5"/>
      <c r="B516" s="34"/>
      <c r="C516" s="18"/>
      <c r="D516" s="18"/>
    </row>
    <row r="517" spans="1:4" ht="12.5">
      <c r="A517" s="5"/>
      <c r="B517" s="34"/>
      <c r="C517" s="18"/>
      <c r="D517" s="18"/>
    </row>
    <row r="518" spans="1:4" ht="12.5">
      <c r="A518" s="5"/>
      <c r="B518" s="34"/>
      <c r="C518" s="18"/>
      <c r="D518" s="18"/>
    </row>
    <row r="519" spans="1:4" ht="12.5">
      <c r="A519" s="5"/>
      <c r="B519" s="34"/>
      <c r="C519" s="18"/>
      <c r="D519" s="18"/>
    </row>
    <row r="520" spans="1:4" ht="12.5">
      <c r="A520" s="5"/>
      <c r="B520" s="34"/>
      <c r="C520" s="18"/>
      <c r="D520" s="18"/>
    </row>
    <row r="521" spans="1:4" ht="12.5">
      <c r="A521" s="5"/>
      <c r="B521" s="34"/>
      <c r="C521" s="18"/>
      <c r="D521" s="18"/>
    </row>
    <row r="522" spans="1:4" ht="12.5">
      <c r="A522" s="5"/>
      <c r="B522" s="34"/>
      <c r="C522" s="18"/>
      <c r="D522" s="18"/>
    </row>
    <row r="523" spans="1:4" ht="12.5">
      <c r="A523" s="5"/>
      <c r="B523" s="34"/>
      <c r="C523" s="18"/>
      <c r="D523" s="18"/>
    </row>
    <row r="524" spans="1:4" ht="12.5">
      <c r="A524" s="5"/>
      <c r="B524" s="34"/>
      <c r="C524" s="18"/>
      <c r="D524" s="18"/>
    </row>
    <row r="525" spans="1:4" ht="12.5">
      <c r="A525" s="5"/>
      <c r="B525" s="34"/>
      <c r="C525" s="18"/>
      <c r="D525" s="18"/>
    </row>
    <row r="526" spans="1:4" ht="12.5">
      <c r="A526" s="5"/>
      <c r="B526" s="34"/>
      <c r="C526" s="18"/>
      <c r="D526" s="18"/>
    </row>
    <row r="527" spans="1:4" ht="12.5">
      <c r="A527" s="5"/>
      <c r="B527" s="34"/>
      <c r="C527" s="18"/>
      <c r="D527" s="18"/>
    </row>
    <row r="528" spans="1:4" ht="12.5">
      <c r="A528" s="5"/>
      <c r="B528" s="34"/>
      <c r="C528" s="18"/>
      <c r="D528" s="18"/>
    </row>
    <row r="529" spans="1:4" ht="12.5">
      <c r="A529" s="5"/>
      <c r="B529" s="34"/>
      <c r="C529" s="18"/>
      <c r="D529" s="18"/>
    </row>
    <row r="530" spans="1:4" ht="12.5">
      <c r="A530" s="5"/>
      <c r="B530" s="34"/>
      <c r="C530" s="18"/>
      <c r="D530" s="18"/>
    </row>
    <row r="531" spans="1:4" ht="12.5">
      <c r="A531" s="5"/>
      <c r="B531" s="34"/>
      <c r="C531" s="18"/>
      <c r="D531" s="18"/>
    </row>
    <row r="532" spans="1:4" ht="12.5">
      <c r="A532" s="5"/>
      <c r="B532" s="34"/>
      <c r="C532" s="18"/>
      <c r="D532" s="18"/>
    </row>
    <row r="533" spans="1:4" ht="12.5">
      <c r="A533" s="5"/>
      <c r="B533" s="34"/>
      <c r="C533" s="18"/>
      <c r="D533" s="18"/>
    </row>
    <row r="534" spans="1:4" ht="12.5">
      <c r="A534" s="5"/>
      <c r="B534" s="34"/>
      <c r="C534" s="18"/>
      <c r="D534" s="18"/>
    </row>
    <row r="535" spans="1:4" ht="12.5">
      <c r="A535" s="5"/>
      <c r="B535" s="34"/>
      <c r="C535" s="18"/>
      <c r="D535" s="18"/>
    </row>
    <row r="536" spans="1:4" ht="12.5">
      <c r="A536" s="5"/>
      <c r="B536" s="34"/>
      <c r="C536" s="18"/>
      <c r="D536" s="18"/>
    </row>
    <row r="537" spans="1:4" ht="12.5">
      <c r="A537" s="5"/>
      <c r="B537" s="34"/>
      <c r="C537" s="18"/>
      <c r="D537" s="18"/>
    </row>
    <row r="538" spans="1:4" ht="12.5">
      <c r="A538" s="5"/>
      <c r="B538" s="34"/>
      <c r="C538" s="18"/>
      <c r="D538" s="18"/>
    </row>
    <row r="539" spans="1:4" ht="12.5">
      <c r="A539" s="5"/>
      <c r="B539" s="34"/>
      <c r="C539" s="18"/>
      <c r="D539" s="18"/>
    </row>
    <row r="540" spans="1:4" ht="12.5">
      <c r="A540" s="5"/>
      <c r="B540" s="34"/>
      <c r="C540" s="18"/>
      <c r="D540" s="18"/>
    </row>
    <row r="541" spans="1:4" ht="12.5">
      <c r="A541" s="5"/>
      <c r="B541" s="34"/>
      <c r="C541" s="18"/>
      <c r="D541" s="18"/>
    </row>
    <row r="542" spans="1:4" ht="12.5">
      <c r="A542" s="5"/>
      <c r="B542" s="34"/>
      <c r="C542" s="18"/>
      <c r="D542" s="18"/>
    </row>
    <row r="543" spans="1:4" ht="12.5">
      <c r="A543" s="5"/>
      <c r="B543" s="34"/>
      <c r="C543" s="18"/>
      <c r="D543" s="18"/>
    </row>
    <row r="544" spans="1:4" ht="12.5">
      <c r="A544" s="5"/>
      <c r="B544" s="34"/>
      <c r="C544" s="18"/>
      <c r="D544" s="18"/>
    </row>
    <row r="545" spans="1:4" ht="12.5">
      <c r="A545" s="5"/>
      <c r="B545" s="34"/>
      <c r="C545" s="18"/>
      <c r="D545" s="18"/>
    </row>
    <row r="546" spans="1:4" ht="12.5">
      <c r="A546" s="5"/>
      <c r="B546" s="34"/>
      <c r="C546" s="18"/>
      <c r="D546" s="18"/>
    </row>
    <row r="547" spans="1:4" ht="12.5">
      <c r="A547" s="5"/>
      <c r="B547" s="34"/>
      <c r="C547" s="18"/>
      <c r="D547" s="18"/>
    </row>
    <row r="548" spans="1:4" ht="12.5">
      <c r="A548" s="5"/>
      <c r="B548" s="34"/>
      <c r="C548" s="18"/>
      <c r="D548" s="18"/>
    </row>
    <row r="549" spans="1:4" ht="12.5">
      <c r="A549" s="5"/>
      <c r="B549" s="34"/>
      <c r="C549" s="18"/>
      <c r="D549" s="18"/>
    </row>
    <row r="550" spans="1:4" ht="12.5">
      <c r="A550" s="5"/>
      <c r="B550" s="34"/>
      <c r="C550" s="18"/>
      <c r="D550" s="18"/>
    </row>
    <row r="551" spans="1:4" ht="12.5">
      <c r="A551" s="5"/>
      <c r="B551" s="34"/>
      <c r="C551" s="18"/>
      <c r="D551" s="18"/>
    </row>
    <row r="552" spans="1:4" ht="12.5">
      <c r="A552" s="5"/>
      <c r="B552" s="34"/>
      <c r="C552" s="18"/>
      <c r="D552" s="18"/>
    </row>
    <row r="553" spans="1:4" ht="12.5">
      <c r="A553" s="5"/>
      <c r="B553" s="34"/>
      <c r="C553" s="18"/>
      <c r="D553" s="18"/>
    </row>
    <row r="554" spans="1:4" ht="12.5">
      <c r="A554" s="5"/>
      <c r="B554" s="34"/>
      <c r="C554" s="18"/>
      <c r="D554" s="18"/>
    </row>
    <row r="555" spans="1:4" ht="12.5">
      <c r="A555" s="5"/>
      <c r="B555" s="34"/>
      <c r="C555" s="18"/>
      <c r="D555" s="18"/>
    </row>
    <row r="556" spans="1:4" ht="12.5">
      <c r="A556" s="5"/>
      <c r="B556" s="34"/>
      <c r="C556" s="18"/>
      <c r="D556" s="18"/>
    </row>
    <row r="557" spans="1:4" ht="12.5">
      <c r="A557" s="5"/>
      <c r="B557" s="34"/>
      <c r="C557" s="18"/>
      <c r="D557" s="18"/>
    </row>
    <row r="558" spans="1:4" ht="12.5">
      <c r="A558" s="5"/>
      <c r="B558" s="34"/>
      <c r="C558" s="18"/>
      <c r="D558" s="18"/>
    </row>
    <row r="559" spans="1:4" ht="12.5">
      <c r="A559" s="5"/>
      <c r="B559" s="34"/>
      <c r="C559" s="18"/>
      <c r="D559" s="18"/>
    </row>
    <row r="560" spans="1:4" ht="12.5">
      <c r="A560" s="5"/>
      <c r="B560" s="34"/>
      <c r="C560" s="18"/>
      <c r="D560" s="18"/>
    </row>
    <row r="561" spans="1:4" ht="12.5">
      <c r="A561" s="5"/>
      <c r="B561" s="34"/>
      <c r="C561" s="18"/>
      <c r="D561" s="18"/>
    </row>
    <row r="562" spans="1:4" ht="12.5">
      <c r="A562" s="5"/>
      <c r="B562" s="34"/>
      <c r="C562" s="18"/>
      <c r="D562" s="18"/>
    </row>
    <row r="563" spans="1:4" ht="12.5">
      <c r="A563" s="5"/>
      <c r="B563" s="34"/>
      <c r="C563" s="18"/>
      <c r="D563" s="18"/>
    </row>
    <row r="564" spans="1:4" ht="12.5">
      <c r="A564" s="5"/>
      <c r="B564" s="34"/>
      <c r="C564" s="18"/>
      <c r="D564" s="18"/>
    </row>
    <row r="565" spans="1:4" ht="12.5">
      <c r="A565" s="5"/>
      <c r="B565" s="34"/>
      <c r="C565" s="18"/>
      <c r="D565" s="18"/>
    </row>
    <row r="566" spans="1:4" ht="12.5">
      <c r="A566" s="5"/>
      <c r="B566" s="34"/>
      <c r="C566" s="18"/>
      <c r="D566" s="18"/>
    </row>
    <row r="567" spans="1:4" ht="12.5">
      <c r="A567" s="5"/>
      <c r="B567" s="34"/>
      <c r="C567" s="18"/>
      <c r="D567" s="18"/>
    </row>
    <row r="568" spans="1:4" ht="12.5">
      <c r="A568" s="5"/>
      <c r="B568" s="34"/>
      <c r="C568" s="18"/>
      <c r="D568" s="18"/>
    </row>
    <row r="569" spans="1:4" ht="12.5">
      <c r="A569" s="5"/>
      <c r="B569" s="34"/>
      <c r="C569" s="18"/>
      <c r="D569" s="18"/>
    </row>
    <row r="570" spans="1:4" ht="12.5">
      <c r="A570" s="5"/>
      <c r="B570" s="34"/>
      <c r="C570" s="18"/>
      <c r="D570" s="18"/>
    </row>
    <row r="571" spans="1:4" ht="12.5">
      <c r="A571" s="5"/>
      <c r="B571" s="34"/>
      <c r="C571" s="18"/>
      <c r="D571" s="18"/>
    </row>
    <row r="572" spans="1:4" ht="12.5">
      <c r="A572" s="5"/>
      <c r="B572" s="34"/>
      <c r="C572" s="18"/>
      <c r="D572" s="18"/>
    </row>
    <row r="573" spans="1:4" ht="12.5">
      <c r="A573" s="5"/>
      <c r="B573" s="34"/>
      <c r="C573" s="18"/>
      <c r="D573" s="18"/>
    </row>
    <row r="574" spans="1:4" ht="12.5">
      <c r="A574" s="5"/>
      <c r="B574" s="34"/>
      <c r="C574" s="18"/>
      <c r="D574" s="18"/>
    </row>
    <row r="575" spans="1:4" ht="12.5">
      <c r="A575" s="5"/>
      <c r="B575" s="34"/>
      <c r="C575" s="18"/>
      <c r="D575" s="18"/>
    </row>
    <row r="576" spans="1:4" ht="12.5">
      <c r="A576" s="5"/>
      <c r="B576" s="34"/>
      <c r="C576" s="18"/>
      <c r="D576" s="18"/>
    </row>
    <row r="577" spans="1:4" ht="12.5">
      <c r="A577" s="5"/>
      <c r="B577" s="34"/>
      <c r="C577" s="18"/>
      <c r="D577" s="18"/>
    </row>
    <row r="578" spans="1:4" ht="12.5">
      <c r="A578" s="5"/>
      <c r="B578" s="34"/>
      <c r="C578" s="18"/>
      <c r="D578" s="18"/>
    </row>
    <row r="579" spans="1:4" ht="12.5">
      <c r="A579" s="5"/>
      <c r="B579" s="34"/>
      <c r="C579" s="18"/>
      <c r="D579" s="18"/>
    </row>
    <row r="580" spans="1:4" ht="12.5">
      <c r="A580" s="5"/>
      <c r="B580" s="34"/>
      <c r="C580" s="18"/>
      <c r="D580" s="18"/>
    </row>
    <row r="581" spans="1:4" ht="12.5">
      <c r="A581" s="5"/>
      <c r="B581" s="34"/>
      <c r="C581" s="18"/>
      <c r="D581" s="18"/>
    </row>
    <row r="582" spans="1:4" ht="12.5">
      <c r="A582" s="5"/>
      <c r="B582" s="34"/>
      <c r="C582" s="18"/>
      <c r="D582" s="18"/>
    </row>
    <row r="583" spans="1:4" ht="12.5">
      <c r="A583" s="5"/>
      <c r="B583" s="34"/>
      <c r="C583" s="18"/>
      <c r="D583" s="18"/>
    </row>
    <row r="584" spans="1:4" ht="12.5">
      <c r="A584" s="5"/>
      <c r="B584" s="34"/>
      <c r="C584" s="18"/>
      <c r="D584" s="18"/>
    </row>
    <row r="585" spans="1:4" ht="12.5">
      <c r="A585" s="5"/>
      <c r="B585" s="34"/>
      <c r="C585" s="18"/>
      <c r="D585" s="18"/>
    </row>
    <row r="586" spans="1:4" ht="12.5">
      <c r="A586" s="5"/>
      <c r="B586" s="34"/>
      <c r="C586" s="18"/>
      <c r="D586" s="18"/>
    </row>
    <row r="587" spans="1:4" ht="12.5">
      <c r="A587" s="5"/>
      <c r="B587" s="34"/>
      <c r="C587" s="18"/>
      <c r="D587" s="18"/>
    </row>
    <row r="588" spans="1:4" ht="12.5">
      <c r="A588" s="5"/>
      <c r="B588" s="34"/>
      <c r="C588" s="18"/>
      <c r="D588" s="18"/>
    </row>
    <row r="589" spans="1:4" ht="12.5">
      <c r="A589" s="5"/>
      <c r="B589" s="34"/>
      <c r="C589" s="18"/>
      <c r="D589" s="18"/>
    </row>
    <row r="590" spans="1:4" ht="12.5">
      <c r="A590" s="5"/>
      <c r="B590" s="34"/>
      <c r="C590" s="18"/>
      <c r="D590" s="18"/>
    </row>
    <row r="591" spans="1:4" ht="12.5">
      <c r="A591" s="5"/>
      <c r="B591" s="34"/>
      <c r="C591" s="18"/>
      <c r="D591" s="18"/>
    </row>
    <row r="592" spans="1:4" ht="12.5">
      <c r="A592" s="5"/>
      <c r="B592" s="34"/>
      <c r="C592" s="18"/>
      <c r="D592" s="18"/>
    </row>
    <row r="593" spans="1:4" ht="12.5">
      <c r="A593" s="5"/>
      <c r="B593" s="34"/>
      <c r="C593" s="18"/>
      <c r="D593" s="18"/>
    </row>
    <row r="594" spans="1:4" ht="12.5">
      <c r="A594" s="5"/>
      <c r="B594" s="34"/>
      <c r="C594" s="18"/>
      <c r="D594" s="18"/>
    </row>
    <row r="595" spans="1:4" ht="12.5">
      <c r="A595" s="5"/>
      <c r="B595" s="34"/>
      <c r="C595" s="18"/>
      <c r="D595" s="18"/>
    </row>
    <row r="596" spans="1:4" ht="12.5">
      <c r="A596" s="5"/>
      <c r="B596" s="34"/>
      <c r="C596" s="18"/>
      <c r="D596" s="18"/>
    </row>
    <row r="597" spans="1:4" ht="12.5">
      <c r="A597" s="5"/>
      <c r="B597" s="34"/>
      <c r="C597" s="18"/>
      <c r="D597" s="18"/>
    </row>
    <row r="598" spans="1:4" ht="12.5">
      <c r="A598" s="5"/>
      <c r="B598" s="34"/>
      <c r="C598" s="18"/>
      <c r="D598" s="18"/>
    </row>
    <row r="599" spans="1:4" ht="12.5">
      <c r="A599" s="5"/>
      <c r="B599" s="34"/>
      <c r="C599" s="18"/>
      <c r="D599" s="18"/>
    </row>
    <row r="600" spans="1:4" ht="12.5">
      <c r="A600" s="5"/>
      <c r="B600" s="34"/>
      <c r="C600" s="18"/>
      <c r="D600" s="18"/>
    </row>
    <row r="601" spans="1:4" ht="12.5">
      <c r="A601" s="5"/>
      <c r="B601" s="34"/>
      <c r="C601" s="18"/>
      <c r="D601" s="18"/>
    </row>
    <row r="602" spans="1:4" ht="12.5">
      <c r="A602" s="5"/>
      <c r="B602" s="34"/>
      <c r="C602" s="18"/>
      <c r="D602" s="18"/>
    </row>
    <row r="603" spans="1:4" ht="12.5">
      <c r="A603" s="5"/>
      <c r="B603" s="34"/>
      <c r="C603" s="18"/>
      <c r="D603" s="18"/>
    </row>
    <row r="604" spans="1:4" ht="12.5">
      <c r="A604" s="5"/>
      <c r="B604" s="34"/>
      <c r="C604" s="18"/>
      <c r="D604" s="18"/>
    </row>
    <row r="605" spans="1:4" ht="12.5">
      <c r="A605" s="5"/>
      <c r="B605" s="34"/>
      <c r="C605" s="18"/>
      <c r="D605" s="18"/>
    </row>
    <row r="606" spans="1:4" ht="12.5">
      <c r="A606" s="5"/>
      <c r="B606" s="34"/>
      <c r="C606" s="18"/>
      <c r="D606" s="18"/>
    </row>
    <row r="607" spans="1:4" ht="12.5">
      <c r="A607" s="5"/>
      <c r="B607" s="34"/>
      <c r="C607" s="18"/>
      <c r="D607" s="18"/>
    </row>
    <row r="608" spans="1:4" ht="12.5">
      <c r="A608" s="5"/>
      <c r="B608" s="34"/>
      <c r="C608" s="18"/>
      <c r="D608" s="18"/>
    </row>
    <row r="609" spans="1:4" ht="12.5">
      <c r="A609" s="5"/>
      <c r="B609" s="34"/>
      <c r="C609" s="18"/>
      <c r="D609" s="18"/>
    </row>
    <row r="610" spans="1:4" ht="12.5">
      <c r="A610" s="5"/>
      <c r="B610" s="34"/>
      <c r="C610" s="18"/>
      <c r="D610" s="18"/>
    </row>
    <row r="611" spans="1:4" ht="12.5">
      <c r="A611" s="5"/>
      <c r="B611" s="34"/>
      <c r="C611" s="18"/>
      <c r="D611" s="18"/>
    </row>
    <row r="612" spans="1:4" ht="12.5">
      <c r="A612" s="5"/>
      <c r="B612" s="34"/>
      <c r="C612" s="18"/>
      <c r="D612" s="18"/>
    </row>
    <row r="613" spans="1:4" ht="12.5">
      <c r="A613" s="5"/>
      <c r="B613" s="34"/>
      <c r="C613" s="18"/>
      <c r="D613" s="18"/>
    </row>
    <row r="614" spans="1:4" ht="12.5">
      <c r="A614" s="5"/>
      <c r="B614" s="34"/>
      <c r="C614" s="18"/>
      <c r="D614" s="18"/>
    </row>
    <row r="615" spans="1:4" ht="12.5">
      <c r="A615" s="5"/>
      <c r="B615" s="34"/>
      <c r="C615" s="18"/>
      <c r="D615" s="18"/>
    </row>
    <row r="616" spans="1:4" ht="12.5">
      <c r="A616" s="5"/>
      <c r="B616" s="34"/>
      <c r="C616" s="18"/>
      <c r="D616" s="18"/>
    </row>
    <row r="617" spans="1:4" ht="12.5">
      <c r="A617" s="5"/>
      <c r="B617" s="34"/>
      <c r="C617" s="18"/>
      <c r="D617" s="18"/>
    </row>
    <row r="618" spans="1:4" ht="12.5">
      <c r="A618" s="5"/>
      <c r="B618" s="34"/>
      <c r="C618" s="18"/>
      <c r="D618" s="18"/>
    </row>
    <row r="619" spans="1:4" ht="12.5">
      <c r="A619" s="5"/>
      <c r="B619" s="34"/>
      <c r="C619" s="18"/>
      <c r="D619" s="18"/>
    </row>
    <row r="620" spans="1:4" ht="12.5">
      <c r="A620" s="5"/>
      <c r="B620" s="34"/>
      <c r="C620" s="18"/>
      <c r="D620" s="18"/>
    </row>
    <row r="621" spans="1:4" ht="12.5">
      <c r="A621" s="5"/>
      <c r="B621" s="34"/>
      <c r="C621" s="18"/>
      <c r="D621" s="18"/>
    </row>
    <row r="622" spans="1:4" ht="12.5">
      <c r="A622" s="5"/>
      <c r="B622" s="34"/>
      <c r="C622" s="18"/>
      <c r="D622" s="18"/>
    </row>
    <row r="623" spans="1:4" ht="12.5">
      <c r="A623" s="5"/>
      <c r="B623" s="34"/>
      <c r="C623" s="18"/>
      <c r="D623" s="18"/>
    </row>
    <row r="624" spans="1:4" ht="12.5">
      <c r="A624" s="5"/>
      <c r="B624" s="34"/>
      <c r="C624" s="18"/>
      <c r="D624" s="18"/>
    </row>
    <row r="625" spans="1:4" ht="12.5">
      <c r="A625" s="5"/>
      <c r="B625" s="34"/>
      <c r="C625" s="18"/>
      <c r="D625" s="18"/>
    </row>
    <row r="626" spans="1:4" ht="12.5">
      <c r="A626" s="5"/>
      <c r="B626" s="34"/>
      <c r="C626" s="18"/>
      <c r="D626" s="18"/>
    </row>
    <row r="627" spans="1:4" ht="12.5">
      <c r="A627" s="5"/>
      <c r="B627" s="34"/>
      <c r="C627" s="18"/>
      <c r="D627" s="18"/>
    </row>
    <row r="628" spans="1:4" ht="12.5">
      <c r="A628" s="5"/>
      <c r="B628" s="34"/>
      <c r="C628" s="18"/>
      <c r="D628" s="18"/>
    </row>
    <row r="629" spans="1:4" ht="12.5">
      <c r="A629" s="5"/>
      <c r="B629" s="34"/>
      <c r="C629" s="18"/>
      <c r="D629" s="18"/>
    </row>
    <row r="630" spans="1:4" ht="12.5">
      <c r="A630" s="5"/>
      <c r="B630" s="34"/>
      <c r="C630" s="18"/>
      <c r="D630" s="18"/>
    </row>
    <row r="631" spans="1:4" ht="12.5">
      <c r="A631" s="5"/>
      <c r="B631" s="34"/>
      <c r="C631" s="18"/>
      <c r="D631" s="18"/>
    </row>
    <row r="632" spans="1:4" ht="12.5">
      <c r="A632" s="5"/>
      <c r="B632" s="34"/>
      <c r="C632" s="18"/>
      <c r="D632" s="18"/>
    </row>
    <row r="633" spans="1:4" ht="12.5">
      <c r="A633" s="5"/>
      <c r="B633" s="34"/>
      <c r="C633" s="18"/>
      <c r="D633" s="18"/>
    </row>
    <row r="634" spans="1:4" ht="12.5">
      <c r="A634" s="5"/>
      <c r="B634" s="34"/>
      <c r="C634" s="18"/>
      <c r="D634" s="18"/>
    </row>
    <row r="635" spans="1:4" ht="12.5">
      <c r="A635" s="5"/>
      <c r="B635" s="34"/>
      <c r="C635" s="18"/>
      <c r="D635" s="18"/>
    </row>
    <row r="636" spans="1:4" ht="12.5">
      <c r="A636" s="5"/>
      <c r="B636" s="34"/>
      <c r="C636" s="18"/>
      <c r="D636" s="18"/>
    </row>
    <row r="637" spans="1:4" ht="12.5">
      <c r="A637" s="5"/>
      <c r="B637" s="34"/>
      <c r="C637" s="18"/>
      <c r="D637" s="18"/>
    </row>
    <row r="638" spans="1:4" ht="12.5">
      <c r="A638" s="5"/>
      <c r="B638" s="34"/>
      <c r="C638" s="18"/>
      <c r="D638" s="18"/>
    </row>
    <row r="639" spans="1:4" ht="12.5">
      <c r="A639" s="5"/>
      <c r="B639" s="34"/>
      <c r="C639" s="18"/>
      <c r="D639" s="18"/>
    </row>
    <row r="640" spans="1:4" ht="12.5">
      <c r="A640" s="5"/>
      <c r="B640" s="34"/>
      <c r="C640" s="18"/>
      <c r="D640" s="18"/>
    </row>
    <row r="641" spans="1:4" ht="12.5">
      <c r="A641" s="5"/>
      <c r="B641" s="34"/>
      <c r="C641" s="18"/>
      <c r="D641" s="18"/>
    </row>
    <row r="642" spans="1:4" ht="12.5">
      <c r="A642" s="5"/>
      <c r="B642" s="34"/>
      <c r="C642" s="18"/>
      <c r="D642" s="18"/>
    </row>
    <row r="643" spans="1:4" ht="12.5">
      <c r="A643" s="5"/>
      <c r="B643" s="34"/>
      <c r="C643" s="18"/>
      <c r="D643" s="18"/>
    </row>
    <row r="644" spans="1:4" ht="12.5">
      <c r="A644" s="5"/>
      <c r="B644" s="34"/>
      <c r="C644" s="18"/>
      <c r="D644" s="18"/>
    </row>
    <row r="645" spans="1:4" ht="12.5">
      <c r="A645" s="5"/>
      <c r="B645" s="34"/>
      <c r="C645" s="18"/>
      <c r="D645" s="18"/>
    </row>
    <row r="646" spans="1:4" ht="12.5">
      <c r="A646" s="5"/>
      <c r="B646" s="34"/>
      <c r="C646" s="18"/>
      <c r="D646" s="18"/>
    </row>
    <row r="647" spans="1:4" ht="12.5">
      <c r="A647" s="5"/>
      <c r="B647" s="34"/>
      <c r="C647" s="18"/>
      <c r="D647" s="18"/>
    </row>
    <row r="648" spans="1:4" ht="12.5">
      <c r="A648" s="5"/>
      <c r="B648" s="34"/>
      <c r="C648" s="18"/>
      <c r="D648" s="18"/>
    </row>
    <row r="649" spans="1:4" ht="12.5">
      <c r="A649" s="5"/>
      <c r="B649" s="34"/>
      <c r="C649" s="18"/>
      <c r="D649" s="18"/>
    </row>
    <row r="650" spans="1:4" ht="12.5">
      <c r="A650" s="5"/>
      <c r="B650" s="34"/>
      <c r="C650" s="18"/>
      <c r="D650" s="18"/>
    </row>
    <row r="651" spans="1:4" ht="12.5">
      <c r="A651" s="5"/>
      <c r="B651" s="34"/>
      <c r="C651" s="18"/>
      <c r="D651" s="18"/>
    </row>
    <row r="652" spans="1:4" ht="12.5">
      <c r="A652" s="5"/>
      <c r="B652" s="34"/>
      <c r="C652" s="18"/>
      <c r="D652" s="18"/>
    </row>
    <row r="653" spans="1:4" ht="12.5">
      <c r="A653" s="5"/>
      <c r="B653" s="34"/>
      <c r="C653" s="18"/>
      <c r="D653" s="18"/>
    </row>
    <row r="654" spans="1:4" ht="12.5">
      <c r="A654" s="5"/>
      <c r="B654" s="34"/>
      <c r="C654" s="18"/>
      <c r="D654" s="18"/>
    </row>
    <row r="655" spans="1:4" ht="12.5">
      <c r="A655" s="5"/>
      <c r="B655" s="34"/>
      <c r="C655" s="18"/>
      <c r="D655" s="18"/>
    </row>
    <row r="656" spans="1:4" ht="12.5">
      <c r="A656" s="5"/>
      <c r="B656" s="34"/>
      <c r="C656" s="18"/>
      <c r="D656" s="18"/>
    </row>
    <row r="657" spans="1:4" ht="12.5">
      <c r="A657" s="5"/>
      <c r="B657" s="34"/>
      <c r="C657" s="18"/>
      <c r="D657" s="18"/>
    </row>
    <row r="658" spans="1:4" ht="12.5">
      <c r="A658" s="5"/>
      <c r="B658" s="34"/>
      <c r="C658" s="18"/>
      <c r="D658" s="18"/>
    </row>
    <row r="659" spans="1:4" ht="12.5">
      <c r="A659" s="5"/>
      <c r="B659" s="34"/>
      <c r="C659" s="18"/>
      <c r="D659" s="18"/>
    </row>
    <row r="660" spans="1:4" ht="12.5">
      <c r="A660" s="5"/>
      <c r="B660" s="34"/>
      <c r="C660" s="18"/>
      <c r="D660" s="18"/>
    </row>
    <row r="661" spans="1:4" ht="12.5">
      <c r="A661" s="5"/>
      <c r="B661" s="34"/>
      <c r="C661" s="18"/>
      <c r="D661" s="18"/>
    </row>
    <row r="662" spans="1:4" ht="12.5">
      <c r="A662" s="5"/>
      <c r="B662" s="34"/>
      <c r="C662" s="18"/>
      <c r="D662" s="18"/>
    </row>
    <row r="663" spans="1:4" ht="12.5">
      <c r="A663" s="5"/>
      <c r="B663" s="34"/>
      <c r="C663" s="18"/>
      <c r="D663" s="18"/>
    </row>
    <row r="664" spans="1:4" ht="12.5">
      <c r="A664" s="5"/>
      <c r="B664" s="34"/>
      <c r="C664" s="18"/>
      <c r="D664" s="18"/>
    </row>
    <row r="665" spans="1:4" ht="12.5">
      <c r="A665" s="5"/>
      <c r="B665" s="34"/>
      <c r="C665" s="18"/>
      <c r="D665" s="18"/>
    </row>
    <row r="666" spans="1:4" ht="12.5">
      <c r="A666" s="5"/>
      <c r="B666" s="34"/>
      <c r="C666" s="18"/>
      <c r="D666" s="18"/>
    </row>
    <row r="667" spans="1:4" ht="12.5">
      <c r="A667" s="5"/>
      <c r="B667" s="34"/>
      <c r="C667" s="18"/>
      <c r="D667" s="18"/>
    </row>
    <row r="668" spans="1:4" ht="12.5">
      <c r="A668" s="5"/>
      <c r="B668" s="34"/>
      <c r="C668" s="18"/>
      <c r="D668" s="18"/>
    </row>
    <row r="669" spans="1:4" ht="12.5">
      <c r="A669" s="5"/>
      <c r="B669" s="34"/>
      <c r="C669" s="18"/>
      <c r="D669" s="18"/>
    </row>
    <row r="670" spans="1:4" ht="12.5">
      <c r="A670" s="5"/>
      <c r="B670" s="34"/>
      <c r="C670" s="18"/>
      <c r="D670" s="18"/>
    </row>
    <row r="671" spans="1:4" ht="12.5">
      <c r="A671" s="5"/>
      <c r="B671" s="34"/>
      <c r="C671" s="18"/>
      <c r="D671" s="18"/>
    </row>
    <row r="672" spans="1:4" ht="12.5">
      <c r="A672" s="5"/>
      <c r="B672" s="34"/>
      <c r="C672" s="18"/>
      <c r="D672" s="18"/>
    </row>
    <row r="673" spans="1:4" ht="12.5">
      <c r="A673" s="5"/>
      <c r="B673" s="34"/>
      <c r="C673" s="18"/>
      <c r="D673" s="18"/>
    </row>
    <row r="674" spans="1:4" ht="12.5">
      <c r="A674" s="5"/>
      <c r="B674" s="34"/>
      <c r="C674" s="18"/>
      <c r="D674" s="18"/>
    </row>
    <row r="675" spans="1:4" ht="12.5">
      <c r="A675" s="5"/>
      <c r="B675" s="34"/>
      <c r="C675" s="18"/>
      <c r="D675" s="18"/>
    </row>
    <row r="676" spans="1:4" ht="12.5">
      <c r="A676" s="5"/>
      <c r="B676" s="34"/>
      <c r="C676" s="18"/>
      <c r="D676" s="18"/>
    </row>
    <row r="677" spans="1:4" ht="12.5">
      <c r="A677" s="5"/>
      <c r="B677" s="34"/>
      <c r="C677" s="18"/>
      <c r="D677" s="18"/>
    </row>
    <row r="678" spans="1:4" ht="12.5">
      <c r="A678" s="5"/>
      <c r="B678" s="34"/>
      <c r="C678" s="18"/>
      <c r="D678" s="18"/>
    </row>
    <row r="679" spans="1:4" ht="12.5">
      <c r="A679" s="5"/>
      <c r="B679" s="34"/>
      <c r="C679" s="18"/>
      <c r="D679" s="18"/>
    </row>
    <row r="680" spans="1:4" ht="12.5">
      <c r="A680" s="5"/>
      <c r="B680" s="34"/>
      <c r="C680" s="18"/>
      <c r="D680" s="18"/>
    </row>
    <row r="681" spans="1:4" ht="12.5">
      <c r="A681" s="5"/>
      <c r="B681" s="34"/>
      <c r="C681" s="18"/>
      <c r="D681" s="18"/>
    </row>
    <row r="682" spans="1:4" ht="12.5">
      <c r="A682" s="5"/>
      <c r="B682" s="34"/>
      <c r="C682" s="18"/>
      <c r="D682" s="18"/>
    </row>
    <row r="683" spans="1:4" ht="12.5">
      <c r="A683" s="5"/>
      <c r="B683" s="34"/>
      <c r="C683" s="18"/>
      <c r="D683" s="18"/>
    </row>
    <row r="684" spans="1:4" ht="12.5">
      <c r="A684" s="5"/>
      <c r="B684" s="34"/>
      <c r="C684" s="18"/>
      <c r="D684" s="18"/>
    </row>
    <row r="685" spans="1:4" ht="12.5">
      <c r="A685" s="5"/>
      <c r="B685" s="34"/>
      <c r="C685" s="18"/>
      <c r="D685" s="18"/>
    </row>
    <row r="686" spans="1:4" ht="12.5">
      <c r="A686" s="5"/>
      <c r="B686" s="34"/>
      <c r="C686" s="18"/>
      <c r="D686" s="18"/>
    </row>
    <row r="687" spans="1:4" ht="12.5">
      <c r="A687" s="5"/>
      <c r="B687" s="34"/>
      <c r="C687" s="18"/>
      <c r="D687" s="18"/>
    </row>
    <row r="688" spans="1:4" ht="12.5">
      <c r="A688" s="5"/>
      <c r="B688" s="34"/>
      <c r="C688" s="18"/>
      <c r="D688" s="18"/>
    </row>
    <row r="689" spans="1:4" ht="12.5">
      <c r="A689" s="5"/>
      <c r="B689" s="34"/>
      <c r="C689" s="18"/>
      <c r="D689" s="18"/>
    </row>
    <row r="690" spans="1:4" ht="12.5">
      <c r="A690" s="5"/>
      <c r="B690" s="34"/>
      <c r="C690" s="18"/>
      <c r="D690" s="18"/>
    </row>
    <row r="691" spans="1:4" ht="12.5">
      <c r="A691" s="5"/>
      <c r="B691" s="34"/>
      <c r="C691" s="18"/>
      <c r="D691" s="18"/>
    </row>
    <row r="692" spans="1:4" ht="12.5">
      <c r="A692" s="5"/>
      <c r="B692" s="34"/>
      <c r="C692" s="18"/>
      <c r="D692" s="18"/>
    </row>
    <row r="693" spans="1:4" ht="12.5">
      <c r="A693" s="5"/>
      <c r="B693" s="34"/>
      <c r="C693" s="18"/>
      <c r="D693" s="18"/>
    </row>
    <row r="694" spans="1:4" ht="12.5">
      <c r="A694" s="5"/>
      <c r="B694" s="34"/>
      <c r="C694" s="18"/>
      <c r="D694" s="18"/>
    </row>
    <row r="695" spans="1:4" ht="12.5">
      <c r="A695" s="5"/>
      <c r="B695" s="34"/>
      <c r="C695" s="18"/>
      <c r="D695" s="18"/>
    </row>
    <row r="696" spans="1:4" ht="12.5">
      <c r="A696" s="5"/>
      <c r="B696" s="34"/>
      <c r="C696" s="18"/>
      <c r="D696" s="18"/>
    </row>
    <row r="697" spans="1:4" ht="12.5">
      <c r="A697" s="5"/>
      <c r="B697" s="34"/>
      <c r="C697" s="18"/>
      <c r="D697" s="18"/>
    </row>
    <row r="698" spans="1:4" ht="12.5">
      <c r="A698" s="5"/>
      <c r="B698" s="34"/>
      <c r="C698" s="18"/>
      <c r="D698" s="18"/>
    </row>
    <row r="699" spans="1:4" ht="12.5">
      <c r="A699" s="5"/>
      <c r="B699" s="34"/>
      <c r="C699" s="18"/>
      <c r="D699" s="18"/>
    </row>
    <row r="700" spans="1:4" ht="12.5">
      <c r="A700" s="5"/>
      <c r="B700" s="34"/>
      <c r="C700" s="18"/>
      <c r="D700" s="18"/>
    </row>
    <row r="701" spans="1:4" ht="12.5">
      <c r="A701" s="5"/>
      <c r="B701" s="34"/>
      <c r="C701" s="18"/>
      <c r="D701" s="18"/>
    </row>
    <row r="702" spans="1:4" ht="12.5">
      <c r="A702" s="5"/>
      <c r="B702" s="34"/>
      <c r="C702" s="18"/>
      <c r="D702" s="18"/>
    </row>
    <row r="703" spans="1:4" ht="12.5">
      <c r="A703" s="5"/>
      <c r="B703" s="34"/>
      <c r="C703" s="18"/>
      <c r="D703" s="18"/>
    </row>
    <row r="704" spans="1:4" ht="12.5">
      <c r="A704" s="5"/>
      <c r="B704" s="34"/>
      <c r="C704" s="18"/>
      <c r="D704" s="18"/>
    </row>
    <row r="705" spans="1:4" ht="12.5">
      <c r="A705" s="5"/>
      <c r="B705" s="34"/>
      <c r="C705" s="18"/>
      <c r="D705" s="18"/>
    </row>
    <row r="706" spans="1:4" ht="12.5">
      <c r="A706" s="5"/>
      <c r="B706" s="34"/>
      <c r="C706" s="18"/>
      <c r="D706" s="18"/>
    </row>
    <row r="707" spans="1:4" ht="12.5">
      <c r="A707" s="5"/>
      <c r="B707" s="34"/>
      <c r="C707" s="18"/>
      <c r="D707" s="18"/>
    </row>
    <row r="708" spans="1:4" ht="12.5">
      <c r="A708" s="5"/>
      <c r="B708" s="34"/>
      <c r="C708" s="18"/>
      <c r="D708" s="18"/>
    </row>
    <row r="709" spans="1:4" ht="12.5">
      <c r="A709" s="5"/>
      <c r="B709" s="34"/>
      <c r="C709" s="18"/>
      <c r="D709" s="18"/>
    </row>
    <row r="710" spans="1:4" ht="12.5">
      <c r="A710" s="5"/>
      <c r="B710" s="34"/>
      <c r="C710" s="18"/>
      <c r="D710" s="18"/>
    </row>
    <row r="711" spans="1:4" ht="12.5">
      <c r="A711" s="5"/>
      <c r="B711" s="34"/>
      <c r="C711" s="18"/>
      <c r="D711" s="18"/>
    </row>
    <row r="712" spans="1:4" ht="12.5">
      <c r="A712" s="5"/>
      <c r="B712" s="34"/>
      <c r="C712" s="18"/>
      <c r="D712" s="18"/>
    </row>
    <row r="713" spans="1:4" ht="12.5">
      <c r="A713" s="5"/>
      <c r="B713" s="34"/>
      <c r="C713" s="18"/>
      <c r="D713" s="18"/>
    </row>
    <row r="714" spans="1:4" ht="12.5">
      <c r="A714" s="5"/>
      <c r="B714" s="34"/>
      <c r="C714" s="18"/>
      <c r="D714" s="18"/>
    </row>
    <row r="715" spans="1:4" ht="12.5">
      <c r="A715" s="5"/>
      <c r="B715" s="34"/>
      <c r="C715" s="18"/>
      <c r="D715" s="18"/>
    </row>
    <row r="716" spans="1:4" ht="12.5">
      <c r="A716" s="5"/>
      <c r="B716" s="34"/>
      <c r="C716" s="18"/>
      <c r="D716" s="18"/>
    </row>
    <row r="717" spans="1:4" ht="12.5">
      <c r="A717" s="5"/>
      <c r="B717" s="34"/>
      <c r="C717" s="18"/>
      <c r="D717" s="18"/>
    </row>
    <row r="718" spans="1:4" ht="12.5">
      <c r="A718" s="5"/>
      <c r="B718" s="34"/>
      <c r="C718" s="18"/>
      <c r="D718" s="18"/>
    </row>
    <row r="719" spans="1:4" ht="12.5">
      <c r="A719" s="5"/>
      <c r="B719" s="34"/>
      <c r="C719" s="18"/>
      <c r="D719" s="18"/>
    </row>
    <row r="720" spans="1:4" ht="12.5">
      <c r="A720" s="5"/>
      <c r="B720" s="34"/>
      <c r="C720" s="18"/>
      <c r="D720" s="18"/>
    </row>
    <row r="721" spans="1:4" ht="12.5">
      <c r="A721" s="5"/>
      <c r="B721" s="34"/>
      <c r="C721" s="18"/>
      <c r="D721" s="18"/>
    </row>
    <row r="722" spans="1:4" ht="12.5">
      <c r="A722" s="5"/>
      <c r="B722" s="34"/>
      <c r="C722" s="18"/>
      <c r="D722" s="18"/>
    </row>
    <row r="723" spans="1:4" ht="12.5">
      <c r="A723" s="5"/>
      <c r="B723" s="34"/>
      <c r="C723" s="18"/>
      <c r="D723" s="18"/>
    </row>
    <row r="724" spans="1:4" ht="12.5">
      <c r="A724" s="5"/>
      <c r="B724" s="34"/>
      <c r="C724" s="18"/>
      <c r="D724" s="18"/>
    </row>
    <row r="725" spans="1:4" ht="12.5">
      <c r="A725" s="5"/>
      <c r="B725" s="34"/>
      <c r="C725" s="18"/>
      <c r="D725" s="18"/>
    </row>
    <row r="726" spans="1:4" ht="12.5">
      <c r="A726" s="5"/>
      <c r="B726" s="34"/>
      <c r="C726" s="18"/>
      <c r="D726" s="18"/>
    </row>
    <row r="727" spans="1:4" ht="12.5">
      <c r="A727" s="5"/>
      <c r="B727" s="34"/>
      <c r="C727" s="18"/>
      <c r="D727" s="18"/>
    </row>
    <row r="728" spans="1:4" ht="12.5">
      <c r="A728" s="5"/>
      <c r="B728" s="34"/>
      <c r="C728" s="18"/>
      <c r="D728" s="18"/>
    </row>
    <row r="729" spans="1:4" ht="12.5">
      <c r="A729" s="5"/>
      <c r="B729" s="34"/>
      <c r="C729" s="18"/>
      <c r="D729" s="18"/>
    </row>
    <row r="730" spans="1:4" ht="12.5">
      <c r="A730" s="5"/>
      <c r="B730" s="34"/>
      <c r="C730" s="18"/>
      <c r="D730" s="18"/>
    </row>
    <row r="731" spans="1:4" ht="12.5">
      <c r="A731" s="5"/>
      <c r="B731" s="34"/>
      <c r="C731" s="18"/>
      <c r="D731" s="18"/>
    </row>
    <row r="732" spans="1:4" ht="12.5">
      <c r="A732" s="5"/>
      <c r="B732" s="34"/>
      <c r="C732" s="18"/>
      <c r="D732" s="18"/>
    </row>
    <row r="733" spans="1:4" ht="12.5">
      <c r="A733" s="5"/>
      <c r="B733" s="34"/>
      <c r="C733" s="18"/>
      <c r="D733" s="18"/>
    </row>
    <row r="734" spans="1:4" ht="12.5">
      <c r="A734" s="5"/>
      <c r="B734" s="34"/>
      <c r="C734" s="18"/>
      <c r="D734" s="18"/>
    </row>
    <row r="735" spans="1:4" ht="12.5">
      <c r="A735" s="5"/>
      <c r="B735" s="34"/>
      <c r="C735" s="18"/>
      <c r="D735" s="18"/>
    </row>
    <row r="736" spans="1:4" ht="12.5">
      <c r="A736" s="5"/>
      <c r="B736" s="34"/>
      <c r="C736" s="18"/>
      <c r="D736" s="18"/>
    </row>
    <row r="737" spans="1:4" ht="12.5">
      <c r="A737" s="5"/>
      <c r="B737" s="34"/>
      <c r="C737" s="18"/>
      <c r="D737" s="18"/>
    </row>
    <row r="738" spans="1:4" ht="12.5">
      <c r="A738" s="5"/>
      <c r="B738" s="34"/>
      <c r="C738" s="18"/>
      <c r="D738" s="18"/>
    </row>
    <row r="739" spans="1:4" ht="12.5">
      <c r="A739" s="5"/>
      <c r="B739" s="34"/>
      <c r="C739" s="18"/>
      <c r="D739" s="18"/>
    </row>
    <row r="740" spans="1:4" ht="12.5">
      <c r="A740" s="5"/>
      <c r="B740" s="34"/>
      <c r="C740" s="18"/>
      <c r="D740" s="18"/>
    </row>
    <row r="741" spans="1:4" ht="12.5">
      <c r="A741" s="5"/>
      <c r="B741" s="34"/>
      <c r="C741" s="18"/>
      <c r="D741" s="18"/>
    </row>
    <row r="742" spans="1:4" ht="12.5">
      <c r="A742" s="5"/>
      <c r="B742" s="34"/>
      <c r="C742" s="18"/>
      <c r="D742" s="18"/>
    </row>
    <row r="743" spans="1:4" ht="12.5">
      <c r="A743" s="5"/>
      <c r="B743" s="34"/>
      <c r="C743" s="18"/>
      <c r="D743" s="18"/>
    </row>
    <row r="744" spans="1:4" ht="12.5">
      <c r="A744" s="5"/>
      <c r="B744" s="34"/>
      <c r="C744" s="18"/>
      <c r="D744" s="18"/>
    </row>
    <row r="745" spans="1:4" ht="12.5">
      <c r="A745" s="5"/>
      <c r="B745" s="34"/>
      <c r="C745" s="18"/>
      <c r="D745" s="18"/>
    </row>
    <row r="746" spans="1:4" ht="12.5">
      <c r="A746" s="5"/>
      <c r="B746" s="34"/>
      <c r="C746" s="18"/>
      <c r="D746" s="18"/>
    </row>
    <row r="747" spans="1:4" ht="12.5">
      <c r="A747" s="5"/>
      <c r="B747" s="34"/>
      <c r="C747" s="18"/>
      <c r="D747" s="18"/>
    </row>
    <row r="748" spans="1:4" ht="12.5">
      <c r="A748" s="5"/>
      <c r="B748" s="34"/>
      <c r="C748" s="18"/>
      <c r="D748" s="18"/>
    </row>
    <row r="749" spans="1:4" ht="12.5">
      <c r="A749" s="5"/>
      <c r="B749" s="34"/>
      <c r="C749" s="18"/>
      <c r="D749" s="18"/>
    </row>
    <row r="750" spans="1:4" ht="12.5">
      <c r="A750" s="5"/>
      <c r="B750" s="34"/>
      <c r="C750" s="18"/>
      <c r="D750" s="18"/>
    </row>
    <row r="751" spans="1:4" ht="12.5">
      <c r="A751" s="5"/>
      <c r="B751" s="34"/>
      <c r="C751" s="18"/>
      <c r="D751" s="18"/>
    </row>
    <row r="752" spans="1:4" ht="12.5">
      <c r="A752" s="5"/>
      <c r="B752" s="34"/>
      <c r="C752" s="18"/>
      <c r="D752" s="18"/>
    </row>
    <row r="753" spans="1:4" ht="12.5">
      <c r="A753" s="5"/>
      <c r="B753" s="34"/>
      <c r="C753" s="18"/>
      <c r="D753" s="18"/>
    </row>
    <row r="754" spans="1:4" ht="12.5">
      <c r="A754" s="5"/>
      <c r="B754" s="34"/>
      <c r="C754" s="18"/>
      <c r="D754" s="18"/>
    </row>
    <row r="755" spans="1:4" ht="12.5">
      <c r="A755" s="5"/>
      <c r="B755" s="34"/>
      <c r="C755" s="18"/>
      <c r="D755" s="18"/>
    </row>
    <row r="756" spans="1:4" ht="12.5">
      <c r="A756" s="5"/>
      <c r="B756" s="34"/>
      <c r="C756" s="18"/>
      <c r="D756" s="18"/>
    </row>
    <row r="757" spans="1:4" ht="12.5">
      <c r="A757" s="5"/>
      <c r="B757" s="34"/>
      <c r="C757" s="18"/>
      <c r="D757" s="18"/>
    </row>
    <row r="758" spans="1:4" ht="12.5">
      <c r="A758" s="5"/>
      <c r="B758" s="34"/>
      <c r="C758" s="18"/>
      <c r="D758" s="18"/>
    </row>
    <row r="759" spans="1:4" ht="12.5">
      <c r="A759" s="5"/>
      <c r="B759" s="34"/>
      <c r="C759" s="18"/>
      <c r="D759" s="18"/>
    </row>
    <row r="760" spans="1:4" ht="12.5">
      <c r="A760" s="5"/>
      <c r="B760" s="34"/>
      <c r="C760" s="18"/>
      <c r="D760" s="18"/>
    </row>
    <row r="761" spans="1:4" ht="12.5">
      <c r="A761" s="5"/>
      <c r="B761" s="34"/>
      <c r="C761" s="18"/>
      <c r="D761" s="18"/>
    </row>
    <row r="762" spans="1:4" ht="12.5">
      <c r="A762" s="5"/>
      <c r="B762" s="34"/>
      <c r="C762" s="18"/>
      <c r="D762" s="18"/>
    </row>
    <row r="763" spans="1:4" ht="12.5">
      <c r="A763" s="5"/>
      <c r="B763" s="34"/>
      <c r="C763" s="18"/>
      <c r="D763" s="18"/>
    </row>
    <row r="764" spans="1:4" ht="12.5">
      <c r="A764" s="5"/>
      <c r="B764" s="34"/>
      <c r="C764" s="18"/>
      <c r="D764" s="18"/>
    </row>
    <row r="765" spans="1:4" ht="12.5">
      <c r="A765" s="5"/>
      <c r="B765" s="34"/>
      <c r="C765" s="18"/>
      <c r="D765" s="18"/>
    </row>
    <row r="766" spans="1:4" ht="12.5">
      <c r="A766" s="5"/>
      <c r="B766" s="34"/>
      <c r="C766" s="18"/>
      <c r="D766" s="18"/>
    </row>
    <row r="767" spans="1:4" ht="12.5">
      <c r="A767" s="5"/>
      <c r="B767" s="34"/>
      <c r="C767" s="18"/>
      <c r="D767" s="18"/>
    </row>
    <row r="768" spans="1:4" ht="12.5">
      <c r="A768" s="5"/>
      <c r="B768" s="34"/>
      <c r="C768" s="18"/>
      <c r="D768" s="18"/>
    </row>
    <row r="769" spans="1:4" ht="12.5">
      <c r="A769" s="5"/>
      <c r="B769" s="34"/>
      <c r="C769" s="18"/>
      <c r="D769" s="18"/>
    </row>
    <row r="770" spans="1:4" ht="12.5">
      <c r="A770" s="5"/>
      <c r="B770" s="34"/>
      <c r="C770" s="18"/>
      <c r="D770" s="18"/>
    </row>
    <row r="771" spans="1:4" ht="12.5">
      <c r="A771" s="5"/>
      <c r="B771" s="34"/>
      <c r="C771" s="18"/>
      <c r="D771" s="18"/>
    </row>
    <row r="772" spans="1:4" ht="12.5">
      <c r="A772" s="5"/>
      <c r="B772" s="34"/>
      <c r="C772" s="18"/>
      <c r="D772" s="18"/>
    </row>
    <row r="773" spans="1:4" ht="12.5">
      <c r="A773" s="5"/>
      <c r="B773" s="34"/>
      <c r="C773" s="18"/>
      <c r="D773" s="18"/>
    </row>
    <row r="774" spans="1:4" ht="12.5">
      <c r="A774" s="5"/>
      <c r="B774" s="34"/>
      <c r="C774" s="18"/>
      <c r="D774" s="18"/>
    </row>
    <row r="775" spans="1:4" ht="12.5">
      <c r="A775" s="5"/>
      <c r="B775" s="34"/>
      <c r="C775" s="18"/>
      <c r="D775" s="18"/>
    </row>
    <row r="776" spans="1:4" ht="12.5">
      <c r="A776" s="5"/>
      <c r="B776" s="34"/>
      <c r="C776" s="18"/>
      <c r="D776" s="18"/>
    </row>
    <row r="777" spans="1:4" ht="12.5">
      <c r="A777" s="5"/>
      <c r="B777" s="34"/>
      <c r="C777" s="18"/>
      <c r="D777" s="18"/>
    </row>
    <row r="778" spans="1:4" ht="12.5">
      <c r="A778" s="5"/>
      <c r="B778" s="34"/>
      <c r="C778" s="18"/>
      <c r="D778" s="18"/>
    </row>
    <row r="779" spans="1:4" ht="12.5">
      <c r="A779" s="5"/>
      <c r="B779" s="34"/>
      <c r="C779" s="18"/>
      <c r="D779" s="18"/>
    </row>
    <row r="780" spans="1:4" ht="12.5">
      <c r="A780" s="5"/>
      <c r="B780" s="34"/>
      <c r="C780" s="18"/>
      <c r="D780" s="18"/>
    </row>
    <row r="781" spans="1:4" ht="12.5">
      <c r="A781" s="5"/>
      <c r="B781" s="34"/>
      <c r="C781" s="18"/>
      <c r="D781" s="18"/>
    </row>
    <row r="782" spans="1:4" ht="12.5">
      <c r="A782" s="5"/>
      <c r="B782" s="34"/>
      <c r="C782" s="18"/>
      <c r="D782" s="18"/>
    </row>
    <row r="783" spans="1:4" ht="12.5">
      <c r="A783" s="5"/>
      <c r="B783" s="34"/>
      <c r="C783" s="18"/>
      <c r="D783" s="18"/>
    </row>
    <row r="784" spans="1:4" ht="12.5">
      <c r="A784" s="5"/>
      <c r="B784" s="34"/>
      <c r="C784" s="18"/>
      <c r="D784" s="18"/>
    </row>
    <row r="785" spans="1:4" ht="12.5">
      <c r="A785" s="5"/>
      <c r="B785" s="34"/>
      <c r="C785" s="18"/>
      <c r="D785" s="18"/>
    </row>
    <row r="786" spans="1:4" ht="12.5">
      <c r="A786" s="5"/>
      <c r="B786" s="34"/>
      <c r="C786" s="18"/>
      <c r="D786" s="18"/>
    </row>
    <row r="787" spans="1:4" ht="12.5">
      <c r="A787" s="5"/>
      <c r="B787" s="34"/>
      <c r="C787" s="18"/>
      <c r="D787" s="18"/>
    </row>
    <row r="788" spans="1:4" ht="12.5">
      <c r="A788" s="5"/>
      <c r="B788" s="34"/>
      <c r="C788" s="18"/>
      <c r="D788" s="18"/>
    </row>
    <row r="789" spans="1:4" ht="12.5">
      <c r="A789" s="5"/>
      <c r="B789" s="34"/>
      <c r="C789" s="18"/>
      <c r="D789" s="18"/>
    </row>
    <row r="790" spans="1:4" ht="12.5">
      <c r="A790" s="5"/>
      <c r="B790" s="34"/>
      <c r="C790" s="18"/>
      <c r="D790" s="18"/>
    </row>
    <row r="791" spans="1:4" ht="12.5">
      <c r="A791" s="5"/>
      <c r="B791" s="34"/>
      <c r="C791" s="18"/>
      <c r="D791" s="18"/>
    </row>
    <row r="792" spans="1:4" ht="12.5">
      <c r="A792" s="5"/>
      <c r="B792" s="34"/>
      <c r="C792" s="18"/>
      <c r="D792" s="18"/>
    </row>
    <row r="793" spans="1:4" ht="12.5">
      <c r="A793" s="5"/>
      <c r="B793" s="34"/>
      <c r="C793" s="18"/>
      <c r="D793" s="18"/>
    </row>
    <row r="794" spans="1:4" ht="12.5">
      <c r="A794" s="5"/>
      <c r="B794" s="34"/>
      <c r="C794" s="18"/>
      <c r="D794" s="18"/>
    </row>
    <row r="795" spans="1:4" ht="12.5">
      <c r="A795" s="5"/>
      <c r="B795" s="34"/>
      <c r="C795" s="18"/>
      <c r="D795" s="18"/>
    </row>
    <row r="796" spans="1:4" ht="12.5">
      <c r="A796" s="5"/>
      <c r="B796" s="34"/>
      <c r="C796" s="18"/>
      <c r="D796" s="18"/>
    </row>
    <row r="797" spans="1:4" ht="12.5">
      <c r="A797" s="5"/>
      <c r="B797" s="34"/>
      <c r="C797" s="18"/>
      <c r="D797" s="18"/>
    </row>
    <row r="798" spans="1:4" ht="12.5">
      <c r="A798" s="5"/>
      <c r="B798" s="34"/>
      <c r="C798" s="18"/>
      <c r="D798" s="18"/>
    </row>
    <row r="799" spans="1:4" ht="12.5">
      <c r="A799" s="5"/>
      <c r="B799" s="34"/>
      <c r="C799" s="18"/>
      <c r="D799" s="18"/>
    </row>
    <row r="800" spans="1:4" ht="12.5">
      <c r="A800" s="5"/>
      <c r="B800" s="34"/>
      <c r="C800" s="18"/>
      <c r="D800" s="18"/>
    </row>
    <row r="801" spans="1:4" ht="12.5">
      <c r="A801" s="5"/>
      <c r="B801" s="34"/>
      <c r="C801" s="18"/>
      <c r="D801" s="18"/>
    </row>
    <row r="802" spans="1:4" ht="12.5">
      <c r="A802" s="5"/>
      <c r="B802" s="34"/>
      <c r="C802" s="18"/>
      <c r="D802" s="18"/>
    </row>
    <row r="803" spans="1:4" ht="12.5">
      <c r="A803" s="5"/>
      <c r="B803" s="34"/>
      <c r="C803" s="18"/>
      <c r="D803" s="18"/>
    </row>
    <row r="804" spans="1:4" ht="12.5">
      <c r="A804" s="5"/>
      <c r="B804" s="34"/>
      <c r="C804" s="18"/>
      <c r="D804" s="18"/>
    </row>
    <row r="805" spans="1:4" ht="12.5">
      <c r="A805" s="5"/>
      <c r="B805" s="34"/>
      <c r="C805" s="18"/>
      <c r="D805" s="18"/>
    </row>
    <row r="806" spans="1:4" ht="12.5">
      <c r="A806" s="5"/>
      <c r="B806" s="34"/>
      <c r="C806" s="18"/>
      <c r="D806" s="18"/>
    </row>
    <row r="807" spans="1:4" ht="12.5">
      <c r="A807" s="5"/>
      <c r="B807" s="34"/>
      <c r="C807" s="18"/>
      <c r="D807" s="18"/>
    </row>
    <row r="808" spans="1:4" ht="12.5">
      <c r="A808" s="5"/>
      <c r="B808" s="34"/>
      <c r="C808" s="18"/>
      <c r="D808" s="18"/>
    </row>
    <row r="809" spans="1:4" ht="12.5">
      <c r="A809" s="5"/>
      <c r="B809" s="34"/>
      <c r="C809" s="18"/>
      <c r="D809" s="18"/>
    </row>
    <row r="810" spans="1:4" ht="12.5">
      <c r="A810" s="5"/>
      <c r="B810" s="34"/>
      <c r="C810" s="18"/>
      <c r="D810" s="18"/>
    </row>
    <row r="811" spans="1:4" ht="12.5">
      <c r="A811" s="5"/>
      <c r="B811" s="34"/>
      <c r="C811" s="18"/>
      <c r="D811" s="18"/>
    </row>
    <row r="812" spans="1:4" ht="12.5">
      <c r="A812" s="5"/>
      <c r="B812" s="34"/>
      <c r="C812" s="18"/>
      <c r="D812" s="18"/>
    </row>
    <row r="813" spans="1:4" ht="12.5">
      <c r="A813" s="5"/>
      <c r="B813" s="34"/>
      <c r="C813" s="18"/>
      <c r="D813" s="18"/>
    </row>
    <row r="814" spans="1:4" ht="12.5">
      <c r="A814" s="5"/>
      <c r="B814" s="34"/>
      <c r="C814" s="18"/>
      <c r="D814" s="18"/>
    </row>
    <row r="815" spans="1:4" ht="12.5">
      <c r="A815" s="5"/>
      <c r="B815" s="34"/>
      <c r="C815" s="18"/>
      <c r="D815" s="18"/>
    </row>
    <row r="816" spans="1:4" ht="12.5">
      <c r="A816" s="5"/>
      <c r="B816" s="34"/>
      <c r="C816" s="18"/>
      <c r="D816" s="18"/>
    </row>
    <row r="817" spans="1:4" ht="12.5">
      <c r="A817" s="5"/>
      <c r="B817" s="34"/>
      <c r="C817" s="18"/>
      <c r="D817" s="18"/>
    </row>
    <row r="818" spans="1:4" ht="12.5">
      <c r="A818" s="5"/>
      <c r="B818" s="34"/>
      <c r="C818" s="18"/>
      <c r="D818" s="18"/>
    </row>
    <row r="819" spans="1:4" ht="12.5">
      <c r="A819" s="5"/>
      <c r="B819" s="34"/>
      <c r="C819" s="18"/>
      <c r="D819" s="18"/>
    </row>
    <row r="820" spans="1:4" ht="12.5">
      <c r="A820" s="5"/>
      <c r="B820" s="34"/>
      <c r="C820" s="18"/>
      <c r="D820" s="18"/>
    </row>
    <row r="821" spans="1:4" ht="12.5">
      <c r="A821" s="5"/>
      <c r="B821" s="34"/>
      <c r="C821" s="18"/>
      <c r="D821" s="18"/>
    </row>
    <row r="822" spans="1:4" ht="12.5">
      <c r="A822" s="5"/>
      <c r="B822" s="34"/>
      <c r="C822" s="18"/>
      <c r="D822" s="18"/>
    </row>
    <row r="823" spans="1:4" ht="12.5">
      <c r="A823" s="5"/>
      <c r="B823" s="34"/>
      <c r="C823" s="18"/>
      <c r="D823" s="18"/>
    </row>
    <row r="824" spans="1:4" ht="12.5">
      <c r="A824" s="5"/>
      <c r="B824" s="34"/>
      <c r="C824" s="18"/>
      <c r="D824" s="18"/>
    </row>
    <row r="825" spans="1:4" ht="12.5">
      <c r="A825" s="5"/>
      <c r="B825" s="34"/>
      <c r="C825" s="18"/>
      <c r="D825" s="18"/>
    </row>
    <row r="826" spans="1:4" ht="12.5">
      <c r="A826" s="5"/>
      <c r="B826" s="34"/>
      <c r="C826" s="18"/>
      <c r="D826" s="18"/>
    </row>
    <row r="827" spans="1:4" ht="12.5">
      <c r="A827" s="5"/>
      <c r="B827" s="34"/>
      <c r="C827" s="18"/>
      <c r="D827" s="18"/>
    </row>
    <row r="828" spans="1:4" ht="12.5">
      <c r="A828" s="5"/>
      <c r="B828" s="34"/>
      <c r="C828" s="18"/>
      <c r="D828" s="18"/>
    </row>
    <row r="829" spans="1:4" ht="12.5">
      <c r="A829" s="5"/>
      <c r="B829" s="34"/>
      <c r="C829" s="18"/>
      <c r="D829" s="18"/>
    </row>
    <row r="830" spans="1:4" ht="12.5">
      <c r="A830" s="5"/>
      <c r="B830" s="34"/>
      <c r="C830" s="18"/>
      <c r="D830" s="18"/>
    </row>
    <row r="831" spans="1:4" ht="12.5">
      <c r="A831" s="5"/>
      <c r="B831" s="34"/>
      <c r="C831" s="18"/>
      <c r="D831" s="18"/>
    </row>
    <row r="832" spans="1:4" ht="12.5">
      <c r="A832" s="5"/>
      <c r="B832" s="34"/>
      <c r="C832" s="18"/>
      <c r="D832" s="18"/>
    </row>
    <row r="833" spans="1:4" ht="12.5">
      <c r="A833" s="5"/>
      <c r="B833" s="34"/>
      <c r="C833" s="18"/>
      <c r="D833" s="18"/>
    </row>
    <row r="834" spans="1:4" ht="12.5">
      <c r="A834" s="5"/>
      <c r="B834" s="34"/>
      <c r="C834" s="18"/>
      <c r="D834" s="18"/>
    </row>
    <row r="835" spans="1:4" ht="12.5">
      <c r="A835" s="5"/>
      <c r="B835" s="34"/>
      <c r="C835" s="18"/>
      <c r="D835" s="18"/>
    </row>
    <row r="836" spans="1:4" ht="12.5">
      <c r="A836" s="5"/>
      <c r="B836" s="34"/>
      <c r="C836" s="18"/>
      <c r="D836" s="18"/>
    </row>
    <row r="837" spans="1:4" ht="12.5">
      <c r="A837" s="5"/>
      <c r="B837" s="34"/>
      <c r="C837" s="18"/>
      <c r="D837" s="18"/>
    </row>
    <row r="838" spans="1:4" ht="12.5">
      <c r="A838" s="5"/>
      <c r="B838" s="34"/>
      <c r="C838" s="18"/>
      <c r="D838" s="18"/>
    </row>
    <row r="839" spans="1:4" ht="12.5">
      <c r="A839" s="5"/>
      <c r="B839" s="34"/>
      <c r="C839" s="18"/>
      <c r="D839" s="18"/>
    </row>
    <row r="840" spans="1:4" ht="12.5">
      <c r="A840" s="5"/>
      <c r="B840" s="34"/>
      <c r="C840" s="18"/>
      <c r="D840" s="18"/>
    </row>
    <row r="841" spans="1:4" ht="12.5">
      <c r="A841" s="5"/>
      <c r="B841" s="34"/>
      <c r="C841" s="18"/>
      <c r="D841" s="18"/>
    </row>
    <row r="842" spans="1:4" ht="12.5">
      <c r="A842" s="5"/>
      <c r="B842" s="34"/>
      <c r="C842" s="18"/>
      <c r="D842" s="18"/>
    </row>
    <row r="843" spans="1:4" ht="12.5">
      <c r="A843" s="5"/>
      <c r="B843" s="34"/>
      <c r="C843" s="18"/>
      <c r="D843" s="18"/>
    </row>
    <row r="844" spans="1:4" ht="12.5">
      <c r="A844" s="5"/>
      <c r="B844" s="34"/>
      <c r="C844" s="18"/>
      <c r="D844" s="18"/>
    </row>
    <row r="845" spans="1:4" ht="12.5">
      <c r="A845" s="5"/>
      <c r="B845" s="34"/>
      <c r="C845" s="18"/>
      <c r="D845" s="18"/>
    </row>
    <row r="846" spans="1:4" ht="12.5">
      <c r="A846" s="5"/>
      <c r="B846" s="34"/>
      <c r="C846" s="18"/>
      <c r="D846" s="18"/>
    </row>
    <row r="847" spans="1:4" ht="12.5">
      <c r="A847" s="5"/>
      <c r="B847" s="34"/>
      <c r="C847" s="18"/>
      <c r="D847" s="18"/>
    </row>
    <row r="848" spans="1:4" ht="12.5">
      <c r="A848" s="5"/>
      <c r="B848" s="34"/>
      <c r="C848" s="18"/>
      <c r="D848" s="18"/>
    </row>
    <row r="849" spans="1:4" ht="12.5">
      <c r="A849" s="5"/>
      <c r="B849" s="34"/>
      <c r="C849" s="18"/>
      <c r="D849" s="18"/>
    </row>
    <row r="850" spans="1:4" ht="12.5">
      <c r="A850" s="5"/>
      <c r="B850" s="34"/>
      <c r="C850" s="18"/>
      <c r="D850" s="18"/>
    </row>
    <row r="851" spans="1:4" ht="12.5">
      <c r="A851" s="5"/>
      <c r="B851" s="34"/>
      <c r="C851" s="18"/>
      <c r="D851" s="18"/>
    </row>
    <row r="852" spans="1:4" ht="12.5">
      <c r="A852" s="5"/>
      <c r="B852" s="34"/>
      <c r="C852" s="18"/>
      <c r="D852" s="18"/>
    </row>
    <row r="853" spans="1:4" ht="12.5">
      <c r="A853" s="5"/>
      <c r="B853" s="34"/>
      <c r="C853" s="18"/>
      <c r="D853" s="18"/>
    </row>
    <row r="854" spans="1:4" ht="12.5">
      <c r="A854" s="5"/>
      <c r="B854" s="34"/>
      <c r="C854" s="18"/>
      <c r="D854" s="18"/>
    </row>
    <row r="855" spans="1:4" ht="12.5">
      <c r="A855" s="5"/>
      <c r="B855" s="34"/>
      <c r="C855" s="18"/>
      <c r="D855" s="18"/>
    </row>
    <row r="856" spans="1:4" ht="12.5">
      <c r="A856" s="5"/>
      <c r="B856" s="34"/>
      <c r="C856" s="18"/>
      <c r="D856" s="18"/>
    </row>
    <row r="857" spans="1:4" ht="12.5">
      <c r="A857" s="5"/>
      <c r="B857" s="34"/>
      <c r="C857" s="18"/>
      <c r="D857" s="18"/>
    </row>
    <row r="858" spans="1:4" ht="12.5">
      <c r="A858" s="5"/>
      <c r="B858" s="34"/>
      <c r="C858" s="18"/>
      <c r="D858" s="18"/>
    </row>
    <row r="859" spans="1:4" ht="12.5">
      <c r="A859" s="5"/>
      <c r="B859" s="34"/>
      <c r="C859" s="18"/>
      <c r="D859" s="18"/>
    </row>
    <row r="860" spans="1:4" ht="12.5">
      <c r="A860" s="5"/>
      <c r="B860" s="34"/>
      <c r="C860" s="18"/>
      <c r="D860" s="18"/>
    </row>
    <row r="861" spans="1:4" ht="12.5">
      <c r="A861" s="5"/>
      <c r="B861" s="34"/>
      <c r="C861" s="18"/>
      <c r="D861" s="18"/>
    </row>
    <row r="862" spans="1:4" ht="12.5">
      <c r="A862" s="5"/>
      <c r="B862" s="34"/>
      <c r="C862" s="18"/>
      <c r="D862" s="18"/>
    </row>
    <row r="863" spans="1:4" ht="12.5">
      <c r="A863" s="5"/>
      <c r="B863" s="34"/>
      <c r="C863" s="18"/>
      <c r="D863" s="18"/>
    </row>
    <row r="864" spans="1:4" ht="12.5">
      <c r="A864" s="5"/>
      <c r="B864" s="34"/>
      <c r="C864" s="18"/>
      <c r="D864" s="18"/>
    </row>
    <row r="865" spans="1:4" ht="12.5">
      <c r="A865" s="5"/>
      <c r="B865" s="34"/>
      <c r="C865" s="18"/>
      <c r="D865" s="18"/>
    </row>
    <row r="866" spans="1:4" ht="12.5">
      <c r="A866" s="5"/>
      <c r="B866" s="34"/>
      <c r="C866" s="18"/>
      <c r="D866" s="18"/>
    </row>
    <row r="867" spans="1:4" ht="12.5">
      <c r="A867" s="5"/>
      <c r="B867" s="34"/>
      <c r="C867" s="18"/>
      <c r="D867" s="18"/>
    </row>
    <row r="868" spans="1:4" ht="12.5">
      <c r="A868" s="5"/>
      <c r="B868" s="34"/>
      <c r="C868" s="18"/>
      <c r="D868" s="18"/>
    </row>
    <row r="869" spans="1:4" ht="12.5">
      <c r="A869" s="5"/>
      <c r="B869" s="34"/>
      <c r="C869" s="18"/>
      <c r="D869" s="18"/>
    </row>
    <row r="870" spans="1:4" ht="12.5">
      <c r="A870" s="5"/>
      <c r="B870" s="34"/>
      <c r="C870" s="18"/>
      <c r="D870" s="18"/>
    </row>
    <row r="871" spans="1:4" ht="12.5">
      <c r="A871" s="5"/>
      <c r="B871" s="34"/>
      <c r="C871" s="18"/>
      <c r="D871" s="18"/>
    </row>
    <row r="872" spans="1:4" ht="12.5">
      <c r="A872" s="5"/>
      <c r="B872" s="34"/>
      <c r="C872" s="18"/>
      <c r="D872" s="18"/>
    </row>
    <row r="873" spans="1:4" ht="12.5">
      <c r="A873" s="5"/>
      <c r="B873" s="34"/>
      <c r="C873" s="18"/>
      <c r="D873" s="18"/>
    </row>
    <row r="874" spans="1:4" ht="12.5">
      <c r="A874" s="5"/>
      <c r="B874" s="34"/>
      <c r="C874" s="18"/>
      <c r="D874" s="18"/>
    </row>
    <row r="875" spans="1:4" ht="12.5">
      <c r="A875" s="5"/>
      <c r="B875" s="34"/>
      <c r="C875" s="18"/>
      <c r="D875" s="18"/>
    </row>
    <row r="876" spans="1:4" ht="12.5">
      <c r="A876" s="5"/>
      <c r="B876" s="34"/>
      <c r="C876" s="18"/>
      <c r="D876" s="18"/>
    </row>
    <row r="877" spans="1:4" ht="12.5">
      <c r="A877" s="5"/>
      <c r="B877" s="34"/>
      <c r="C877" s="18"/>
      <c r="D877" s="18"/>
    </row>
    <row r="878" spans="1:4" ht="12.5">
      <c r="A878" s="5"/>
      <c r="B878" s="34"/>
      <c r="C878" s="18"/>
      <c r="D878" s="18"/>
    </row>
    <row r="879" spans="1:4" ht="12.5">
      <c r="A879" s="5"/>
      <c r="B879" s="34"/>
      <c r="C879" s="18"/>
      <c r="D879" s="18"/>
    </row>
    <row r="880" spans="1:4" ht="12.5">
      <c r="A880" s="5"/>
      <c r="B880" s="34"/>
      <c r="C880" s="18"/>
      <c r="D880" s="18"/>
    </row>
    <row r="881" spans="1:4" ht="12.5">
      <c r="A881" s="5"/>
      <c r="B881" s="34"/>
      <c r="C881" s="18"/>
      <c r="D881" s="18"/>
    </row>
    <row r="882" spans="1:4" ht="12.5">
      <c r="A882" s="5"/>
      <c r="B882" s="34"/>
      <c r="C882" s="18"/>
      <c r="D882" s="18"/>
    </row>
    <row r="883" spans="1:4" ht="12.5">
      <c r="A883" s="5"/>
      <c r="B883" s="34"/>
      <c r="C883" s="18"/>
      <c r="D883" s="18"/>
    </row>
    <row r="884" spans="1:4" ht="12.5">
      <c r="A884" s="5"/>
      <c r="B884" s="34"/>
      <c r="C884" s="18"/>
      <c r="D884" s="18"/>
    </row>
    <row r="885" spans="1:4" ht="12.5">
      <c r="A885" s="5"/>
      <c r="B885" s="34"/>
      <c r="C885" s="18"/>
      <c r="D885" s="18"/>
    </row>
    <row r="886" spans="1:4" ht="12.5">
      <c r="A886" s="5"/>
      <c r="B886" s="34"/>
      <c r="C886" s="18"/>
      <c r="D886" s="18"/>
    </row>
    <row r="887" spans="1:4" ht="12.5">
      <c r="A887" s="5"/>
      <c r="B887" s="34"/>
      <c r="C887" s="18"/>
      <c r="D887" s="18"/>
    </row>
    <row r="888" spans="1:4" ht="12.5">
      <c r="A888" s="5"/>
      <c r="B888" s="34"/>
      <c r="C888" s="18"/>
      <c r="D888" s="18"/>
    </row>
    <row r="889" spans="1:4" ht="12.5">
      <c r="A889" s="5"/>
      <c r="B889" s="34"/>
      <c r="C889" s="18"/>
      <c r="D889" s="18"/>
    </row>
    <row r="890" spans="1:4" ht="12.5">
      <c r="A890" s="5"/>
      <c r="B890" s="34"/>
      <c r="C890" s="18"/>
      <c r="D890" s="18"/>
    </row>
    <row r="891" spans="1:4" ht="12.5">
      <c r="A891" s="5"/>
      <c r="B891" s="34"/>
      <c r="C891" s="18"/>
      <c r="D891" s="18"/>
    </row>
    <row r="892" spans="1:4" ht="12.5">
      <c r="A892" s="5"/>
      <c r="B892" s="34"/>
      <c r="C892" s="18"/>
      <c r="D892" s="18"/>
    </row>
    <row r="893" spans="1:4" ht="12.5">
      <c r="A893" s="5"/>
      <c r="B893" s="34"/>
      <c r="C893" s="18"/>
      <c r="D893" s="18"/>
    </row>
    <row r="894" spans="1:4" ht="12.5">
      <c r="A894" s="5"/>
      <c r="B894" s="34"/>
      <c r="C894" s="18"/>
      <c r="D894" s="18"/>
    </row>
    <row r="895" spans="1:4" ht="12.5">
      <c r="A895" s="5"/>
      <c r="B895" s="34"/>
      <c r="C895" s="18"/>
      <c r="D895" s="18"/>
    </row>
    <row r="896" spans="1:4" ht="12.5">
      <c r="A896" s="5"/>
      <c r="B896" s="34"/>
      <c r="C896" s="18"/>
      <c r="D896" s="18"/>
    </row>
    <row r="897" spans="1:4" ht="12.5">
      <c r="A897" s="5"/>
      <c r="B897" s="34"/>
      <c r="C897" s="18"/>
      <c r="D897" s="18"/>
    </row>
    <row r="898" spans="1:4" ht="12.5">
      <c r="A898" s="5"/>
      <c r="B898" s="34"/>
      <c r="C898" s="18"/>
      <c r="D898" s="18"/>
    </row>
    <row r="899" spans="1:4" ht="12.5">
      <c r="A899" s="5"/>
      <c r="B899" s="34"/>
      <c r="C899" s="18"/>
      <c r="D899" s="18"/>
    </row>
    <row r="900" spans="1:4" ht="12.5">
      <c r="A900" s="5"/>
      <c r="B900" s="34"/>
      <c r="C900" s="18"/>
      <c r="D900" s="18"/>
    </row>
    <row r="901" spans="1:4" ht="12.5">
      <c r="A901" s="5"/>
      <c r="B901" s="34"/>
      <c r="C901" s="18"/>
      <c r="D901" s="18"/>
    </row>
    <row r="902" spans="1:4" ht="12.5">
      <c r="A902" s="5"/>
      <c r="B902" s="34"/>
      <c r="C902" s="18"/>
      <c r="D902" s="18"/>
    </row>
    <row r="903" spans="1:4" ht="12.5">
      <c r="A903" s="5"/>
      <c r="B903" s="34"/>
      <c r="C903" s="18"/>
      <c r="D903" s="18"/>
    </row>
    <row r="904" spans="1:4" ht="12.5">
      <c r="A904" s="5"/>
      <c r="B904" s="34"/>
      <c r="C904" s="18"/>
      <c r="D904" s="18"/>
    </row>
    <row r="905" spans="1:4" ht="12.5">
      <c r="A905" s="5"/>
      <c r="B905" s="34"/>
      <c r="C905" s="18"/>
      <c r="D905" s="18"/>
    </row>
    <row r="906" spans="1:4" ht="12.5">
      <c r="A906" s="5"/>
      <c r="B906" s="34"/>
      <c r="C906" s="18"/>
      <c r="D906" s="18"/>
    </row>
    <row r="907" spans="1:4" ht="12.5">
      <c r="A907" s="5"/>
      <c r="B907" s="34"/>
      <c r="C907" s="18"/>
      <c r="D907" s="18"/>
    </row>
    <row r="908" spans="1:4" ht="12.5">
      <c r="A908" s="5"/>
      <c r="B908" s="34"/>
      <c r="C908" s="18"/>
      <c r="D908" s="18"/>
    </row>
    <row r="909" spans="1:4" ht="12.5">
      <c r="A909" s="5"/>
      <c r="B909" s="34"/>
      <c r="C909" s="18"/>
      <c r="D909" s="18"/>
    </row>
    <row r="910" spans="1:4" ht="12.5">
      <c r="A910" s="5"/>
      <c r="B910" s="34"/>
      <c r="C910" s="18"/>
      <c r="D910" s="18"/>
    </row>
    <row r="911" spans="1:4" ht="12.5">
      <c r="A911" s="5"/>
      <c r="B911" s="34"/>
      <c r="C911" s="18"/>
      <c r="D911" s="18"/>
    </row>
    <row r="912" spans="1:4" ht="12.5">
      <c r="A912" s="5"/>
      <c r="B912" s="34"/>
      <c r="C912" s="18"/>
      <c r="D912" s="18"/>
    </row>
    <row r="913" spans="1:4" ht="12.5">
      <c r="A913" s="5"/>
      <c r="B913" s="34"/>
      <c r="C913" s="18"/>
      <c r="D913" s="18"/>
    </row>
    <row r="914" spans="1:4" ht="12.5">
      <c r="A914" s="5"/>
      <c r="B914" s="34"/>
      <c r="C914" s="18"/>
      <c r="D914" s="18"/>
    </row>
    <row r="915" spans="1:4" ht="12.5">
      <c r="A915" s="5"/>
      <c r="B915" s="34"/>
      <c r="C915" s="18"/>
      <c r="D915" s="18"/>
    </row>
    <row r="916" spans="1:4" ht="12.5">
      <c r="A916" s="5"/>
      <c r="B916" s="34"/>
      <c r="C916" s="18"/>
      <c r="D916" s="18"/>
    </row>
    <row r="917" spans="1:4" ht="12.5">
      <c r="A917" s="5"/>
      <c r="B917" s="34"/>
      <c r="C917" s="18"/>
      <c r="D917" s="18"/>
    </row>
    <row r="918" spans="1:4" ht="12.5">
      <c r="A918" s="5"/>
      <c r="B918" s="34"/>
      <c r="C918" s="18"/>
      <c r="D918" s="18"/>
    </row>
    <row r="919" spans="1:4" ht="12.5">
      <c r="A919" s="5"/>
      <c r="B919" s="34"/>
      <c r="C919" s="18"/>
      <c r="D919" s="18"/>
    </row>
    <row r="920" spans="1:4" ht="12.5">
      <c r="A920" s="5"/>
      <c r="B920" s="34"/>
      <c r="C920" s="18"/>
      <c r="D920" s="18"/>
    </row>
    <row r="921" spans="1:4" ht="12.5">
      <c r="A921" s="5"/>
      <c r="B921" s="34"/>
      <c r="C921" s="18"/>
      <c r="D921" s="18"/>
    </row>
    <row r="922" spans="1:4" ht="12.5">
      <c r="A922" s="5"/>
      <c r="B922" s="34"/>
      <c r="C922" s="18"/>
      <c r="D922" s="18"/>
    </row>
    <row r="923" spans="1:4" ht="12.5">
      <c r="A923" s="5"/>
      <c r="B923" s="34"/>
      <c r="C923" s="18"/>
      <c r="D923" s="18"/>
    </row>
    <row r="924" spans="1:4" ht="12.5">
      <c r="A924" s="5"/>
      <c r="B924" s="34"/>
      <c r="C924" s="18"/>
      <c r="D924" s="18"/>
    </row>
    <row r="925" spans="1:4" ht="12.5">
      <c r="A925" s="5"/>
      <c r="B925" s="34"/>
      <c r="C925" s="18"/>
      <c r="D925" s="18"/>
    </row>
    <row r="926" spans="1:4" ht="12.5">
      <c r="A926" s="5"/>
      <c r="B926" s="34"/>
      <c r="C926" s="18"/>
      <c r="D926" s="18"/>
    </row>
    <row r="927" spans="1:4" ht="12.5">
      <c r="A927" s="5"/>
      <c r="B927" s="34"/>
      <c r="C927" s="18"/>
      <c r="D927" s="18"/>
    </row>
    <row r="928" spans="1:4" ht="12.5">
      <c r="A928" s="5"/>
      <c r="B928" s="34"/>
      <c r="C928" s="18"/>
      <c r="D928" s="18"/>
    </row>
    <row r="929" spans="1:4" ht="12.5">
      <c r="A929" s="5"/>
      <c r="B929" s="34"/>
      <c r="C929" s="18"/>
      <c r="D929" s="18"/>
    </row>
    <row r="930" spans="1:4" ht="12.5">
      <c r="A930" s="5"/>
      <c r="B930" s="34"/>
      <c r="C930" s="18"/>
      <c r="D930" s="18"/>
    </row>
    <row r="931" spans="1:4" ht="12.5">
      <c r="A931" s="5"/>
      <c r="B931" s="34"/>
      <c r="C931" s="18"/>
      <c r="D931" s="18"/>
    </row>
    <row r="932" spans="1:4" ht="12.5">
      <c r="A932" s="5"/>
      <c r="B932" s="34"/>
      <c r="C932" s="18"/>
      <c r="D932" s="18"/>
    </row>
    <row r="933" spans="1:4" ht="12.5">
      <c r="A933" s="5"/>
      <c r="B933" s="34"/>
      <c r="C933" s="18"/>
      <c r="D933" s="18"/>
    </row>
    <row r="934" spans="1:4" ht="12.5">
      <c r="A934" s="5"/>
      <c r="B934" s="34"/>
      <c r="C934" s="18"/>
      <c r="D934" s="18"/>
    </row>
    <row r="935" spans="1:4" ht="12.5">
      <c r="A935" s="5"/>
      <c r="B935" s="34"/>
      <c r="C935" s="18"/>
      <c r="D935" s="18"/>
    </row>
    <row r="936" spans="1:4" ht="12.5">
      <c r="A936" s="5"/>
      <c r="B936" s="34"/>
      <c r="C936" s="18"/>
      <c r="D936" s="18"/>
    </row>
    <row r="937" spans="1:4" ht="12.5">
      <c r="A937" s="5"/>
      <c r="B937" s="34"/>
      <c r="C937" s="18"/>
      <c r="D937" s="18"/>
    </row>
    <row r="938" spans="1:4" ht="12.5">
      <c r="A938" s="5"/>
      <c r="B938" s="34"/>
      <c r="C938" s="18"/>
      <c r="D938" s="18"/>
    </row>
    <row r="939" spans="1:4" ht="12.5">
      <c r="A939" s="5"/>
      <c r="B939" s="34"/>
      <c r="C939" s="18"/>
      <c r="D939" s="18"/>
    </row>
    <row r="940" spans="1:4" ht="12.5">
      <c r="A940" s="5"/>
      <c r="B940" s="34"/>
      <c r="C940" s="18"/>
      <c r="D940" s="18"/>
    </row>
    <row r="941" spans="1:4" ht="12.5">
      <c r="A941" s="5"/>
      <c r="B941" s="34"/>
      <c r="C941" s="18"/>
      <c r="D941" s="18"/>
    </row>
    <row r="942" spans="1:4" ht="12.5">
      <c r="A942" s="5"/>
      <c r="B942" s="34"/>
      <c r="C942" s="18"/>
      <c r="D942" s="18"/>
    </row>
    <row r="943" spans="1:4" ht="12.5">
      <c r="A943" s="5"/>
      <c r="B943" s="34"/>
      <c r="C943" s="18"/>
      <c r="D943" s="18"/>
    </row>
    <row r="944" spans="1:4" ht="12.5">
      <c r="A944" s="5"/>
      <c r="B944" s="34"/>
      <c r="C944" s="18"/>
      <c r="D944" s="18"/>
    </row>
    <row r="945" spans="1:4" ht="12.5">
      <c r="A945" s="5"/>
      <c r="B945" s="34"/>
      <c r="C945" s="18"/>
      <c r="D945" s="18"/>
    </row>
    <row r="946" spans="1:4" ht="12.5">
      <c r="A946" s="5"/>
      <c r="B946" s="34"/>
      <c r="C946" s="18"/>
      <c r="D946" s="18"/>
    </row>
    <row r="947" spans="1:4" ht="12.5">
      <c r="A947" s="5"/>
      <c r="B947" s="34"/>
      <c r="C947" s="18"/>
      <c r="D947" s="18"/>
    </row>
    <row r="948" spans="1:4" ht="12.5">
      <c r="A948" s="5"/>
      <c r="B948" s="34"/>
      <c r="C948" s="18"/>
      <c r="D948" s="18"/>
    </row>
    <row r="949" spans="1:4" ht="12.5">
      <c r="A949" s="5"/>
      <c r="B949" s="34"/>
      <c r="C949" s="18"/>
      <c r="D949" s="18"/>
    </row>
    <row r="950" spans="1:4" ht="12.5">
      <c r="A950" s="5"/>
      <c r="B950" s="34"/>
      <c r="C950" s="18"/>
      <c r="D950" s="18"/>
    </row>
    <row r="951" spans="1:4" ht="12.5">
      <c r="A951" s="5"/>
      <c r="B951" s="34"/>
      <c r="C951" s="18"/>
      <c r="D951" s="18"/>
    </row>
    <row r="952" spans="1:4" ht="12.5">
      <c r="A952" s="5"/>
      <c r="B952" s="34"/>
      <c r="C952" s="18"/>
      <c r="D952" s="18"/>
    </row>
    <row r="953" spans="1:4" ht="12.5">
      <c r="A953" s="5"/>
      <c r="B953" s="34"/>
      <c r="C953" s="18"/>
      <c r="D953" s="18"/>
    </row>
    <row r="954" spans="1:4" ht="12.5">
      <c r="A954" s="5"/>
      <c r="B954" s="34"/>
      <c r="C954" s="18"/>
      <c r="D954" s="18"/>
    </row>
    <row r="955" spans="1:4" ht="12.5">
      <c r="A955" s="5"/>
      <c r="B955" s="34"/>
      <c r="C955" s="18"/>
      <c r="D955" s="18"/>
    </row>
    <row r="956" spans="1:4" ht="12.5">
      <c r="A956" s="5"/>
      <c r="B956" s="34"/>
      <c r="C956" s="18"/>
      <c r="D956" s="18"/>
    </row>
    <row r="957" spans="1:4" ht="12.5">
      <c r="A957" s="5"/>
      <c r="B957" s="34"/>
      <c r="C957" s="18"/>
      <c r="D957" s="18"/>
    </row>
    <row r="958" spans="1:4" ht="12.5">
      <c r="A958" s="5"/>
      <c r="B958" s="34"/>
      <c r="C958" s="18"/>
      <c r="D958" s="18"/>
    </row>
    <row r="959" spans="1:4" ht="12.5">
      <c r="A959" s="5"/>
      <c r="B959" s="34"/>
      <c r="C959" s="18"/>
      <c r="D959" s="18"/>
    </row>
    <row r="960" spans="1:4" ht="12.5">
      <c r="A960" s="5"/>
      <c r="B960" s="34"/>
      <c r="C960" s="18"/>
      <c r="D960" s="18"/>
    </row>
    <row r="961" spans="1:4" ht="12.5">
      <c r="A961" s="5"/>
      <c r="B961" s="34"/>
      <c r="C961" s="18"/>
      <c r="D961" s="18"/>
    </row>
    <row r="962" spans="1:4" ht="12.5">
      <c r="A962" s="5"/>
      <c r="B962" s="34"/>
      <c r="C962" s="18"/>
      <c r="D962" s="18"/>
    </row>
    <row r="963" spans="1:4" ht="12.5">
      <c r="A963" s="5"/>
      <c r="B963" s="34"/>
      <c r="C963" s="18"/>
      <c r="D963" s="18"/>
    </row>
    <row r="964" spans="1:4" ht="12.5">
      <c r="A964" s="5"/>
      <c r="B964" s="34"/>
      <c r="C964" s="18"/>
      <c r="D964" s="18"/>
    </row>
    <row r="965" spans="1:4" ht="12.5">
      <c r="A965" s="5"/>
      <c r="B965" s="34"/>
      <c r="C965" s="18"/>
      <c r="D965" s="18"/>
    </row>
    <row r="966" spans="1:4" ht="12.5">
      <c r="A966" s="5"/>
      <c r="B966" s="34"/>
      <c r="C966" s="18"/>
      <c r="D966" s="18"/>
    </row>
    <row r="967" spans="1:4" ht="12.5">
      <c r="A967" s="5"/>
      <c r="B967" s="34"/>
      <c r="C967" s="18"/>
      <c r="D967" s="18"/>
    </row>
    <row r="968" spans="1:4" ht="12.5">
      <c r="A968" s="5"/>
      <c r="B968" s="34"/>
      <c r="C968" s="18"/>
      <c r="D968" s="18"/>
    </row>
    <row r="969" spans="1:4" ht="12.5">
      <c r="A969" s="5"/>
      <c r="B969" s="34"/>
      <c r="C969" s="18"/>
      <c r="D969" s="18"/>
    </row>
    <row r="970" spans="1:4" ht="12.5">
      <c r="A970" s="5"/>
      <c r="B970" s="34"/>
      <c r="C970" s="18"/>
      <c r="D970" s="18"/>
    </row>
    <row r="971" spans="1:4" ht="12.5">
      <c r="A971" s="5"/>
      <c r="B971" s="34"/>
      <c r="C971" s="18"/>
      <c r="D971" s="18"/>
    </row>
    <row r="972" spans="1:4" ht="12.5">
      <c r="A972" s="5"/>
      <c r="B972" s="34"/>
      <c r="C972" s="18"/>
      <c r="D972" s="18"/>
    </row>
    <row r="973" spans="1:4" ht="12.5">
      <c r="A973" s="5"/>
      <c r="B973" s="34"/>
      <c r="C973" s="18"/>
      <c r="D973" s="18"/>
    </row>
    <row r="974" spans="1:4" ht="12.5">
      <c r="A974" s="5"/>
      <c r="B974" s="34"/>
      <c r="C974" s="18"/>
      <c r="D974" s="18"/>
    </row>
    <row r="975" spans="1:4" ht="12.5">
      <c r="A975" s="5"/>
      <c r="B975" s="34"/>
      <c r="C975" s="18"/>
      <c r="D975" s="18"/>
    </row>
    <row r="976" spans="1:4" ht="12.5">
      <c r="A976" s="5"/>
      <c r="B976" s="34"/>
      <c r="C976" s="18"/>
      <c r="D976" s="18"/>
    </row>
    <row r="977" spans="1:4" ht="12.5">
      <c r="A977" s="5"/>
      <c r="B977" s="34"/>
      <c r="C977" s="18"/>
      <c r="D977" s="18"/>
    </row>
    <row r="978" spans="1:4" ht="12.5">
      <c r="A978" s="5"/>
      <c r="B978" s="34"/>
      <c r="C978" s="18"/>
      <c r="D978" s="18"/>
    </row>
    <row r="979" spans="1:4" ht="12.5">
      <c r="A979" s="5"/>
      <c r="B979" s="34"/>
      <c r="C979" s="18"/>
      <c r="D979" s="18"/>
    </row>
    <row r="980" spans="1:4" ht="12.5">
      <c r="A980" s="5"/>
      <c r="B980" s="34"/>
      <c r="C980" s="18"/>
      <c r="D980" s="18"/>
    </row>
    <row r="981" spans="1:4" ht="12.5">
      <c r="A981" s="5"/>
      <c r="B981" s="34"/>
      <c r="C981" s="18"/>
      <c r="D981" s="18"/>
    </row>
    <row r="982" spans="1:4" ht="12.5">
      <c r="A982" s="5"/>
      <c r="B982" s="34"/>
      <c r="C982" s="18"/>
      <c r="D982" s="18"/>
    </row>
    <row r="983" spans="1:4" ht="12.5">
      <c r="A983" s="5"/>
      <c r="B983" s="34"/>
      <c r="C983" s="18"/>
      <c r="D983" s="18"/>
    </row>
    <row r="984" spans="1:4" ht="12.5">
      <c r="A984" s="5"/>
      <c r="B984" s="34"/>
      <c r="C984" s="18"/>
      <c r="D984" s="18"/>
    </row>
    <row r="985" spans="1:4" ht="12.5">
      <c r="A985" s="5"/>
      <c r="B985" s="34"/>
      <c r="C985" s="18"/>
      <c r="D985" s="18"/>
    </row>
    <row r="986" spans="1:4" ht="12.5">
      <c r="A986" s="5"/>
      <c r="B986" s="34"/>
      <c r="C986" s="18"/>
      <c r="D986" s="18"/>
    </row>
    <row r="987" spans="1:4" ht="12.5">
      <c r="A987" s="5"/>
      <c r="B987" s="34"/>
      <c r="C987" s="18"/>
      <c r="D987" s="18"/>
    </row>
    <row r="988" spans="1:4" ht="12.5">
      <c r="A988" s="5"/>
      <c r="B988" s="34"/>
      <c r="C988" s="18"/>
      <c r="D988" s="18"/>
    </row>
    <row r="989" spans="1:4" ht="12.5">
      <c r="A989" s="5"/>
      <c r="B989" s="34"/>
      <c r="C989" s="18"/>
      <c r="D989" s="18"/>
    </row>
    <row r="990" spans="1:4" ht="12.5">
      <c r="A990" s="5"/>
      <c r="B990" s="34"/>
      <c r="C990" s="18"/>
      <c r="D990" s="18"/>
    </row>
    <row r="991" spans="1:4" ht="12.5">
      <c r="A991" s="5"/>
      <c r="B991" s="34"/>
      <c r="C991" s="18"/>
      <c r="D991" s="18"/>
    </row>
    <row r="992" spans="1:4" ht="12.5">
      <c r="A992" s="5"/>
      <c r="B992" s="34"/>
      <c r="C992" s="18"/>
      <c r="D992" s="18"/>
    </row>
    <row r="993" spans="1:4" ht="12.5">
      <c r="A993" s="5"/>
      <c r="B993" s="34"/>
      <c r="C993" s="18"/>
      <c r="D993" s="18"/>
    </row>
    <row r="994" spans="1:4" ht="12.5">
      <c r="A994" s="5"/>
      <c r="B994" s="34"/>
      <c r="C994" s="18"/>
      <c r="D994" s="18"/>
    </row>
    <row r="995" spans="1:4" ht="12.5">
      <c r="A995" s="5"/>
      <c r="B995" s="34"/>
      <c r="C995" s="18"/>
      <c r="D995" s="18"/>
    </row>
    <row r="996" spans="1:4" ht="12.5">
      <c r="A996" s="5"/>
      <c r="B996" s="34"/>
      <c r="C996" s="18"/>
      <c r="D996" s="18"/>
    </row>
    <row r="997" spans="1:4" ht="12.5">
      <c r="A997" s="5"/>
      <c r="B997" s="34"/>
      <c r="C997" s="18"/>
      <c r="D997" s="18"/>
    </row>
    <row r="998" spans="1:4" ht="12.5">
      <c r="A998" s="5"/>
      <c r="B998" s="34"/>
      <c r="C998" s="18"/>
      <c r="D998" s="18"/>
    </row>
    <row r="999" spans="1:4" ht="12.5">
      <c r="A999" s="5"/>
      <c r="B999" s="34"/>
      <c r="C999" s="18"/>
      <c r="D999" s="18"/>
    </row>
    <row r="1000" spans="1:4" ht="12.5">
      <c r="A1000" s="5"/>
      <c r="B1000" s="34"/>
      <c r="C1000" s="18"/>
      <c r="D1000" s="18"/>
    </row>
    <row r="1001" spans="1:4" ht="12.5">
      <c r="A1001" s="5"/>
      <c r="B1001" s="34"/>
      <c r="C1001" s="18"/>
      <c r="D1001" s="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I16"/>
  <sheetViews>
    <sheetView workbookViewId="0"/>
  </sheetViews>
  <sheetFormatPr baseColWidth="10" defaultColWidth="12.6328125" defaultRowHeight="15.75" customHeight="1"/>
  <cols>
    <col min="3" max="3" width="18.6328125" customWidth="1"/>
    <col min="4" max="4" width="47.90625" customWidth="1"/>
    <col min="5" max="5" width="24.36328125" customWidth="1"/>
    <col min="6" max="6" width="14.90625" customWidth="1"/>
    <col min="7" max="7" width="28.26953125" customWidth="1"/>
  </cols>
  <sheetData>
    <row r="1" spans="1:35" ht="13">
      <c r="A1" s="2" t="s">
        <v>0</v>
      </c>
      <c r="B1" s="28" t="s">
        <v>531</v>
      </c>
      <c r="C1" s="3" t="s">
        <v>538</v>
      </c>
      <c r="D1" s="3" t="s">
        <v>2</v>
      </c>
      <c r="E1" s="3" t="s">
        <v>3</v>
      </c>
      <c r="F1" s="3" t="s">
        <v>4</v>
      </c>
      <c r="G1" s="3" t="s">
        <v>5</v>
      </c>
      <c r="H1" s="3" t="s">
        <v>532</v>
      </c>
      <c r="I1" s="3" t="s">
        <v>7</v>
      </c>
      <c r="J1" s="1" t="s">
        <v>8</v>
      </c>
      <c r="K1" s="3" t="s">
        <v>9</v>
      </c>
      <c r="L1" s="1" t="s">
        <v>10</v>
      </c>
      <c r="M1" s="1" t="s">
        <v>12</v>
      </c>
      <c r="N1" s="3" t="s">
        <v>13</v>
      </c>
      <c r="O1" s="1" t="s">
        <v>14</v>
      </c>
      <c r="P1" s="3"/>
      <c r="Q1" s="3"/>
      <c r="R1" s="3"/>
      <c r="S1" s="3"/>
      <c r="T1" s="3"/>
      <c r="U1" s="3"/>
      <c r="V1" s="3"/>
      <c r="W1" s="3"/>
      <c r="X1" s="3"/>
      <c r="Y1" s="3"/>
      <c r="Z1" s="3"/>
      <c r="AA1" s="3"/>
      <c r="AB1" s="3"/>
      <c r="AC1" s="3"/>
      <c r="AD1" s="3"/>
      <c r="AE1" s="3"/>
      <c r="AF1" s="3"/>
      <c r="AG1" s="3"/>
      <c r="AH1" s="3"/>
      <c r="AI1" s="3"/>
    </row>
    <row r="2" spans="1:35" ht="15.75" customHeight="1">
      <c r="A2" s="5">
        <v>900412001</v>
      </c>
      <c r="B2" s="26">
        <v>91256</v>
      </c>
      <c r="C2" s="6" t="s">
        <v>539</v>
      </c>
      <c r="D2" s="6" t="s">
        <v>499</v>
      </c>
      <c r="E2" s="27" t="s">
        <v>500</v>
      </c>
      <c r="F2" s="4">
        <v>3006193914</v>
      </c>
      <c r="G2" s="6" t="s">
        <v>540</v>
      </c>
      <c r="H2" s="6" t="s">
        <v>501</v>
      </c>
      <c r="I2" s="6" t="s">
        <v>502</v>
      </c>
    </row>
    <row r="3" spans="1:35" ht="15.75" customHeight="1">
      <c r="A3" s="5">
        <v>890942237</v>
      </c>
      <c r="B3" s="26">
        <v>91256</v>
      </c>
      <c r="C3" s="6" t="s">
        <v>539</v>
      </c>
      <c r="D3" s="6" t="s">
        <v>505</v>
      </c>
      <c r="E3" s="27" t="s">
        <v>500</v>
      </c>
      <c r="F3" s="4">
        <v>3006193914</v>
      </c>
      <c r="G3" s="6" t="s">
        <v>540</v>
      </c>
      <c r="H3" s="6" t="s">
        <v>501</v>
      </c>
      <c r="I3" s="6" t="s">
        <v>502</v>
      </c>
    </row>
    <row r="4" spans="1:35" ht="15.75" customHeight="1">
      <c r="A4" s="5">
        <v>901435777</v>
      </c>
      <c r="B4" s="26">
        <v>300000</v>
      </c>
      <c r="C4" s="18" t="s">
        <v>541</v>
      </c>
      <c r="D4" s="18" t="s">
        <v>506</v>
      </c>
      <c r="E4" s="27" t="s">
        <v>507</v>
      </c>
      <c r="F4" s="4">
        <v>3208364256</v>
      </c>
      <c r="G4" s="6" t="s">
        <v>540</v>
      </c>
      <c r="H4" s="6" t="s">
        <v>508</v>
      </c>
      <c r="I4" s="6" t="s">
        <v>509</v>
      </c>
    </row>
    <row r="5" spans="1:35" ht="15.75" customHeight="1">
      <c r="A5" s="5">
        <v>900167786</v>
      </c>
      <c r="B5" s="26">
        <v>350000</v>
      </c>
      <c r="C5" s="6" t="s">
        <v>542</v>
      </c>
      <c r="D5" s="6" t="s">
        <v>510</v>
      </c>
      <c r="E5" s="27" t="s">
        <v>511</v>
      </c>
      <c r="F5" s="4" t="s">
        <v>512</v>
      </c>
      <c r="G5" s="6" t="s">
        <v>543</v>
      </c>
      <c r="H5" s="6" t="s">
        <v>514</v>
      </c>
      <c r="I5" s="6" t="s">
        <v>515</v>
      </c>
    </row>
    <row r="6" spans="1:35" ht="15.75" customHeight="1">
      <c r="A6" s="5">
        <v>900167786</v>
      </c>
      <c r="B6" s="26">
        <v>388500</v>
      </c>
      <c r="C6" s="6" t="s">
        <v>544</v>
      </c>
      <c r="D6" s="6" t="s">
        <v>517</v>
      </c>
      <c r="E6" s="27" t="s">
        <v>518</v>
      </c>
      <c r="F6" s="4">
        <v>3164707951</v>
      </c>
      <c r="G6" s="6" t="s">
        <v>543</v>
      </c>
      <c r="H6" s="6" t="s">
        <v>519</v>
      </c>
      <c r="I6" s="6" t="s">
        <v>520</v>
      </c>
    </row>
    <row r="7" spans="1:35" ht="15.75" customHeight="1">
      <c r="A7" s="5">
        <v>900785695</v>
      </c>
      <c r="B7" s="26">
        <v>214600</v>
      </c>
      <c r="C7" s="6" t="s">
        <v>545</v>
      </c>
      <c r="D7" s="6" t="s">
        <v>521</v>
      </c>
      <c r="E7" s="27" t="s">
        <v>522</v>
      </c>
      <c r="F7" s="4">
        <v>3203073492</v>
      </c>
      <c r="G7" s="6" t="s">
        <v>546</v>
      </c>
      <c r="H7" s="6" t="s">
        <v>519</v>
      </c>
      <c r="I7" s="6" t="s">
        <v>547</v>
      </c>
    </row>
    <row r="8" spans="1:35" ht="15.75" customHeight="1">
      <c r="A8" s="6">
        <v>901191243</v>
      </c>
      <c r="B8" s="26">
        <v>82795</v>
      </c>
      <c r="C8" s="6" t="s">
        <v>548</v>
      </c>
      <c r="D8" s="6" t="s">
        <v>549</v>
      </c>
      <c r="E8" s="27" t="s">
        <v>525</v>
      </c>
      <c r="G8" s="6" t="s">
        <v>543</v>
      </c>
      <c r="H8" s="6" t="s">
        <v>508</v>
      </c>
      <c r="I8" s="6" t="s">
        <v>526</v>
      </c>
    </row>
    <row r="9" spans="1:35" ht="15.75" customHeight="1">
      <c r="B9" s="34">
        <v>75000</v>
      </c>
      <c r="C9" s="6" t="s">
        <v>550</v>
      </c>
      <c r="D9" s="6" t="s">
        <v>551</v>
      </c>
      <c r="E9" s="6" t="s">
        <v>552</v>
      </c>
      <c r="F9" s="4">
        <v>3126842577</v>
      </c>
      <c r="G9" s="6" t="s">
        <v>540</v>
      </c>
      <c r="H9" s="6" t="s">
        <v>553</v>
      </c>
      <c r="I9" s="6" t="s">
        <v>554</v>
      </c>
    </row>
    <row r="10" spans="1:35" ht="15.75" customHeight="1">
      <c r="C10" s="6" t="s">
        <v>555</v>
      </c>
      <c r="D10" s="6" t="s">
        <v>556</v>
      </c>
      <c r="E10" s="6" t="s">
        <v>557</v>
      </c>
      <c r="G10" s="6" t="s">
        <v>540</v>
      </c>
      <c r="H10" s="6" t="s">
        <v>558</v>
      </c>
      <c r="I10" s="6" t="s">
        <v>559</v>
      </c>
    </row>
    <row r="11" spans="1:35" ht="15.75" customHeight="1">
      <c r="C11" s="6" t="s">
        <v>548</v>
      </c>
      <c r="D11" s="6" t="s">
        <v>560</v>
      </c>
      <c r="E11" s="6" t="s">
        <v>561</v>
      </c>
      <c r="G11" s="6" t="s">
        <v>540</v>
      </c>
      <c r="H11" s="6" t="s">
        <v>558</v>
      </c>
      <c r="I11" s="6" t="s">
        <v>562</v>
      </c>
    </row>
    <row r="12" spans="1:35" ht="15.75" customHeight="1">
      <c r="C12" s="6" t="s">
        <v>563</v>
      </c>
      <c r="D12" s="6" t="s">
        <v>564</v>
      </c>
      <c r="E12" s="6" t="s">
        <v>565</v>
      </c>
      <c r="G12" s="6" t="s">
        <v>540</v>
      </c>
      <c r="H12" s="6" t="s">
        <v>566</v>
      </c>
      <c r="I12" s="6" t="s">
        <v>567</v>
      </c>
    </row>
    <row r="13" spans="1:35" ht="15.75" customHeight="1">
      <c r="C13" s="6" t="s">
        <v>568</v>
      </c>
      <c r="D13" s="6" t="s">
        <v>569</v>
      </c>
      <c r="G13" s="6" t="s">
        <v>540</v>
      </c>
      <c r="H13" s="6" t="s">
        <v>570</v>
      </c>
      <c r="I13" s="6" t="s">
        <v>571</v>
      </c>
    </row>
    <row r="14" spans="1:35" ht="15.75" customHeight="1">
      <c r="C14" s="6" t="s">
        <v>572</v>
      </c>
      <c r="D14" s="6" t="s">
        <v>573</v>
      </c>
      <c r="E14" s="6" t="s">
        <v>574</v>
      </c>
      <c r="G14" s="6" t="s">
        <v>540</v>
      </c>
      <c r="H14" s="6" t="s">
        <v>575</v>
      </c>
      <c r="I14" s="6" t="s">
        <v>576</v>
      </c>
    </row>
    <row r="15" spans="1:35" ht="15.75" customHeight="1">
      <c r="D15" s="6" t="s">
        <v>577</v>
      </c>
      <c r="E15" s="6" t="s">
        <v>578</v>
      </c>
      <c r="G15" s="6" t="s">
        <v>540</v>
      </c>
      <c r="H15" s="6" t="s">
        <v>175</v>
      </c>
      <c r="I15" s="6" t="s">
        <v>579</v>
      </c>
    </row>
    <row r="16" spans="1:35" ht="15.75" customHeight="1">
      <c r="C16" s="6" t="s">
        <v>580</v>
      </c>
      <c r="D16" s="6" t="s">
        <v>581</v>
      </c>
      <c r="G16" s="6" t="s">
        <v>540</v>
      </c>
      <c r="H16" s="6" t="s">
        <v>582</v>
      </c>
      <c r="I16" s="6" t="s">
        <v>583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H14"/>
  <sheetViews>
    <sheetView workbookViewId="0"/>
  </sheetViews>
  <sheetFormatPr baseColWidth="10" defaultColWidth="12.6328125" defaultRowHeight="15.75" customHeight="1"/>
  <cols>
    <col min="1" max="1" width="17" customWidth="1"/>
    <col min="3" max="3" width="14.08984375" customWidth="1"/>
    <col min="4" max="4" width="34.6328125" customWidth="1"/>
    <col min="5" max="5" width="13.36328125" customWidth="1"/>
    <col min="7" max="7" width="29.08984375" customWidth="1"/>
    <col min="8" max="8" width="29.6328125" customWidth="1"/>
    <col min="9" max="9" width="65.90625" customWidth="1"/>
    <col min="10" max="10" width="16.6328125" customWidth="1"/>
    <col min="11" max="11" width="23.90625" customWidth="1"/>
    <col min="12" max="12" width="17.36328125" customWidth="1"/>
    <col min="14" max="14" width="26.36328125" customWidth="1"/>
  </cols>
  <sheetData>
    <row r="1" spans="1:34" ht="13">
      <c r="A1" s="2" t="s">
        <v>0</v>
      </c>
      <c r="B1" s="28" t="s">
        <v>531</v>
      </c>
      <c r="C1" s="3" t="s">
        <v>538</v>
      </c>
      <c r="D1" s="3" t="s">
        <v>2</v>
      </c>
      <c r="E1" s="3" t="s">
        <v>3</v>
      </c>
      <c r="F1" s="3" t="s">
        <v>4</v>
      </c>
      <c r="G1" s="3" t="s">
        <v>5</v>
      </c>
      <c r="H1" s="3" t="s">
        <v>532</v>
      </c>
      <c r="I1" s="3" t="s">
        <v>7</v>
      </c>
      <c r="J1" s="3" t="s">
        <v>9</v>
      </c>
      <c r="K1" s="1" t="s">
        <v>10</v>
      </c>
      <c r="L1" s="1" t="s">
        <v>12</v>
      </c>
      <c r="M1" s="3" t="s">
        <v>13</v>
      </c>
      <c r="N1" s="1" t="s">
        <v>14</v>
      </c>
      <c r="O1" s="3"/>
      <c r="P1" s="3"/>
      <c r="Q1" s="3"/>
      <c r="R1" s="3"/>
      <c r="S1" s="3"/>
      <c r="T1" s="3"/>
      <c r="U1" s="3"/>
      <c r="V1" s="3"/>
      <c r="W1" s="3"/>
      <c r="X1" s="3"/>
      <c r="Y1" s="3"/>
      <c r="Z1" s="3"/>
      <c r="AA1" s="3"/>
      <c r="AB1" s="3"/>
      <c r="AC1" s="3"/>
      <c r="AD1" s="3"/>
      <c r="AE1" s="3"/>
      <c r="AF1" s="3"/>
      <c r="AG1" s="3"/>
      <c r="AH1" s="3"/>
    </row>
    <row r="2" spans="1:34" ht="12.5">
      <c r="A2" s="4">
        <v>901138060</v>
      </c>
      <c r="B2" s="35">
        <v>370776</v>
      </c>
      <c r="C2" s="6" t="s">
        <v>572</v>
      </c>
      <c r="D2" s="6" t="s">
        <v>584</v>
      </c>
      <c r="E2" s="6" t="s">
        <v>585</v>
      </c>
      <c r="F2" s="6">
        <v>3148885062</v>
      </c>
      <c r="G2" s="6" t="s">
        <v>16</v>
      </c>
      <c r="H2" s="6" t="s">
        <v>586</v>
      </c>
      <c r="I2" s="6" t="s">
        <v>587</v>
      </c>
      <c r="J2" s="6" t="s">
        <v>588</v>
      </c>
      <c r="K2" s="6" t="s">
        <v>589</v>
      </c>
    </row>
    <row r="3" spans="1:34" ht="12.5">
      <c r="A3" s="4" t="s">
        <v>590</v>
      </c>
      <c r="B3" s="35">
        <v>150000</v>
      </c>
      <c r="C3" s="6" t="s">
        <v>591</v>
      </c>
      <c r="D3" s="6" t="s">
        <v>592</v>
      </c>
      <c r="E3" s="6" t="s">
        <v>593</v>
      </c>
      <c r="F3" s="6">
        <v>3113219625</v>
      </c>
      <c r="G3" s="6" t="s">
        <v>16</v>
      </c>
      <c r="H3" s="6" t="s">
        <v>586</v>
      </c>
      <c r="I3" s="6" t="s">
        <v>594</v>
      </c>
      <c r="J3" s="6" t="s">
        <v>595</v>
      </c>
      <c r="K3" s="6" t="s">
        <v>589</v>
      </c>
    </row>
    <row r="4" spans="1:34" ht="15.75" customHeight="1">
      <c r="A4" s="36" t="s">
        <v>596</v>
      </c>
      <c r="B4" s="35">
        <v>500000</v>
      </c>
      <c r="C4" s="37" t="s">
        <v>597</v>
      </c>
      <c r="D4" s="37" t="s">
        <v>598</v>
      </c>
      <c r="E4" s="37" t="s">
        <v>599</v>
      </c>
      <c r="F4" s="37">
        <v>3222199264</v>
      </c>
      <c r="G4" s="37" t="s">
        <v>16</v>
      </c>
      <c r="H4" s="37" t="s">
        <v>600</v>
      </c>
      <c r="I4" s="37" t="s">
        <v>601</v>
      </c>
      <c r="J4" s="37" t="s">
        <v>602</v>
      </c>
      <c r="K4" s="37"/>
      <c r="L4" s="37"/>
      <c r="M4" s="37"/>
      <c r="N4" s="37"/>
      <c r="O4" s="37"/>
      <c r="P4" s="37"/>
      <c r="Q4" s="37"/>
      <c r="R4" s="37"/>
      <c r="S4" s="37"/>
      <c r="T4" s="37"/>
      <c r="U4" s="37"/>
      <c r="V4" s="37"/>
      <c r="W4" s="37"/>
      <c r="X4" s="37"/>
      <c r="Y4" s="37"/>
      <c r="Z4" s="37"/>
      <c r="AA4" s="37"/>
      <c r="AB4" s="37"/>
      <c r="AC4" s="37"/>
      <c r="AD4" s="37"/>
      <c r="AE4" s="37"/>
      <c r="AF4" s="37"/>
      <c r="AG4" s="37"/>
      <c r="AH4" s="37"/>
    </row>
    <row r="5" spans="1:34" ht="12.5">
      <c r="A5" s="4" t="s">
        <v>603</v>
      </c>
      <c r="B5" s="35">
        <v>630000</v>
      </c>
      <c r="C5" s="6" t="s">
        <v>604</v>
      </c>
      <c r="D5" s="6" t="s">
        <v>605</v>
      </c>
      <c r="E5" s="6" t="s">
        <v>606</v>
      </c>
      <c r="F5" s="6">
        <v>3185423616</v>
      </c>
      <c r="G5" s="6" t="s">
        <v>16</v>
      </c>
      <c r="H5" s="6" t="s">
        <v>607</v>
      </c>
      <c r="I5" s="6" t="s">
        <v>608</v>
      </c>
      <c r="J5" s="6" t="s">
        <v>609</v>
      </c>
    </row>
    <row r="6" spans="1:34" ht="12.5">
      <c r="A6" s="4" t="s">
        <v>610</v>
      </c>
      <c r="B6" s="35">
        <v>320600</v>
      </c>
      <c r="C6" s="6" t="s">
        <v>611</v>
      </c>
      <c r="D6" s="6" t="s">
        <v>612</v>
      </c>
      <c r="E6" s="6" t="s">
        <v>613</v>
      </c>
      <c r="F6" s="6">
        <v>3132652999</v>
      </c>
      <c r="G6" s="6" t="s">
        <v>16</v>
      </c>
      <c r="H6" s="6" t="s">
        <v>586</v>
      </c>
      <c r="I6" s="6" t="s">
        <v>614</v>
      </c>
      <c r="J6" s="6" t="s">
        <v>615</v>
      </c>
    </row>
    <row r="7" spans="1:34" ht="12.5">
      <c r="A7" s="4" t="s">
        <v>616</v>
      </c>
      <c r="B7" s="35">
        <v>350000</v>
      </c>
      <c r="C7" s="6" t="s">
        <v>617</v>
      </c>
      <c r="D7" s="6" t="s">
        <v>618</v>
      </c>
      <c r="E7" s="6" t="s">
        <v>619</v>
      </c>
      <c r="F7" s="6">
        <v>3195194354</v>
      </c>
      <c r="G7" s="6" t="s">
        <v>16</v>
      </c>
      <c r="H7" s="6" t="s">
        <v>620</v>
      </c>
      <c r="I7" s="6" t="s">
        <v>621</v>
      </c>
      <c r="J7" s="6" t="s">
        <v>622</v>
      </c>
    </row>
    <row r="8" spans="1:34" ht="12.5">
      <c r="A8" s="4" t="s">
        <v>623</v>
      </c>
      <c r="B8" s="35">
        <v>480000</v>
      </c>
      <c r="C8" s="6" t="s">
        <v>624</v>
      </c>
      <c r="D8" s="6" t="s">
        <v>625</v>
      </c>
      <c r="E8" s="6" t="s">
        <v>626</v>
      </c>
      <c r="F8" s="6">
        <v>3176793383</v>
      </c>
      <c r="G8" s="6" t="s">
        <v>16</v>
      </c>
      <c r="H8" s="6" t="s">
        <v>627</v>
      </c>
      <c r="I8" s="6" t="s">
        <v>628</v>
      </c>
      <c r="J8" s="6" t="s">
        <v>629</v>
      </c>
      <c r="K8" s="6" t="s">
        <v>589</v>
      </c>
    </row>
    <row r="9" spans="1:34" ht="12.5">
      <c r="A9" s="4" t="s">
        <v>630</v>
      </c>
      <c r="B9" s="35">
        <v>174000</v>
      </c>
      <c r="C9" s="6" t="s">
        <v>611</v>
      </c>
      <c r="D9" s="6" t="s">
        <v>631</v>
      </c>
      <c r="E9" s="6" t="s">
        <v>632</v>
      </c>
      <c r="F9" s="6">
        <v>3148953272</v>
      </c>
      <c r="G9" s="6" t="s">
        <v>16</v>
      </c>
      <c r="H9" s="6" t="s">
        <v>633</v>
      </c>
      <c r="I9" s="6" t="s">
        <v>634</v>
      </c>
      <c r="J9" s="6" t="s">
        <v>635</v>
      </c>
    </row>
    <row r="10" spans="1:34" ht="12.5">
      <c r="A10" s="4" t="s">
        <v>636</v>
      </c>
      <c r="B10" s="35">
        <v>371896</v>
      </c>
      <c r="C10" s="6" t="s">
        <v>637</v>
      </c>
      <c r="D10" s="6" t="s">
        <v>638</v>
      </c>
      <c r="E10" s="6" t="s">
        <v>639</v>
      </c>
      <c r="F10" s="5" t="s">
        <v>640</v>
      </c>
      <c r="G10" s="6" t="s">
        <v>16</v>
      </c>
      <c r="H10" s="6" t="s">
        <v>641</v>
      </c>
      <c r="I10" s="6" t="s">
        <v>642</v>
      </c>
      <c r="J10" s="6" t="s">
        <v>643</v>
      </c>
    </row>
    <row r="11" spans="1:34" ht="12.5">
      <c r="A11" s="4" t="s">
        <v>644</v>
      </c>
      <c r="B11" s="35">
        <v>182512</v>
      </c>
      <c r="C11" s="6" t="s">
        <v>580</v>
      </c>
      <c r="D11" s="6" t="s">
        <v>645</v>
      </c>
      <c r="E11" s="6" t="s">
        <v>646</v>
      </c>
      <c r="F11" s="6">
        <v>3132097726</v>
      </c>
      <c r="G11" s="6" t="s">
        <v>16</v>
      </c>
      <c r="H11" s="6" t="s">
        <v>647</v>
      </c>
      <c r="I11" s="6" t="s">
        <v>648</v>
      </c>
      <c r="J11" s="6" t="s">
        <v>649</v>
      </c>
    </row>
    <row r="12" spans="1:34" ht="12.5">
      <c r="A12" s="4" t="s">
        <v>650</v>
      </c>
      <c r="B12" s="35">
        <v>490000</v>
      </c>
      <c r="C12" s="6" t="s">
        <v>617</v>
      </c>
      <c r="D12" s="6" t="s">
        <v>651</v>
      </c>
      <c r="E12" s="6" t="s">
        <v>652</v>
      </c>
      <c r="F12" s="6">
        <v>3147903506</v>
      </c>
      <c r="G12" s="6" t="s">
        <v>16</v>
      </c>
      <c r="H12" s="6" t="s">
        <v>653</v>
      </c>
      <c r="J12" s="6" t="s">
        <v>654</v>
      </c>
    </row>
    <row r="14" spans="1:34" ht="12.5">
      <c r="B14" s="34">
        <f>SUM(B2:B12)</f>
        <v>4019784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992"/>
  <sheetViews>
    <sheetView workbookViewId="0">
      <pane ySplit="1" topLeftCell="A2" activePane="bottomLeft" state="frozen"/>
      <selection pane="bottomLeft" activeCell="B3" sqref="B3"/>
    </sheetView>
  </sheetViews>
  <sheetFormatPr baseColWidth="10" defaultColWidth="12.6328125" defaultRowHeight="15.75" customHeight="1"/>
  <cols>
    <col min="1" max="1" width="12.7265625" customWidth="1"/>
    <col min="2" max="2" width="13" customWidth="1"/>
    <col min="3" max="3" width="12.7265625" customWidth="1"/>
    <col min="4" max="4" width="36.26953125" customWidth="1"/>
    <col min="5" max="5" width="18.36328125" customWidth="1"/>
    <col min="6" max="6" width="11.7265625" customWidth="1"/>
    <col min="7" max="7" width="12.90625" customWidth="1"/>
    <col min="8" max="8" width="12.453125" customWidth="1"/>
    <col min="9" max="9" width="12" customWidth="1"/>
    <col min="10" max="10" width="27.6328125" customWidth="1"/>
    <col min="11" max="11" width="10.7265625" customWidth="1"/>
    <col min="12" max="12" width="14.26953125" customWidth="1"/>
    <col min="13" max="13" width="18.6328125" customWidth="1"/>
    <col min="14" max="14" width="32.90625" customWidth="1"/>
    <col min="15" max="15" width="19.08984375" customWidth="1"/>
  </cols>
  <sheetData>
    <row r="1" spans="1:27" ht="37.5" customHeight="1">
      <c r="A1" s="38" t="s">
        <v>0</v>
      </c>
      <c r="B1" s="39" t="s">
        <v>531</v>
      </c>
      <c r="C1" s="40" t="s">
        <v>538</v>
      </c>
      <c r="D1" s="40" t="s">
        <v>2</v>
      </c>
      <c r="E1" s="40" t="s">
        <v>3</v>
      </c>
      <c r="F1" s="41" t="s">
        <v>4</v>
      </c>
      <c r="G1" s="40" t="s">
        <v>5</v>
      </c>
      <c r="H1" s="40" t="s">
        <v>655</v>
      </c>
      <c r="I1" s="40" t="s">
        <v>532</v>
      </c>
      <c r="J1" s="40" t="s">
        <v>7</v>
      </c>
      <c r="K1" s="40" t="s">
        <v>9</v>
      </c>
      <c r="L1" s="42" t="s">
        <v>10</v>
      </c>
      <c r="M1" s="42" t="s">
        <v>12</v>
      </c>
      <c r="N1" s="40" t="s">
        <v>13</v>
      </c>
      <c r="O1" s="42" t="s">
        <v>14</v>
      </c>
      <c r="P1" s="42" t="s">
        <v>656</v>
      </c>
      <c r="Q1" s="42" t="s">
        <v>657</v>
      </c>
      <c r="R1" s="42" t="s">
        <v>658</v>
      </c>
      <c r="S1" s="42" t="s">
        <v>659</v>
      </c>
      <c r="T1" s="43"/>
      <c r="U1" s="43"/>
      <c r="V1" s="43"/>
      <c r="W1" s="43"/>
      <c r="X1" s="43"/>
      <c r="Y1" s="43"/>
      <c r="Z1" s="43"/>
      <c r="AA1" s="43"/>
    </row>
    <row r="2" spans="1:27" ht="25">
      <c r="B2" s="26">
        <v>0</v>
      </c>
      <c r="C2" s="43" t="s">
        <v>660</v>
      </c>
      <c r="D2" s="43">
        <v>9</v>
      </c>
      <c r="E2" s="44" t="s">
        <v>661</v>
      </c>
      <c r="F2" s="45" t="s">
        <v>661</v>
      </c>
      <c r="G2" s="44" t="s">
        <v>540</v>
      </c>
      <c r="H2" s="44" t="s">
        <v>661</v>
      </c>
      <c r="I2" s="46">
        <v>45171</v>
      </c>
      <c r="J2" s="47" t="s">
        <v>662</v>
      </c>
      <c r="K2" s="48">
        <v>45202</v>
      </c>
      <c r="L2" s="49" t="s">
        <v>661</v>
      </c>
      <c r="M2" s="50" t="s">
        <v>663</v>
      </c>
      <c r="N2" s="47" t="s">
        <v>664</v>
      </c>
      <c r="O2" s="6" t="s">
        <v>24</v>
      </c>
    </row>
    <row r="3" spans="1:27" ht="25">
      <c r="A3" s="19" t="s">
        <v>665</v>
      </c>
      <c r="B3" s="51">
        <v>0</v>
      </c>
      <c r="C3" s="52" t="s">
        <v>666</v>
      </c>
      <c r="D3" s="52" t="s">
        <v>667</v>
      </c>
      <c r="E3" s="53" t="s">
        <v>668</v>
      </c>
      <c r="F3" s="54" t="s">
        <v>669</v>
      </c>
      <c r="G3" s="55" t="s">
        <v>540</v>
      </c>
      <c r="H3" s="55" t="s">
        <v>670</v>
      </c>
      <c r="I3" s="56">
        <v>45212</v>
      </c>
      <c r="J3" s="53" t="s">
        <v>671</v>
      </c>
      <c r="K3" s="57">
        <v>45231</v>
      </c>
      <c r="L3" s="58">
        <v>45214</v>
      </c>
      <c r="M3" s="59"/>
      <c r="N3" s="53" t="s">
        <v>672</v>
      </c>
      <c r="O3" s="19"/>
      <c r="P3" s="19"/>
      <c r="Q3" s="19" t="s">
        <v>673</v>
      </c>
      <c r="R3" s="19"/>
      <c r="S3" s="19"/>
      <c r="T3" s="19"/>
      <c r="U3" s="19"/>
      <c r="V3" s="19"/>
      <c r="W3" s="19"/>
      <c r="X3" s="19"/>
      <c r="Y3" s="19"/>
      <c r="Z3" s="19"/>
      <c r="AA3" s="19"/>
    </row>
    <row r="4" spans="1:27" ht="62.5">
      <c r="A4" s="27" t="s">
        <v>674</v>
      </c>
      <c r="B4" s="60">
        <v>500000</v>
      </c>
      <c r="C4" s="43" t="s">
        <v>666</v>
      </c>
      <c r="D4" s="6" t="s">
        <v>675</v>
      </c>
      <c r="E4" s="47" t="s">
        <v>676</v>
      </c>
      <c r="F4" s="45">
        <v>3008681302</v>
      </c>
      <c r="G4" s="44" t="s">
        <v>540</v>
      </c>
      <c r="H4" s="44" t="s">
        <v>677</v>
      </c>
      <c r="I4" s="46">
        <v>45216</v>
      </c>
      <c r="J4" s="61" t="s">
        <v>678</v>
      </c>
      <c r="K4" s="48">
        <v>45247</v>
      </c>
      <c r="L4" s="62">
        <v>45200</v>
      </c>
      <c r="M4" s="63" t="s">
        <v>679</v>
      </c>
      <c r="N4" s="61" t="s">
        <v>678</v>
      </c>
    </row>
    <row r="5" spans="1:27" ht="25.5">
      <c r="A5" s="19" t="s">
        <v>680</v>
      </c>
      <c r="B5" s="51" t="s">
        <v>681</v>
      </c>
      <c r="C5" s="52" t="s">
        <v>682</v>
      </c>
      <c r="D5" s="64" t="s">
        <v>683</v>
      </c>
      <c r="E5" s="53" t="s">
        <v>684</v>
      </c>
      <c r="F5" s="65">
        <v>3159284030</v>
      </c>
      <c r="G5" s="55" t="s">
        <v>540</v>
      </c>
      <c r="H5" s="55" t="s">
        <v>685</v>
      </c>
      <c r="I5" s="56">
        <v>45216</v>
      </c>
      <c r="J5" s="53" t="s">
        <v>686</v>
      </c>
      <c r="K5" s="57">
        <v>45247</v>
      </c>
      <c r="L5" s="58">
        <v>45214</v>
      </c>
      <c r="M5" s="59"/>
      <c r="N5" s="55" t="s">
        <v>687</v>
      </c>
      <c r="O5" s="19"/>
      <c r="P5" s="19"/>
      <c r="Q5" s="19" t="s">
        <v>673</v>
      </c>
      <c r="R5" s="19"/>
      <c r="S5" s="19"/>
      <c r="T5" s="19"/>
      <c r="U5" s="19"/>
      <c r="V5" s="19"/>
      <c r="W5" s="19"/>
      <c r="X5" s="19"/>
      <c r="Y5" s="19"/>
      <c r="Z5" s="19"/>
      <c r="AA5" s="19"/>
    </row>
    <row r="6" spans="1:27" ht="36.75" customHeight="1">
      <c r="A6" s="6" t="s">
        <v>688</v>
      </c>
      <c r="B6" s="60">
        <v>245000</v>
      </c>
      <c r="C6" s="6" t="s">
        <v>548</v>
      </c>
      <c r="D6" s="6" t="s">
        <v>689</v>
      </c>
      <c r="E6" s="47" t="s">
        <v>690</v>
      </c>
      <c r="F6" s="66" t="s">
        <v>691</v>
      </c>
      <c r="G6" s="44" t="s">
        <v>540</v>
      </c>
      <c r="H6" s="44" t="s">
        <v>692</v>
      </c>
      <c r="I6" s="46">
        <v>45217</v>
      </c>
      <c r="J6" s="67" t="s">
        <v>693</v>
      </c>
      <c r="K6" s="48">
        <v>45248</v>
      </c>
      <c r="L6" s="62">
        <v>45214</v>
      </c>
      <c r="M6" s="68"/>
      <c r="N6" s="69" t="s">
        <v>687</v>
      </c>
    </row>
    <row r="7" spans="1:27" ht="37.5">
      <c r="A7" s="6" t="s">
        <v>694</v>
      </c>
      <c r="B7" s="70">
        <v>75000</v>
      </c>
      <c r="C7" s="6" t="s">
        <v>695</v>
      </c>
      <c r="D7" s="6" t="s">
        <v>696</v>
      </c>
      <c r="E7" s="47" t="s">
        <v>697</v>
      </c>
      <c r="F7" s="45">
        <v>3127606284</v>
      </c>
      <c r="G7" s="44" t="s">
        <v>540</v>
      </c>
      <c r="H7" s="44" t="s">
        <v>698</v>
      </c>
      <c r="I7" s="46">
        <v>45218</v>
      </c>
      <c r="J7" s="47" t="s">
        <v>699</v>
      </c>
      <c r="K7" s="48">
        <v>45249</v>
      </c>
      <c r="L7" s="62">
        <v>45200</v>
      </c>
      <c r="M7" s="50" t="s">
        <v>679</v>
      </c>
      <c r="N7" s="47" t="s">
        <v>700</v>
      </c>
    </row>
    <row r="8" spans="1:27" ht="62.5">
      <c r="A8" s="6" t="s">
        <v>701</v>
      </c>
      <c r="B8" s="60">
        <v>350000</v>
      </c>
      <c r="C8" s="43" t="s">
        <v>702</v>
      </c>
      <c r="D8" s="6" t="s">
        <v>703</v>
      </c>
      <c r="E8" s="47" t="s">
        <v>704</v>
      </c>
      <c r="F8" s="45">
        <v>3104015215</v>
      </c>
      <c r="G8" s="44" t="s">
        <v>540</v>
      </c>
      <c r="H8" s="71">
        <v>45200</v>
      </c>
      <c r="I8" s="46">
        <v>45218</v>
      </c>
      <c r="J8" s="47" t="s">
        <v>705</v>
      </c>
      <c r="K8" s="48">
        <v>45249</v>
      </c>
      <c r="L8" s="62">
        <v>45205</v>
      </c>
      <c r="M8" s="50" t="s">
        <v>679</v>
      </c>
      <c r="N8" s="47" t="s">
        <v>706</v>
      </c>
    </row>
    <row r="9" spans="1:27" ht="60" customHeight="1">
      <c r="A9" s="6" t="s">
        <v>707</v>
      </c>
      <c r="B9" s="60">
        <v>560000</v>
      </c>
      <c r="C9" s="43" t="s">
        <v>550</v>
      </c>
      <c r="D9" s="6" t="s">
        <v>708</v>
      </c>
      <c r="E9" s="44" t="s">
        <v>709</v>
      </c>
      <c r="F9" s="66" t="s">
        <v>710</v>
      </c>
      <c r="G9" s="44" t="s">
        <v>540</v>
      </c>
      <c r="H9" s="44" t="s">
        <v>677</v>
      </c>
      <c r="I9" s="46">
        <v>45218</v>
      </c>
      <c r="J9" s="67" t="s">
        <v>711</v>
      </c>
      <c r="K9" s="48">
        <v>45249</v>
      </c>
      <c r="L9" s="62">
        <v>45200</v>
      </c>
      <c r="M9" s="50" t="s">
        <v>679</v>
      </c>
      <c r="N9" s="47" t="s">
        <v>712</v>
      </c>
    </row>
    <row r="10" spans="1:27" ht="12.5">
      <c r="A10" s="6"/>
      <c r="B10" s="72">
        <f>B4+B6+B7+B8+B9</f>
        <v>1730000</v>
      </c>
      <c r="D10" s="6"/>
      <c r="F10" s="73"/>
      <c r="J10" s="43"/>
      <c r="M10" s="74"/>
    </row>
    <row r="11" spans="1:27" ht="76">
      <c r="A11" s="75" t="s">
        <v>713</v>
      </c>
      <c r="B11" s="26">
        <v>375000</v>
      </c>
      <c r="C11" s="43" t="s">
        <v>714</v>
      </c>
      <c r="D11" s="76" t="s">
        <v>715</v>
      </c>
      <c r="E11" s="77" t="s">
        <v>716</v>
      </c>
      <c r="F11" s="27">
        <v>3232842437</v>
      </c>
      <c r="G11" s="44" t="s">
        <v>540</v>
      </c>
      <c r="H11" s="78">
        <v>45170</v>
      </c>
      <c r="I11" s="79">
        <v>45180</v>
      </c>
      <c r="J11" s="43" t="s">
        <v>717</v>
      </c>
      <c r="L11" s="80">
        <v>44937</v>
      </c>
      <c r="M11" s="74"/>
      <c r="N11" s="43" t="s">
        <v>718</v>
      </c>
      <c r="P11" s="6" t="s">
        <v>719</v>
      </c>
      <c r="R11" s="6" t="s">
        <v>720</v>
      </c>
      <c r="S11" s="6" t="s">
        <v>720</v>
      </c>
    </row>
    <row r="12" spans="1:27" ht="12.5">
      <c r="B12" s="72"/>
      <c r="F12" s="27"/>
      <c r="J12" s="43"/>
      <c r="M12" s="74"/>
    </row>
    <row r="13" spans="1:27" ht="12.5">
      <c r="B13" s="72"/>
      <c r="F13" s="27"/>
      <c r="J13" s="43"/>
      <c r="M13" s="74"/>
    </row>
    <row r="14" spans="1:27" ht="12.5">
      <c r="B14" s="72"/>
      <c r="F14" s="27"/>
      <c r="J14" s="43"/>
      <c r="M14" s="74"/>
    </row>
    <row r="15" spans="1:27" ht="12.5">
      <c r="B15" s="72"/>
      <c r="F15" s="27"/>
      <c r="J15" s="43"/>
      <c r="M15" s="74"/>
    </row>
    <row r="16" spans="1:27" ht="12.5">
      <c r="B16" s="72"/>
      <c r="F16" s="27"/>
      <c r="J16" s="43"/>
      <c r="M16" s="74"/>
    </row>
    <row r="17" spans="2:13" ht="12.5">
      <c r="B17" s="72"/>
      <c r="F17" s="27"/>
      <c r="J17" s="43"/>
      <c r="M17" s="74"/>
    </row>
    <row r="18" spans="2:13" ht="12.5">
      <c r="B18" s="72"/>
      <c r="F18" s="27"/>
      <c r="J18" s="43"/>
      <c r="M18" s="74"/>
    </row>
    <row r="19" spans="2:13" ht="12.5">
      <c r="B19" s="72"/>
      <c r="F19" s="27"/>
      <c r="J19" s="43"/>
      <c r="M19" s="74"/>
    </row>
    <row r="20" spans="2:13" ht="12.5">
      <c r="B20" s="72"/>
      <c r="F20" s="27"/>
      <c r="J20" s="43"/>
      <c r="M20" s="74"/>
    </row>
    <row r="21" spans="2:13" ht="12.5">
      <c r="B21" s="72"/>
      <c r="F21" s="27"/>
      <c r="J21" s="43"/>
      <c r="M21" s="74"/>
    </row>
    <row r="22" spans="2:13" ht="12.5">
      <c r="B22" s="72"/>
      <c r="F22" s="27"/>
      <c r="J22" s="43"/>
      <c r="M22" s="74"/>
    </row>
    <row r="23" spans="2:13" ht="12.5">
      <c r="B23" s="72"/>
      <c r="F23" s="27"/>
      <c r="J23" s="43"/>
      <c r="M23" s="74"/>
    </row>
    <row r="24" spans="2:13" ht="12.5">
      <c r="B24" s="72"/>
      <c r="F24" s="27"/>
      <c r="J24" s="43"/>
      <c r="M24" s="74"/>
    </row>
    <row r="25" spans="2:13" ht="12.5">
      <c r="B25" s="72"/>
      <c r="F25" s="27"/>
      <c r="J25" s="43"/>
      <c r="M25" s="74"/>
    </row>
    <row r="26" spans="2:13" ht="12.5">
      <c r="B26" s="72"/>
      <c r="F26" s="27"/>
      <c r="J26" s="43"/>
      <c r="M26" s="74"/>
    </row>
    <row r="27" spans="2:13" ht="12.5">
      <c r="B27" s="72"/>
      <c r="F27" s="27"/>
      <c r="J27" s="43"/>
      <c r="M27" s="74"/>
    </row>
    <row r="28" spans="2:13" ht="12.5">
      <c r="B28" s="72"/>
      <c r="F28" s="27"/>
      <c r="J28" s="43"/>
      <c r="M28" s="74"/>
    </row>
    <row r="29" spans="2:13" ht="12.5">
      <c r="B29" s="72"/>
      <c r="F29" s="27"/>
      <c r="J29" s="43"/>
      <c r="M29" s="74"/>
    </row>
    <row r="30" spans="2:13" ht="12.5">
      <c r="B30" s="72"/>
      <c r="F30" s="27"/>
      <c r="J30" s="43"/>
      <c r="M30" s="74"/>
    </row>
    <row r="31" spans="2:13" ht="12.5">
      <c r="B31" s="72"/>
      <c r="F31" s="27"/>
      <c r="J31" s="43"/>
      <c r="M31" s="74"/>
    </row>
    <row r="32" spans="2:13" ht="12.5">
      <c r="B32" s="72"/>
      <c r="F32" s="27"/>
      <c r="J32" s="43"/>
      <c r="M32" s="74"/>
    </row>
    <row r="33" spans="2:13" ht="12.5">
      <c r="B33" s="72"/>
      <c r="F33" s="27"/>
      <c r="J33" s="43"/>
      <c r="M33" s="74"/>
    </row>
    <row r="34" spans="2:13" ht="12.5">
      <c r="B34" s="72"/>
      <c r="F34" s="27"/>
      <c r="J34" s="43"/>
      <c r="M34" s="74"/>
    </row>
    <row r="35" spans="2:13" ht="12.5">
      <c r="B35" s="72"/>
      <c r="F35" s="27"/>
      <c r="J35" s="43"/>
      <c r="M35" s="74"/>
    </row>
    <row r="36" spans="2:13" ht="12.5">
      <c r="B36" s="72"/>
      <c r="F36" s="27"/>
      <c r="J36" s="43"/>
      <c r="M36" s="74"/>
    </row>
    <row r="37" spans="2:13" ht="12.5">
      <c r="B37" s="72"/>
      <c r="F37" s="27"/>
      <c r="J37" s="43"/>
      <c r="M37" s="74"/>
    </row>
    <row r="38" spans="2:13" ht="12.5">
      <c r="B38" s="72"/>
      <c r="F38" s="27"/>
      <c r="J38" s="43"/>
      <c r="M38" s="74"/>
    </row>
    <row r="39" spans="2:13" ht="12.5">
      <c r="B39" s="72"/>
      <c r="F39" s="27"/>
      <c r="J39" s="43"/>
      <c r="M39" s="74"/>
    </row>
    <row r="40" spans="2:13" ht="12.5">
      <c r="B40" s="72"/>
      <c r="F40" s="27"/>
      <c r="J40" s="43"/>
      <c r="M40" s="74"/>
    </row>
    <row r="41" spans="2:13" ht="12.5">
      <c r="B41" s="72"/>
      <c r="F41" s="27"/>
      <c r="J41" s="43"/>
      <c r="M41" s="74"/>
    </row>
    <row r="42" spans="2:13" ht="12.5">
      <c r="B42" s="72"/>
      <c r="F42" s="27"/>
      <c r="J42" s="43"/>
      <c r="M42" s="74"/>
    </row>
    <row r="43" spans="2:13" ht="12.5">
      <c r="B43" s="72"/>
      <c r="F43" s="27"/>
      <c r="J43" s="43"/>
      <c r="M43" s="74"/>
    </row>
    <row r="44" spans="2:13" ht="12.5">
      <c r="B44" s="72"/>
      <c r="F44" s="27"/>
      <c r="J44" s="43"/>
      <c r="M44" s="74"/>
    </row>
    <row r="45" spans="2:13" ht="12.5">
      <c r="B45" s="72"/>
      <c r="F45" s="27"/>
      <c r="J45" s="43"/>
      <c r="M45" s="74"/>
    </row>
    <row r="46" spans="2:13" ht="12.5">
      <c r="B46" s="72"/>
      <c r="F46" s="27"/>
      <c r="J46" s="43"/>
      <c r="M46" s="74"/>
    </row>
    <row r="47" spans="2:13" ht="12.5">
      <c r="B47" s="72"/>
      <c r="F47" s="27"/>
      <c r="J47" s="43"/>
      <c r="M47" s="74"/>
    </row>
    <row r="48" spans="2:13" ht="12.5">
      <c r="B48" s="72"/>
      <c r="F48" s="27"/>
      <c r="J48" s="43"/>
      <c r="M48" s="74"/>
    </row>
    <row r="49" spans="2:13" ht="12.5">
      <c r="B49" s="72"/>
      <c r="F49" s="27"/>
      <c r="J49" s="43"/>
      <c r="M49" s="74"/>
    </row>
    <row r="50" spans="2:13" ht="12.5">
      <c r="B50" s="72"/>
      <c r="F50" s="27"/>
      <c r="J50" s="43"/>
      <c r="M50" s="74"/>
    </row>
    <row r="51" spans="2:13" ht="12.5">
      <c r="B51" s="72"/>
      <c r="F51" s="27"/>
      <c r="J51" s="43"/>
      <c r="M51" s="74"/>
    </row>
    <row r="52" spans="2:13" ht="12.5">
      <c r="B52" s="72"/>
      <c r="F52" s="27"/>
      <c r="J52" s="43"/>
      <c r="M52" s="74"/>
    </row>
    <row r="53" spans="2:13" ht="12.5">
      <c r="B53" s="72"/>
      <c r="F53" s="27"/>
      <c r="J53" s="43"/>
      <c r="M53" s="74"/>
    </row>
    <row r="54" spans="2:13" ht="12.5">
      <c r="B54" s="72"/>
      <c r="F54" s="27"/>
      <c r="J54" s="43"/>
      <c r="M54" s="74"/>
    </row>
    <row r="55" spans="2:13" ht="12.5">
      <c r="B55" s="72"/>
      <c r="F55" s="27"/>
      <c r="J55" s="43"/>
      <c r="M55" s="74"/>
    </row>
    <row r="56" spans="2:13" ht="12.5">
      <c r="B56" s="72"/>
      <c r="F56" s="27"/>
      <c r="J56" s="43"/>
      <c r="M56" s="74"/>
    </row>
    <row r="57" spans="2:13" ht="12.5">
      <c r="B57" s="72"/>
      <c r="F57" s="27"/>
      <c r="J57" s="43"/>
      <c r="M57" s="74"/>
    </row>
    <row r="58" spans="2:13" ht="12.5">
      <c r="B58" s="72"/>
      <c r="F58" s="27"/>
      <c r="J58" s="43"/>
      <c r="M58" s="74"/>
    </row>
    <row r="59" spans="2:13" ht="12.5">
      <c r="B59" s="72"/>
      <c r="F59" s="27"/>
      <c r="J59" s="43"/>
      <c r="M59" s="74"/>
    </row>
    <row r="60" spans="2:13" ht="12.5">
      <c r="B60" s="72"/>
      <c r="F60" s="27"/>
      <c r="J60" s="43"/>
      <c r="M60" s="74"/>
    </row>
    <row r="61" spans="2:13" ht="12.5">
      <c r="B61" s="72"/>
      <c r="F61" s="27"/>
      <c r="J61" s="43"/>
      <c r="M61" s="74"/>
    </row>
    <row r="62" spans="2:13" ht="12.5">
      <c r="B62" s="72"/>
      <c r="F62" s="27"/>
      <c r="J62" s="43"/>
      <c r="M62" s="74"/>
    </row>
    <row r="63" spans="2:13" ht="12.5">
      <c r="B63" s="72"/>
      <c r="F63" s="27"/>
      <c r="J63" s="43"/>
      <c r="M63" s="74"/>
    </row>
    <row r="64" spans="2:13" ht="12.5">
      <c r="B64" s="72"/>
      <c r="F64" s="27"/>
      <c r="J64" s="43"/>
      <c r="M64" s="74"/>
    </row>
    <row r="65" spans="2:13" ht="12.5">
      <c r="B65" s="72"/>
      <c r="F65" s="27"/>
      <c r="J65" s="43"/>
      <c r="M65" s="74"/>
    </row>
    <row r="66" spans="2:13" ht="12.5">
      <c r="B66" s="72"/>
      <c r="F66" s="27"/>
      <c r="J66" s="43"/>
      <c r="M66" s="74"/>
    </row>
    <row r="67" spans="2:13" ht="12.5">
      <c r="B67" s="72"/>
      <c r="F67" s="27"/>
      <c r="J67" s="43"/>
      <c r="M67" s="74"/>
    </row>
    <row r="68" spans="2:13" ht="12.5">
      <c r="B68" s="72"/>
      <c r="F68" s="27"/>
      <c r="J68" s="43"/>
      <c r="M68" s="74"/>
    </row>
    <row r="69" spans="2:13" ht="12.5">
      <c r="B69" s="72"/>
      <c r="F69" s="27"/>
      <c r="J69" s="43"/>
      <c r="M69" s="74"/>
    </row>
    <row r="70" spans="2:13" ht="12.5">
      <c r="B70" s="72"/>
      <c r="F70" s="27"/>
      <c r="J70" s="43"/>
      <c r="M70" s="74"/>
    </row>
    <row r="71" spans="2:13" ht="12.5">
      <c r="B71" s="72"/>
      <c r="F71" s="27"/>
      <c r="J71" s="43"/>
      <c r="M71" s="74"/>
    </row>
    <row r="72" spans="2:13" ht="12.5">
      <c r="B72" s="72"/>
      <c r="F72" s="27"/>
      <c r="J72" s="43"/>
      <c r="M72" s="74"/>
    </row>
    <row r="73" spans="2:13" ht="12.5">
      <c r="B73" s="72"/>
      <c r="F73" s="27"/>
      <c r="J73" s="43"/>
      <c r="M73" s="74"/>
    </row>
    <row r="74" spans="2:13" ht="12.5">
      <c r="B74" s="72"/>
      <c r="F74" s="27"/>
      <c r="J74" s="43"/>
      <c r="M74" s="74"/>
    </row>
    <row r="75" spans="2:13" ht="12.5">
      <c r="B75" s="72"/>
      <c r="F75" s="27"/>
      <c r="J75" s="43"/>
      <c r="M75" s="74"/>
    </row>
    <row r="76" spans="2:13" ht="12.5">
      <c r="B76" s="72"/>
      <c r="F76" s="27"/>
      <c r="J76" s="43"/>
      <c r="M76" s="74"/>
    </row>
    <row r="77" spans="2:13" ht="12.5">
      <c r="B77" s="72"/>
      <c r="F77" s="27"/>
      <c r="J77" s="43"/>
      <c r="M77" s="74"/>
    </row>
    <row r="78" spans="2:13" ht="12.5">
      <c r="B78" s="72"/>
      <c r="F78" s="27"/>
      <c r="J78" s="43"/>
      <c r="M78" s="74"/>
    </row>
    <row r="79" spans="2:13" ht="12.5">
      <c r="B79" s="72"/>
      <c r="F79" s="27"/>
      <c r="J79" s="43"/>
      <c r="M79" s="74"/>
    </row>
    <row r="80" spans="2:13" ht="12.5">
      <c r="B80" s="72"/>
      <c r="F80" s="27"/>
      <c r="J80" s="43"/>
      <c r="M80" s="74"/>
    </row>
    <row r="81" spans="2:13" ht="12.5">
      <c r="B81" s="72"/>
      <c r="F81" s="27"/>
      <c r="J81" s="43"/>
      <c r="M81" s="74"/>
    </row>
    <row r="82" spans="2:13" ht="12.5">
      <c r="B82" s="72"/>
      <c r="F82" s="27"/>
      <c r="J82" s="43"/>
      <c r="M82" s="74"/>
    </row>
    <row r="83" spans="2:13" ht="12.5">
      <c r="B83" s="72"/>
      <c r="F83" s="27"/>
      <c r="J83" s="43"/>
      <c r="M83" s="74"/>
    </row>
    <row r="84" spans="2:13" ht="12.5">
      <c r="B84" s="72"/>
      <c r="F84" s="27"/>
      <c r="J84" s="43"/>
      <c r="M84" s="74"/>
    </row>
    <row r="85" spans="2:13" ht="12.5">
      <c r="B85" s="72"/>
      <c r="F85" s="27"/>
      <c r="J85" s="43"/>
      <c r="M85" s="74"/>
    </row>
    <row r="86" spans="2:13" ht="12.5">
      <c r="B86" s="72"/>
      <c r="F86" s="27"/>
      <c r="J86" s="43"/>
      <c r="M86" s="74"/>
    </row>
    <row r="87" spans="2:13" ht="12.5">
      <c r="B87" s="72"/>
      <c r="F87" s="27"/>
      <c r="J87" s="43"/>
      <c r="M87" s="74"/>
    </row>
    <row r="88" spans="2:13" ht="12.5">
      <c r="B88" s="72"/>
      <c r="F88" s="27"/>
      <c r="J88" s="43"/>
      <c r="M88" s="74"/>
    </row>
    <row r="89" spans="2:13" ht="12.5">
      <c r="B89" s="72"/>
      <c r="F89" s="27"/>
      <c r="J89" s="43"/>
      <c r="M89" s="74"/>
    </row>
    <row r="90" spans="2:13" ht="12.5">
      <c r="B90" s="72"/>
      <c r="F90" s="27"/>
      <c r="J90" s="43"/>
      <c r="M90" s="74"/>
    </row>
    <row r="91" spans="2:13" ht="12.5">
      <c r="B91" s="72"/>
      <c r="F91" s="27"/>
      <c r="J91" s="43"/>
      <c r="M91" s="74"/>
    </row>
    <row r="92" spans="2:13" ht="12.5">
      <c r="B92" s="72"/>
      <c r="F92" s="27"/>
      <c r="J92" s="43"/>
      <c r="M92" s="74"/>
    </row>
    <row r="93" spans="2:13" ht="12.5">
      <c r="B93" s="72"/>
      <c r="F93" s="27"/>
      <c r="J93" s="43"/>
      <c r="M93" s="74"/>
    </row>
    <row r="94" spans="2:13" ht="12.5">
      <c r="B94" s="72"/>
      <c r="F94" s="27"/>
      <c r="J94" s="43"/>
      <c r="M94" s="74"/>
    </row>
    <row r="95" spans="2:13" ht="12.5">
      <c r="B95" s="72"/>
      <c r="F95" s="27"/>
      <c r="J95" s="43"/>
      <c r="M95" s="74"/>
    </row>
    <row r="96" spans="2:13" ht="12.5">
      <c r="B96" s="72"/>
      <c r="F96" s="27"/>
      <c r="J96" s="43"/>
      <c r="M96" s="74"/>
    </row>
    <row r="97" spans="2:13" ht="12.5">
      <c r="B97" s="72"/>
      <c r="F97" s="27"/>
      <c r="J97" s="43"/>
      <c r="M97" s="74"/>
    </row>
    <row r="98" spans="2:13" ht="12.5">
      <c r="B98" s="72"/>
      <c r="F98" s="27"/>
      <c r="J98" s="43"/>
      <c r="M98" s="74"/>
    </row>
    <row r="99" spans="2:13" ht="12.5">
      <c r="B99" s="72"/>
      <c r="F99" s="27"/>
      <c r="J99" s="43"/>
      <c r="M99" s="74"/>
    </row>
    <row r="100" spans="2:13" ht="12.5">
      <c r="B100" s="72"/>
      <c r="F100" s="27"/>
      <c r="J100" s="43"/>
      <c r="M100" s="74"/>
    </row>
    <row r="101" spans="2:13" ht="12.5">
      <c r="B101" s="72"/>
      <c r="F101" s="27"/>
      <c r="J101" s="43"/>
      <c r="M101" s="74"/>
    </row>
    <row r="102" spans="2:13" ht="12.5">
      <c r="B102" s="72"/>
      <c r="F102" s="27"/>
      <c r="J102" s="43"/>
      <c r="M102" s="74"/>
    </row>
    <row r="103" spans="2:13" ht="12.5">
      <c r="B103" s="72"/>
      <c r="F103" s="27"/>
      <c r="J103" s="43"/>
      <c r="M103" s="74"/>
    </row>
    <row r="104" spans="2:13" ht="12.5">
      <c r="B104" s="72"/>
      <c r="F104" s="27"/>
      <c r="J104" s="43"/>
      <c r="M104" s="74"/>
    </row>
    <row r="105" spans="2:13" ht="12.5">
      <c r="B105" s="72"/>
      <c r="F105" s="27"/>
      <c r="J105" s="43"/>
      <c r="M105" s="74"/>
    </row>
    <row r="106" spans="2:13" ht="12.5">
      <c r="B106" s="72"/>
      <c r="F106" s="27"/>
      <c r="J106" s="43"/>
      <c r="M106" s="74"/>
    </row>
    <row r="107" spans="2:13" ht="12.5">
      <c r="B107" s="72"/>
      <c r="F107" s="27"/>
      <c r="J107" s="43"/>
      <c r="M107" s="74"/>
    </row>
    <row r="108" spans="2:13" ht="12.5">
      <c r="B108" s="72"/>
      <c r="F108" s="27"/>
      <c r="J108" s="43"/>
      <c r="M108" s="74"/>
    </row>
    <row r="109" spans="2:13" ht="12.5">
      <c r="B109" s="72"/>
      <c r="F109" s="27"/>
      <c r="J109" s="43"/>
      <c r="M109" s="74"/>
    </row>
    <row r="110" spans="2:13" ht="12.5">
      <c r="B110" s="72"/>
      <c r="F110" s="27"/>
      <c r="J110" s="43"/>
      <c r="M110" s="74"/>
    </row>
    <row r="111" spans="2:13" ht="12.5">
      <c r="B111" s="72"/>
      <c r="F111" s="27"/>
      <c r="J111" s="43"/>
      <c r="M111" s="74"/>
    </row>
    <row r="112" spans="2:13" ht="12.5">
      <c r="B112" s="72"/>
      <c r="F112" s="27"/>
      <c r="J112" s="43"/>
      <c r="M112" s="74"/>
    </row>
    <row r="113" spans="2:13" ht="12.5">
      <c r="B113" s="72"/>
      <c r="F113" s="27"/>
      <c r="J113" s="43"/>
      <c r="M113" s="74"/>
    </row>
    <row r="114" spans="2:13" ht="12.5">
      <c r="B114" s="72"/>
      <c r="F114" s="27"/>
      <c r="J114" s="43"/>
      <c r="M114" s="74"/>
    </row>
    <row r="115" spans="2:13" ht="12.5">
      <c r="B115" s="72"/>
      <c r="F115" s="27"/>
      <c r="J115" s="43"/>
      <c r="M115" s="74"/>
    </row>
    <row r="116" spans="2:13" ht="12.5">
      <c r="B116" s="72"/>
      <c r="F116" s="27"/>
      <c r="J116" s="43"/>
      <c r="M116" s="74"/>
    </row>
    <row r="117" spans="2:13" ht="12.5">
      <c r="B117" s="72"/>
      <c r="F117" s="27"/>
      <c r="J117" s="43"/>
      <c r="M117" s="74"/>
    </row>
    <row r="118" spans="2:13" ht="12.5">
      <c r="B118" s="72"/>
      <c r="F118" s="27"/>
      <c r="J118" s="43"/>
      <c r="M118" s="74"/>
    </row>
    <row r="119" spans="2:13" ht="12.5">
      <c r="B119" s="72"/>
      <c r="F119" s="27"/>
      <c r="J119" s="43"/>
      <c r="M119" s="74"/>
    </row>
    <row r="120" spans="2:13" ht="12.5">
      <c r="B120" s="72"/>
      <c r="F120" s="27"/>
      <c r="J120" s="43"/>
      <c r="M120" s="74"/>
    </row>
    <row r="121" spans="2:13" ht="12.5">
      <c r="B121" s="72"/>
      <c r="F121" s="27"/>
      <c r="J121" s="43"/>
      <c r="M121" s="74"/>
    </row>
    <row r="122" spans="2:13" ht="12.5">
      <c r="B122" s="72"/>
      <c r="F122" s="27"/>
      <c r="J122" s="43"/>
      <c r="M122" s="74"/>
    </row>
    <row r="123" spans="2:13" ht="12.5">
      <c r="B123" s="72"/>
      <c r="F123" s="27"/>
      <c r="J123" s="43"/>
      <c r="M123" s="74"/>
    </row>
    <row r="124" spans="2:13" ht="12.5">
      <c r="B124" s="72"/>
      <c r="F124" s="27"/>
      <c r="J124" s="43"/>
      <c r="M124" s="74"/>
    </row>
    <row r="125" spans="2:13" ht="12.5">
      <c r="B125" s="72"/>
      <c r="F125" s="27"/>
      <c r="J125" s="43"/>
      <c r="M125" s="74"/>
    </row>
    <row r="126" spans="2:13" ht="12.5">
      <c r="B126" s="72"/>
      <c r="F126" s="27"/>
      <c r="J126" s="43"/>
      <c r="M126" s="74"/>
    </row>
    <row r="127" spans="2:13" ht="12.5">
      <c r="B127" s="72"/>
      <c r="F127" s="27"/>
      <c r="J127" s="43"/>
      <c r="M127" s="74"/>
    </row>
    <row r="128" spans="2:13" ht="12.5">
      <c r="B128" s="72"/>
      <c r="F128" s="27"/>
      <c r="J128" s="43"/>
      <c r="M128" s="74"/>
    </row>
    <row r="129" spans="2:13" ht="12.5">
      <c r="B129" s="72"/>
      <c r="F129" s="27"/>
      <c r="J129" s="43"/>
      <c r="M129" s="74"/>
    </row>
    <row r="130" spans="2:13" ht="12.5">
      <c r="B130" s="72"/>
      <c r="F130" s="27"/>
      <c r="J130" s="43"/>
      <c r="M130" s="74"/>
    </row>
    <row r="131" spans="2:13" ht="12.5">
      <c r="B131" s="72"/>
      <c r="F131" s="27"/>
      <c r="J131" s="43"/>
      <c r="M131" s="74"/>
    </row>
    <row r="132" spans="2:13" ht="12.5">
      <c r="B132" s="72"/>
      <c r="F132" s="27"/>
      <c r="J132" s="43"/>
      <c r="M132" s="74"/>
    </row>
    <row r="133" spans="2:13" ht="12.5">
      <c r="B133" s="72"/>
      <c r="F133" s="27"/>
      <c r="J133" s="43"/>
      <c r="M133" s="74"/>
    </row>
    <row r="134" spans="2:13" ht="12.5">
      <c r="B134" s="72"/>
      <c r="F134" s="27"/>
      <c r="J134" s="43"/>
      <c r="M134" s="74"/>
    </row>
    <row r="135" spans="2:13" ht="12.5">
      <c r="B135" s="72"/>
      <c r="F135" s="27"/>
      <c r="J135" s="43"/>
      <c r="M135" s="74"/>
    </row>
    <row r="136" spans="2:13" ht="12.5">
      <c r="B136" s="72"/>
      <c r="F136" s="27"/>
      <c r="J136" s="43"/>
      <c r="M136" s="74"/>
    </row>
    <row r="137" spans="2:13" ht="12.5">
      <c r="B137" s="72"/>
      <c r="F137" s="27"/>
      <c r="J137" s="43"/>
      <c r="M137" s="74"/>
    </row>
    <row r="138" spans="2:13" ht="12.5">
      <c r="B138" s="72"/>
      <c r="F138" s="27"/>
      <c r="J138" s="43"/>
      <c r="M138" s="74"/>
    </row>
    <row r="139" spans="2:13" ht="12.5">
      <c r="B139" s="72"/>
      <c r="F139" s="27"/>
      <c r="J139" s="43"/>
      <c r="M139" s="74"/>
    </row>
    <row r="140" spans="2:13" ht="12.5">
      <c r="B140" s="72"/>
      <c r="F140" s="27"/>
      <c r="J140" s="43"/>
      <c r="M140" s="74"/>
    </row>
    <row r="141" spans="2:13" ht="12.5">
      <c r="B141" s="72"/>
      <c r="F141" s="27"/>
      <c r="J141" s="43"/>
      <c r="M141" s="74"/>
    </row>
    <row r="142" spans="2:13" ht="12.5">
      <c r="B142" s="72"/>
      <c r="F142" s="27"/>
      <c r="J142" s="43"/>
      <c r="M142" s="74"/>
    </row>
    <row r="143" spans="2:13" ht="12.5">
      <c r="B143" s="72"/>
      <c r="F143" s="27"/>
      <c r="J143" s="43"/>
      <c r="M143" s="74"/>
    </row>
    <row r="144" spans="2:13" ht="12.5">
      <c r="B144" s="72"/>
      <c r="F144" s="27"/>
      <c r="J144" s="43"/>
      <c r="M144" s="74"/>
    </row>
    <row r="145" spans="2:13" ht="12.5">
      <c r="B145" s="72"/>
      <c r="F145" s="27"/>
      <c r="J145" s="43"/>
      <c r="M145" s="74"/>
    </row>
    <row r="146" spans="2:13" ht="12.5">
      <c r="B146" s="72"/>
      <c r="F146" s="27"/>
      <c r="J146" s="43"/>
      <c r="M146" s="74"/>
    </row>
    <row r="147" spans="2:13" ht="12.5">
      <c r="B147" s="72"/>
      <c r="F147" s="27"/>
      <c r="J147" s="43"/>
      <c r="M147" s="74"/>
    </row>
    <row r="148" spans="2:13" ht="12.5">
      <c r="B148" s="72"/>
      <c r="F148" s="27"/>
      <c r="J148" s="43"/>
      <c r="M148" s="74"/>
    </row>
    <row r="149" spans="2:13" ht="12.5">
      <c r="B149" s="72"/>
      <c r="F149" s="27"/>
      <c r="J149" s="43"/>
      <c r="M149" s="74"/>
    </row>
    <row r="150" spans="2:13" ht="12.5">
      <c r="B150" s="72"/>
      <c r="F150" s="27"/>
      <c r="J150" s="43"/>
      <c r="M150" s="74"/>
    </row>
    <row r="151" spans="2:13" ht="12.5">
      <c r="B151" s="72"/>
      <c r="F151" s="27"/>
      <c r="J151" s="43"/>
      <c r="M151" s="74"/>
    </row>
    <row r="152" spans="2:13" ht="12.5">
      <c r="B152" s="72"/>
      <c r="F152" s="27"/>
      <c r="J152" s="43"/>
      <c r="M152" s="74"/>
    </row>
    <row r="153" spans="2:13" ht="12.5">
      <c r="B153" s="72"/>
      <c r="F153" s="27"/>
      <c r="J153" s="43"/>
      <c r="M153" s="74"/>
    </row>
    <row r="154" spans="2:13" ht="12.5">
      <c r="B154" s="72"/>
      <c r="F154" s="27"/>
      <c r="J154" s="43"/>
      <c r="M154" s="74"/>
    </row>
    <row r="155" spans="2:13" ht="12.5">
      <c r="B155" s="72"/>
      <c r="F155" s="27"/>
      <c r="J155" s="43"/>
      <c r="M155" s="74"/>
    </row>
    <row r="156" spans="2:13" ht="12.5">
      <c r="B156" s="72"/>
      <c r="F156" s="27"/>
      <c r="J156" s="43"/>
      <c r="M156" s="74"/>
    </row>
    <row r="157" spans="2:13" ht="12.5">
      <c r="B157" s="72"/>
      <c r="F157" s="27"/>
      <c r="J157" s="43"/>
      <c r="M157" s="74"/>
    </row>
    <row r="158" spans="2:13" ht="12.5">
      <c r="B158" s="72"/>
      <c r="F158" s="27"/>
      <c r="J158" s="43"/>
      <c r="M158" s="74"/>
    </row>
    <row r="159" spans="2:13" ht="12.5">
      <c r="B159" s="72"/>
      <c r="F159" s="27"/>
      <c r="J159" s="43"/>
      <c r="M159" s="74"/>
    </row>
    <row r="160" spans="2:13" ht="12.5">
      <c r="B160" s="72"/>
      <c r="F160" s="27"/>
      <c r="J160" s="43"/>
      <c r="M160" s="74"/>
    </row>
    <row r="161" spans="2:13" ht="12.5">
      <c r="B161" s="72"/>
      <c r="F161" s="27"/>
      <c r="J161" s="43"/>
      <c r="M161" s="74"/>
    </row>
    <row r="162" spans="2:13" ht="12.5">
      <c r="B162" s="72"/>
      <c r="F162" s="27"/>
      <c r="J162" s="43"/>
      <c r="M162" s="74"/>
    </row>
    <row r="163" spans="2:13" ht="12.5">
      <c r="B163" s="72"/>
      <c r="F163" s="27"/>
      <c r="J163" s="43"/>
      <c r="M163" s="74"/>
    </row>
    <row r="164" spans="2:13" ht="12.5">
      <c r="B164" s="72"/>
      <c r="F164" s="27"/>
      <c r="J164" s="43"/>
      <c r="M164" s="74"/>
    </row>
    <row r="165" spans="2:13" ht="12.5">
      <c r="B165" s="72"/>
      <c r="F165" s="27"/>
      <c r="J165" s="43"/>
      <c r="M165" s="74"/>
    </row>
    <row r="166" spans="2:13" ht="12.5">
      <c r="B166" s="72"/>
      <c r="F166" s="27"/>
      <c r="J166" s="43"/>
      <c r="M166" s="74"/>
    </row>
    <row r="167" spans="2:13" ht="12.5">
      <c r="B167" s="72"/>
      <c r="F167" s="27"/>
      <c r="J167" s="43"/>
      <c r="M167" s="74"/>
    </row>
    <row r="168" spans="2:13" ht="12.5">
      <c r="B168" s="72"/>
      <c r="F168" s="27"/>
      <c r="J168" s="43"/>
      <c r="M168" s="74"/>
    </row>
    <row r="169" spans="2:13" ht="12.5">
      <c r="B169" s="72"/>
      <c r="F169" s="27"/>
      <c r="J169" s="43"/>
      <c r="M169" s="74"/>
    </row>
    <row r="170" spans="2:13" ht="12.5">
      <c r="B170" s="72"/>
      <c r="F170" s="27"/>
      <c r="J170" s="43"/>
      <c r="M170" s="74"/>
    </row>
    <row r="171" spans="2:13" ht="12.5">
      <c r="B171" s="72"/>
      <c r="F171" s="27"/>
      <c r="J171" s="43"/>
      <c r="M171" s="74"/>
    </row>
    <row r="172" spans="2:13" ht="12.5">
      <c r="B172" s="72"/>
      <c r="F172" s="27"/>
      <c r="J172" s="43"/>
      <c r="M172" s="74"/>
    </row>
    <row r="173" spans="2:13" ht="12.5">
      <c r="B173" s="72"/>
      <c r="F173" s="27"/>
      <c r="J173" s="43"/>
      <c r="M173" s="74"/>
    </row>
    <row r="174" spans="2:13" ht="12.5">
      <c r="B174" s="72"/>
      <c r="F174" s="27"/>
      <c r="J174" s="43"/>
      <c r="M174" s="74"/>
    </row>
    <row r="175" spans="2:13" ht="12.5">
      <c r="B175" s="72"/>
      <c r="F175" s="27"/>
      <c r="J175" s="43"/>
      <c r="M175" s="74"/>
    </row>
    <row r="176" spans="2:13" ht="12.5">
      <c r="B176" s="72"/>
      <c r="F176" s="27"/>
      <c r="J176" s="43"/>
      <c r="M176" s="74"/>
    </row>
    <row r="177" spans="2:13" ht="12.5">
      <c r="B177" s="72"/>
      <c r="F177" s="27"/>
      <c r="J177" s="43"/>
      <c r="M177" s="74"/>
    </row>
    <row r="178" spans="2:13" ht="12.5">
      <c r="B178" s="72"/>
      <c r="F178" s="27"/>
      <c r="J178" s="43"/>
      <c r="M178" s="74"/>
    </row>
    <row r="179" spans="2:13" ht="12.5">
      <c r="B179" s="72"/>
      <c r="F179" s="27"/>
      <c r="J179" s="43"/>
      <c r="M179" s="74"/>
    </row>
    <row r="180" spans="2:13" ht="12.5">
      <c r="B180" s="72"/>
      <c r="F180" s="27"/>
      <c r="J180" s="43"/>
      <c r="M180" s="74"/>
    </row>
    <row r="181" spans="2:13" ht="12.5">
      <c r="B181" s="72"/>
      <c r="F181" s="27"/>
      <c r="J181" s="43"/>
      <c r="M181" s="74"/>
    </row>
    <row r="182" spans="2:13" ht="12.5">
      <c r="B182" s="72"/>
      <c r="F182" s="27"/>
      <c r="J182" s="43"/>
      <c r="M182" s="74"/>
    </row>
    <row r="183" spans="2:13" ht="12.5">
      <c r="B183" s="72"/>
      <c r="F183" s="27"/>
      <c r="J183" s="43"/>
      <c r="M183" s="74"/>
    </row>
    <row r="184" spans="2:13" ht="12.5">
      <c r="B184" s="72"/>
      <c r="F184" s="27"/>
      <c r="J184" s="43"/>
      <c r="M184" s="74"/>
    </row>
    <row r="185" spans="2:13" ht="12.5">
      <c r="B185" s="72"/>
      <c r="F185" s="27"/>
      <c r="J185" s="43"/>
      <c r="M185" s="74"/>
    </row>
    <row r="186" spans="2:13" ht="12.5">
      <c r="B186" s="72"/>
      <c r="F186" s="27"/>
      <c r="J186" s="43"/>
      <c r="M186" s="74"/>
    </row>
    <row r="187" spans="2:13" ht="12.5">
      <c r="B187" s="72"/>
      <c r="F187" s="27"/>
      <c r="J187" s="43"/>
      <c r="M187" s="74"/>
    </row>
    <row r="188" spans="2:13" ht="12.5">
      <c r="B188" s="72"/>
      <c r="F188" s="27"/>
      <c r="J188" s="43"/>
      <c r="M188" s="74"/>
    </row>
    <row r="189" spans="2:13" ht="12.5">
      <c r="B189" s="72"/>
      <c r="F189" s="27"/>
      <c r="J189" s="43"/>
      <c r="M189" s="74"/>
    </row>
    <row r="190" spans="2:13" ht="12.5">
      <c r="B190" s="72"/>
      <c r="F190" s="27"/>
      <c r="J190" s="43"/>
      <c r="M190" s="74"/>
    </row>
    <row r="191" spans="2:13" ht="12.5">
      <c r="B191" s="72"/>
      <c r="F191" s="27"/>
      <c r="J191" s="43"/>
      <c r="M191" s="74"/>
    </row>
    <row r="192" spans="2:13" ht="12.5">
      <c r="B192" s="72"/>
      <c r="F192" s="27"/>
      <c r="J192" s="43"/>
      <c r="M192" s="74"/>
    </row>
    <row r="193" spans="2:13" ht="12.5">
      <c r="B193" s="72"/>
      <c r="F193" s="27"/>
      <c r="J193" s="43"/>
      <c r="M193" s="74"/>
    </row>
    <row r="194" spans="2:13" ht="12.5">
      <c r="B194" s="72"/>
      <c r="F194" s="27"/>
      <c r="J194" s="43"/>
      <c r="M194" s="74"/>
    </row>
    <row r="195" spans="2:13" ht="12.5">
      <c r="B195" s="72"/>
      <c r="F195" s="27"/>
      <c r="J195" s="43"/>
      <c r="M195" s="74"/>
    </row>
    <row r="196" spans="2:13" ht="12.5">
      <c r="B196" s="72"/>
      <c r="F196" s="27"/>
      <c r="J196" s="43"/>
      <c r="M196" s="74"/>
    </row>
    <row r="197" spans="2:13" ht="12.5">
      <c r="B197" s="72"/>
      <c r="F197" s="27"/>
      <c r="J197" s="43"/>
      <c r="M197" s="74"/>
    </row>
    <row r="198" spans="2:13" ht="12.5">
      <c r="B198" s="72"/>
      <c r="F198" s="27"/>
      <c r="J198" s="43"/>
      <c r="M198" s="74"/>
    </row>
    <row r="199" spans="2:13" ht="12.5">
      <c r="B199" s="72"/>
      <c r="F199" s="27"/>
      <c r="J199" s="43"/>
      <c r="M199" s="74"/>
    </row>
    <row r="200" spans="2:13" ht="12.5">
      <c r="B200" s="72"/>
      <c r="F200" s="27"/>
      <c r="J200" s="43"/>
      <c r="M200" s="74"/>
    </row>
    <row r="201" spans="2:13" ht="12.5">
      <c r="B201" s="72"/>
      <c r="F201" s="27"/>
      <c r="J201" s="43"/>
      <c r="M201" s="74"/>
    </row>
    <row r="202" spans="2:13" ht="12.5">
      <c r="B202" s="72"/>
      <c r="F202" s="27"/>
      <c r="J202" s="43"/>
      <c r="M202" s="74"/>
    </row>
    <row r="203" spans="2:13" ht="12.5">
      <c r="B203" s="72"/>
      <c r="F203" s="27"/>
      <c r="J203" s="43"/>
      <c r="M203" s="74"/>
    </row>
    <row r="204" spans="2:13" ht="12.5">
      <c r="B204" s="72"/>
      <c r="F204" s="27"/>
      <c r="J204" s="43"/>
      <c r="M204" s="74"/>
    </row>
    <row r="205" spans="2:13" ht="12.5">
      <c r="B205" s="72"/>
      <c r="F205" s="27"/>
      <c r="J205" s="43"/>
      <c r="M205" s="74"/>
    </row>
    <row r="206" spans="2:13" ht="12.5">
      <c r="B206" s="72"/>
      <c r="F206" s="27"/>
      <c r="J206" s="43"/>
      <c r="M206" s="74"/>
    </row>
    <row r="207" spans="2:13" ht="12.5">
      <c r="B207" s="72"/>
      <c r="F207" s="27"/>
      <c r="J207" s="43"/>
      <c r="M207" s="74"/>
    </row>
    <row r="208" spans="2:13" ht="12.5">
      <c r="B208" s="72"/>
      <c r="F208" s="27"/>
      <c r="J208" s="43"/>
      <c r="M208" s="74"/>
    </row>
    <row r="209" spans="2:13" ht="12.5">
      <c r="B209" s="72"/>
      <c r="F209" s="27"/>
      <c r="J209" s="43"/>
      <c r="M209" s="74"/>
    </row>
    <row r="210" spans="2:13" ht="12.5">
      <c r="B210" s="72"/>
      <c r="F210" s="27"/>
      <c r="J210" s="43"/>
      <c r="M210" s="74"/>
    </row>
    <row r="211" spans="2:13" ht="12.5">
      <c r="B211" s="72"/>
      <c r="F211" s="27"/>
      <c r="J211" s="43"/>
      <c r="M211" s="74"/>
    </row>
    <row r="212" spans="2:13" ht="12.5">
      <c r="B212" s="72"/>
      <c r="F212" s="27"/>
      <c r="J212" s="43"/>
      <c r="M212" s="74"/>
    </row>
    <row r="213" spans="2:13" ht="12.5">
      <c r="B213" s="72"/>
      <c r="F213" s="27"/>
      <c r="J213" s="43"/>
      <c r="M213" s="74"/>
    </row>
    <row r="214" spans="2:13" ht="12.5">
      <c r="B214" s="72"/>
      <c r="F214" s="27"/>
      <c r="J214" s="43"/>
      <c r="M214" s="74"/>
    </row>
    <row r="215" spans="2:13" ht="12.5">
      <c r="B215" s="72"/>
      <c r="F215" s="27"/>
      <c r="J215" s="43"/>
      <c r="M215" s="74"/>
    </row>
    <row r="216" spans="2:13" ht="12.5">
      <c r="B216" s="72"/>
      <c r="F216" s="27"/>
      <c r="J216" s="43"/>
      <c r="M216" s="74"/>
    </row>
    <row r="217" spans="2:13" ht="12.5">
      <c r="B217" s="72"/>
      <c r="F217" s="27"/>
      <c r="J217" s="43"/>
      <c r="M217" s="74"/>
    </row>
    <row r="218" spans="2:13" ht="12.5">
      <c r="B218" s="72"/>
      <c r="F218" s="27"/>
      <c r="J218" s="43"/>
      <c r="M218" s="74"/>
    </row>
    <row r="219" spans="2:13" ht="12.5">
      <c r="B219" s="72"/>
      <c r="F219" s="27"/>
      <c r="J219" s="43"/>
      <c r="M219" s="74"/>
    </row>
    <row r="220" spans="2:13" ht="12.5">
      <c r="B220" s="72"/>
      <c r="F220" s="27"/>
      <c r="J220" s="43"/>
      <c r="M220" s="74"/>
    </row>
    <row r="221" spans="2:13" ht="12.5">
      <c r="B221" s="72"/>
      <c r="F221" s="27"/>
      <c r="J221" s="43"/>
      <c r="M221" s="74"/>
    </row>
    <row r="222" spans="2:13" ht="12.5">
      <c r="B222" s="72"/>
      <c r="F222" s="27"/>
      <c r="J222" s="43"/>
      <c r="M222" s="74"/>
    </row>
    <row r="223" spans="2:13" ht="12.5">
      <c r="B223" s="72"/>
      <c r="F223" s="27"/>
      <c r="J223" s="43"/>
      <c r="M223" s="74"/>
    </row>
    <row r="224" spans="2:13" ht="12.5">
      <c r="B224" s="72"/>
      <c r="F224" s="27"/>
      <c r="J224" s="43"/>
      <c r="M224" s="74"/>
    </row>
    <row r="225" spans="2:13" ht="12.5">
      <c r="B225" s="72"/>
      <c r="F225" s="27"/>
      <c r="J225" s="43"/>
      <c r="M225" s="74"/>
    </row>
    <row r="226" spans="2:13" ht="12.5">
      <c r="B226" s="72"/>
      <c r="F226" s="27"/>
      <c r="J226" s="43"/>
      <c r="M226" s="74"/>
    </row>
    <row r="227" spans="2:13" ht="12.5">
      <c r="B227" s="72"/>
      <c r="F227" s="27"/>
      <c r="J227" s="43"/>
      <c r="M227" s="74"/>
    </row>
    <row r="228" spans="2:13" ht="12.5">
      <c r="B228" s="72"/>
      <c r="F228" s="27"/>
      <c r="J228" s="43"/>
      <c r="M228" s="74"/>
    </row>
    <row r="229" spans="2:13" ht="12.5">
      <c r="B229" s="72"/>
      <c r="F229" s="27"/>
      <c r="J229" s="43"/>
      <c r="M229" s="74"/>
    </row>
    <row r="230" spans="2:13" ht="12.5">
      <c r="B230" s="72"/>
      <c r="F230" s="27"/>
      <c r="J230" s="43"/>
      <c r="M230" s="74"/>
    </row>
    <row r="231" spans="2:13" ht="12.5">
      <c r="B231" s="72"/>
      <c r="F231" s="27"/>
      <c r="J231" s="43"/>
      <c r="M231" s="74"/>
    </row>
    <row r="232" spans="2:13" ht="12.5">
      <c r="B232" s="72"/>
      <c r="F232" s="27"/>
      <c r="J232" s="43"/>
      <c r="M232" s="74"/>
    </row>
    <row r="233" spans="2:13" ht="12.5">
      <c r="B233" s="72"/>
      <c r="F233" s="27"/>
      <c r="J233" s="43"/>
      <c r="M233" s="74"/>
    </row>
    <row r="234" spans="2:13" ht="12.5">
      <c r="B234" s="72"/>
      <c r="F234" s="27"/>
      <c r="J234" s="43"/>
      <c r="M234" s="74"/>
    </row>
    <row r="235" spans="2:13" ht="12.5">
      <c r="B235" s="72"/>
      <c r="F235" s="27"/>
      <c r="J235" s="43"/>
      <c r="M235" s="74"/>
    </row>
    <row r="236" spans="2:13" ht="12.5">
      <c r="B236" s="72"/>
      <c r="F236" s="27"/>
      <c r="J236" s="43"/>
      <c r="M236" s="74"/>
    </row>
    <row r="237" spans="2:13" ht="12.5">
      <c r="B237" s="72"/>
      <c r="F237" s="27"/>
      <c r="J237" s="43"/>
      <c r="M237" s="74"/>
    </row>
    <row r="238" spans="2:13" ht="12.5">
      <c r="B238" s="72"/>
      <c r="F238" s="27"/>
      <c r="J238" s="43"/>
      <c r="M238" s="74"/>
    </row>
    <row r="239" spans="2:13" ht="12.5">
      <c r="B239" s="72"/>
      <c r="F239" s="27"/>
      <c r="J239" s="43"/>
      <c r="M239" s="74"/>
    </row>
    <row r="240" spans="2:13" ht="12.5">
      <c r="B240" s="72"/>
      <c r="F240" s="27"/>
      <c r="J240" s="43"/>
      <c r="M240" s="74"/>
    </row>
    <row r="241" spans="2:13" ht="12.5">
      <c r="B241" s="72"/>
      <c r="F241" s="27"/>
      <c r="J241" s="43"/>
      <c r="M241" s="74"/>
    </row>
    <row r="242" spans="2:13" ht="12.5">
      <c r="B242" s="72"/>
      <c r="F242" s="27"/>
      <c r="J242" s="43"/>
      <c r="M242" s="74"/>
    </row>
    <row r="243" spans="2:13" ht="12.5">
      <c r="B243" s="72"/>
      <c r="F243" s="27"/>
      <c r="J243" s="43"/>
      <c r="M243" s="74"/>
    </row>
    <row r="244" spans="2:13" ht="12.5">
      <c r="B244" s="72"/>
      <c r="F244" s="27"/>
      <c r="J244" s="43"/>
      <c r="M244" s="74"/>
    </row>
    <row r="245" spans="2:13" ht="12.5">
      <c r="B245" s="72"/>
      <c r="F245" s="27"/>
      <c r="J245" s="43"/>
      <c r="M245" s="74"/>
    </row>
    <row r="246" spans="2:13" ht="12.5">
      <c r="B246" s="72"/>
      <c r="F246" s="27"/>
      <c r="J246" s="43"/>
      <c r="M246" s="74"/>
    </row>
    <row r="247" spans="2:13" ht="12.5">
      <c r="B247" s="72"/>
      <c r="F247" s="27"/>
      <c r="J247" s="43"/>
      <c r="M247" s="74"/>
    </row>
    <row r="248" spans="2:13" ht="12.5">
      <c r="B248" s="72"/>
      <c r="F248" s="27"/>
      <c r="J248" s="43"/>
      <c r="M248" s="74"/>
    </row>
    <row r="249" spans="2:13" ht="12.5">
      <c r="B249" s="72"/>
      <c r="F249" s="27"/>
      <c r="J249" s="43"/>
      <c r="M249" s="74"/>
    </row>
    <row r="250" spans="2:13" ht="12.5">
      <c r="B250" s="72"/>
      <c r="F250" s="27"/>
      <c r="J250" s="43"/>
      <c r="M250" s="74"/>
    </row>
    <row r="251" spans="2:13" ht="12.5">
      <c r="B251" s="72"/>
      <c r="F251" s="27"/>
      <c r="J251" s="43"/>
      <c r="M251" s="74"/>
    </row>
    <row r="252" spans="2:13" ht="12.5">
      <c r="B252" s="72"/>
      <c r="F252" s="27"/>
      <c r="J252" s="43"/>
      <c r="M252" s="74"/>
    </row>
    <row r="253" spans="2:13" ht="12.5">
      <c r="B253" s="72"/>
      <c r="F253" s="27"/>
      <c r="J253" s="43"/>
      <c r="M253" s="74"/>
    </row>
    <row r="254" spans="2:13" ht="12.5">
      <c r="B254" s="72"/>
      <c r="F254" s="27"/>
      <c r="J254" s="43"/>
      <c r="M254" s="74"/>
    </row>
    <row r="255" spans="2:13" ht="12.5">
      <c r="B255" s="72"/>
      <c r="F255" s="27"/>
      <c r="J255" s="43"/>
      <c r="M255" s="74"/>
    </row>
    <row r="256" spans="2:13" ht="12.5">
      <c r="B256" s="72"/>
      <c r="F256" s="27"/>
      <c r="J256" s="43"/>
      <c r="M256" s="74"/>
    </row>
    <row r="257" spans="2:13" ht="12.5">
      <c r="B257" s="72"/>
      <c r="F257" s="27"/>
      <c r="J257" s="43"/>
      <c r="M257" s="74"/>
    </row>
    <row r="258" spans="2:13" ht="12.5">
      <c r="B258" s="72"/>
      <c r="F258" s="27"/>
      <c r="J258" s="43"/>
      <c r="M258" s="74"/>
    </row>
    <row r="259" spans="2:13" ht="12.5">
      <c r="B259" s="72"/>
      <c r="F259" s="27"/>
      <c r="J259" s="43"/>
      <c r="M259" s="74"/>
    </row>
    <row r="260" spans="2:13" ht="12.5">
      <c r="B260" s="72"/>
      <c r="F260" s="27"/>
      <c r="J260" s="43"/>
      <c r="M260" s="74"/>
    </row>
    <row r="261" spans="2:13" ht="12.5">
      <c r="B261" s="72"/>
      <c r="F261" s="27"/>
      <c r="J261" s="43"/>
      <c r="M261" s="74"/>
    </row>
    <row r="262" spans="2:13" ht="12.5">
      <c r="B262" s="72"/>
      <c r="F262" s="27"/>
      <c r="J262" s="43"/>
      <c r="M262" s="74"/>
    </row>
    <row r="263" spans="2:13" ht="12.5">
      <c r="B263" s="72"/>
      <c r="F263" s="27"/>
      <c r="J263" s="43"/>
      <c r="M263" s="74"/>
    </row>
    <row r="264" spans="2:13" ht="12.5">
      <c r="B264" s="72"/>
      <c r="F264" s="27"/>
      <c r="J264" s="43"/>
      <c r="M264" s="74"/>
    </row>
    <row r="265" spans="2:13" ht="12.5">
      <c r="B265" s="72"/>
      <c r="F265" s="27"/>
      <c r="J265" s="43"/>
      <c r="M265" s="74"/>
    </row>
    <row r="266" spans="2:13" ht="12.5">
      <c r="B266" s="72"/>
      <c r="F266" s="27"/>
      <c r="J266" s="43"/>
      <c r="M266" s="74"/>
    </row>
    <row r="267" spans="2:13" ht="12.5">
      <c r="B267" s="72"/>
      <c r="F267" s="27"/>
      <c r="J267" s="43"/>
      <c r="M267" s="74"/>
    </row>
    <row r="268" spans="2:13" ht="12.5">
      <c r="B268" s="72"/>
      <c r="F268" s="27"/>
      <c r="J268" s="43"/>
      <c r="M268" s="74"/>
    </row>
    <row r="269" spans="2:13" ht="12.5">
      <c r="B269" s="72"/>
      <c r="F269" s="27"/>
      <c r="J269" s="43"/>
      <c r="M269" s="74"/>
    </row>
    <row r="270" spans="2:13" ht="12.5">
      <c r="B270" s="72"/>
      <c r="F270" s="27"/>
      <c r="J270" s="43"/>
      <c r="M270" s="74"/>
    </row>
    <row r="271" spans="2:13" ht="12.5">
      <c r="B271" s="72"/>
      <c r="F271" s="27"/>
      <c r="J271" s="43"/>
      <c r="M271" s="74"/>
    </row>
    <row r="272" spans="2:13" ht="12.5">
      <c r="B272" s="72"/>
      <c r="F272" s="27"/>
      <c r="J272" s="43"/>
      <c r="M272" s="74"/>
    </row>
    <row r="273" spans="2:13" ht="12.5">
      <c r="B273" s="72"/>
      <c r="F273" s="27"/>
      <c r="J273" s="43"/>
      <c r="M273" s="74"/>
    </row>
    <row r="274" spans="2:13" ht="12.5">
      <c r="B274" s="72"/>
      <c r="F274" s="27"/>
      <c r="J274" s="43"/>
      <c r="M274" s="74"/>
    </row>
    <row r="275" spans="2:13" ht="12.5">
      <c r="B275" s="72"/>
      <c r="F275" s="27"/>
      <c r="J275" s="43"/>
      <c r="M275" s="74"/>
    </row>
    <row r="276" spans="2:13" ht="12.5">
      <c r="B276" s="72"/>
      <c r="F276" s="27"/>
      <c r="J276" s="43"/>
      <c r="M276" s="74"/>
    </row>
    <row r="277" spans="2:13" ht="12.5">
      <c r="B277" s="72"/>
      <c r="F277" s="27"/>
      <c r="J277" s="43"/>
      <c r="M277" s="74"/>
    </row>
    <row r="278" spans="2:13" ht="12.5">
      <c r="B278" s="72"/>
      <c r="F278" s="27"/>
      <c r="J278" s="43"/>
      <c r="M278" s="74"/>
    </row>
    <row r="279" spans="2:13" ht="12.5">
      <c r="B279" s="72"/>
      <c r="F279" s="27"/>
      <c r="J279" s="43"/>
      <c r="M279" s="74"/>
    </row>
    <row r="280" spans="2:13" ht="12.5">
      <c r="B280" s="72"/>
      <c r="F280" s="27"/>
      <c r="J280" s="43"/>
      <c r="M280" s="74"/>
    </row>
    <row r="281" spans="2:13" ht="12.5">
      <c r="B281" s="72"/>
      <c r="F281" s="27"/>
      <c r="J281" s="43"/>
      <c r="M281" s="74"/>
    </row>
    <row r="282" spans="2:13" ht="12.5">
      <c r="B282" s="72"/>
      <c r="F282" s="27"/>
      <c r="J282" s="43"/>
      <c r="M282" s="74"/>
    </row>
    <row r="283" spans="2:13" ht="12.5">
      <c r="B283" s="72"/>
      <c r="F283" s="27"/>
      <c r="J283" s="43"/>
      <c r="M283" s="74"/>
    </row>
    <row r="284" spans="2:13" ht="12.5">
      <c r="B284" s="72"/>
      <c r="F284" s="27"/>
      <c r="J284" s="43"/>
      <c r="M284" s="74"/>
    </row>
    <row r="285" spans="2:13" ht="12.5">
      <c r="B285" s="72"/>
      <c r="F285" s="27"/>
      <c r="J285" s="43"/>
      <c r="M285" s="74"/>
    </row>
    <row r="286" spans="2:13" ht="12.5">
      <c r="B286" s="72"/>
      <c r="F286" s="27"/>
      <c r="J286" s="43"/>
      <c r="M286" s="74"/>
    </row>
    <row r="287" spans="2:13" ht="12.5">
      <c r="B287" s="72"/>
      <c r="F287" s="27"/>
      <c r="J287" s="43"/>
      <c r="M287" s="74"/>
    </row>
    <row r="288" spans="2:13" ht="12.5">
      <c r="B288" s="72"/>
      <c r="F288" s="27"/>
      <c r="J288" s="43"/>
      <c r="M288" s="74"/>
    </row>
    <row r="289" spans="2:13" ht="12.5">
      <c r="B289" s="72"/>
      <c r="F289" s="27"/>
      <c r="J289" s="43"/>
      <c r="M289" s="74"/>
    </row>
    <row r="290" spans="2:13" ht="12.5">
      <c r="B290" s="72"/>
      <c r="F290" s="27"/>
      <c r="J290" s="43"/>
      <c r="M290" s="74"/>
    </row>
    <row r="291" spans="2:13" ht="12.5">
      <c r="B291" s="72"/>
      <c r="F291" s="27"/>
      <c r="J291" s="43"/>
      <c r="M291" s="74"/>
    </row>
    <row r="292" spans="2:13" ht="12.5">
      <c r="B292" s="72"/>
      <c r="F292" s="27"/>
      <c r="J292" s="43"/>
      <c r="M292" s="74"/>
    </row>
    <row r="293" spans="2:13" ht="12.5">
      <c r="B293" s="72"/>
      <c r="F293" s="27"/>
      <c r="J293" s="43"/>
      <c r="M293" s="74"/>
    </row>
    <row r="294" spans="2:13" ht="12.5">
      <c r="B294" s="72"/>
      <c r="F294" s="27"/>
      <c r="J294" s="43"/>
      <c r="M294" s="74"/>
    </row>
    <row r="295" spans="2:13" ht="12.5">
      <c r="B295" s="72"/>
      <c r="F295" s="27"/>
      <c r="J295" s="43"/>
      <c r="M295" s="74"/>
    </row>
    <row r="296" spans="2:13" ht="12.5">
      <c r="B296" s="72"/>
      <c r="F296" s="27"/>
      <c r="J296" s="43"/>
      <c r="M296" s="74"/>
    </row>
    <row r="297" spans="2:13" ht="12.5">
      <c r="B297" s="72"/>
      <c r="F297" s="27"/>
      <c r="J297" s="43"/>
      <c r="M297" s="74"/>
    </row>
    <row r="298" spans="2:13" ht="12.5">
      <c r="B298" s="72"/>
      <c r="F298" s="27"/>
      <c r="J298" s="43"/>
      <c r="M298" s="74"/>
    </row>
    <row r="299" spans="2:13" ht="12.5">
      <c r="B299" s="72"/>
      <c r="F299" s="27"/>
      <c r="J299" s="43"/>
      <c r="M299" s="74"/>
    </row>
    <row r="300" spans="2:13" ht="12.5">
      <c r="B300" s="72"/>
      <c r="F300" s="27"/>
      <c r="J300" s="43"/>
      <c r="M300" s="74"/>
    </row>
    <row r="301" spans="2:13" ht="12.5">
      <c r="B301" s="72"/>
      <c r="F301" s="27"/>
      <c r="J301" s="43"/>
      <c r="M301" s="74"/>
    </row>
    <row r="302" spans="2:13" ht="12.5">
      <c r="B302" s="72"/>
      <c r="F302" s="27"/>
      <c r="J302" s="43"/>
      <c r="M302" s="74"/>
    </row>
    <row r="303" spans="2:13" ht="12.5">
      <c r="B303" s="72"/>
      <c r="F303" s="27"/>
      <c r="J303" s="43"/>
      <c r="M303" s="74"/>
    </row>
    <row r="304" spans="2:13" ht="12.5">
      <c r="B304" s="72"/>
      <c r="F304" s="27"/>
      <c r="J304" s="43"/>
      <c r="M304" s="74"/>
    </row>
    <row r="305" spans="2:13" ht="12.5">
      <c r="B305" s="72"/>
      <c r="F305" s="27"/>
      <c r="J305" s="43"/>
      <c r="M305" s="74"/>
    </row>
    <row r="306" spans="2:13" ht="12.5">
      <c r="B306" s="72"/>
      <c r="F306" s="27"/>
      <c r="J306" s="43"/>
      <c r="M306" s="74"/>
    </row>
    <row r="307" spans="2:13" ht="12.5">
      <c r="B307" s="72"/>
      <c r="F307" s="27"/>
      <c r="J307" s="43"/>
      <c r="M307" s="74"/>
    </row>
    <row r="308" spans="2:13" ht="12.5">
      <c r="B308" s="72"/>
      <c r="F308" s="27"/>
      <c r="J308" s="43"/>
      <c r="M308" s="74"/>
    </row>
    <row r="309" spans="2:13" ht="12.5">
      <c r="B309" s="72"/>
      <c r="F309" s="27"/>
      <c r="J309" s="43"/>
      <c r="M309" s="74"/>
    </row>
    <row r="310" spans="2:13" ht="12.5">
      <c r="B310" s="72"/>
      <c r="F310" s="27"/>
      <c r="J310" s="43"/>
      <c r="M310" s="74"/>
    </row>
    <row r="311" spans="2:13" ht="12.5">
      <c r="B311" s="72"/>
      <c r="F311" s="27"/>
      <c r="J311" s="43"/>
      <c r="M311" s="74"/>
    </row>
    <row r="312" spans="2:13" ht="12.5">
      <c r="B312" s="72"/>
      <c r="F312" s="27"/>
      <c r="J312" s="43"/>
      <c r="M312" s="74"/>
    </row>
    <row r="313" spans="2:13" ht="12.5">
      <c r="B313" s="72"/>
      <c r="F313" s="27"/>
      <c r="J313" s="43"/>
      <c r="M313" s="74"/>
    </row>
    <row r="314" spans="2:13" ht="12.5">
      <c r="B314" s="72"/>
      <c r="F314" s="27"/>
      <c r="J314" s="43"/>
      <c r="M314" s="74"/>
    </row>
    <row r="315" spans="2:13" ht="12.5">
      <c r="B315" s="72"/>
      <c r="F315" s="27"/>
      <c r="J315" s="43"/>
      <c r="M315" s="74"/>
    </row>
    <row r="316" spans="2:13" ht="12.5">
      <c r="B316" s="72"/>
      <c r="F316" s="27"/>
      <c r="J316" s="43"/>
      <c r="M316" s="74"/>
    </row>
    <row r="317" spans="2:13" ht="12.5">
      <c r="B317" s="72"/>
      <c r="F317" s="27"/>
      <c r="J317" s="43"/>
      <c r="M317" s="74"/>
    </row>
    <row r="318" spans="2:13" ht="12.5">
      <c r="B318" s="72"/>
      <c r="F318" s="27"/>
      <c r="J318" s="43"/>
      <c r="M318" s="74"/>
    </row>
    <row r="319" spans="2:13" ht="12.5">
      <c r="B319" s="72"/>
      <c r="F319" s="27"/>
      <c r="J319" s="43"/>
      <c r="M319" s="74"/>
    </row>
    <row r="320" spans="2:13" ht="12.5">
      <c r="B320" s="72"/>
      <c r="F320" s="27"/>
      <c r="J320" s="43"/>
      <c r="M320" s="74"/>
    </row>
    <row r="321" spans="2:13" ht="12.5">
      <c r="B321" s="72"/>
      <c r="F321" s="27"/>
      <c r="J321" s="43"/>
      <c r="M321" s="74"/>
    </row>
    <row r="322" spans="2:13" ht="12.5">
      <c r="B322" s="72"/>
      <c r="F322" s="27"/>
      <c r="J322" s="43"/>
      <c r="M322" s="74"/>
    </row>
    <row r="323" spans="2:13" ht="12.5">
      <c r="B323" s="72"/>
      <c r="F323" s="27"/>
      <c r="J323" s="43"/>
      <c r="M323" s="74"/>
    </row>
    <row r="324" spans="2:13" ht="12.5">
      <c r="B324" s="72"/>
      <c r="F324" s="27"/>
      <c r="J324" s="43"/>
      <c r="M324" s="74"/>
    </row>
    <row r="325" spans="2:13" ht="12.5">
      <c r="B325" s="72"/>
      <c r="F325" s="27"/>
      <c r="J325" s="43"/>
      <c r="M325" s="74"/>
    </row>
    <row r="326" spans="2:13" ht="12.5">
      <c r="B326" s="72"/>
      <c r="F326" s="27"/>
      <c r="J326" s="43"/>
      <c r="M326" s="74"/>
    </row>
    <row r="327" spans="2:13" ht="12.5">
      <c r="B327" s="72"/>
      <c r="F327" s="27"/>
      <c r="J327" s="43"/>
      <c r="M327" s="74"/>
    </row>
    <row r="328" spans="2:13" ht="12.5">
      <c r="B328" s="72"/>
      <c r="F328" s="27"/>
      <c r="J328" s="43"/>
      <c r="M328" s="74"/>
    </row>
    <row r="329" spans="2:13" ht="12.5">
      <c r="B329" s="72"/>
      <c r="F329" s="27"/>
      <c r="J329" s="43"/>
      <c r="M329" s="74"/>
    </row>
    <row r="330" spans="2:13" ht="12.5">
      <c r="B330" s="72"/>
      <c r="F330" s="27"/>
      <c r="J330" s="43"/>
      <c r="M330" s="74"/>
    </row>
    <row r="331" spans="2:13" ht="12.5">
      <c r="B331" s="72"/>
      <c r="F331" s="27"/>
      <c r="J331" s="43"/>
      <c r="M331" s="74"/>
    </row>
    <row r="332" spans="2:13" ht="12.5">
      <c r="B332" s="72"/>
      <c r="F332" s="27"/>
      <c r="J332" s="43"/>
      <c r="M332" s="74"/>
    </row>
    <row r="333" spans="2:13" ht="12.5">
      <c r="B333" s="72"/>
      <c r="F333" s="27"/>
      <c r="J333" s="43"/>
      <c r="M333" s="74"/>
    </row>
    <row r="334" spans="2:13" ht="12.5">
      <c r="B334" s="72"/>
      <c r="F334" s="27"/>
      <c r="J334" s="43"/>
      <c r="M334" s="74"/>
    </row>
    <row r="335" spans="2:13" ht="12.5">
      <c r="B335" s="72"/>
      <c r="F335" s="27"/>
      <c r="J335" s="43"/>
      <c r="M335" s="74"/>
    </row>
    <row r="336" spans="2:13" ht="12.5">
      <c r="B336" s="72"/>
      <c r="F336" s="27"/>
      <c r="J336" s="43"/>
      <c r="M336" s="74"/>
    </row>
    <row r="337" spans="2:13" ht="12.5">
      <c r="B337" s="72"/>
      <c r="F337" s="27"/>
      <c r="J337" s="43"/>
      <c r="M337" s="74"/>
    </row>
    <row r="338" spans="2:13" ht="12.5">
      <c r="B338" s="72"/>
      <c r="F338" s="27"/>
      <c r="J338" s="43"/>
      <c r="M338" s="74"/>
    </row>
    <row r="339" spans="2:13" ht="12.5">
      <c r="B339" s="72"/>
      <c r="F339" s="27"/>
      <c r="J339" s="43"/>
      <c r="M339" s="74"/>
    </row>
    <row r="340" spans="2:13" ht="12.5">
      <c r="B340" s="72"/>
      <c r="F340" s="27"/>
      <c r="J340" s="43"/>
      <c r="M340" s="74"/>
    </row>
    <row r="341" spans="2:13" ht="12.5">
      <c r="B341" s="72"/>
      <c r="F341" s="27"/>
      <c r="J341" s="43"/>
      <c r="M341" s="74"/>
    </row>
    <row r="342" spans="2:13" ht="12.5">
      <c r="B342" s="72"/>
      <c r="F342" s="27"/>
      <c r="J342" s="43"/>
      <c r="M342" s="74"/>
    </row>
    <row r="343" spans="2:13" ht="12.5">
      <c r="B343" s="72"/>
      <c r="F343" s="27"/>
      <c r="J343" s="43"/>
      <c r="M343" s="74"/>
    </row>
    <row r="344" spans="2:13" ht="12.5">
      <c r="B344" s="72"/>
      <c r="F344" s="27"/>
      <c r="J344" s="43"/>
      <c r="M344" s="74"/>
    </row>
    <row r="345" spans="2:13" ht="12.5">
      <c r="B345" s="72"/>
      <c r="F345" s="27"/>
      <c r="J345" s="43"/>
      <c r="M345" s="74"/>
    </row>
    <row r="346" spans="2:13" ht="12.5">
      <c r="B346" s="72"/>
      <c r="F346" s="27"/>
      <c r="J346" s="43"/>
      <c r="M346" s="74"/>
    </row>
    <row r="347" spans="2:13" ht="12.5">
      <c r="B347" s="72"/>
      <c r="F347" s="27"/>
      <c r="J347" s="43"/>
      <c r="M347" s="74"/>
    </row>
    <row r="348" spans="2:13" ht="12.5">
      <c r="B348" s="72"/>
      <c r="F348" s="27"/>
      <c r="J348" s="43"/>
      <c r="M348" s="74"/>
    </row>
    <row r="349" spans="2:13" ht="12.5">
      <c r="B349" s="72"/>
      <c r="F349" s="27"/>
      <c r="J349" s="43"/>
      <c r="M349" s="74"/>
    </row>
    <row r="350" spans="2:13" ht="12.5">
      <c r="B350" s="72"/>
      <c r="F350" s="27"/>
      <c r="J350" s="43"/>
      <c r="M350" s="74"/>
    </row>
    <row r="351" spans="2:13" ht="12.5">
      <c r="B351" s="72"/>
      <c r="F351" s="27"/>
      <c r="J351" s="43"/>
      <c r="M351" s="74"/>
    </row>
    <row r="352" spans="2:13" ht="12.5">
      <c r="B352" s="72"/>
      <c r="F352" s="27"/>
      <c r="J352" s="43"/>
      <c r="M352" s="74"/>
    </row>
    <row r="353" spans="2:13" ht="12.5">
      <c r="B353" s="72"/>
      <c r="F353" s="27"/>
      <c r="J353" s="43"/>
      <c r="M353" s="74"/>
    </row>
    <row r="354" spans="2:13" ht="12.5">
      <c r="B354" s="72"/>
      <c r="F354" s="27"/>
      <c r="J354" s="43"/>
      <c r="M354" s="74"/>
    </row>
    <row r="355" spans="2:13" ht="12.5">
      <c r="B355" s="72"/>
      <c r="F355" s="27"/>
      <c r="J355" s="43"/>
      <c r="M355" s="74"/>
    </row>
    <row r="356" spans="2:13" ht="12.5">
      <c r="B356" s="72"/>
      <c r="F356" s="27"/>
      <c r="J356" s="43"/>
      <c r="M356" s="74"/>
    </row>
    <row r="357" spans="2:13" ht="12.5">
      <c r="B357" s="72"/>
      <c r="F357" s="27"/>
      <c r="J357" s="43"/>
      <c r="M357" s="74"/>
    </row>
    <row r="358" spans="2:13" ht="12.5">
      <c r="B358" s="72"/>
      <c r="F358" s="27"/>
      <c r="J358" s="43"/>
      <c r="M358" s="74"/>
    </row>
    <row r="359" spans="2:13" ht="12.5">
      <c r="B359" s="72"/>
      <c r="F359" s="27"/>
      <c r="J359" s="43"/>
      <c r="M359" s="74"/>
    </row>
    <row r="360" spans="2:13" ht="12.5">
      <c r="B360" s="72"/>
      <c r="F360" s="27"/>
      <c r="J360" s="43"/>
      <c r="M360" s="74"/>
    </row>
    <row r="361" spans="2:13" ht="12.5">
      <c r="B361" s="72"/>
      <c r="F361" s="27"/>
      <c r="J361" s="43"/>
      <c r="M361" s="74"/>
    </row>
    <row r="362" spans="2:13" ht="12.5">
      <c r="B362" s="72"/>
      <c r="F362" s="27"/>
      <c r="J362" s="43"/>
      <c r="M362" s="74"/>
    </row>
    <row r="363" spans="2:13" ht="12.5">
      <c r="B363" s="72"/>
      <c r="F363" s="27"/>
      <c r="J363" s="43"/>
      <c r="M363" s="74"/>
    </row>
    <row r="364" spans="2:13" ht="12.5">
      <c r="B364" s="72"/>
      <c r="F364" s="27"/>
      <c r="J364" s="43"/>
      <c r="M364" s="74"/>
    </row>
    <row r="365" spans="2:13" ht="12.5">
      <c r="B365" s="72"/>
      <c r="F365" s="27"/>
      <c r="J365" s="43"/>
      <c r="M365" s="74"/>
    </row>
    <row r="366" spans="2:13" ht="12.5">
      <c r="B366" s="72"/>
      <c r="F366" s="27"/>
      <c r="J366" s="43"/>
      <c r="M366" s="74"/>
    </row>
    <row r="367" spans="2:13" ht="12.5">
      <c r="B367" s="72"/>
      <c r="F367" s="27"/>
      <c r="J367" s="43"/>
      <c r="M367" s="74"/>
    </row>
    <row r="368" spans="2:13" ht="12.5">
      <c r="B368" s="72"/>
      <c r="F368" s="27"/>
      <c r="J368" s="43"/>
      <c r="M368" s="74"/>
    </row>
    <row r="369" spans="2:13" ht="12.5">
      <c r="B369" s="72"/>
      <c r="F369" s="27"/>
      <c r="J369" s="43"/>
      <c r="M369" s="74"/>
    </row>
    <row r="370" spans="2:13" ht="12.5">
      <c r="B370" s="72"/>
      <c r="F370" s="27"/>
      <c r="J370" s="43"/>
      <c r="M370" s="74"/>
    </row>
    <row r="371" spans="2:13" ht="12.5">
      <c r="B371" s="72"/>
      <c r="F371" s="27"/>
      <c r="J371" s="43"/>
      <c r="M371" s="74"/>
    </row>
    <row r="372" spans="2:13" ht="12.5">
      <c r="B372" s="72"/>
      <c r="F372" s="27"/>
      <c r="J372" s="43"/>
      <c r="M372" s="74"/>
    </row>
    <row r="373" spans="2:13" ht="12.5">
      <c r="B373" s="72"/>
      <c r="F373" s="27"/>
      <c r="J373" s="43"/>
      <c r="M373" s="74"/>
    </row>
    <row r="374" spans="2:13" ht="12.5">
      <c r="B374" s="72"/>
      <c r="F374" s="27"/>
      <c r="J374" s="43"/>
      <c r="M374" s="74"/>
    </row>
    <row r="375" spans="2:13" ht="12.5">
      <c r="B375" s="72"/>
      <c r="F375" s="27"/>
      <c r="J375" s="43"/>
      <c r="M375" s="74"/>
    </row>
    <row r="376" spans="2:13" ht="12.5">
      <c r="B376" s="72"/>
      <c r="F376" s="27"/>
      <c r="J376" s="43"/>
      <c r="M376" s="74"/>
    </row>
    <row r="377" spans="2:13" ht="12.5">
      <c r="B377" s="72"/>
      <c r="F377" s="27"/>
      <c r="J377" s="43"/>
      <c r="M377" s="74"/>
    </row>
    <row r="378" spans="2:13" ht="12.5">
      <c r="B378" s="72"/>
      <c r="F378" s="27"/>
      <c r="J378" s="43"/>
      <c r="M378" s="74"/>
    </row>
    <row r="379" spans="2:13" ht="12.5">
      <c r="B379" s="72"/>
      <c r="F379" s="27"/>
      <c r="J379" s="43"/>
      <c r="M379" s="74"/>
    </row>
    <row r="380" spans="2:13" ht="12.5">
      <c r="B380" s="72"/>
      <c r="F380" s="27"/>
      <c r="J380" s="43"/>
      <c r="M380" s="74"/>
    </row>
    <row r="381" spans="2:13" ht="12.5">
      <c r="B381" s="72"/>
      <c r="F381" s="27"/>
      <c r="J381" s="43"/>
      <c r="M381" s="74"/>
    </row>
    <row r="382" spans="2:13" ht="12.5">
      <c r="B382" s="72"/>
      <c r="F382" s="27"/>
      <c r="J382" s="43"/>
      <c r="M382" s="74"/>
    </row>
    <row r="383" spans="2:13" ht="12.5">
      <c r="B383" s="72"/>
      <c r="F383" s="27"/>
      <c r="J383" s="43"/>
      <c r="M383" s="74"/>
    </row>
    <row r="384" spans="2:13" ht="12.5">
      <c r="B384" s="72"/>
      <c r="F384" s="27"/>
      <c r="J384" s="43"/>
      <c r="M384" s="74"/>
    </row>
    <row r="385" spans="2:13" ht="12.5">
      <c r="B385" s="72"/>
      <c r="F385" s="27"/>
      <c r="J385" s="43"/>
      <c r="M385" s="74"/>
    </row>
    <row r="386" spans="2:13" ht="12.5">
      <c r="B386" s="72"/>
      <c r="F386" s="27"/>
      <c r="J386" s="43"/>
      <c r="M386" s="74"/>
    </row>
    <row r="387" spans="2:13" ht="12.5">
      <c r="B387" s="72"/>
      <c r="F387" s="27"/>
      <c r="J387" s="43"/>
      <c r="M387" s="74"/>
    </row>
    <row r="388" spans="2:13" ht="12.5">
      <c r="B388" s="72"/>
      <c r="F388" s="27"/>
      <c r="J388" s="43"/>
      <c r="M388" s="74"/>
    </row>
    <row r="389" spans="2:13" ht="12.5">
      <c r="B389" s="72"/>
      <c r="F389" s="27"/>
      <c r="J389" s="43"/>
      <c r="M389" s="74"/>
    </row>
    <row r="390" spans="2:13" ht="12.5">
      <c r="B390" s="72"/>
      <c r="F390" s="27"/>
      <c r="J390" s="43"/>
      <c r="M390" s="74"/>
    </row>
    <row r="391" spans="2:13" ht="12.5">
      <c r="B391" s="72"/>
      <c r="F391" s="27"/>
      <c r="J391" s="43"/>
      <c r="M391" s="74"/>
    </row>
    <row r="392" spans="2:13" ht="12.5">
      <c r="B392" s="72"/>
      <c r="F392" s="27"/>
      <c r="J392" s="43"/>
      <c r="M392" s="74"/>
    </row>
    <row r="393" spans="2:13" ht="12.5">
      <c r="B393" s="72"/>
      <c r="F393" s="27"/>
      <c r="J393" s="43"/>
      <c r="M393" s="74"/>
    </row>
    <row r="394" spans="2:13" ht="12.5">
      <c r="B394" s="72"/>
      <c r="F394" s="27"/>
      <c r="J394" s="43"/>
      <c r="M394" s="74"/>
    </row>
    <row r="395" spans="2:13" ht="12.5">
      <c r="B395" s="72"/>
      <c r="F395" s="27"/>
      <c r="J395" s="43"/>
      <c r="M395" s="74"/>
    </row>
    <row r="396" spans="2:13" ht="12.5">
      <c r="B396" s="72"/>
      <c r="F396" s="27"/>
      <c r="J396" s="43"/>
      <c r="M396" s="74"/>
    </row>
    <row r="397" spans="2:13" ht="12.5">
      <c r="B397" s="72"/>
      <c r="F397" s="27"/>
      <c r="J397" s="43"/>
      <c r="M397" s="74"/>
    </row>
    <row r="398" spans="2:13" ht="12.5">
      <c r="B398" s="72"/>
      <c r="F398" s="27"/>
      <c r="J398" s="43"/>
      <c r="M398" s="74"/>
    </row>
    <row r="399" spans="2:13" ht="12.5">
      <c r="B399" s="72"/>
      <c r="F399" s="27"/>
      <c r="J399" s="43"/>
      <c r="M399" s="74"/>
    </row>
    <row r="400" spans="2:13" ht="12.5">
      <c r="B400" s="72"/>
      <c r="F400" s="27"/>
      <c r="J400" s="43"/>
      <c r="M400" s="74"/>
    </row>
    <row r="401" spans="2:13" ht="12.5">
      <c r="B401" s="72"/>
      <c r="F401" s="27"/>
      <c r="J401" s="43"/>
      <c r="M401" s="74"/>
    </row>
    <row r="402" spans="2:13" ht="12.5">
      <c r="B402" s="72"/>
      <c r="F402" s="27"/>
      <c r="J402" s="43"/>
      <c r="M402" s="74"/>
    </row>
    <row r="403" spans="2:13" ht="12.5">
      <c r="B403" s="72"/>
      <c r="F403" s="27"/>
      <c r="J403" s="43"/>
      <c r="M403" s="74"/>
    </row>
    <row r="404" spans="2:13" ht="12.5">
      <c r="B404" s="72"/>
      <c r="F404" s="27"/>
      <c r="J404" s="43"/>
      <c r="M404" s="74"/>
    </row>
    <row r="405" spans="2:13" ht="12.5">
      <c r="B405" s="72"/>
      <c r="F405" s="27"/>
      <c r="J405" s="43"/>
      <c r="M405" s="74"/>
    </row>
    <row r="406" spans="2:13" ht="12.5">
      <c r="B406" s="72"/>
      <c r="F406" s="27"/>
      <c r="J406" s="43"/>
      <c r="M406" s="74"/>
    </row>
    <row r="407" spans="2:13" ht="12.5">
      <c r="B407" s="72"/>
      <c r="F407" s="27"/>
      <c r="J407" s="43"/>
      <c r="M407" s="74"/>
    </row>
    <row r="408" spans="2:13" ht="12.5">
      <c r="B408" s="72"/>
      <c r="F408" s="27"/>
      <c r="J408" s="43"/>
      <c r="M408" s="74"/>
    </row>
    <row r="409" spans="2:13" ht="12.5">
      <c r="B409" s="72"/>
      <c r="F409" s="27"/>
      <c r="J409" s="43"/>
      <c r="M409" s="74"/>
    </row>
    <row r="410" spans="2:13" ht="12.5">
      <c r="B410" s="72"/>
      <c r="F410" s="27"/>
      <c r="J410" s="43"/>
      <c r="M410" s="74"/>
    </row>
    <row r="411" spans="2:13" ht="12.5">
      <c r="B411" s="72"/>
      <c r="F411" s="27"/>
      <c r="J411" s="43"/>
      <c r="M411" s="74"/>
    </row>
    <row r="412" spans="2:13" ht="12.5">
      <c r="B412" s="72"/>
      <c r="F412" s="27"/>
      <c r="J412" s="43"/>
      <c r="M412" s="74"/>
    </row>
    <row r="413" spans="2:13" ht="12.5">
      <c r="B413" s="72"/>
      <c r="F413" s="27"/>
      <c r="J413" s="43"/>
      <c r="M413" s="74"/>
    </row>
    <row r="414" spans="2:13" ht="12.5">
      <c r="B414" s="72"/>
      <c r="F414" s="27"/>
      <c r="J414" s="43"/>
      <c r="M414" s="74"/>
    </row>
    <row r="415" spans="2:13" ht="12.5">
      <c r="B415" s="72"/>
      <c r="F415" s="27"/>
      <c r="J415" s="43"/>
      <c r="M415" s="74"/>
    </row>
    <row r="416" spans="2:13" ht="12.5">
      <c r="B416" s="72"/>
      <c r="F416" s="27"/>
      <c r="J416" s="43"/>
      <c r="M416" s="74"/>
    </row>
    <row r="417" spans="2:13" ht="12.5">
      <c r="B417" s="72"/>
      <c r="F417" s="27"/>
      <c r="J417" s="43"/>
      <c r="M417" s="74"/>
    </row>
    <row r="418" spans="2:13" ht="12.5">
      <c r="B418" s="72"/>
      <c r="F418" s="27"/>
      <c r="J418" s="43"/>
      <c r="M418" s="74"/>
    </row>
    <row r="419" spans="2:13" ht="12.5">
      <c r="B419" s="72"/>
      <c r="F419" s="27"/>
      <c r="J419" s="43"/>
      <c r="M419" s="74"/>
    </row>
    <row r="420" spans="2:13" ht="12.5">
      <c r="B420" s="72"/>
      <c r="F420" s="27"/>
      <c r="J420" s="43"/>
      <c r="M420" s="74"/>
    </row>
    <row r="421" spans="2:13" ht="12.5">
      <c r="B421" s="72"/>
      <c r="F421" s="27"/>
      <c r="J421" s="43"/>
      <c r="M421" s="74"/>
    </row>
    <row r="422" spans="2:13" ht="12.5">
      <c r="B422" s="72"/>
      <c r="F422" s="27"/>
      <c r="J422" s="43"/>
      <c r="M422" s="74"/>
    </row>
    <row r="423" spans="2:13" ht="12.5">
      <c r="B423" s="72"/>
      <c r="F423" s="27"/>
      <c r="J423" s="43"/>
      <c r="M423" s="74"/>
    </row>
    <row r="424" spans="2:13" ht="12.5">
      <c r="B424" s="72"/>
      <c r="F424" s="27"/>
      <c r="J424" s="43"/>
      <c r="M424" s="74"/>
    </row>
    <row r="425" spans="2:13" ht="12.5">
      <c r="B425" s="72"/>
      <c r="F425" s="27"/>
      <c r="J425" s="43"/>
      <c r="M425" s="74"/>
    </row>
    <row r="426" spans="2:13" ht="12.5">
      <c r="B426" s="72"/>
      <c r="F426" s="27"/>
      <c r="J426" s="43"/>
      <c r="M426" s="74"/>
    </row>
    <row r="427" spans="2:13" ht="12.5">
      <c r="B427" s="72"/>
      <c r="F427" s="27"/>
      <c r="J427" s="43"/>
      <c r="M427" s="74"/>
    </row>
    <row r="428" spans="2:13" ht="12.5">
      <c r="B428" s="72"/>
      <c r="F428" s="27"/>
      <c r="J428" s="43"/>
      <c r="M428" s="74"/>
    </row>
    <row r="429" spans="2:13" ht="12.5">
      <c r="B429" s="72"/>
      <c r="F429" s="27"/>
      <c r="J429" s="43"/>
      <c r="M429" s="74"/>
    </row>
    <row r="430" spans="2:13" ht="12.5">
      <c r="B430" s="72"/>
      <c r="F430" s="27"/>
      <c r="J430" s="43"/>
      <c r="M430" s="74"/>
    </row>
    <row r="431" spans="2:13" ht="12.5">
      <c r="B431" s="72"/>
      <c r="F431" s="27"/>
      <c r="J431" s="43"/>
      <c r="M431" s="74"/>
    </row>
    <row r="432" spans="2:13" ht="12.5">
      <c r="B432" s="72"/>
      <c r="F432" s="27"/>
      <c r="J432" s="43"/>
      <c r="M432" s="74"/>
    </row>
    <row r="433" spans="2:13" ht="12.5">
      <c r="B433" s="72"/>
      <c r="F433" s="27"/>
      <c r="J433" s="43"/>
      <c r="M433" s="74"/>
    </row>
    <row r="434" spans="2:13" ht="12.5">
      <c r="B434" s="72"/>
      <c r="F434" s="27"/>
      <c r="J434" s="43"/>
      <c r="M434" s="74"/>
    </row>
    <row r="435" spans="2:13" ht="12.5">
      <c r="B435" s="72"/>
      <c r="F435" s="27"/>
      <c r="J435" s="43"/>
      <c r="M435" s="74"/>
    </row>
    <row r="436" spans="2:13" ht="12.5">
      <c r="B436" s="72"/>
      <c r="F436" s="27"/>
      <c r="J436" s="43"/>
      <c r="M436" s="74"/>
    </row>
    <row r="437" spans="2:13" ht="12.5">
      <c r="B437" s="72"/>
      <c r="F437" s="27"/>
      <c r="J437" s="43"/>
      <c r="M437" s="74"/>
    </row>
    <row r="438" spans="2:13" ht="12.5">
      <c r="B438" s="72"/>
      <c r="F438" s="27"/>
      <c r="J438" s="43"/>
      <c r="M438" s="74"/>
    </row>
    <row r="439" spans="2:13" ht="12.5">
      <c r="B439" s="72"/>
      <c r="F439" s="27"/>
      <c r="J439" s="43"/>
      <c r="M439" s="74"/>
    </row>
    <row r="440" spans="2:13" ht="12.5">
      <c r="B440" s="72"/>
      <c r="F440" s="27"/>
      <c r="J440" s="43"/>
      <c r="M440" s="74"/>
    </row>
    <row r="441" spans="2:13" ht="12.5">
      <c r="B441" s="72"/>
      <c r="F441" s="27"/>
      <c r="J441" s="43"/>
      <c r="M441" s="74"/>
    </row>
    <row r="442" spans="2:13" ht="12.5">
      <c r="B442" s="72"/>
      <c r="F442" s="27"/>
      <c r="J442" s="43"/>
      <c r="M442" s="74"/>
    </row>
    <row r="443" spans="2:13" ht="12.5">
      <c r="B443" s="72"/>
      <c r="F443" s="27"/>
      <c r="J443" s="43"/>
      <c r="M443" s="74"/>
    </row>
    <row r="444" spans="2:13" ht="12.5">
      <c r="B444" s="72"/>
      <c r="F444" s="27"/>
      <c r="J444" s="43"/>
      <c r="M444" s="74"/>
    </row>
    <row r="445" spans="2:13" ht="12.5">
      <c r="B445" s="72"/>
      <c r="F445" s="27"/>
      <c r="J445" s="43"/>
      <c r="M445" s="74"/>
    </row>
    <row r="446" spans="2:13" ht="12.5">
      <c r="B446" s="72"/>
      <c r="F446" s="27"/>
      <c r="J446" s="43"/>
      <c r="M446" s="74"/>
    </row>
    <row r="447" spans="2:13" ht="12.5">
      <c r="B447" s="72"/>
      <c r="F447" s="27"/>
      <c r="J447" s="43"/>
      <c r="M447" s="74"/>
    </row>
    <row r="448" spans="2:13" ht="12.5">
      <c r="B448" s="72"/>
      <c r="F448" s="27"/>
      <c r="J448" s="43"/>
      <c r="M448" s="74"/>
    </row>
    <row r="449" spans="2:13" ht="12.5">
      <c r="B449" s="72"/>
      <c r="F449" s="27"/>
      <c r="J449" s="43"/>
      <c r="M449" s="74"/>
    </row>
    <row r="450" spans="2:13" ht="12.5">
      <c r="B450" s="72"/>
      <c r="F450" s="27"/>
      <c r="J450" s="43"/>
      <c r="M450" s="74"/>
    </row>
    <row r="451" spans="2:13" ht="12.5">
      <c r="B451" s="72"/>
      <c r="F451" s="27"/>
      <c r="J451" s="43"/>
      <c r="M451" s="74"/>
    </row>
    <row r="452" spans="2:13" ht="12.5">
      <c r="B452" s="72"/>
      <c r="F452" s="27"/>
      <c r="J452" s="43"/>
      <c r="M452" s="74"/>
    </row>
    <row r="453" spans="2:13" ht="12.5">
      <c r="B453" s="72"/>
      <c r="F453" s="27"/>
      <c r="J453" s="43"/>
      <c r="M453" s="74"/>
    </row>
    <row r="454" spans="2:13" ht="12.5">
      <c r="B454" s="72"/>
      <c r="F454" s="27"/>
      <c r="J454" s="43"/>
      <c r="M454" s="74"/>
    </row>
    <row r="455" spans="2:13" ht="12.5">
      <c r="B455" s="72"/>
      <c r="F455" s="27"/>
      <c r="J455" s="43"/>
      <c r="M455" s="74"/>
    </row>
    <row r="456" spans="2:13" ht="12.5">
      <c r="B456" s="72"/>
      <c r="F456" s="27"/>
      <c r="J456" s="43"/>
      <c r="M456" s="74"/>
    </row>
    <row r="457" spans="2:13" ht="12.5">
      <c r="B457" s="72"/>
      <c r="F457" s="27"/>
      <c r="J457" s="43"/>
      <c r="M457" s="74"/>
    </row>
    <row r="458" spans="2:13" ht="12.5">
      <c r="B458" s="72"/>
      <c r="F458" s="27"/>
      <c r="J458" s="43"/>
      <c r="M458" s="74"/>
    </row>
    <row r="459" spans="2:13" ht="12.5">
      <c r="B459" s="72"/>
      <c r="F459" s="27"/>
      <c r="J459" s="43"/>
      <c r="M459" s="74"/>
    </row>
    <row r="460" spans="2:13" ht="12.5">
      <c r="B460" s="72"/>
      <c r="F460" s="27"/>
      <c r="J460" s="43"/>
      <c r="M460" s="74"/>
    </row>
    <row r="461" spans="2:13" ht="12.5">
      <c r="B461" s="72"/>
      <c r="F461" s="27"/>
      <c r="J461" s="43"/>
      <c r="M461" s="74"/>
    </row>
    <row r="462" spans="2:13" ht="12.5">
      <c r="B462" s="72"/>
      <c r="F462" s="27"/>
      <c r="J462" s="43"/>
      <c r="M462" s="74"/>
    </row>
    <row r="463" spans="2:13" ht="12.5">
      <c r="B463" s="72"/>
      <c r="F463" s="27"/>
      <c r="J463" s="43"/>
      <c r="M463" s="74"/>
    </row>
    <row r="464" spans="2:13" ht="12.5">
      <c r="B464" s="72"/>
      <c r="F464" s="27"/>
      <c r="J464" s="43"/>
      <c r="M464" s="74"/>
    </row>
    <row r="465" spans="2:13" ht="12.5">
      <c r="B465" s="72"/>
      <c r="F465" s="27"/>
      <c r="J465" s="43"/>
      <c r="M465" s="74"/>
    </row>
    <row r="466" spans="2:13" ht="12.5">
      <c r="B466" s="72"/>
      <c r="F466" s="27"/>
      <c r="J466" s="43"/>
      <c r="M466" s="74"/>
    </row>
    <row r="467" spans="2:13" ht="12.5">
      <c r="B467" s="72"/>
      <c r="F467" s="27"/>
      <c r="J467" s="43"/>
      <c r="M467" s="74"/>
    </row>
    <row r="468" spans="2:13" ht="12.5">
      <c r="B468" s="72"/>
      <c r="F468" s="27"/>
      <c r="J468" s="43"/>
      <c r="M468" s="74"/>
    </row>
    <row r="469" spans="2:13" ht="12.5">
      <c r="B469" s="72"/>
      <c r="F469" s="27"/>
      <c r="J469" s="43"/>
      <c r="M469" s="74"/>
    </row>
    <row r="470" spans="2:13" ht="12.5">
      <c r="B470" s="72"/>
      <c r="F470" s="27"/>
      <c r="J470" s="43"/>
      <c r="M470" s="74"/>
    </row>
    <row r="471" spans="2:13" ht="12.5">
      <c r="B471" s="72"/>
      <c r="F471" s="27"/>
      <c r="J471" s="43"/>
      <c r="M471" s="74"/>
    </row>
    <row r="472" spans="2:13" ht="12.5">
      <c r="B472" s="72"/>
      <c r="F472" s="27"/>
      <c r="J472" s="43"/>
      <c r="M472" s="74"/>
    </row>
    <row r="473" spans="2:13" ht="12.5">
      <c r="B473" s="72"/>
      <c r="F473" s="27"/>
      <c r="J473" s="43"/>
      <c r="M473" s="74"/>
    </row>
    <row r="474" spans="2:13" ht="12.5">
      <c r="B474" s="72"/>
      <c r="F474" s="27"/>
      <c r="J474" s="43"/>
      <c r="M474" s="74"/>
    </row>
    <row r="475" spans="2:13" ht="12.5">
      <c r="B475" s="72"/>
      <c r="F475" s="27"/>
      <c r="J475" s="43"/>
      <c r="M475" s="74"/>
    </row>
    <row r="476" spans="2:13" ht="12.5">
      <c r="B476" s="72"/>
      <c r="F476" s="27"/>
      <c r="J476" s="43"/>
      <c r="M476" s="74"/>
    </row>
    <row r="477" spans="2:13" ht="12.5">
      <c r="B477" s="72"/>
      <c r="F477" s="27"/>
      <c r="J477" s="43"/>
      <c r="M477" s="74"/>
    </row>
    <row r="478" spans="2:13" ht="12.5">
      <c r="B478" s="72"/>
      <c r="F478" s="27"/>
      <c r="J478" s="43"/>
      <c r="M478" s="74"/>
    </row>
    <row r="479" spans="2:13" ht="12.5">
      <c r="B479" s="72"/>
      <c r="F479" s="27"/>
      <c r="J479" s="43"/>
      <c r="M479" s="74"/>
    </row>
    <row r="480" spans="2:13" ht="12.5">
      <c r="B480" s="72"/>
      <c r="F480" s="27"/>
      <c r="J480" s="43"/>
      <c r="M480" s="74"/>
    </row>
    <row r="481" spans="2:13" ht="12.5">
      <c r="B481" s="72"/>
      <c r="F481" s="27"/>
      <c r="J481" s="43"/>
      <c r="M481" s="74"/>
    </row>
    <row r="482" spans="2:13" ht="12.5">
      <c r="B482" s="72"/>
      <c r="F482" s="27"/>
      <c r="J482" s="43"/>
      <c r="M482" s="74"/>
    </row>
    <row r="483" spans="2:13" ht="12.5">
      <c r="B483" s="72"/>
      <c r="F483" s="27"/>
      <c r="J483" s="43"/>
      <c r="M483" s="74"/>
    </row>
    <row r="484" spans="2:13" ht="12.5">
      <c r="B484" s="72"/>
      <c r="F484" s="27"/>
      <c r="J484" s="43"/>
      <c r="M484" s="74"/>
    </row>
    <row r="485" spans="2:13" ht="12.5">
      <c r="B485" s="72"/>
      <c r="F485" s="27"/>
      <c r="J485" s="43"/>
      <c r="M485" s="74"/>
    </row>
    <row r="486" spans="2:13" ht="12.5">
      <c r="B486" s="72"/>
      <c r="F486" s="27"/>
      <c r="J486" s="43"/>
      <c r="M486" s="74"/>
    </row>
    <row r="487" spans="2:13" ht="12.5">
      <c r="B487" s="72"/>
      <c r="F487" s="27"/>
      <c r="J487" s="43"/>
      <c r="M487" s="74"/>
    </row>
    <row r="488" spans="2:13" ht="12.5">
      <c r="B488" s="72"/>
      <c r="F488" s="27"/>
      <c r="J488" s="43"/>
      <c r="M488" s="74"/>
    </row>
    <row r="489" spans="2:13" ht="12.5">
      <c r="B489" s="72"/>
      <c r="F489" s="27"/>
      <c r="J489" s="43"/>
      <c r="M489" s="74"/>
    </row>
    <row r="490" spans="2:13" ht="12.5">
      <c r="B490" s="72"/>
      <c r="F490" s="27"/>
      <c r="J490" s="43"/>
      <c r="M490" s="74"/>
    </row>
    <row r="491" spans="2:13" ht="12.5">
      <c r="B491" s="72"/>
      <c r="F491" s="27"/>
      <c r="J491" s="43"/>
      <c r="M491" s="74"/>
    </row>
    <row r="492" spans="2:13" ht="12.5">
      <c r="B492" s="72"/>
      <c r="F492" s="27"/>
      <c r="J492" s="43"/>
      <c r="M492" s="74"/>
    </row>
    <row r="493" spans="2:13" ht="12.5">
      <c r="B493" s="72"/>
      <c r="F493" s="27"/>
      <c r="J493" s="43"/>
      <c r="M493" s="74"/>
    </row>
    <row r="494" spans="2:13" ht="12.5">
      <c r="B494" s="72"/>
      <c r="F494" s="27"/>
      <c r="J494" s="43"/>
      <c r="M494" s="74"/>
    </row>
    <row r="495" spans="2:13" ht="12.5">
      <c r="B495" s="72"/>
      <c r="F495" s="27"/>
      <c r="J495" s="43"/>
      <c r="M495" s="74"/>
    </row>
    <row r="496" spans="2:13" ht="12.5">
      <c r="B496" s="72"/>
      <c r="F496" s="27"/>
      <c r="J496" s="43"/>
      <c r="M496" s="74"/>
    </row>
    <row r="497" spans="2:13" ht="12.5">
      <c r="B497" s="72"/>
      <c r="F497" s="27"/>
      <c r="J497" s="43"/>
      <c r="M497" s="74"/>
    </row>
    <row r="498" spans="2:13" ht="12.5">
      <c r="B498" s="72"/>
      <c r="F498" s="27"/>
      <c r="J498" s="43"/>
      <c r="M498" s="74"/>
    </row>
    <row r="499" spans="2:13" ht="12.5">
      <c r="B499" s="72"/>
      <c r="F499" s="27"/>
      <c r="J499" s="43"/>
      <c r="M499" s="74"/>
    </row>
    <row r="500" spans="2:13" ht="12.5">
      <c r="B500" s="72"/>
      <c r="F500" s="27"/>
      <c r="J500" s="43"/>
      <c r="M500" s="74"/>
    </row>
    <row r="501" spans="2:13" ht="12.5">
      <c r="B501" s="72"/>
      <c r="F501" s="27"/>
      <c r="J501" s="43"/>
      <c r="M501" s="74"/>
    </row>
    <row r="502" spans="2:13" ht="12.5">
      <c r="B502" s="72"/>
      <c r="F502" s="27"/>
      <c r="J502" s="43"/>
      <c r="M502" s="74"/>
    </row>
    <row r="503" spans="2:13" ht="12.5">
      <c r="B503" s="72"/>
      <c r="F503" s="27"/>
      <c r="J503" s="43"/>
      <c r="M503" s="74"/>
    </row>
    <row r="504" spans="2:13" ht="12.5">
      <c r="B504" s="72"/>
      <c r="F504" s="27"/>
      <c r="J504" s="43"/>
      <c r="M504" s="74"/>
    </row>
    <row r="505" spans="2:13" ht="12.5">
      <c r="B505" s="72"/>
      <c r="F505" s="27"/>
      <c r="J505" s="43"/>
      <c r="M505" s="74"/>
    </row>
    <row r="506" spans="2:13" ht="12.5">
      <c r="B506" s="72"/>
      <c r="F506" s="27"/>
      <c r="J506" s="43"/>
      <c r="M506" s="74"/>
    </row>
    <row r="507" spans="2:13" ht="12.5">
      <c r="B507" s="72"/>
      <c r="F507" s="27"/>
      <c r="J507" s="43"/>
      <c r="M507" s="74"/>
    </row>
    <row r="508" spans="2:13" ht="12.5">
      <c r="B508" s="72"/>
      <c r="F508" s="27"/>
      <c r="J508" s="43"/>
      <c r="M508" s="74"/>
    </row>
    <row r="509" spans="2:13" ht="12.5">
      <c r="B509" s="72"/>
      <c r="F509" s="27"/>
      <c r="J509" s="43"/>
      <c r="M509" s="74"/>
    </row>
    <row r="510" spans="2:13" ht="12.5">
      <c r="B510" s="72"/>
      <c r="F510" s="27"/>
      <c r="J510" s="43"/>
      <c r="M510" s="74"/>
    </row>
    <row r="511" spans="2:13" ht="12.5">
      <c r="B511" s="72"/>
      <c r="F511" s="27"/>
      <c r="J511" s="43"/>
      <c r="M511" s="74"/>
    </row>
    <row r="512" spans="2:13" ht="12.5">
      <c r="B512" s="72"/>
      <c r="F512" s="27"/>
      <c r="J512" s="43"/>
      <c r="M512" s="74"/>
    </row>
    <row r="513" spans="2:13" ht="12.5">
      <c r="B513" s="72"/>
      <c r="F513" s="27"/>
      <c r="J513" s="43"/>
      <c r="M513" s="74"/>
    </row>
    <row r="514" spans="2:13" ht="12.5">
      <c r="B514" s="72"/>
      <c r="F514" s="27"/>
      <c r="J514" s="43"/>
      <c r="M514" s="74"/>
    </row>
    <row r="515" spans="2:13" ht="12.5">
      <c r="B515" s="72"/>
      <c r="F515" s="27"/>
      <c r="J515" s="43"/>
      <c r="M515" s="74"/>
    </row>
    <row r="516" spans="2:13" ht="12.5">
      <c r="B516" s="72"/>
      <c r="F516" s="27"/>
      <c r="J516" s="43"/>
      <c r="M516" s="74"/>
    </row>
    <row r="517" spans="2:13" ht="12.5">
      <c r="B517" s="72"/>
      <c r="F517" s="27"/>
      <c r="J517" s="43"/>
      <c r="M517" s="74"/>
    </row>
    <row r="518" spans="2:13" ht="12.5">
      <c r="B518" s="72"/>
      <c r="F518" s="27"/>
      <c r="J518" s="43"/>
      <c r="M518" s="74"/>
    </row>
    <row r="519" spans="2:13" ht="12.5">
      <c r="B519" s="72"/>
      <c r="F519" s="27"/>
      <c r="J519" s="43"/>
      <c r="M519" s="74"/>
    </row>
    <row r="520" spans="2:13" ht="12.5">
      <c r="B520" s="72"/>
      <c r="F520" s="27"/>
      <c r="J520" s="43"/>
      <c r="M520" s="74"/>
    </row>
    <row r="521" spans="2:13" ht="12.5">
      <c r="B521" s="72"/>
      <c r="F521" s="27"/>
      <c r="J521" s="43"/>
      <c r="M521" s="74"/>
    </row>
    <row r="522" spans="2:13" ht="12.5">
      <c r="B522" s="72"/>
      <c r="F522" s="27"/>
      <c r="J522" s="43"/>
      <c r="M522" s="74"/>
    </row>
    <row r="523" spans="2:13" ht="12.5">
      <c r="B523" s="72"/>
      <c r="F523" s="27"/>
      <c r="J523" s="43"/>
      <c r="M523" s="74"/>
    </row>
    <row r="524" spans="2:13" ht="12.5">
      <c r="B524" s="72"/>
      <c r="F524" s="27"/>
      <c r="J524" s="43"/>
      <c r="M524" s="74"/>
    </row>
    <row r="525" spans="2:13" ht="12.5">
      <c r="B525" s="72"/>
      <c r="F525" s="27"/>
      <c r="J525" s="43"/>
      <c r="M525" s="74"/>
    </row>
    <row r="526" spans="2:13" ht="12.5">
      <c r="B526" s="72"/>
      <c r="F526" s="27"/>
      <c r="J526" s="43"/>
      <c r="M526" s="74"/>
    </row>
    <row r="527" spans="2:13" ht="12.5">
      <c r="B527" s="72"/>
      <c r="F527" s="27"/>
      <c r="J527" s="43"/>
      <c r="M527" s="74"/>
    </row>
    <row r="528" spans="2:13" ht="12.5">
      <c r="B528" s="72"/>
      <c r="F528" s="27"/>
      <c r="J528" s="43"/>
      <c r="M528" s="74"/>
    </row>
    <row r="529" spans="2:13" ht="12.5">
      <c r="B529" s="72"/>
      <c r="F529" s="27"/>
      <c r="J529" s="43"/>
      <c r="M529" s="74"/>
    </row>
    <row r="530" spans="2:13" ht="12.5">
      <c r="B530" s="72"/>
      <c r="F530" s="27"/>
      <c r="J530" s="43"/>
      <c r="M530" s="74"/>
    </row>
    <row r="531" spans="2:13" ht="12.5">
      <c r="B531" s="72"/>
      <c r="F531" s="27"/>
      <c r="J531" s="43"/>
      <c r="M531" s="74"/>
    </row>
    <row r="532" spans="2:13" ht="12.5">
      <c r="B532" s="72"/>
      <c r="F532" s="27"/>
      <c r="J532" s="43"/>
      <c r="M532" s="74"/>
    </row>
    <row r="533" spans="2:13" ht="12.5">
      <c r="B533" s="72"/>
      <c r="F533" s="27"/>
      <c r="J533" s="43"/>
      <c r="M533" s="74"/>
    </row>
    <row r="534" spans="2:13" ht="12.5">
      <c r="B534" s="72"/>
      <c r="F534" s="27"/>
      <c r="J534" s="43"/>
      <c r="M534" s="74"/>
    </row>
    <row r="535" spans="2:13" ht="12.5">
      <c r="B535" s="72"/>
      <c r="F535" s="27"/>
      <c r="J535" s="43"/>
      <c r="M535" s="74"/>
    </row>
    <row r="536" spans="2:13" ht="12.5">
      <c r="B536" s="72"/>
      <c r="F536" s="27"/>
      <c r="J536" s="43"/>
      <c r="M536" s="74"/>
    </row>
    <row r="537" spans="2:13" ht="12.5">
      <c r="B537" s="72"/>
      <c r="F537" s="27"/>
      <c r="J537" s="43"/>
      <c r="M537" s="74"/>
    </row>
    <row r="538" spans="2:13" ht="12.5">
      <c r="B538" s="72"/>
      <c r="F538" s="27"/>
      <c r="J538" s="43"/>
      <c r="M538" s="74"/>
    </row>
    <row r="539" spans="2:13" ht="12.5">
      <c r="B539" s="72"/>
      <c r="F539" s="27"/>
      <c r="J539" s="43"/>
      <c r="M539" s="74"/>
    </row>
    <row r="540" spans="2:13" ht="12.5">
      <c r="B540" s="72"/>
      <c r="F540" s="27"/>
      <c r="J540" s="43"/>
      <c r="M540" s="74"/>
    </row>
    <row r="541" spans="2:13" ht="12.5">
      <c r="B541" s="72"/>
      <c r="F541" s="27"/>
      <c r="J541" s="43"/>
      <c r="M541" s="74"/>
    </row>
    <row r="542" spans="2:13" ht="12.5">
      <c r="B542" s="72"/>
      <c r="F542" s="27"/>
      <c r="J542" s="43"/>
      <c r="M542" s="74"/>
    </row>
    <row r="543" spans="2:13" ht="12.5">
      <c r="B543" s="72"/>
      <c r="F543" s="27"/>
      <c r="J543" s="43"/>
      <c r="M543" s="74"/>
    </row>
    <row r="544" spans="2:13" ht="12.5">
      <c r="B544" s="72"/>
      <c r="F544" s="27"/>
      <c r="J544" s="43"/>
      <c r="M544" s="74"/>
    </row>
    <row r="545" spans="2:13" ht="12.5">
      <c r="B545" s="72"/>
      <c r="F545" s="27"/>
      <c r="J545" s="43"/>
      <c r="M545" s="74"/>
    </row>
    <row r="546" spans="2:13" ht="12.5">
      <c r="B546" s="72"/>
      <c r="F546" s="27"/>
      <c r="J546" s="43"/>
      <c r="M546" s="74"/>
    </row>
    <row r="547" spans="2:13" ht="12.5">
      <c r="B547" s="72"/>
      <c r="F547" s="27"/>
      <c r="J547" s="43"/>
      <c r="M547" s="74"/>
    </row>
    <row r="548" spans="2:13" ht="12.5">
      <c r="B548" s="72"/>
      <c r="F548" s="27"/>
      <c r="J548" s="43"/>
      <c r="M548" s="74"/>
    </row>
    <row r="549" spans="2:13" ht="12.5">
      <c r="B549" s="72"/>
      <c r="F549" s="27"/>
      <c r="J549" s="43"/>
      <c r="M549" s="74"/>
    </row>
    <row r="550" spans="2:13" ht="12.5">
      <c r="B550" s="72"/>
      <c r="F550" s="27"/>
      <c r="J550" s="43"/>
      <c r="M550" s="74"/>
    </row>
    <row r="551" spans="2:13" ht="12.5">
      <c r="B551" s="72"/>
      <c r="F551" s="27"/>
      <c r="J551" s="43"/>
      <c r="M551" s="74"/>
    </row>
    <row r="552" spans="2:13" ht="12.5">
      <c r="B552" s="72"/>
      <c r="F552" s="27"/>
      <c r="J552" s="43"/>
      <c r="M552" s="74"/>
    </row>
    <row r="553" spans="2:13" ht="12.5">
      <c r="B553" s="72"/>
      <c r="F553" s="27"/>
      <c r="J553" s="43"/>
      <c r="M553" s="74"/>
    </row>
    <row r="554" spans="2:13" ht="12.5">
      <c r="B554" s="72"/>
      <c r="F554" s="27"/>
      <c r="J554" s="43"/>
      <c r="M554" s="74"/>
    </row>
    <row r="555" spans="2:13" ht="12.5">
      <c r="B555" s="72"/>
      <c r="F555" s="27"/>
      <c r="J555" s="43"/>
      <c r="M555" s="74"/>
    </row>
    <row r="556" spans="2:13" ht="12.5">
      <c r="B556" s="72"/>
      <c r="F556" s="27"/>
      <c r="J556" s="43"/>
      <c r="M556" s="74"/>
    </row>
    <row r="557" spans="2:13" ht="12.5">
      <c r="B557" s="72"/>
      <c r="F557" s="27"/>
      <c r="J557" s="43"/>
      <c r="M557" s="74"/>
    </row>
    <row r="558" spans="2:13" ht="12.5">
      <c r="B558" s="72"/>
      <c r="F558" s="27"/>
      <c r="J558" s="43"/>
      <c r="M558" s="74"/>
    </row>
    <row r="559" spans="2:13" ht="12.5">
      <c r="B559" s="72"/>
      <c r="F559" s="27"/>
      <c r="J559" s="43"/>
      <c r="M559" s="74"/>
    </row>
    <row r="560" spans="2:13" ht="12.5">
      <c r="B560" s="72"/>
      <c r="F560" s="27"/>
      <c r="J560" s="43"/>
      <c r="M560" s="74"/>
    </row>
    <row r="561" spans="2:13" ht="12.5">
      <c r="B561" s="72"/>
      <c r="F561" s="27"/>
      <c r="J561" s="43"/>
      <c r="M561" s="74"/>
    </row>
    <row r="562" spans="2:13" ht="12.5">
      <c r="B562" s="72"/>
      <c r="F562" s="27"/>
      <c r="J562" s="43"/>
      <c r="M562" s="74"/>
    </row>
    <row r="563" spans="2:13" ht="12.5">
      <c r="B563" s="72"/>
      <c r="F563" s="27"/>
      <c r="J563" s="43"/>
      <c r="M563" s="74"/>
    </row>
    <row r="564" spans="2:13" ht="12.5">
      <c r="B564" s="72"/>
      <c r="F564" s="27"/>
      <c r="J564" s="43"/>
      <c r="M564" s="74"/>
    </row>
    <row r="565" spans="2:13" ht="12.5">
      <c r="B565" s="72"/>
      <c r="F565" s="27"/>
      <c r="J565" s="43"/>
      <c r="M565" s="74"/>
    </row>
    <row r="566" spans="2:13" ht="12.5">
      <c r="B566" s="72"/>
      <c r="F566" s="27"/>
      <c r="J566" s="43"/>
      <c r="M566" s="74"/>
    </row>
    <row r="567" spans="2:13" ht="12.5">
      <c r="B567" s="72"/>
      <c r="F567" s="27"/>
      <c r="J567" s="43"/>
      <c r="M567" s="74"/>
    </row>
    <row r="568" spans="2:13" ht="12.5">
      <c r="B568" s="72"/>
      <c r="F568" s="27"/>
      <c r="J568" s="43"/>
      <c r="M568" s="74"/>
    </row>
    <row r="569" spans="2:13" ht="12.5">
      <c r="B569" s="72"/>
      <c r="F569" s="27"/>
      <c r="J569" s="43"/>
      <c r="M569" s="74"/>
    </row>
    <row r="570" spans="2:13" ht="12.5">
      <c r="B570" s="72"/>
      <c r="F570" s="27"/>
      <c r="J570" s="43"/>
      <c r="M570" s="74"/>
    </row>
    <row r="571" spans="2:13" ht="12.5">
      <c r="B571" s="72"/>
      <c r="F571" s="27"/>
      <c r="J571" s="43"/>
      <c r="M571" s="74"/>
    </row>
    <row r="572" spans="2:13" ht="12.5">
      <c r="B572" s="72"/>
      <c r="F572" s="27"/>
      <c r="J572" s="43"/>
      <c r="M572" s="74"/>
    </row>
    <row r="573" spans="2:13" ht="12.5">
      <c r="B573" s="72"/>
      <c r="F573" s="27"/>
      <c r="J573" s="43"/>
      <c r="M573" s="74"/>
    </row>
    <row r="574" spans="2:13" ht="12.5">
      <c r="B574" s="72"/>
      <c r="F574" s="27"/>
      <c r="J574" s="43"/>
      <c r="M574" s="74"/>
    </row>
    <row r="575" spans="2:13" ht="12.5">
      <c r="B575" s="72"/>
      <c r="F575" s="27"/>
      <c r="J575" s="43"/>
      <c r="M575" s="74"/>
    </row>
    <row r="576" spans="2:13" ht="12.5">
      <c r="B576" s="72"/>
      <c r="F576" s="27"/>
      <c r="J576" s="43"/>
      <c r="M576" s="74"/>
    </row>
    <row r="577" spans="2:13" ht="12.5">
      <c r="B577" s="72"/>
      <c r="F577" s="27"/>
      <c r="J577" s="43"/>
      <c r="M577" s="74"/>
    </row>
    <row r="578" spans="2:13" ht="12.5">
      <c r="B578" s="72"/>
      <c r="F578" s="27"/>
      <c r="J578" s="43"/>
      <c r="M578" s="74"/>
    </row>
    <row r="579" spans="2:13" ht="12.5">
      <c r="B579" s="72"/>
      <c r="F579" s="27"/>
      <c r="J579" s="43"/>
      <c r="M579" s="74"/>
    </row>
    <row r="580" spans="2:13" ht="12.5">
      <c r="B580" s="72"/>
      <c r="F580" s="27"/>
      <c r="J580" s="43"/>
      <c r="M580" s="74"/>
    </row>
    <row r="581" spans="2:13" ht="12.5">
      <c r="B581" s="72"/>
      <c r="F581" s="27"/>
      <c r="J581" s="43"/>
      <c r="M581" s="74"/>
    </row>
    <row r="582" spans="2:13" ht="12.5">
      <c r="B582" s="72"/>
      <c r="F582" s="27"/>
      <c r="J582" s="43"/>
      <c r="M582" s="74"/>
    </row>
    <row r="583" spans="2:13" ht="12.5">
      <c r="B583" s="72"/>
      <c r="F583" s="27"/>
      <c r="J583" s="43"/>
      <c r="M583" s="74"/>
    </row>
    <row r="584" spans="2:13" ht="12.5">
      <c r="B584" s="72"/>
      <c r="F584" s="27"/>
      <c r="J584" s="43"/>
      <c r="M584" s="74"/>
    </row>
    <row r="585" spans="2:13" ht="12.5">
      <c r="B585" s="72"/>
      <c r="F585" s="27"/>
      <c r="J585" s="43"/>
      <c r="M585" s="74"/>
    </row>
    <row r="586" spans="2:13" ht="12.5">
      <c r="B586" s="72"/>
      <c r="F586" s="27"/>
      <c r="J586" s="43"/>
      <c r="M586" s="74"/>
    </row>
    <row r="587" spans="2:13" ht="12.5">
      <c r="B587" s="72"/>
      <c r="F587" s="27"/>
      <c r="J587" s="43"/>
      <c r="M587" s="74"/>
    </row>
    <row r="588" spans="2:13" ht="12.5">
      <c r="B588" s="72"/>
      <c r="F588" s="27"/>
      <c r="J588" s="43"/>
      <c r="M588" s="74"/>
    </row>
    <row r="589" spans="2:13" ht="12.5">
      <c r="B589" s="72"/>
      <c r="F589" s="27"/>
      <c r="J589" s="43"/>
      <c r="M589" s="74"/>
    </row>
    <row r="590" spans="2:13" ht="12.5">
      <c r="B590" s="72"/>
      <c r="F590" s="27"/>
      <c r="J590" s="43"/>
      <c r="M590" s="74"/>
    </row>
    <row r="591" spans="2:13" ht="12.5">
      <c r="B591" s="72"/>
      <c r="F591" s="27"/>
      <c r="J591" s="43"/>
      <c r="M591" s="74"/>
    </row>
    <row r="592" spans="2:13" ht="12.5">
      <c r="B592" s="72"/>
      <c r="F592" s="27"/>
      <c r="J592" s="43"/>
      <c r="M592" s="74"/>
    </row>
    <row r="593" spans="2:13" ht="12.5">
      <c r="B593" s="72"/>
      <c r="F593" s="27"/>
      <c r="J593" s="43"/>
      <c r="M593" s="74"/>
    </row>
    <row r="594" spans="2:13" ht="12.5">
      <c r="B594" s="72"/>
      <c r="F594" s="27"/>
      <c r="J594" s="43"/>
      <c r="M594" s="74"/>
    </row>
    <row r="595" spans="2:13" ht="12.5">
      <c r="B595" s="72"/>
      <c r="F595" s="27"/>
      <c r="J595" s="43"/>
      <c r="M595" s="74"/>
    </row>
    <row r="596" spans="2:13" ht="12.5">
      <c r="B596" s="72"/>
      <c r="F596" s="27"/>
      <c r="J596" s="43"/>
      <c r="M596" s="74"/>
    </row>
    <row r="597" spans="2:13" ht="12.5">
      <c r="B597" s="72"/>
      <c r="F597" s="27"/>
      <c r="J597" s="43"/>
      <c r="M597" s="74"/>
    </row>
    <row r="598" spans="2:13" ht="12.5">
      <c r="B598" s="72"/>
      <c r="F598" s="27"/>
      <c r="J598" s="43"/>
      <c r="M598" s="74"/>
    </row>
    <row r="599" spans="2:13" ht="12.5">
      <c r="B599" s="72"/>
      <c r="F599" s="27"/>
      <c r="J599" s="43"/>
      <c r="M599" s="74"/>
    </row>
    <row r="600" spans="2:13" ht="12.5">
      <c r="B600" s="72"/>
      <c r="F600" s="27"/>
      <c r="J600" s="43"/>
      <c r="M600" s="74"/>
    </row>
    <row r="601" spans="2:13" ht="12.5">
      <c r="B601" s="72"/>
      <c r="F601" s="27"/>
      <c r="J601" s="43"/>
      <c r="M601" s="74"/>
    </row>
    <row r="602" spans="2:13" ht="12.5">
      <c r="B602" s="72"/>
      <c r="F602" s="27"/>
      <c r="J602" s="43"/>
      <c r="M602" s="74"/>
    </row>
    <row r="603" spans="2:13" ht="12.5">
      <c r="B603" s="72"/>
      <c r="F603" s="27"/>
      <c r="J603" s="43"/>
      <c r="M603" s="74"/>
    </row>
    <row r="604" spans="2:13" ht="12.5">
      <c r="B604" s="72"/>
      <c r="F604" s="27"/>
      <c r="J604" s="43"/>
      <c r="M604" s="74"/>
    </row>
    <row r="605" spans="2:13" ht="12.5">
      <c r="B605" s="72"/>
      <c r="F605" s="27"/>
      <c r="J605" s="43"/>
      <c r="M605" s="74"/>
    </row>
    <row r="606" spans="2:13" ht="12.5">
      <c r="B606" s="72"/>
      <c r="F606" s="27"/>
      <c r="J606" s="43"/>
      <c r="M606" s="74"/>
    </row>
    <row r="607" spans="2:13" ht="12.5">
      <c r="B607" s="72"/>
      <c r="F607" s="27"/>
      <c r="J607" s="43"/>
      <c r="M607" s="74"/>
    </row>
    <row r="608" spans="2:13" ht="12.5">
      <c r="B608" s="72"/>
      <c r="F608" s="27"/>
      <c r="J608" s="43"/>
      <c r="M608" s="74"/>
    </row>
    <row r="609" spans="2:13" ht="12.5">
      <c r="B609" s="72"/>
      <c r="F609" s="27"/>
      <c r="J609" s="43"/>
      <c r="M609" s="74"/>
    </row>
    <row r="610" spans="2:13" ht="12.5">
      <c r="B610" s="72"/>
      <c r="F610" s="27"/>
      <c r="J610" s="43"/>
      <c r="M610" s="74"/>
    </row>
    <row r="611" spans="2:13" ht="12.5">
      <c r="B611" s="72"/>
      <c r="F611" s="27"/>
      <c r="J611" s="43"/>
      <c r="M611" s="74"/>
    </row>
    <row r="612" spans="2:13" ht="12.5">
      <c r="B612" s="72"/>
      <c r="F612" s="27"/>
      <c r="J612" s="43"/>
      <c r="M612" s="74"/>
    </row>
    <row r="613" spans="2:13" ht="12.5">
      <c r="B613" s="72"/>
      <c r="F613" s="27"/>
      <c r="J613" s="43"/>
      <c r="M613" s="74"/>
    </row>
    <row r="614" spans="2:13" ht="12.5">
      <c r="B614" s="72"/>
      <c r="F614" s="27"/>
      <c r="J614" s="43"/>
      <c r="M614" s="74"/>
    </row>
    <row r="615" spans="2:13" ht="12.5">
      <c r="B615" s="72"/>
      <c r="F615" s="27"/>
      <c r="J615" s="43"/>
      <c r="M615" s="74"/>
    </row>
    <row r="616" spans="2:13" ht="12.5">
      <c r="B616" s="72"/>
      <c r="F616" s="27"/>
      <c r="J616" s="43"/>
      <c r="M616" s="74"/>
    </row>
    <row r="617" spans="2:13" ht="12.5">
      <c r="B617" s="72"/>
      <c r="F617" s="27"/>
      <c r="J617" s="43"/>
      <c r="M617" s="74"/>
    </row>
    <row r="618" spans="2:13" ht="12.5">
      <c r="B618" s="72"/>
      <c r="F618" s="27"/>
      <c r="J618" s="43"/>
      <c r="M618" s="74"/>
    </row>
    <row r="619" spans="2:13" ht="12.5">
      <c r="B619" s="72"/>
      <c r="F619" s="27"/>
      <c r="J619" s="43"/>
      <c r="M619" s="74"/>
    </row>
    <row r="620" spans="2:13" ht="12.5">
      <c r="B620" s="72"/>
      <c r="F620" s="27"/>
      <c r="J620" s="43"/>
      <c r="M620" s="74"/>
    </row>
    <row r="621" spans="2:13" ht="12.5">
      <c r="B621" s="72"/>
      <c r="F621" s="27"/>
      <c r="J621" s="43"/>
      <c r="M621" s="74"/>
    </row>
    <row r="622" spans="2:13" ht="12.5">
      <c r="B622" s="72"/>
      <c r="F622" s="27"/>
      <c r="J622" s="43"/>
      <c r="M622" s="74"/>
    </row>
    <row r="623" spans="2:13" ht="12.5">
      <c r="B623" s="72"/>
      <c r="F623" s="27"/>
      <c r="J623" s="43"/>
      <c r="M623" s="74"/>
    </row>
    <row r="624" spans="2:13" ht="12.5">
      <c r="B624" s="72"/>
      <c r="F624" s="27"/>
      <c r="J624" s="43"/>
      <c r="M624" s="74"/>
    </row>
    <row r="625" spans="2:13" ht="12.5">
      <c r="B625" s="72"/>
      <c r="F625" s="27"/>
      <c r="J625" s="43"/>
      <c r="M625" s="74"/>
    </row>
    <row r="626" spans="2:13" ht="12.5">
      <c r="B626" s="72"/>
      <c r="F626" s="27"/>
      <c r="J626" s="43"/>
      <c r="M626" s="74"/>
    </row>
    <row r="627" spans="2:13" ht="12.5">
      <c r="B627" s="72"/>
      <c r="F627" s="27"/>
      <c r="J627" s="43"/>
      <c r="M627" s="74"/>
    </row>
    <row r="628" spans="2:13" ht="12.5">
      <c r="B628" s="72"/>
      <c r="F628" s="27"/>
      <c r="J628" s="43"/>
      <c r="M628" s="74"/>
    </row>
    <row r="629" spans="2:13" ht="12.5">
      <c r="B629" s="72"/>
      <c r="F629" s="27"/>
      <c r="J629" s="43"/>
      <c r="M629" s="74"/>
    </row>
    <row r="630" spans="2:13" ht="12.5">
      <c r="B630" s="72"/>
      <c r="F630" s="27"/>
      <c r="J630" s="43"/>
      <c r="M630" s="74"/>
    </row>
    <row r="631" spans="2:13" ht="12.5">
      <c r="B631" s="72"/>
      <c r="F631" s="27"/>
      <c r="J631" s="43"/>
      <c r="M631" s="74"/>
    </row>
    <row r="632" spans="2:13" ht="12.5">
      <c r="B632" s="72"/>
      <c r="F632" s="27"/>
      <c r="J632" s="43"/>
      <c r="M632" s="74"/>
    </row>
    <row r="633" spans="2:13" ht="12.5">
      <c r="B633" s="72"/>
      <c r="F633" s="27"/>
      <c r="J633" s="43"/>
      <c r="M633" s="74"/>
    </row>
    <row r="634" spans="2:13" ht="12.5">
      <c r="B634" s="72"/>
      <c r="F634" s="27"/>
      <c r="J634" s="43"/>
      <c r="M634" s="74"/>
    </row>
    <row r="635" spans="2:13" ht="12.5">
      <c r="B635" s="72"/>
      <c r="F635" s="27"/>
      <c r="J635" s="43"/>
      <c r="M635" s="74"/>
    </row>
    <row r="636" spans="2:13" ht="12.5">
      <c r="B636" s="72"/>
      <c r="F636" s="27"/>
      <c r="J636" s="43"/>
      <c r="M636" s="74"/>
    </row>
    <row r="637" spans="2:13" ht="12.5">
      <c r="B637" s="72"/>
      <c r="F637" s="27"/>
      <c r="J637" s="43"/>
      <c r="M637" s="74"/>
    </row>
    <row r="638" spans="2:13" ht="12.5">
      <c r="B638" s="72"/>
      <c r="F638" s="27"/>
      <c r="J638" s="43"/>
      <c r="M638" s="74"/>
    </row>
    <row r="639" spans="2:13" ht="12.5">
      <c r="B639" s="72"/>
      <c r="F639" s="27"/>
      <c r="J639" s="43"/>
      <c r="M639" s="74"/>
    </row>
    <row r="640" spans="2:13" ht="12.5">
      <c r="B640" s="72"/>
      <c r="F640" s="27"/>
      <c r="J640" s="43"/>
      <c r="M640" s="74"/>
    </row>
    <row r="641" spans="2:13" ht="12.5">
      <c r="B641" s="72"/>
      <c r="F641" s="27"/>
      <c r="J641" s="43"/>
      <c r="M641" s="74"/>
    </row>
    <row r="642" spans="2:13" ht="12.5">
      <c r="B642" s="72"/>
      <c r="F642" s="27"/>
      <c r="J642" s="43"/>
      <c r="M642" s="74"/>
    </row>
    <row r="643" spans="2:13" ht="12.5">
      <c r="B643" s="72"/>
      <c r="F643" s="27"/>
      <c r="J643" s="43"/>
      <c r="M643" s="74"/>
    </row>
    <row r="644" spans="2:13" ht="12.5">
      <c r="B644" s="72"/>
      <c r="F644" s="27"/>
      <c r="J644" s="43"/>
      <c r="M644" s="74"/>
    </row>
    <row r="645" spans="2:13" ht="12.5">
      <c r="B645" s="72"/>
      <c r="F645" s="27"/>
      <c r="J645" s="43"/>
      <c r="M645" s="74"/>
    </row>
    <row r="646" spans="2:13" ht="12.5">
      <c r="B646" s="72"/>
      <c r="F646" s="27"/>
      <c r="J646" s="43"/>
      <c r="M646" s="74"/>
    </row>
    <row r="647" spans="2:13" ht="12.5">
      <c r="B647" s="72"/>
      <c r="F647" s="27"/>
      <c r="J647" s="43"/>
      <c r="M647" s="74"/>
    </row>
    <row r="648" spans="2:13" ht="12.5">
      <c r="B648" s="72"/>
      <c r="F648" s="27"/>
      <c r="J648" s="43"/>
      <c r="M648" s="74"/>
    </row>
    <row r="649" spans="2:13" ht="12.5">
      <c r="B649" s="72"/>
      <c r="F649" s="27"/>
      <c r="J649" s="43"/>
      <c r="M649" s="74"/>
    </row>
    <row r="650" spans="2:13" ht="12.5">
      <c r="B650" s="72"/>
      <c r="F650" s="27"/>
      <c r="J650" s="43"/>
      <c r="M650" s="74"/>
    </row>
    <row r="651" spans="2:13" ht="12.5">
      <c r="B651" s="72"/>
      <c r="F651" s="27"/>
      <c r="J651" s="43"/>
      <c r="M651" s="74"/>
    </row>
    <row r="652" spans="2:13" ht="12.5">
      <c r="B652" s="72"/>
      <c r="F652" s="27"/>
      <c r="J652" s="43"/>
      <c r="M652" s="74"/>
    </row>
    <row r="653" spans="2:13" ht="12.5">
      <c r="B653" s="72"/>
      <c r="F653" s="27"/>
      <c r="J653" s="43"/>
      <c r="M653" s="74"/>
    </row>
    <row r="654" spans="2:13" ht="12.5">
      <c r="B654" s="72"/>
      <c r="F654" s="27"/>
      <c r="J654" s="43"/>
      <c r="M654" s="74"/>
    </row>
    <row r="655" spans="2:13" ht="12.5">
      <c r="B655" s="72"/>
      <c r="F655" s="27"/>
      <c r="J655" s="43"/>
      <c r="M655" s="74"/>
    </row>
    <row r="656" spans="2:13" ht="12.5">
      <c r="B656" s="72"/>
      <c r="F656" s="27"/>
      <c r="J656" s="43"/>
      <c r="M656" s="74"/>
    </row>
    <row r="657" spans="2:13" ht="12.5">
      <c r="B657" s="72"/>
      <c r="F657" s="27"/>
      <c r="J657" s="43"/>
      <c r="M657" s="74"/>
    </row>
    <row r="658" spans="2:13" ht="12.5">
      <c r="B658" s="72"/>
      <c r="F658" s="27"/>
      <c r="J658" s="43"/>
      <c r="M658" s="74"/>
    </row>
    <row r="659" spans="2:13" ht="12.5">
      <c r="B659" s="72"/>
      <c r="F659" s="27"/>
      <c r="J659" s="43"/>
      <c r="M659" s="74"/>
    </row>
    <row r="660" spans="2:13" ht="12.5">
      <c r="B660" s="72"/>
      <c r="F660" s="27"/>
      <c r="J660" s="43"/>
      <c r="M660" s="74"/>
    </row>
    <row r="661" spans="2:13" ht="12.5">
      <c r="B661" s="72"/>
      <c r="F661" s="27"/>
      <c r="J661" s="43"/>
      <c r="M661" s="74"/>
    </row>
    <row r="662" spans="2:13" ht="12.5">
      <c r="B662" s="72"/>
      <c r="F662" s="27"/>
      <c r="J662" s="43"/>
      <c r="M662" s="74"/>
    </row>
    <row r="663" spans="2:13" ht="12.5">
      <c r="B663" s="72"/>
      <c r="F663" s="27"/>
      <c r="J663" s="43"/>
      <c r="M663" s="74"/>
    </row>
    <row r="664" spans="2:13" ht="12.5">
      <c r="B664" s="72"/>
      <c r="F664" s="27"/>
      <c r="J664" s="43"/>
      <c r="M664" s="74"/>
    </row>
    <row r="665" spans="2:13" ht="12.5">
      <c r="B665" s="72"/>
      <c r="F665" s="27"/>
      <c r="J665" s="43"/>
      <c r="M665" s="74"/>
    </row>
    <row r="666" spans="2:13" ht="12.5">
      <c r="B666" s="72"/>
      <c r="F666" s="27"/>
      <c r="J666" s="43"/>
      <c r="M666" s="74"/>
    </row>
    <row r="667" spans="2:13" ht="12.5">
      <c r="B667" s="72"/>
      <c r="F667" s="27"/>
      <c r="J667" s="43"/>
      <c r="M667" s="74"/>
    </row>
    <row r="668" spans="2:13" ht="12.5">
      <c r="B668" s="72"/>
      <c r="F668" s="27"/>
      <c r="J668" s="43"/>
      <c r="M668" s="74"/>
    </row>
    <row r="669" spans="2:13" ht="12.5">
      <c r="B669" s="72"/>
      <c r="F669" s="27"/>
      <c r="J669" s="43"/>
      <c r="M669" s="74"/>
    </row>
    <row r="670" spans="2:13" ht="12.5">
      <c r="B670" s="72"/>
      <c r="F670" s="27"/>
      <c r="J670" s="43"/>
      <c r="M670" s="74"/>
    </row>
    <row r="671" spans="2:13" ht="12.5">
      <c r="B671" s="72"/>
      <c r="F671" s="27"/>
      <c r="J671" s="43"/>
      <c r="M671" s="74"/>
    </row>
    <row r="672" spans="2:13" ht="12.5">
      <c r="B672" s="72"/>
      <c r="F672" s="27"/>
      <c r="J672" s="43"/>
      <c r="M672" s="74"/>
    </row>
    <row r="673" spans="2:13" ht="12.5">
      <c r="B673" s="72"/>
      <c r="F673" s="27"/>
      <c r="J673" s="43"/>
      <c r="M673" s="74"/>
    </row>
    <row r="674" spans="2:13" ht="12.5">
      <c r="B674" s="72"/>
      <c r="F674" s="27"/>
      <c r="J674" s="43"/>
      <c r="M674" s="74"/>
    </row>
    <row r="675" spans="2:13" ht="12.5">
      <c r="B675" s="72"/>
      <c r="F675" s="27"/>
      <c r="J675" s="43"/>
      <c r="M675" s="74"/>
    </row>
    <row r="676" spans="2:13" ht="12.5">
      <c r="B676" s="72"/>
      <c r="F676" s="27"/>
      <c r="J676" s="43"/>
      <c r="M676" s="74"/>
    </row>
    <row r="677" spans="2:13" ht="12.5">
      <c r="B677" s="72"/>
      <c r="F677" s="27"/>
      <c r="J677" s="43"/>
      <c r="M677" s="74"/>
    </row>
    <row r="678" spans="2:13" ht="12.5">
      <c r="B678" s="72"/>
      <c r="F678" s="27"/>
      <c r="J678" s="43"/>
      <c r="M678" s="74"/>
    </row>
    <row r="679" spans="2:13" ht="12.5">
      <c r="B679" s="72"/>
      <c r="F679" s="27"/>
      <c r="J679" s="43"/>
      <c r="M679" s="74"/>
    </row>
    <row r="680" spans="2:13" ht="12.5">
      <c r="B680" s="72"/>
      <c r="F680" s="27"/>
      <c r="J680" s="43"/>
      <c r="M680" s="74"/>
    </row>
    <row r="681" spans="2:13" ht="12.5">
      <c r="B681" s="72"/>
      <c r="F681" s="27"/>
      <c r="J681" s="43"/>
      <c r="M681" s="74"/>
    </row>
    <row r="682" spans="2:13" ht="12.5">
      <c r="B682" s="72"/>
      <c r="F682" s="27"/>
      <c r="J682" s="43"/>
      <c r="M682" s="74"/>
    </row>
    <row r="683" spans="2:13" ht="12.5">
      <c r="B683" s="72"/>
      <c r="F683" s="27"/>
      <c r="J683" s="43"/>
      <c r="M683" s="74"/>
    </row>
    <row r="684" spans="2:13" ht="12.5">
      <c r="B684" s="72"/>
      <c r="F684" s="27"/>
      <c r="J684" s="43"/>
      <c r="M684" s="74"/>
    </row>
    <row r="685" spans="2:13" ht="12.5">
      <c r="B685" s="72"/>
      <c r="F685" s="27"/>
      <c r="J685" s="43"/>
      <c r="M685" s="74"/>
    </row>
    <row r="686" spans="2:13" ht="12.5">
      <c r="B686" s="72"/>
      <c r="F686" s="27"/>
      <c r="J686" s="43"/>
      <c r="M686" s="74"/>
    </row>
    <row r="687" spans="2:13" ht="12.5">
      <c r="B687" s="72"/>
      <c r="F687" s="27"/>
      <c r="J687" s="43"/>
      <c r="M687" s="74"/>
    </row>
    <row r="688" spans="2:13" ht="12.5">
      <c r="B688" s="72"/>
      <c r="F688" s="27"/>
      <c r="J688" s="43"/>
      <c r="M688" s="74"/>
    </row>
    <row r="689" spans="2:13" ht="12.5">
      <c r="B689" s="72"/>
      <c r="F689" s="27"/>
      <c r="J689" s="43"/>
      <c r="M689" s="74"/>
    </row>
    <row r="690" spans="2:13" ht="12.5">
      <c r="B690" s="72"/>
      <c r="F690" s="27"/>
      <c r="J690" s="43"/>
      <c r="M690" s="74"/>
    </row>
    <row r="691" spans="2:13" ht="12.5">
      <c r="B691" s="72"/>
      <c r="F691" s="27"/>
      <c r="J691" s="43"/>
      <c r="M691" s="74"/>
    </row>
    <row r="692" spans="2:13" ht="12.5">
      <c r="B692" s="72"/>
      <c r="F692" s="27"/>
      <c r="J692" s="43"/>
      <c r="M692" s="74"/>
    </row>
    <row r="693" spans="2:13" ht="12.5">
      <c r="B693" s="72"/>
      <c r="F693" s="27"/>
      <c r="J693" s="43"/>
      <c r="M693" s="74"/>
    </row>
    <row r="694" spans="2:13" ht="12.5">
      <c r="B694" s="72"/>
      <c r="F694" s="27"/>
      <c r="J694" s="43"/>
      <c r="M694" s="74"/>
    </row>
    <row r="695" spans="2:13" ht="12.5">
      <c r="B695" s="72"/>
      <c r="F695" s="27"/>
      <c r="J695" s="43"/>
      <c r="M695" s="74"/>
    </row>
    <row r="696" spans="2:13" ht="12.5">
      <c r="B696" s="72"/>
      <c r="F696" s="27"/>
      <c r="J696" s="43"/>
      <c r="M696" s="74"/>
    </row>
    <row r="697" spans="2:13" ht="12.5">
      <c r="B697" s="72"/>
      <c r="F697" s="27"/>
      <c r="J697" s="43"/>
      <c r="M697" s="74"/>
    </row>
    <row r="698" spans="2:13" ht="12.5">
      <c r="B698" s="72"/>
      <c r="F698" s="27"/>
      <c r="J698" s="43"/>
      <c r="M698" s="74"/>
    </row>
    <row r="699" spans="2:13" ht="12.5">
      <c r="B699" s="72"/>
      <c r="F699" s="27"/>
      <c r="J699" s="43"/>
      <c r="M699" s="74"/>
    </row>
    <row r="700" spans="2:13" ht="12.5">
      <c r="B700" s="72"/>
      <c r="F700" s="27"/>
      <c r="J700" s="43"/>
      <c r="M700" s="74"/>
    </row>
    <row r="701" spans="2:13" ht="12.5">
      <c r="B701" s="72"/>
      <c r="F701" s="27"/>
      <c r="J701" s="43"/>
      <c r="M701" s="74"/>
    </row>
    <row r="702" spans="2:13" ht="12.5">
      <c r="B702" s="72"/>
      <c r="F702" s="27"/>
      <c r="J702" s="43"/>
      <c r="M702" s="74"/>
    </row>
    <row r="703" spans="2:13" ht="12.5">
      <c r="B703" s="72"/>
      <c r="F703" s="27"/>
      <c r="J703" s="43"/>
      <c r="M703" s="74"/>
    </row>
    <row r="704" spans="2:13" ht="12.5">
      <c r="B704" s="72"/>
      <c r="F704" s="27"/>
      <c r="J704" s="43"/>
      <c r="M704" s="74"/>
    </row>
    <row r="705" spans="2:13" ht="12.5">
      <c r="B705" s="72"/>
      <c r="F705" s="27"/>
      <c r="J705" s="43"/>
      <c r="M705" s="74"/>
    </row>
    <row r="706" spans="2:13" ht="12.5">
      <c r="B706" s="72"/>
      <c r="F706" s="27"/>
      <c r="J706" s="43"/>
      <c r="M706" s="74"/>
    </row>
    <row r="707" spans="2:13" ht="12.5">
      <c r="B707" s="72"/>
      <c r="F707" s="27"/>
      <c r="J707" s="43"/>
      <c r="M707" s="74"/>
    </row>
    <row r="708" spans="2:13" ht="12.5">
      <c r="B708" s="72"/>
      <c r="F708" s="27"/>
      <c r="J708" s="43"/>
      <c r="M708" s="74"/>
    </row>
    <row r="709" spans="2:13" ht="12.5">
      <c r="B709" s="72"/>
      <c r="F709" s="27"/>
      <c r="J709" s="43"/>
      <c r="M709" s="74"/>
    </row>
    <row r="710" spans="2:13" ht="12.5">
      <c r="B710" s="72"/>
      <c r="F710" s="27"/>
      <c r="J710" s="43"/>
      <c r="M710" s="74"/>
    </row>
    <row r="711" spans="2:13" ht="12.5">
      <c r="B711" s="72"/>
      <c r="F711" s="27"/>
      <c r="J711" s="43"/>
      <c r="M711" s="74"/>
    </row>
    <row r="712" spans="2:13" ht="12.5">
      <c r="B712" s="72"/>
      <c r="F712" s="27"/>
      <c r="J712" s="43"/>
      <c r="M712" s="74"/>
    </row>
    <row r="713" spans="2:13" ht="12.5">
      <c r="B713" s="72"/>
      <c r="F713" s="27"/>
      <c r="J713" s="43"/>
      <c r="M713" s="74"/>
    </row>
    <row r="714" spans="2:13" ht="12.5">
      <c r="B714" s="72"/>
      <c r="F714" s="27"/>
      <c r="J714" s="43"/>
      <c r="M714" s="74"/>
    </row>
    <row r="715" spans="2:13" ht="12.5">
      <c r="B715" s="72"/>
      <c r="F715" s="27"/>
      <c r="J715" s="43"/>
      <c r="M715" s="74"/>
    </row>
    <row r="716" spans="2:13" ht="12.5">
      <c r="B716" s="72"/>
      <c r="F716" s="27"/>
      <c r="J716" s="43"/>
      <c r="M716" s="74"/>
    </row>
    <row r="717" spans="2:13" ht="12.5">
      <c r="B717" s="72"/>
      <c r="F717" s="27"/>
      <c r="J717" s="43"/>
      <c r="M717" s="74"/>
    </row>
    <row r="718" spans="2:13" ht="12.5">
      <c r="B718" s="72"/>
      <c r="F718" s="27"/>
      <c r="J718" s="43"/>
      <c r="M718" s="74"/>
    </row>
    <row r="719" spans="2:13" ht="12.5">
      <c r="B719" s="72"/>
      <c r="F719" s="27"/>
      <c r="J719" s="43"/>
      <c r="M719" s="74"/>
    </row>
    <row r="720" spans="2:13" ht="12.5">
      <c r="B720" s="72"/>
      <c r="F720" s="27"/>
      <c r="J720" s="43"/>
      <c r="M720" s="74"/>
    </row>
    <row r="721" spans="2:13" ht="12.5">
      <c r="B721" s="72"/>
      <c r="F721" s="27"/>
      <c r="J721" s="43"/>
      <c r="M721" s="74"/>
    </row>
    <row r="722" spans="2:13" ht="12.5">
      <c r="B722" s="72"/>
      <c r="F722" s="27"/>
      <c r="J722" s="43"/>
      <c r="M722" s="74"/>
    </row>
    <row r="723" spans="2:13" ht="12.5">
      <c r="B723" s="72"/>
      <c r="F723" s="27"/>
      <c r="J723" s="43"/>
      <c r="M723" s="74"/>
    </row>
    <row r="724" spans="2:13" ht="12.5">
      <c r="B724" s="72"/>
      <c r="F724" s="27"/>
      <c r="J724" s="43"/>
      <c r="M724" s="74"/>
    </row>
    <row r="725" spans="2:13" ht="12.5">
      <c r="B725" s="72"/>
      <c r="F725" s="27"/>
      <c r="J725" s="43"/>
      <c r="M725" s="74"/>
    </row>
    <row r="726" spans="2:13" ht="12.5">
      <c r="B726" s="72"/>
      <c r="F726" s="27"/>
      <c r="J726" s="43"/>
      <c r="M726" s="74"/>
    </row>
    <row r="727" spans="2:13" ht="12.5">
      <c r="B727" s="72"/>
      <c r="F727" s="27"/>
      <c r="J727" s="43"/>
      <c r="M727" s="74"/>
    </row>
    <row r="728" spans="2:13" ht="12.5">
      <c r="B728" s="72"/>
      <c r="F728" s="27"/>
      <c r="J728" s="43"/>
      <c r="M728" s="74"/>
    </row>
    <row r="729" spans="2:13" ht="12.5">
      <c r="B729" s="72"/>
      <c r="F729" s="27"/>
      <c r="J729" s="43"/>
      <c r="M729" s="74"/>
    </row>
    <row r="730" spans="2:13" ht="12.5">
      <c r="B730" s="72"/>
      <c r="F730" s="27"/>
      <c r="J730" s="43"/>
      <c r="M730" s="74"/>
    </row>
    <row r="731" spans="2:13" ht="12.5">
      <c r="B731" s="72"/>
      <c r="F731" s="27"/>
      <c r="J731" s="43"/>
      <c r="M731" s="74"/>
    </row>
    <row r="732" spans="2:13" ht="12.5">
      <c r="B732" s="72"/>
      <c r="F732" s="27"/>
      <c r="J732" s="43"/>
      <c r="M732" s="74"/>
    </row>
    <row r="733" spans="2:13" ht="12.5">
      <c r="B733" s="72"/>
      <c r="F733" s="27"/>
      <c r="J733" s="43"/>
      <c r="M733" s="74"/>
    </row>
    <row r="734" spans="2:13" ht="12.5">
      <c r="B734" s="72"/>
      <c r="F734" s="27"/>
      <c r="J734" s="43"/>
      <c r="M734" s="74"/>
    </row>
    <row r="735" spans="2:13" ht="12.5">
      <c r="B735" s="72"/>
      <c r="F735" s="27"/>
      <c r="J735" s="43"/>
      <c r="M735" s="74"/>
    </row>
    <row r="736" spans="2:13" ht="12.5">
      <c r="B736" s="72"/>
      <c r="F736" s="27"/>
      <c r="J736" s="43"/>
      <c r="M736" s="74"/>
    </row>
    <row r="737" spans="2:13" ht="12.5">
      <c r="B737" s="72"/>
      <c r="F737" s="27"/>
      <c r="J737" s="43"/>
      <c r="M737" s="74"/>
    </row>
    <row r="738" spans="2:13" ht="12.5">
      <c r="B738" s="72"/>
      <c r="F738" s="27"/>
      <c r="J738" s="43"/>
      <c r="M738" s="74"/>
    </row>
    <row r="739" spans="2:13" ht="12.5">
      <c r="B739" s="72"/>
      <c r="F739" s="27"/>
      <c r="J739" s="43"/>
      <c r="M739" s="74"/>
    </row>
    <row r="740" spans="2:13" ht="12.5">
      <c r="B740" s="72"/>
      <c r="F740" s="27"/>
      <c r="J740" s="43"/>
      <c r="M740" s="74"/>
    </row>
    <row r="741" spans="2:13" ht="12.5">
      <c r="B741" s="72"/>
      <c r="F741" s="27"/>
      <c r="J741" s="43"/>
      <c r="M741" s="74"/>
    </row>
    <row r="742" spans="2:13" ht="12.5">
      <c r="B742" s="72"/>
      <c r="F742" s="27"/>
      <c r="J742" s="43"/>
      <c r="M742" s="74"/>
    </row>
    <row r="743" spans="2:13" ht="12.5">
      <c r="B743" s="72"/>
      <c r="F743" s="27"/>
      <c r="J743" s="43"/>
      <c r="M743" s="74"/>
    </row>
    <row r="744" spans="2:13" ht="12.5">
      <c r="B744" s="72"/>
      <c r="F744" s="27"/>
      <c r="J744" s="43"/>
      <c r="M744" s="74"/>
    </row>
    <row r="745" spans="2:13" ht="12.5">
      <c r="B745" s="72"/>
      <c r="F745" s="27"/>
      <c r="J745" s="43"/>
      <c r="M745" s="74"/>
    </row>
    <row r="746" spans="2:13" ht="12.5">
      <c r="B746" s="72"/>
      <c r="F746" s="27"/>
      <c r="J746" s="43"/>
      <c r="M746" s="74"/>
    </row>
    <row r="747" spans="2:13" ht="12.5">
      <c r="B747" s="72"/>
      <c r="F747" s="27"/>
      <c r="J747" s="43"/>
      <c r="M747" s="74"/>
    </row>
    <row r="748" spans="2:13" ht="12.5">
      <c r="B748" s="72"/>
      <c r="F748" s="27"/>
      <c r="J748" s="43"/>
      <c r="M748" s="74"/>
    </row>
    <row r="749" spans="2:13" ht="12.5">
      <c r="B749" s="72"/>
      <c r="F749" s="27"/>
      <c r="J749" s="43"/>
      <c r="M749" s="74"/>
    </row>
    <row r="750" spans="2:13" ht="12.5">
      <c r="B750" s="72"/>
      <c r="F750" s="27"/>
      <c r="J750" s="43"/>
      <c r="M750" s="74"/>
    </row>
    <row r="751" spans="2:13" ht="12.5">
      <c r="B751" s="72"/>
      <c r="F751" s="27"/>
      <c r="J751" s="43"/>
      <c r="M751" s="74"/>
    </row>
    <row r="752" spans="2:13" ht="12.5">
      <c r="B752" s="72"/>
      <c r="F752" s="27"/>
      <c r="J752" s="43"/>
      <c r="M752" s="74"/>
    </row>
    <row r="753" spans="2:13" ht="12.5">
      <c r="B753" s="72"/>
      <c r="F753" s="27"/>
      <c r="J753" s="43"/>
      <c r="M753" s="74"/>
    </row>
    <row r="754" spans="2:13" ht="12.5">
      <c r="B754" s="72"/>
      <c r="F754" s="27"/>
      <c r="J754" s="43"/>
      <c r="M754" s="74"/>
    </row>
    <row r="755" spans="2:13" ht="12.5">
      <c r="B755" s="72"/>
      <c r="F755" s="27"/>
      <c r="J755" s="43"/>
      <c r="M755" s="74"/>
    </row>
    <row r="756" spans="2:13" ht="12.5">
      <c r="B756" s="72"/>
      <c r="F756" s="27"/>
      <c r="J756" s="43"/>
      <c r="M756" s="74"/>
    </row>
    <row r="757" spans="2:13" ht="12.5">
      <c r="B757" s="72"/>
      <c r="F757" s="27"/>
      <c r="J757" s="43"/>
      <c r="M757" s="74"/>
    </row>
    <row r="758" spans="2:13" ht="12.5">
      <c r="B758" s="72"/>
      <c r="F758" s="27"/>
      <c r="J758" s="43"/>
      <c r="M758" s="74"/>
    </row>
    <row r="759" spans="2:13" ht="12.5">
      <c r="B759" s="72"/>
      <c r="F759" s="27"/>
      <c r="J759" s="43"/>
      <c r="M759" s="74"/>
    </row>
    <row r="760" spans="2:13" ht="12.5">
      <c r="B760" s="72"/>
      <c r="F760" s="27"/>
      <c r="J760" s="43"/>
      <c r="M760" s="74"/>
    </row>
    <row r="761" spans="2:13" ht="12.5">
      <c r="B761" s="72"/>
      <c r="F761" s="27"/>
      <c r="J761" s="43"/>
      <c r="M761" s="74"/>
    </row>
    <row r="762" spans="2:13" ht="12.5">
      <c r="B762" s="72"/>
      <c r="F762" s="27"/>
      <c r="J762" s="43"/>
      <c r="M762" s="74"/>
    </row>
    <row r="763" spans="2:13" ht="12.5">
      <c r="B763" s="72"/>
      <c r="F763" s="27"/>
      <c r="J763" s="43"/>
      <c r="M763" s="74"/>
    </row>
    <row r="764" spans="2:13" ht="12.5">
      <c r="B764" s="72"/>
      <c r="F764" s="27"/>
      <c r="J764" s="43"/>
      <c r="M764" s="74"/>
    </row>
    <row r="765" spans="2:13" ht="12.5">
      <c r="B765" s="72"/>
      <c r="F765" s="27"/>
      <c r="J765" s="43"/>
      <c r="M765" s="74"/>
    </row>
    <row r="766" spans="2:13" ht="12.5">
      <c r="B766" s="72"/>
      <c r="F766" s="27"/>
      <c r="J766" s="43"/>
      <c r="M766" s="74"/>
    </row>
    <row r="767" spans="2:13" ht="12.5">
      <c r="B767" s="72"/>
      <c r="F767" s="27"/>
      <c r="J767" s="43"/>
      <c r="M767" s="74"/>
    </row>
    <row r="768" spans="2:13" ht="12.5">
      <c r="B768" s="72"/>
      <c r="F768" s="27"/>
      <c r="J768" s="43"/>
      <c r="M768" s="74"/>
    </row>
    <row r="769" spans="2:13" ht="12.5">
      <c r="B769" s="72"/>
      <c r="F769" s="27"/>
      <c r="J769" s="43"/>
      <c r="M769" s="74"/>
    </row>
    <row r="770" spans="2:13" ht="12.5">
      <c r="B770" s="72"/>
      <c r="F770" s="27"/>
      <c r="J770" s="43"/>
      <c r="M770" s="74"/>
    </row>
    <row r="771" spans="2:13" ht="12.5">
      <c r="B771" s="72"/>
      <c r="F771" s="27"/>
      <c r="J771" s="43"/>
      <c r="M771" s="74"/>
    </row>
    <row r="772" spans="2:13" ht="12.5">
      <c r="B772" s="72"/>
      <c r="F772" s="27"/>
      <c r="J772" s="43"/>
      <c r="M772" s="74"/>
    </row>
    <row r="773" spans="2:13" ht="12.5">
      <c r="B773" s="72"/>
      <c r="F773" s="27"/>
      <c r="J773" s="43"/>
      <c r="M773" s="74"/>
    </row>
    <row r="774" spans="2:13" ht="12.5">
      <c r="B774" s="72"/>
      <c r="F774" s="27"/>
      <c r="J774" s="43"/>
      <c r="M774" s="74"/>
    </row>
    <row r="775" spans="2:13" ht="12.5">
      <c r="B775" s="72"/>
      <c r="F775" s="27"/>
      <c r="J775" s="43"/>
      <c r="M775" s="74"/>
    </row>
    <row r="776" spans="2:13" ht="12.5">
      <c r="B776" s="72"/>
      <c r="F776" s="27"/>
      <c r="J776" s="43"/>
      <c r="M776" s="74"/>
    </row>
    <row r="777" spans="2:13" ht="12.5">
      <c r="B777" s="72"/>
      <c r="F777" s="27"/>
      <c r="J777" s="43"/>
      <c r="M777" s="74"/>
    </row>
    <row r="778" spans="2:13" ht="12.5">
      <c r="B778" s="72"/>
      <c r="F778" s="27"/>
      <c r="J778" s="43"/>
      <c r="M778" s="74"/>
    </row>
    <row r="779" spans="2:13" ht="12.5">
      <c r="B779" s="72"/>
      <c r="F779" s="27"/>
      <c r="J779" s="43"/>
      <c r="M779" s="74"/>
    </row>
    <row r="780" spans="2:13" ht="12.5">
      <c r="B780" s="72"/>
      <c r="F780" s="27"/>
      <c r="J780" s="43"/>
      <c r="M780" s="74"/>
    </row>
    <row r="781" spans="2:13" ht="12.5">
      <c r="B781" s="72"/>
      <c r="F781" s="27"/>
      <c r="J781" s="43"/>
      <c r="M781" s="74"/>
    </row>
    <row r="782" spans="2:13" ht="12.5">
      <c r="B782" s="72"/>
      <c r="F782" s="27"/>
      <c r="J782" s="43"/>
      <c r="M782" s="74"/>
    </row>
    <row r="783" spans="2:13" ht="12.5">
      <c r="B783" s="72"/>
      <c r="F783" s="27"/>
      <c r="J783" s="43"/>
      <c r="M783" s="74"/>
    </row>
    <row r="784" spans="2:13" ht="12.5">
      <c r="B784" s="72"/>
      <c r="F784" s="27"/>
      <c r="J784" s="43"/>
      <c r="M784" s="74"/>
    </row>
    <row r="785" spans="2:13" ht="12.5">
      <c r="B785" s="72"/>
      <c r="F785" s="27"/>
      <c r="J785" s="43"/>
      <c r="M785" s="74"/>
    </row>
    <row r="786" spans="2:13" ht="12.5">
      <c r="B786" s="72"/>
      <c r="F786" s="27"/>
      <c r="J786" s="43"/>
      <c r="M786" s="74"/>
    </row>
    <row r="787" spans="2:13" ht="12.5">
      <c r="B787" s="72"/>
      <c r="F787" s="27"/>
      <c r="J787" s="43"/>
      <c r="M787" s="74"/>
    </row>
    <row r="788" spans="2:13" ht="12.5">
      <c r="B788" s="72"/>
      <c r="F788" s="27"/>
      <c r="J788" s="43"/>
      <c r="M788" s="74"/>
    </row>
    <row r="789" spans="2:13" ht="12.5">
      <c r="B789" s="72"/>
      <c r="F789" s="27"/>
      <c r="J789" s="43"/>
      <c r="M789" s="74"/>
    </row>
    <row r="790" spans="2:13" ht="12.5">
      <c r="B790" s="72"/>
      <c r="F790" s="27"/>
      <c r="J790" s="43"/>
      <c r="M790" s="74"/>
    </row>
    <row r="791" spans="2:13" ht="12.5">
      <c r="B791" s="72"/>
      <c r="F791" s="27"/>
      <c r="J791" s="43"/>
      <c r="M791" s="74"/>
    </row>
    <row r="792" spans="2:13" ht="12.5">
      <c r="B792" s="72"/>
      <c r="F792" s="27"/>
      <c r="J792" s="43"/>
      <c r="M792" s="74"/>
    </row>
    <row r="793" spans="2:13" ht="12.5">
      <c r="B793" s="72"/>
      <c r="F793" s="27"/>
      <c r="J793" s="43"/>
      <c r="M793" s="74"/>
    </row>
    <row r="794" spans="2:13" ht="12.5">
      <c r="B794" s="72"/>
      <c r="F794" s="27"/>
      <c r="J794" s="43"/>
      <c r="M794" s="74"/>
    </row>
    <row r="795" spans="2:13" ht="12.5">
      <c r="B795" s="72"/>
      <c r="F795" s="27"/>
      <c r="J795" s="43"/>
      <c r="M795" s="74"/>
    </row>
    <row r="796" spans="2:13" ht="12.5">
      <c r="B796" s="72"/>
      <c r="F796" s="27"/>
      <c r="J796" s="43"/>
      <c r="M796" s="74"/>
    </row>
    <row r="797" spans="2:13" ht="12.5">
      <c r="B797" s="72"/>
      <c r="F797" s="27"/>
      <c r="J797" s="43"/>
      <c r="M797" s="74"/>
    </row>
    <row r="798" spans="2:13" ht="12.5">
      <c r="B798" s="72"/>
      <c r="F798" s="27"/>
      <c r="J798" s="43"/>
      <c r="M798" s="74"/>
    </row>
    <row r="799" spans="2:13" ht="12.5">
      <c r="B799" s="72"/>
      <c r="F799" s="27"/>
      <c r="J799" s="43"/>
      <c r="M799" s="74"/>
    </row>
    <row r="800" spans="2:13" ht="12.5">
      <c r="B800" s="72"/>
      <c r="F800" s="27"/>
      <c r="J800" s="43"/>
      <c r="M800" s="74"/>
    </row>
    <row r="801" spans="2:13" ht="12.5">
      <c r="B801" s="72"/>
      <c r="F801" s="27"/>
      <c r="J801" s="43"/>
      <c r="M801" s="74"/>
    </row>
    <row r="802" spans="2:13" ht="12.5">
      <c r="B802" s="72"/>
      <c r="F802" s="27"/>
      <c r="J802" s="43"/>
      <c r="M802" s="74"/>
    </row>
    <row r="803" spans="2:13" ht="12.5">
      <c r="B803" s="72"/>
      <c r="F803" s="27"/>
      <c r="J803" s="43"/>
      <c r="M803" s="74"/>
    </row>
    <row r="804" spans="2:13" ht="12.5">
      <c r="B804" s="72"/>
      <c r="F804" s="27"/>
      <c r="J804" s="43"/>
      <c r="M804" s="74"/>
    </row>
    <row r="805" spans="2:13" ht="12.5">
      <c r="B805" s="72"/>
      <c r="F805" s="27"/>
      <c r="J805" s="43"/>
      <c r="M805" s="74"/>
    </row>
    <row r="806" spans="2:13" ht="12.5">
      <c r="B806" s="72"/>
      <c r="F806" s="27"/>
      <c r="J806" s="43"/>
      <c r="M806" s="74"/>
    </row>
    <row r="807" spans="2:13" ht="12.5">
      <c r="B807" s="72"/>
      <c r="F807" s="27"/>
      <c r="J807" s="43"/>
      <c r="M807" s="74"/>
    </row>
    <row r="808" spans="2:13" ht="12.5">
      <c r="B808" s="72"/>
      <c r="F808" s="27"/>
      <c r="J808" s="43"/>
      <c r="M808" s="74"/>
    </row>
    <row r="809" spans="2:13" ht="12.5">
      <c r="B809" s="72"/>
      <c r="F809" s="27"/>
      <c r="J809" s="43"/>
      <c r="M809" s="74"/>
    </row>
    <row r="810" spans="2:13" ht="12.5">
      <c r="B810" s="72"/>
      <c r="F810" s="27"/>
      <c r="J810" s="43"/>
      <c r="M810" s="74"/>
    </row>
    <row r="811" spans="2:13" ht="12.5">
      <c r="B811" s="72"/>
      <c r="F811" s="27"/>
      <c r="J811" s="43"/>
      <c r="M811" s="74"/>
    </row>
    <row r="812" spans="2:13" ht="12.5">
      <c r="B812" s="72"/>
      <c r="F812" s="27"/>
      <c r="J812" s="43"/>
      <c r="M812" s="74"/>
    </row>
    <row r="813" spans="2:13" ht="12.5">
      <c r="B813" s="72"/>
      <c r="F813" s="27"/>
      <c r="J813" s="43"/>
      <c r="M813" s="74"/>
    </row>
    <row r="814" spans="2:13" ht="12.5">
      <c r="B814" s="72"/>
      <c r="F814" s="27"/>
      <c r="J814" s="43"/>
      <c r="M814" s="74"/>
    </row>
    <row r="815" spans="2:13" ht="12.5">
      <c r="B815" s="72"/>
      <c r="F815" s="27"/>
      <c r="J815" s="43"/>
      <c r="M815" s="74"/>
    </row>
    <row r="816" spans="2:13" ht="12.5">
      <c r="B816" s="72"/>
      <c r="F816" s="27"/>
      <c r="J816" s="43"/>
      <c r="M816" s="74"/>
    </row>
    <row r="817" spans="2:13" ht="12.5">
      <c r="B817" s="72"/>
      <c r="F817" s="27"/>
      <c r="J817" s="43"/>
      <c r="M817" s="74"/>
    </row>
    <row r="818" spans="2:13" ht="12.5">
      <c r="B818" s="72"/>
      <c r="F818" s="27"/>
      <c r="J818" s="43"/>
      <c r="M818" s="74"/>
    </row>
    <row r="819" spans="2:13" ht="12.5">
      <c r="B819" s="72"/>
      <c r="F819" s="27"/>
      <c r="J819" s="43"/>
      <c r="M819" s="74"/>
    </row>
    <row r="820" spans="2:13" ht="12.5">
      <c r="B820" s="72"/>
      <c r="F820" s="27"/>
      <c r="J820" s="43"/>
      <c r="M820" s="74"/>
    </row>
    <row r="821" spans="2:13" ht="12.5">
      <c r="B821" s="72"/>
      <c r="F821" s="27"/>
      <c r="J821" s="43"/>
      <c r="M821" s="74"/>
    </row>
    <row r="822" spans="2:13" ht="12.5">
      <c r="B822" s="72"/>
      <c r="F822" s="27"/>
      <c r="J822" s="43"/>
      <c r="M822" s="74"/>
    </row>
    <row r="823" spans="2:13" ht="12.5">
      <c r="B823" s="72"/>
      <c r="F823" s="27"/>
      <c r="J823" s="43"/>
      <c r="M823" s="74"/>
    </row>
    <row r="824" spans="2:13" ht="12.5">
      <c r="B824" s="72"/>
      <c r="F824" s="27"/>
      <c r="J824" s="43"/>
      <c r="M824" s="74"/>
    </row>
    <row r="825" spans="2:13" ht="12.5">
      <c r="B825" s="72"/>
      <c r="F825" s="27"/>
      <c r="J825" s="43"/>
      <c r="M825" s="74"/>
    </row>
    <row r="826" spans="2:13" ht="12.5">
      <c r="B826" s="72"/>
      <c r="F826" s="27"/>
      <c r="J826" s="43"/>
      <c r="M826" s="74"/>
    </row>
    <row r="827" spans="2:13" ht="12.5">
      <c r="B827" s="72"/>
      <c r="F827" s="27"/>
      <c r="J827" s="43"/>
      <c r="M827" s="74"/>
    </row>
    <row r="828" spans="2:13" ht="12.5">
      <c r="B828" s="72"/>
      <c r="F828" s="27"/>
      <c r="J828" s="43"/>
      <c r="M828" s="74"/>
    </row>
    <row r="829" spans="2:13" ht="12.5">
      <c r="B829" s="72"/>
      <c r="F829" s="27"/>
      <c r="J829" s="43"/>
      <c r="M829" s="74"/>
    </row>
    <row r="830" spans="2:13" ht="12.5">
      <c r="B830" s="72"/>
      <c r="F830" s="27"/>
      <c r="J830" s="43"/>
      <c r="M830" s="74"/>
    </row>
    <row r="831" spans="2:13" ht="12.5">
      <c r="B831" s="72"/>
      <c r="F831" s="27"/>
      <c r="J831" s="43"/>
      <c r="M831" s="74"/>
    </row>
    <row r="832" spans="2:13" ht="12.5">
      <c r="B832" s="72"/>
      <c r="F832" s="27"/>
      <c r="J832" s="43"/>
      <c r="M832" s="74"/>
    </row>
    <row r="833" spans="2:13" ht="12.5">
      <c r="B833" s="72"/>
      <c r="F833" s="27"/>
      <c r="J833" s="43"/>
      <c r="M833" s="74"/>
    </row>
    <row r="834" spans="2:13" ht="12.5">
      <c r="B834" s="72"/>
      <c r="F834" s="27"/>
      <c r="J834" s="43"/>
      <c r="M834" s="74"/>
    </row>
    <row r="835" spans="2:13" ht="12.5">
      <c r="B835" s="72"/>
      <c r="F835" s="27"/>
      <c r="J835" s="43"/>
      <c r="M835" s="74"/>
    </row>
    <row r="836" spans="2:13" ht="12.5">
      <c r="B836" s="72"/>
      <c r="F836" s="27"/>
      <c r="J836" s="43"/>
      <c r="M836" s="74"/>
    </row>
    <row r="837" spans="2:13" ht="12.5">
      <c r="B837" s="72"/>
      <c r="F837" s="27"/>
      <c r="J837" s="43"/>
      <c r="M837" s="74"/>
    </row>
    <row r="838" spans="2:13" ht="12.5">
      <c r="B838" s="72"/>
      <c r="F838" s="27"/>
      <c r="J838" s="43"/>
      <c r="M838" s="74"/>
    </row>
    <row r="839" spans="2:13" ht="12.5">
      <c r="B839" s="72"/>
      <c r="F839" s="27"/>
      <c r="J839" s="43"/>
      <c r="M839" s="74"/>
    </row>
    <row r="840" spans="2:13" ht="12.5">
      <c r="B840" s="72"/>
      <c r="F840" s="27"/>
      <c r="J840" s="43"/>
      <c r="M840" s="74"/>
    </row>
    <row r="841" spans="2:13" ht="12.5">
      <c r="B841" s="72"/>
      <c r="F841" s="27"/>
      <c r="J841" s="43"/>
      <c r="M841" s="74"/>
    </row>
    <row r="842" spans="2:13" ht="12.5">
      <c r="B842" s="72"/>
      <c r="F842" s="27"/>
      <c r="J842" s="43"/>
      <c r="M842" s="74"/>
    </row>
    <row r="843" spans="2:13" ht="12.5">
      <c r="B843" s="72"/>
      <c r="F843" s="27"/>
      <c r="J843" s="43"/>
      <c r="M843" s="74"/>
    </row>
    <row r="844" spans="2:13" ht="12.5">
      <c r="B844" s="72"/>
      <c r="F844" s="27"/>
      <c r="J844" s="43"/>
      <c r="M844" s="74"/>
    </row>
    <row r="845" spans="2:13" ht="12.5">
      <c r="B845" s="72"/>
      <c r="F845" s="27"/>
      <c r="J845" s="43"/>
      <c r="M845" s="74"/>
    </row>
    <row r="846" spans="2:13" ht="12.5">
      <c r="B846" s="72"/>
      <c r="F846" s="27"/>
      <c r="J846" s="43"/>
      <c r="M846" s="74"/>
    </row>
    <row r="847" spans="2:13" ht="12.5">
      <c r="B847" s="72"/>
      <c r="F847" s="27"/>
      <c r="J847" s="43"/>
      <c r="M847" s="74"/>
    </row>
    <row r="848" spans="2:13" ht="12.5">
      <c r="B848" s="72"/>
      <c r="F848" s="27"/>
      <c r="J848" s="43"/>
      <c r="M848" s="74"/>
    </row>
    <row r="849" spans="2:13" ht="12.5">
      <c r="B849" s="72"/>
      <c r="F849" s="27"/>
      <c r="J849" s="43"/>
      <c r="M849" s="74"/>
    </row>
    <row r="850" spans="2:13" ht="12.5">
      <c r="B850" s="72"/>
      <c r="F850" s="27"/>
      <c r="J850" s="43"/>
      <c r="M850" s="74"/>
    </row>
    <row r="851" spans="2:13" ht="12.5">
      <c r="B851" s="72"/>
      <c r="F851" s="27"/>
      <c r="J851" s="43"/>
      <c r="M851" s="74"/>
    </row>
    <row r="852" spans="2:13" ht="12.5">
      <c r="B852" s="72"/>
      <c r="F852" s="27"/>
      <c r="J852" s="43"/>
      <c r="M852" s="74"/>
    </row>
    <row r="853" spans="2:13" ht="12.5">
      <c r="B853" s="72"/>
      <c r="F853" s="27"/>
      <c r="J853" s="43"/>
      <c r="M853" s="74"/>
    </row>
    <row r="854" spans="2:13" ht="12.5">
      <c r="B854" s="72"/>
      <c r="F854" s="27"/>
      <c r="J854" s="43"/>
      <c r="M854" s="74"/>
    </row>
    <row r="855" spans="2:13" ht="12.5">
      <c r="B855" s="72"/>
      <c r="F855" s="27"/>
      <c r="J855" s="43"/>
      <c r="M855" s="74"/>
    </row>
    <row r="856" spans="2:13" ht="12.5">
      <c r="B856" s="72"/>
      <c r="F856" s="27"/>
      <c r="J856" s="43"/>
      <c r="M856" s="74"/>
    </row>
    <row r="857" spans="2:13" ht="12.5">
      <c r="B857" s="72"/>
      <c r="F857" s="27"/>
      <c r="J857" s="43"/>
      <c r="M857" s="74"/>
    </row>
    <row r="858" spans="2:13" ht="12.5">
      <c r="B858" s="72"/>
      <c r="F858" s="27"/>
      <c r="J858" s="43"/>
      <c r="M858" s="74"/>
    </row>
    <row r="859" spans="2:13" ht="12.5">
      <c r="B859" s="72"/>
      <c r="F859" s="27"/>
      <c r="J859" s="43"/>
      <c r="M859" s="74"/>
    </row>
    <row r="860" spans="2:13" ht="12.5">
      <c r="B860" s="72"/>
      <c r="F860" s="27"/>
      <c r="J860" s="43"/>
      <c r="M860" s="74"/>
    </row>
    <row r="861" spans="2:13" ht="12.5">
      <c r="B861" s="72"/>
      <c r="F861" s="27"/>
      <c r="J861" s="43"/>
      <c r="M861" s="74"/>
    </row>
    <row r="862" spans="2:13" ht="12.5">
      <c r="B862" s="72"/>
      <c r="F862" s="27"/>
      <c r="J862" s="43"/>
      <c r="M862" s="74"/>
    </row>
    <row r="863" spans="2:13" ht="12.5">
      <c r="B863" s="72"/>
      <c r="F863" s="27"/>
      <c r="J863" s="43"/>
      <c r="M863" s="74"/>
    </row>
    <row r="864" spans="2:13" ht="12.5">
      <c r="B864" s="72"/>
      <c r="F864" s="27"/>
      <c r="J864" s="43"/>
      <c r="M864" s="74"/>
    </row>
    <row r="865" spans="2:13" ht="12.5">
      <c r="B865" s="72"/>
      <c r="F865" s="27"/>
      <c r="J865" s="43"/>
      <c r="M865" s="74"/>
    </row>
    <row r="866" spans="2:13" ht="12.5">
      <c r="B866" s="72"/>
      <c r="F866" s="27"/>
      <c r="J866" s="43"/>
      <c r="M866" s="74"/>
    </row>
    <row r="867" spans="2:13" ht="12.5">
      <c r="B867" s="72"/>
      <c r="F867" s="27"/>
      <c r="J867" s="43"/>
      <c r="M867" s="74"/>
    </row>
    <row r="868" spans="2:13" ht="12.5">
      <c r="B868" s="72"/>
      <c r="F868" s="27"/>
      <c r="J868" s="43"/>
      <c r="M868" s="74"/>
    </row>
    <row r="869" spans="2:13" ht="12.5">
      <c r="B869" s="72"/>
      <c r="F869" s="27"/>
      <c r="J869" s="43"/>
      <c r="M869" s="74"/>
    </row>
    <row r="870" spans="2:13" ht="12.5">
      <c r="B870" s="72"/>
      <c r="F870" s="27"/>
      <c r="J870" s="43"/>
      <c r="M870" s="74"/>
    </row>
    <row r="871" spans="2:13" ht="12.5">
      <c r="B871" s="72"/>
      <c r="F871" s="27"/>
      <c r="J871" s="43"/>
      <c r="M871" s="74"/>
    </row>
    <row r="872" spans="2:13" ht="12.5">
      <c r="B872" s="72"/>
      <c r="F872" s="27"/>
      <c r="J872" s="43"/>
      <c r="M872" s="74"/>
    </row>
    <row r="873" spans="2:13" ht="12.5">
      <c r="B873" s="72"/>
      <c r="F873" s="27"/>
      <c r="J873" s="43"/>
      <c r="M873" s="74"/>
    </row>
    <row r="874" spans="2:13" ht="12.5">
      <c r="B874" s="72"/>
      <c r="F874" s="27"/>
      <c r="J874" s="43"/>
      <c r="M874" s="74"/>
    </row>
    <row r="875" spans="2:13" ht="12.5">
      <c r="B875" s="72"/>
      <c r="F875" s="27"/>
      <c r="J875" s="43"/>
      <c r="M875" s="74"/>
    </row>
    <row r="876" spans="2:13" ht="12.5">
      <c r="B876" s="72"/>
      <c r="F876" s="27"/>
      <c r="J876" s="43"/>
      <c r="M876" s="74"/>
    </row>
    <row r="877" spans="2:13" ht="12.5">
      <c r="B877" s="72"/>
      <c r="F877" s="27"/>
      <c r="J877" s="43"/>
      <c r="M877" s="74"/>
    </row>
    <row r="878" spans="2:13" ht="12.5">
      <c r="B878" s="72"/>
      <c r="F878" s="27"/>
      <c r="J878" s="43"/>
      <c r="M878" s="74"/>
    </row>
    <row r="879" spans="2:13" ht="12.5">
      <c r="B879" s="72"/>
      <c r="F879" s="27"/>
      <c r="J879" s="43"/>
      <c r="M879" s="74"/>
    </row>
    <row r="880" spans="2:13" ht="12.5">
      <c r="B880" s="72"/>
      <c r="F880" s="27"/>
      <c r="J880" s="43"/>
      <c r="M880" s="74"/>
    </row>
    <row r="881" spans="2:13" ht="12.5">
      <c r="B881" s="72"/>
      <c r="F881" s="27"/>
      <c r="J881" s="43"/>
      <c r="M881" s="74"/>
    </row>
    <row r="882" spans="2:13" ht="12.5">
      <c r="B882" s="72"/>
      <c r="F882" s="27"/>
      <c r="J882" s="43"/>
      <c r="M882" s="74"/>
    </row>
    <row r="883" spans="2:13" ht="12.5">
      <c r="B883" s="72"/>
      <c r="F883" s="27"/>
      <c r="J883" s="43"/>
      <c r="M883" s="74"/>
    </row>
    <row r="884" spans="2:13" ht="12.5">
      <c r="B884" s="72"/>
      <c r="F884" s="27"/>
      <c r="J884" s="43"/>
      <c r="M884" s="74"/>
    </row>
    <row r="885" spans="2:13" ht="12.5">
      <c r="B885" s="72"/>
      <c r="F885" s="27"/>
      <c r="J885" s="43"/>
      <c r="M885" s="74"/>
    </row>
    <row r="886" spans="2:13" ht="12.5">
      <c r="B886" s="72"/>
      <c r="F886" s="27"/>
      <c r="J886" s="43"/>
      <c r="M886" s="74"/>
    </row>
    <row r="887" spans="2:13" ht="12.5">
      <c r="B887" s="72"/>
      <c r="F887" s="27"/>
      <c r="J887" s="43"/>
      <c r="M887" s="74"/>
    </row>
    <row r="888" spans="2:13" ht="12.5">
      <c r="B888" s="72"/>
      <c r="F888" s="27"/>
      <c r="J888" s="43"/>
      <c r="M888" s="74"/>
    </row>
    <row r="889" spans="2:13" ht="12.5">
      <c r="B889" s="72"/>
      <c r="F889" s="27"/>
      <c r="J889" s="43"/>
      <c r="M889" s="74"/>
    </row>
    <row r="890" spans="2:13" ht="12.5">
      <c r="B890" s="72"/>
      <c r="F890" s="27"/>
      <c r="J890" s="43"/>
      <c r="M890" s="74"/>
    </row>
    <row r="891" spans="2:13" ht="12.5">
      <c r="B891" s="72"/>
      <c r="F891" s="27"/>
      <c r="J891" s="43"/>
      <c r="M891" s="74"/>
    </row>
    <row r="892" spans="2:13" ht="12.5">
      <c r="B892" s="72"/>
      <c r="F892" s="27"/>
      <c r="J892" s="43"/>
      <c r="M892" s="74"/>
    </row>
    <row r="893" spans="2:13" ht="12.5">
      <c r="B893" s="72"/>
      <c r="F893" s="27"/>
      <c r="J893" s="43"/>
      <c r="M893" s="74"/>
    </row>
    <row r="894" spans="2:13" ht="12.5">
      <c r="B894" s="72"/>
      <c r="F894" s="27"/>
      <c r="J894" s="43"/>
      <c r="M894" s="74"/>
    </row>
    <row r="895" spans="2:13" ht="12.5">
      <c r="B895" s="72"/>
      <c r="F895" s="27"/>
      <c r="J895" s="43"/>
      <c r="M895" s="74"/>
    </row>
    <row r="896" spans="2:13" ht="12.5">
      <c r="B896" s="72"/>
      <c r="F896" s="27"/>
      <c r="J896" s="43"/>
      <c r="M896" s="74"/>
    </row>
    <row r="897" spans="2:13" ht="12.5">
      <c r="B897" s="72"/>
      <c r="F897" s="27"/>
      <c r="J897" s="43"/>
      <c r="M897" s="74"/>
    </row>
    <row r="898" spans="2:13" ht="12.5">
      <c r="B898" s="72"/>
      <c r="F898" s="27"/>
      <c r="J898" s="43"/>
      <c r="M898" s="74"/>
    </row>
    <row r="899" spans="2:13" ht="12.5">
      <c r="B899" s="72"/>
      <c r="F899" s="27"/>
      <c r="J899" s="43"/>
      <c r="M899" s="74"/>
    </row>
    <row r="900" spans="2:13" ht="12.5">
      <c r="B900" s="72"/>
      <c r="F900" s="27"/>
      <c r="J900" s="43"/>
      <c r="M900" s="74"/>
    </row>
    <row r="901" spans="2:13" ht="12.5">
      <c r="B901" s="72"/>
      <c r="F901" s="27"/>
      <c r="J901" s="43"/>
      <c r="M901" s="74"/>
    </row>
    <row r="902" spans="2:13" ht="12.5">
      <c r="B902" s="72"/>
      <c r="F902" s="27"/>
      <c r="J902" s="43"/>
      <c r="M902" s="74"/>
    </row>
    <row r="903" spans="2:13" ht="12.5">
      <c r="B903" s="72"/>
      <c r="F903" s="27"/>
      <c r="J903" s="43"/>
      <c r="M903" s="74"/>
    </row>
    <row r="904" spans="2:13" ht="12.5">
      <c r="B904" s="72"/>
      <c r="F904" s="27"/>
      <c r="J904" s="43"/>
      <c r="M904" s="74"/>
    </row>
    <row r="905" spans="2:13" ht="12.5">
      <c r="B905" s="72"/>
      <c r="F905" s="27"/>
      <c r="J905" s="43"/>
      <c r="M905" s="74"/>
    </row>
    <row r="906" spans="2:13" ht="12.5">
      <c r="B906" s="72"/>
      <c r="F906" s="27"/>
      <c r="J906" s="43"/>
      <c r="M906" s="74"/>
    </row>
    <row r="907" spans="2:13" ht="12.5">
      <c r="B907" s="72"/>
      <c r="F907" s="27"/>
      <c r="J907" s="43"/>
      <c r="M907" s="74"/>
    </row>
    <row r="908" spans="2:13" ht="12.5">
      <c r="B908" s="72"/>
      <c r="F908" s="27"/>
      <c r="J908" s="43"/>
      <c r="M908" s="74"/>
    </row>
    <row r="909" spans="2:13" ht="12.5">
      <c r="B909" s="72"/>
      <c r="F909" s="27"/>
      <c r="J909" s="43"/>
      <c r="M909" s="74"/>
    </row>
    <row r="910" spans="2:13" ht="12.5">
      <c r="B910" s="72"/>
      <c r="F910" s="27"/>
      <c r="J910" s="43"/>
      <c r="M910" s="74"/>
    </row>
    <row r="911" spans="2:13" ht="12.5">
      <c r="B911" s="72"/>
      <c r="F911" s="27"/>
      <c r="J911" s="43"/>
      <c r="M911" s="74"/>
    </row>
    <row r="912" spans="2:13" ht="12.5">
      <c r="B912" s="72"/>
      <c r="F912" s="27"/>
      <c r="J912" s="43"/>
      <c r="M912" s="74"/>
    </row>
    <row r="913" spans="2:13" ht="12.5">
      <c r="B913" s="72"/>
      <c r="F913" s="27"/>
      <c r="J913" s="43"/>
      <c r="M913" s="74"/>
    </row>
    <row r="914" spans="2:13" ht="12.5">
      <c r="B914" s="72"/>
      <c r="F914" s="27"/>
      <c r="J914" s="43"/>
      <c r="M914" s="74"/>
    </row>
    <row r="915" spans="2:13" ht="12.5">
      <c r="B915" s="72"/>
      <c r="F915" s="27"/>
      <c r="J915" s="43"/>
      <c r="M915" s="74"/>
    </row>
    <row r="916" spans="2:13" ht="12.5">
      <c r="B916" s="72"/>
      <c r="F916" s="27"/>
      <c r="J916" s="43"/>
      <c r="M916" s="74"/>
    </row>
    <row r="917" spans="2:13" ht="12.5">
      <c r="B917" s="72"/>
      <c r="F917" s="27"/>
      <c r="J917" s="43"/>
      <c r="M917" s="74"/>
    </row>
    <row r="918" spans="2:13" ht="12.5">
      <c r="B918" s="72"/>
      <c r="F918" s="27"/>
      <c r="J918" s="43"/>
      <c r="M918" s="74"/>
    </row>
    <row r="919" spans="2:13" ht="12.5">
      <c r="B919" s="72"/>
      <c r="F919" s="27"/>
      <c r="J919" s="43"/>
      <c r="M919" s="74"/>
    </row>
    <row r="920" spans="2:13" ht="12.5">
      <c r="B920" s="72"/>
      <c r="F920" s="27"/>
      <c r="J920" s="43"/>
      <c r="M920" s="74"/>
    </row>
    <row r="921" spans="2:13" ht="12.5">
      <c r="B921" s="72"/>
      <c r="F921" s="27"/>
      <c r="J921" s="43"/>
      <c r="M921" s="74"/>
    </row>
    <row r="922" spans="2:13" ht="12.5">
      <c r="B922" s="72"/>
      <c r="F922" s="27"/>
      <c r="J922" s="43"/>
      <c r="M922" s="74"/>
    </row>
    <row r="923" spans="2:13" ht="12.5">
      <c r="B923" s="72"/>
      <c r="F923" s="27"/>
      <c r="J923" s="43"/>
      <c r="M923" s="74"/>
    </row>
    <row r="924" spans="2:13" ht="12.5">
      <c r="B924" s="72"/>
      <c r="F924" s="27"/>
      <c r="J924" s="43"/>
      <c r="M924" s="74"/>
    </row>
    <row r="925" spans="2:13" ht="12.5">
      <c r="B925" s="72"/>
      <c r="F925" s="27"/>
      <c r="J925" s="43"/>
      <c r="M925" s="74"/>
    </row>
    <row r="926" spans="2:13" ht="12.5">
      <c r="B926" s="72"/>
      <c r="F926" s="27"/>
      <c r="J926" s="43"/>
      <c r="M926" s="74"/>
    </row>
    <row r="927" spans="2:13" ht="12.5">
      <c r="B927" s="72"/>
      <c r="F927" s="27"/>
      <c r="J927" s="43"/>
      <c r="M927" s="74"/>
    </row>
    <row r="928" spans="2:13" ht="12.5">
      <c r="B928" s="72"/>
      <c r="F928" s="27"/>
      <c r="J928" s="43"/>
      <c r="M928" s="74"/>
    </row>
    <row r="929" spans="2:13" ht="12.5">
      <c r="B929" s="72"/>
      <c r="F929" s="27"/>
      <c r="J929" s="43"/>
      <c r="M929" s="74"/>
    </row>
    <row r="930" spans="2:13" ht="12.5">
      <c r="B930" s="72"/>
      <c r="F930" s="27"/>
      <c r="J930" s="43"/>
      <c r="M930" s="74"/>
    </row>
    <row r="931" spans="2:13" ht="12.5">
      <c r="B931" s="72"/>
      <c r="F931" s="27"/>
      <c r="J931" s="43"/>
      <c r="M931" s="74"/>
    </row>
    <row r="932" spans="2:13" ht="12.5">
      <c r="B932" s="72"/>
      <c r="F932" s="27"/>
      <c r="J932" s="43"/>
      <c r="M932" s="74"/>
    </row>
    <row r="933" spans="2:13" ht="12.5">
      <c r="B933" s="72"/>
      <c r="F933" s="27"/>
      <c r="J933" s="43"/>
      <c r="M933" s="74"/>
    </row>
    <row r="934" spans="2:13" ht="12.5">
      <c r="B934" s="72"/>
      <c r="F934" s="27"/>
      <c r="J934" s="43"/>
      <c r="M934" s="74"/>
    </row>
    <row r="935" spans="2:13" ht="12.5">
      <c r="B935" s="72"/>
      <c r="F935" s="27"/>
      <c r="J935" s="43"/>
      <c r="M935" s="74"/>
    </row>
    <row r="936" spans="2:13" ht="12.5">
      <c r="B936" s="72"/>
      <c r="F936" s="27"/>
      <c r="J936" s="43"/>
      <c r="M936" s="74"/>
    </row>
    <row r="937" spans="2:13" ht="12.5">
      <c r="B937" s="72"/>
      <c r="F937" s="27"/>
      <c r="J937" s="43"/>
      <c r="M937" s="74"/>
    </row>
    <row r="938" spans="2:13" ht="12.5">
      <c r="B938" s="72"/>
      <c r="F938" s="27"/>
      <c r="J938" s="43"/>
      <c r="M938" s="74"/>
    </row>
    <row r="939" spans="2:13" ht="12.5">
      <c r="B939" s="72"/>
      <c r="F939" s="27"/>
      <c r="J939" s="43"/>
      <c r="M939" s="74"/>
    </row>
    <row r="940" spans="2:13" ht="12.5">
      <c r="B940" s="72"/>
      <c r="F940" s="27"/>
      <c r="J940" s="43"/>
      <c r="M940" s="74"/>
    </row>
    <row r="941" spans="2:13" ht="12.5">
      <c r="B941" s="72"/>
      <c r="F941" s="27"/>
      <c r="J941" s="43"/>
      <c r="M941" s="74"/>
    </row>
    <row r="942" spans="2:13" ht="12.5">
      <c r="B942" s="72"/>
      <c r="F942" s="27"/>
      <c r="J942" s="43"/>
      <c r="M942" s="74"/>
    </row>
    <row r="943" spans="2:13" ht="12.5">
      <c r="B943" s="72"/>
      <c r="F943" s="27"/>
      <c r="J943" s="43"/>
      <c r="M943" s="74"/>
    </row>
    <row r="944" spans="2:13" ht="12.5">
      <c r="B944" s="72"/>
      <c r="F944" s="27"/>
      <c r="J944" s="43"/>
      <c r="M944" s="74"/>
    </row>
    <row r="945" spans="2:13" ht="12.5">
      <c r="B945" s="72"/>
      <c r="F945" s="27"/>
      <c r="J945" s="43"/>
      <c r="M945" s="74"/>
    </row>
    <row r="946" spans="2:13" ht="12.5">
      <c r="B946" s="72"/>
      <c r="F946" s="27"/>
      <c r="J946" s="43"/>
      <c r="M946" s="74"/>
    </row>
    <row r="947" spans="2:13" ht="12.5">
      <c r="B947" s="72"/>
      <c r="F947" s="27"/>
      <c r="J947" s="43"/>
      <c r="M947" s="74"/>
    </row>
    <row r="948" spans="2:13" ht="12.5">
      <c r="B948" s="72"/>
      <c r="F948" s="27"/>
      <c r="J948" s="43"/>
      <c r="M948" s="74"/>
    </row>
    <row r="949" spans="2:13" ht="12.5">
      <c r="B949" s="72"/>
      <c r="F949" s="27"/>
      <c r="J949" s="43"/>
      <c r="M949" s="74"/>
    </row>
    <row r="950" spans="2:13" ht="12.5">
      <c r="B950" s="72"/>
      <c r="F950" s="27"/>
      <c r="J950" s="43"/>
      <c r="M950" s="74"/>
    </row>
    <row r="951" spans="2:13" ht="12.5">
      <c r="B951" s="72"/>
      <c r="F951" s="27"/>
      <c r="J951" s="43"/>
      <c r="M951" s="74"/>
    </row>
    <row r="952" spans="2:13" ht="12.5">
      <c r="B952" s="72"/>
      <c r="F952" s="27"/>
      <c r="J952" s="43"/>
      <c r="M952" s="74"/>
    </row>
    <row r="953" spans="2:13" ht="12.5">
      <c r="B953" s="72"/>
      <c r="F953" s="27"/>
      <c r="J953" s="43"/>
      <c r="M953" s="74"/>
    </row>
    <row r="954" spans="2:13" ht="12.5">
      <c r="B954" s="72"/>
      <c r="F954" s="27"/>
      <c r="J954" s="43"/>
      <c r="M954" s="74"/>
    </row>
    <row r="955" spans="2:13" ht="12.5">
      <c r="B955" s="72"/>
      <c r="F955" s="27"/>
      <c r="J955" s="43"/>
      <c r="M955" s="74"/>
    </row>
    <row r="956" spans="2:13" ht="12.5">
      <c r="B956" s="72"/>
      <c r="F956" s="27"/>
      <c r="J956" s="43"/>
      <c r="M956" s="74"/>
    </row>
    <row r="957" spans="2:13" ht="12.5">
      <c r="B957" s="72"/>
      <c r="F957" s="27"/>
      <c r="J957" s="43"/>
      <c r="M957" s="74"/>
    </row>
    <row r="958" spans="2:13" ht="12.5">
      <c r="B958" s="72"/>
      <c r="F958" s="27"/>
      <c r="J958" s="43"/>
      <c r="M958" s="74"/>
    </row>
    <row r="959" spans="2:13" ht="12.5">
      <c r="B959" s="72"/>
      <c r="F959" s="27"/>
      <c r="J959" s="43"/>
      <c r="M959" s="74"/>
    </row>
    <row r="960" spans="2:13" ht="12.5">
      <c r="B960" s="72"/>
      <c r="F960" s="27"/>
      <c r="J960" s="43"/>
      <c r="M960" s="74"/>
    </row>
    <row r="961" spans="2:13" ht="12.5">
      <c r="B961" s="72"/>
      <c r="F961" s="27"/>
      <c r="J961" s="43"/>
      <c r="M961" s="74"/>
    </row>
    <row r="962" spans="2:13" ht="12.5">
      <c r="B962" s="72"/>
      <c r="F962" s="27"/>
      <c r="J962" s="43"/>
      <c r="M962" s="74"/>
    </row>
    <row r="963" spans="2:13" ht="12.5">
      <c r="B963" s="72"/>
      <c r="F963" s="27"/>
      <c r="J963" s="43"/>
      <c r="M963" s="74"/>
    </row>
    <row r="964" spans="2:13" ht="12.5">
      <c r="B964" s="72"/>
      <c r="F964" s="27"/>
      <c r="J964" s="43"/>
      <c r="M964" s="74"/>
    </row>
    <row r="965" spans="2:13" ht="12.5">
      <c r="B965" s="72"/>
      <c r="F965" s="27"/>
      <c r="J965" s="43"/>
      <c r="M965" s="74"/>
    </row>
    <row r="966" spans="2:13" ht="12.5">
      <c r="B966" s="72"/>
      <c r="F966" s="27"/>
      <c r="J966" s="43"/>
      <c r="M966" s="74"/>
    </row>
    <row r="967" spans="2:13" ht="12.5">
      <c r="B967" s="72"/>
      <c r="F967" s="27"/>
      <c r="J967" s="43"/>
      <c r="M967" s="74"/>
    </row>
    <row r="968" spans="2:13" ht="12.5">
      <c r="B968" s="72"/>
      <c r="F968" s="27"/>
      <c r="J968" s="43"/>
      <c r="M968" s="74"/>
    </row>
    <row r="969" spans="2:13" ht="12.5">
      <c r="B969" s="72"/>
      <c r="F969" s="27"/>
      <c r="J969" s="43"/>
      <c r="M969" s="74"/>
    </row>
    <row r="970" spans="2:13" ht="12.5">
      <c r="B970" s="72"/>
      <c r="F970" s="27"/>
      <c r="J970" s="43"/>
      <c r="M970" s="74"/>
    </row>
    <row r="971" spans="2:13" ht="12.5">
      <c r="B971" s="72"/>
      <c r="F971" s="27"/>
      <c r="J971" s="43"/>
      <c r="M971" s="74"/>
    </row>
    <row r="972" spans="2:13" ht="12.5">
      <c r="B972" s="72"/>
      <c r="F972" s="27"/>
      <c r="J972" s="43"/>
      <c r="M972" s="74"/>
    </row>
    <row r="973" spans="2:13" ht="12.5">
      <c r="B973" s="72"/>
      <c r="F973" s="27"/>
      <c r="J973" s="43"/>
      <c r="M973" s="74"/>
    </row>
    <row r="974" spans="2:13" ht="12.5">
      <c r="B974" s="72"/>
      <c r="F974" s="27"/>
      <c r="J974" s="43"/>
      <c r="M974" s="74"/>
    </row>
    <row r="975" spans="2:13" ht="12.5">
      <c r="B975" s="72"/>
      <c r="F975" s="27"/>
      <c r="J975" s="43"/>
      <c r="M975" s="74"/>
    </row>
    <row r="976" spans="2:13" ht="12.5">
      <c r="B976" s="72"/>
      <c r="F976" s="27"/>
      <c r="J976" s="43"/>
      <c r="M976" s="74"/>
    </row>
    <row r="977" spans="2:13" ht="12.5">
      <c r="B977" s="72"/>
      <c r="F977" s="27"/>
      <c r="J977" s="43"/>
      <c r="M977" s="74"/>
    </row>
    <row r="978" spans="2:13" ht="12.5">
      <c r="B978" s="72"/>
      <c r="F978" s="27"/>
      <c r="J978" s="43"/>
      <c r="M978" s="74"/>
    </row>
    <row r="979" spans="2:13" ht="12.5">
      <c r="B979" s="72"/>
      <c r="F979" s="27"/>
      <c r="J979" s="43"/>
      <c r="M979" s="74"/>
    </row>
    <row r="980" spans="2:13" ht="12.5">
      <c r="B980" s="72"/>
      <c r="F980" s="27"/>
      <c r="J980" s="43"/>
      <c r="M980" s="74"/>
    </row>
    <row r="981" spans="2:13" ht="12.5">
      <c r="B981" s="72"/>
      <c r="F981" s="27"/>
      <c r="J981" s="43"/>
      <c r="M981" s="74"/>
    </row>
    <row r="982" spans="2:13" ht="12.5">
      <c r="B982" s="72"/>
      <c r="F982" s="27"/>
      <c r="J982" s="43"/>
      <c r="M982" s="74"/>
    </row>
    <row r="983" spans="2:13" ht="12.5">
      <c r="B983" s="72"/>
      <c r="F983" s="27"/>
      <c r="J983" s="43"/>
      <c r="M983" s="74"/>
    </row>
    <row r="984" spans="2:13" ht="12.5">
      <c r="B984" s="72"/>
      <c r="F984" s="27"/>
      <c r="J984" s="43"/>
      <c r="M984" s="74"/>
    </row>
    <row r="985" spans="2:13" ht="12.5">
      <c r="B985" s="72"/>
      <c r="F985" s="27"/>
      <c r="J985" s="43"/>
      <c r="M985" s="74"/>
    </row>
    <row r="986" spans="2:13" ht="12.5">
      <c r="B986" s="72"/>
      <c r="F986" s="27"/>
      <c r="J986" s="43"/>
      <c r="M986" s="74"/>
    </row>
    <row r="987" spans="2:13" ht="12.5">
      <c r="B987" s="72"/>
      <c r="F987" s="27"/>
      <c r="J987" s="43"/>
      <c r="M987" s="74"/>
    </row>
    <row r="988" spans="2:13" ht="12.5">
      <c r="B988" s="72"/>
      <c r="F988" s="27"/>
      <c r="J988" s="43"/>
      <c r="M988" s="74"/>
    </row>
    <row r="989" spans="2:13" ht="12.5">
      <c r="B989" s="72"/>
      <c r="F989" s="27"/>
      <c r="J989" s="43"/>
      <c r="M989" s="74"/>
    </row>
    <row r="990" spans="2:13" ht="12.5">
      <c r="B990" s="72"/>
      <c r="F990" s="27"/>
      <c r="J990" s="43"/>
      <c r="M990" s="74"/>
    </row>
    <row r="991" spans="2:13" ht="12.5">
      <c r="B991" s="72"/>
      <c r="F991" s="27"/>
      <c r="J991" s="43"/>
      <c r="M991" s="74"/>
    </row>
    <row r="992" spans="2:13" ht="12.5">
      <c r="B992" s="72"/>
      <c r="F992" s="27"/>
      <c r="J992" s="43"/>
      <c r="M992" s="7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U985"/>
  <sheetViews>
    <sheetView workbookViewId="0">
      <pane ySplit="1" topLeftCell="A2" activePane="bottomLeft" state="frozen"/>
      <selection pane="bottomLeft" activeCell="B3" sqref="B3"/>
    </sheetView>
  </sheetViews>
  <sheetFormatPr baseColWidth="10" defaultColWidth="12.6328125" defaultRowHeight="15.75" customHeight="1"/>
  <cols>
    <col min="1" max="1" width="12.7265625" customWidth="1"/>
    <col min="2" max="2" width="13.453125" customWidth="1"/>
    <col min="3" max="3" width="12.453125" customWidth="1"/>
    <col min="4" max="4" width="29.08984375" customWidth="1"/>
    <col min="5" max="5" width="18.36328125" customWidth="1"/>
    <col min="6" max="6" width="11.7265625" customWidth="1"/>
    <col min="7" max="8" width="13.7265625" customWidth="1"/>
    <col min="9" max="9" width="12.453125" customWidth="1"/>
    <col min="10" max="10" width="12" customWidth="1"/>
    <col min="11" max="11" width="39.90625" customWidth="1"/>
    <col min="12" max="12" width="10.7265625" customWidth="1"/>
    <col min="13" max="13" width="14.26953125" customWidth="1"/>
    <col min="14" max="14" width="18.6328125" customWidth="1"/>
    <col min="15" max="15" width="39.453125" customWidth="1"/>
    <col min="16" max="16" width="2.08984375" customWidth="1"/>
    <col min="18" max="18" width="3" customWidth="1"/>
  </cols>
  <sheetData>
    <row r="1" spans="1:21" ht="37.5" customHeight="1">
      <c r="A1" s="38" t="s">
        <v>0</v>
      </c>
      <c r="B1" s="39" t="s">
        <v>531</v>
      </c>
      <c r="C1" s="40" t="s">
        <v>538</v>
      </c>
      <c r="D1" s="40" t="s">
        <v>2</v>
      </c>
      <c r="E1" s="81" t="s">
        <v>3</v>
      </c>
      <c r="F1" s="41" t="s">
        <v>4</v>
      </c>
      <c r="G1" s="40" t="s">
        <v>721</v>
      </c>
      <c r="H1" s="40" t="s">
        <v>5</v>
      </c>
      <c r="I1" s="40" t="s">
        <v>655</v>
      </c>
      <c r="J1" s="40" t="s">
        <v>532</v>
      </c>
      <c r="K1" s="40" t="s">
        <v>7</v>
      </c>
      <c r="L1" s="40" t="s">
        <v>9</v>
      </c>
      <c r="M1" s="42" t="s">
        <v>10</v>
      </c>
      <c r="N1" s="42" t="s">
        <v>12</v>
      </c>
      <c r="O1" s="40" t="s">
        <v>13</v>
      </c>
      <c r="P1" s="42" t="s">
        <v>14</v>
      </c>
      <c r="Q1" s="42" t="s">
        <v>656</v>
      </c>
      <c r="R1" s="42" t="s">
        <v>657</v>
      </c>
      <c r="S1" s="42" t="s">
        <v>658</v>
      </c>
      <c r="T1" s="42" t="s">
        <v>659</v>
      </c>
      <c r="U1" s="42" t="s">
        <v>722</v>
      </c>
    </row>
    <row r="2" spans="1:21" ht="40.5" customHeight="1">
      <c r="A2" s="21" t="s">
        <v>723</v>
      </c>
      <c r="B2" s="26">
        <v>666768</v>
      </c>
      <c r="C2" s="43" t="s">
        <v>555</v>
      </c>
      <c r="D2" s="82" t="s">
        <v>724</v>
      </c>
      <c r="E2" s="83" t="s">
        <v>725</v>
      </c>
      <c r="F2" s="45">
        <v>3122586863</v>
      </c>
      <c r="G2" s="44"/>
      <c r="H2" s="44" t="s">
        <v>540</v>
      </c>
      <c r="I2" s="44" t="s">
        <v>726</v>
      </c>
      <c r="J2" s="46">
        <v>45212</v>
      </c>
      <c r="K2" s="47" t="s">
        <v>662</v>
      </c>
      <c r="L2" s="48">
        <v>45243</v>
      </c>
      <c r="M2" s="62">
        <v>45200</v>
      </c>
      <c r="N2" s="50"/>
      <c r="O2" s="47" t="s">
        <v>664</v>
      </c>
      <c r="U2" s="19" t="s">
        <v>727</v>
      </c>
    </row>
    <row r="3" spans="1:21" ht="37.5">
      <c r="A3" s="21" t="s">
        <v>728</v>
      </c>
      <c r="B3" s="26">
        <v>652001</v>
      </c>
      <c r="C3" s="43" t="s">
        <v>555</v>
      </c>
      <c r="D3" s="82" t="s">
        <v>729</v>
      </c>
      <c r="E3" s="83" t="s">
        <v>725</v>
      </c>
      <c r="F3" s="45">
        <v>3122586863</v>
      </c>
      <c r="G3" s="44"/>
      <c r="H3" s="44" t="s">
        <v>540</v>
      </c>
      <c r="I3" s="44" t="s">
        <v>730</v>
      </c>
      <c r="J3" s="46">
        <v>45212</v>
      </c>
      <c r="K3" s="47" t="s">
        <v>662</v>
      </c>
      <c r="L3" s="48">
        <v>45243</v>
      </c>
      <c r="M3" s="62">
        <v>45200</v>
      </c>
      <c r="N3" s="50"/>
      <c r="O3" s="47" t="s">
        <v>664</v>
      </c>
      <c r="U3" s="19" t="s">
        <v>727</v>
      </c>
    </row>
    <row r="4" spans="1:21" ht="37.5">
      <c r="A4" s="21" t="s">
        <v>731</v>
      </c>
      <c r="B4" s="26">
        <v>652001</v>
      </c>
      <c r="C4" s="43" t="s">
        <v>555</v>
      </c>
      <c r="D4" s="82" t="s">
        <v>732</v>
      </c>
      <c r="E4" s="83" t="s">
        <v>725</v>
      </c>
      <c r="F4" s="45">
        <v>3122586863</v>
      </c>
      <c r="G4" s="44"/>
      <c r="H4" s="44" t="s">
        <v>540</v>
      </c>
      <c r="I4" s="44" t="s">
        <v>733</v>
      </c>
      <c r="J4" s="46">
        <v>45212</v>
      </c>
      <c r="K4" s="47" t="s">
        <v>662</v>
      </c>
      <c r="L4" s="48">
        <v>45243</v>
      </c>
      <c r="M4" s="62">
        <v>45200</v>
      </c>
      <c r="N4" s="50"/>
      <c r="O4" s="47" t="s">
        <v>664</v>
      </c>
      <c r="U4" s="19" t="s">
        <v>727</v>
      </c>
    </row>
    <row r="5" spans="1:21" ht="75">
      <c r="A5" s="21" t="s">
        <v>734</v>
      </c>
      <c r="B5" s="26">
        <v>652001</v>
      </c>
      <c r="C5" s="43" t="s">
        <v>555</v>
      </c>
      <c r="D5" s="82" t="s">
        <v>735</v>
      </c>
      <c r="E5" s="83" t="s">
        <v>725</v>
      </c>
      <c r="F5" s="45">
        <v>3122586863</v>
      </c>
      <c r="G5" s="44"/>
      <c r="H5" s="44" t="s">
        <v>540</v>
      </c>
      <c r="I5" s="44" t="s">
        <v>736</v>
      </c>
      <c r="J5" s="46">
        <v>45212</v>
      </c>
      <c r="K5" s="47" t="s">
        <v>662</v>
      </c>
      <c r="L5" s="48">
        <v>45243</v>
      </c>
      <c r="M5" s="62">
        <v>45200</v>
      </c>
      <c r="N5" s="50"/>
      <c r="O5" s="47" t="s">
        <v>664</v>
      </c>
      <c r="U5" s="19" t="s">
        <v>727</v>
      </c>
    </row>
    <row r="6" spans="1:21" ht="37.5">
      <c r="A6" s="21" t="s">
        <v>737</v>
      </c>
      <c r="B6" s="26">
        <v>666768</v>
      </c>
      <c r="C6" s="43" t="s">
        <v>555</v>
      </c>
      <c r="D6" s="82" t="s">
        <v>738</v>
      </c>
      <c r="E6" s="83" t="s">
        <v>725</v>
      </c>
      <c r="F6" s="45">
        <v>3122586863</v>
      </c>
      <c r="G6" s="44"/>
      <c r="H6" s="44" t="s">
        <v>540</v>
      </c>
      <c r="I6" s="44" t="s">
        <v>739</v>
      </c>
      <c r="J6" s="46">
        <v>45212</v>
      </c>
      <c r="K6" s="47" t="s">
        <v>662</v>
      </c>
      <c r="L6" s="48">
        <v>45243</v>
      </c>
      <c r="M6" s="62">
        <v>45200</v>
      </c>
      <c r="N6" s="50"/>
      <c r="O6" s="47" t="s">
        <v>664</v>
      </c>
      <c r="U6" s="19" t="s">
        <v>727</v>
      </c>
    </row>
    <row r="7" spans="1:21" ht="50">
      <c r="B7" s="26">
        <v>87704</v>
      </c>
      <c r="C7" s="43"/>
      <c r="D7" s="43" t="s">
        <v>740</v>
      </c>
      <c r="E7" s="84" t="s">
        <v>741</v>
      </c>
      <c r="F7" s="85">
        <v>3188217751</v>
      </c>
      <c r="G7" s="6"/>
      <c r="H7" s="6" t="s">
        <v>742</v>
      </c>
      <c r="J7" s="46">
        <v>45225</v>
      </c>
      <c r="K7" s="43" t="s">
        <v>743</v>
      </c>
      <c r="L7" s="46">
        <v>45256</v>
      </c>
      <c r="N7" s="74"/>
      <c r="O7" s="43" t="s">
        <v>744</v>
      </c>
    </row>
    <row r="8" spans="1:21" ht="50">
      <c r="A8" s="4" t="s">
        <v>745</v>
      </c>
      <c r="B8" s="26">
        <v>553946</v>
      </c>
      <c r="C8" s="43" t="s">
        <v>548</v>
      </c>
      <c r="D8" s="6" t="s">
        <v>746</v>
      </c>
      <c r="E8" s="77" t="s">
        <v>747</v>
      </c>
      <c r="F8" s="86">
        <v>3124328260</v>
      </c>
      <c r="G8" s="44"/>
      <c r="H8" s="44" t="s">
        <v>540</v>
      </c>
      <c r="I8" s="6" t="s">
        <v>692</v>
      </c>
      <c r="J8" s="46">
        <v>45226</v>
      </c>
      <c r="K8" s="47" t="s">
        <v>662</v>
      </c>
      <c r="L8" s="46">
        <v>45257</v>
      </c>
      <c r="M8" s="87">
        <v>45214</v>
      </c>
      <c r="N8" s="74"/>
      <c r="O8" s="43" t="s">
        <v>748</v>
      </c>
      <c r="Q8" s="43" t="s">
        <v>749</v>
      </c>
      <c r="U8" s="6" t="s">
        <v>727</v>
      </c>
    </row>
    <row r="9" spans="1:21" ht="25">
      <c r="A9" s="6" t="s">
        <v>750</v>
      </c>
      <c r="B9" s="26">
        <v>150000</v>
      </c>
      <c r="C9" s="43" t="s">
        <v>751</v>
      </c>
      <c r="D9" s="6" t="s">
        <v>752</v>
      </c>
      <c r="E9" s="84" t="s">
        <v>753</v>
      </c>
      <c r="F9" s="73" t="s">
        <v>754</v>
      </c>
      <c r="G9" s="44"/>
      <c r="H9" s="44" t="s">
        <v>540</v>
      </c>
      <c r="I9" s="6" t="s">
        <v>755</v>
      </c>
      <c r="J9" s="46">
        <v>45229</v>
      </c>
      <c r="K9" s="43" t="s">
        <v>756</v>
      </c>
      <c r="L9" s="46">
        <v>45260</v>
      </c>
      <c r="M9" s="87">
        <v>45214</v>
      </c>
      <c r="N9" s="74"/>
      <c r="U9" s="6" t="s">
        <v>727</v>
      </c>
    </row>
    <row r="10" spans="1:21" ht="163.5">
      <c r="A10" s="5" t="s">
        <v>757</v>
      </c>
      <c r="B10" s="34">
        <v>350000</v>
      </c>
      <c r="C10" s="43" t="s">
        <v>714</v>
      </c>
      <c r="D10" s="76" t="s">
        <v>758</v>
      </c>
      <c r="E10" s="43" t="s">
        <v>759</v>
      </c>
      <c r="F10" s="6">
        <v>3016973382</v>
      </c>
      <c r="G10" s="44"/>
      <c r="H10" s="44" t="s">
        <v>760</v>
      </c>
      <c r="I10" s="43" t="s">
        <v>761</v>
      </c>
      <c r="J10" s="46">
        <v>45230</v>
      </c>
      <c r="K10" s="43" t="s">
        <v>762</v>
      </c>
      <c r="L10" s="46">
        <v>45261</v>
      </c>
      <c r="M10" s="87">
        <v>45214</v>
      </c>
      <c r="O10" s="43" t="s">
        <v>763</v>
      </c>
      <c r="Q10" s="43" t="s">
        <v>764</v>
      </c>
    </row>
    <row r="11" spans="1:21" ht="37.5">
      <c r="A11" s="88" t="s">
        <v>765</v>
      </c>
      <c r="B11" s="89">
        <v>325000</v>
      </c>
      <c r="C11" s="90" t="s">
        <v>714</v>
      </c>
      <c r="D11" s="88" t="s">
        <v>766</v>
      </c>
      <c r="E11" s="91" t="s">
        <v>767</v>
      </c>
      <c r="F11" s="90">
        <v>3013617758</v>
      </c>
      <c r="G11" s="92"/>
      <c r="H11" s="92" t="s">
        <v>540</v>
      </c>
      <c r="I11" s="93">
        <v>45170</v>
      </c>
      <c r="J11" s="94">
        <v>45232</v>
      </c>
      <c r="K11" s="90" t="s">
        <v>768</v>
      </c>
      <c r="L11" s="95">
        <v>45262</v>
      </c>
      <c r="M11" s="88" t="s">
        <v>769</v>
      </c>
      <c r="N11" s="96"/>
      <c r="O11" s="88" t="s">
        <v>770</v>
      </c>
      <c r="P11" s="88"/>
      <c r="Q11" s="88" t="s">
        <v>771</v>
      </c>
      <c r="R11" s="88"/>
      <c r="S11" s="97" t="s">
        <v>772</v>
      </c>
      <c r="T11" s="97" t="s">
        <v>773</v>
      </c>
      <c r="U11" s="88"/>
    </row>
    <row r="12" spans="1:21" ht="87.5">
      <c r="A12" s="98" t="s">
        <v>774</v>
      </c>
      <c r="B12" s="89">
        <v>415000</v>
      </c>
      <c r="C12" s="90" t="s">
        <v>714</v>
      </c>
      <c r="D12" s="88" t="s">
        <v>775</v>
      </c>
      <c r="E12" s="91" t="s">
        <v>776</v>
      </c>
      <c r="F12" s="91" t="s">
        <v>777</v>
      </c>
      <c r="G12" s="99" t="s">
        <v>778</v>
      </c>
      <c r="H12" s="88" t="s">
        <v>540</v>
      </c>
      <c r="I12" s="90" t="s">
        <v>779</v>
      </c>
      <c r="J12" s="100">
        <v>45233</v>
      </c>
      <c r="K12" s="90" t="s">
        <v>780</v>
      </c>
      <c r="L12" s="100">
        <v>45263</v>
      </c>
      <c r="M12" s="88" t="s">
        <v>781</v>
      </c>
      <c r="N12" s="96"/>
      <c r="O12" s="90" t="s">
        <v>782</v>
      </c>
      <c r="P12" s="88"/>
      <c r="Q12" s="88" t="s">
        <v>783</v>
      </c>
      <c r="R12" s="88"/>
      <c r="S12" s="97" t="s">
        <v>784</v>
      </c>
      <c r="T12" s="97" t="s">
        <v>773</v>
      </c>
      <c r="U12" s="88" t="s">
        <v>661</v>
      </c>
    </row>
    <row r="13" spans="1:21" ht="55.5" customHeight="1">
      <c r="A13" s="88" t="s">
        <v>785</v>
      </c>
      <c r="B13" s="89">
        <v>192000</v>
      </c>
      <c r="C13" s="90" t="s">
        <v>550</v>
      </c>
      <c r="D13" s="88" t="s">
        <v>786</v>
      </c>
      <c r="E13" s="90" t="s">
        <v>787</v>
      </c>
      <c r="F13" s="91">
        <v>3182856118</v>
      </c>
      <c r="G13" s="101" t="s">
        <v>788</v>
      </c>
      <c r="H13" s="92" t="s">
        <v>540</v>
      </c>
      <c r="I13" s="102">
        <v>44805</v>
      </c>
      <c r="J13" s="95">
        <v>45231</v>
      </c>
      <c r="K13" s="90" t="s">
        <v>789</v>
      </c>
      <c r="L13" s="95">
        <v>45261</v>
      </c>
      <c r="M13" s="93">
        <v>45231</v>
      </c>
      <c r="N13" s="88"/>
      <c r="O13" s="90" t="s">
        <v>790</v>
      </c>
      <c r="P13" s="88"/>
      <c r="Q13" s="90" t="s">
        <v>749</v>
      </c>
      <c r="R13" s="88"/>
      <c r="S13" s="88"/>
      <c r="T13" s="88"/>
      <c r="U13" s="88"/>
    </row>
    <row r="14" spans="1:21" ht="34.5" customHeight="1">
      <c r="A14" s="88" t="s">
        <v>791</v>
      </c>
      <c r="B14" s="103">
        <v>1710000</v>
      </c>
      <c r="C14" s="90" t="s">
        <v>563</v>
      </c>
      <c r="D14" s="88" t="s">
        <v>792</v>
      </c>
      <c r="E14" s="104" t="s">
        <v>793</v>
      </c>
      <c r="F14" s="91" t="s">
        <v>794</v>
      </c>
      <c r="G14" s="105" t="s">
        <v>795</v>
      </c>
      <c r="H14" s="92" t="s">
        <v>540</v>
      </c>
      <c r="I14" s="93">
        <v>45108</v>
      </c>
      <c r="J14" s="94">
        <v>45250</v>
      </c>
      <c r="K14" s="90" t="s">
        <v>796</v>
      </c>
      <c r="L14" s="94">
        <v>45280</v>
      </c>
      <c r="M14" s="93">
        <v>45231</v>
      </c>
      <c r="N14" s="106" t="s">
        <v>797</v>
      </c>
      <c r="O14" s="88" t="s">
        <v>798</v>
      </c>
      <c r="P14" s="88"/>
      <c r="Q14" s="88" t="s">
        <v>771</v>
      </c>
      <c r="R14" s="88"/>
      <c r="S14" s="97" t="s">
        <v>720</v>
      </c>
      <c r="T14" s="97" t="s">
        <v>720</v>
      </c>
      <c r="U14" s="88"/>
    </row>
    <row r="18" spans="1:21" ht="12.5">
      <c r="B18" s="72"/>
      <c r="C18" s="43"/>
      <c r="E18" s="84"/>
      <c r="F18" s="27"/>
      <c r="K18" s="43"/>
      <c r="N18" s="74"/>
    </row>
    <row r="19" spans="1:21" ht="72.75" customHeight="1">
      <c r="A19" s="107">
        <v>830144762</v>
      </c>
      <c r="B19" s="108">
        <v>0</v>
      </c>
      <c r="C19" s="109" t="s">
        <v>799</v>
      </c>
      <c r="D19" s="109" t="s">
        <v>800</v>
      </c>
      <c r="E19" s="110" t="s">
        <v>801</v>
      </c>
      <c r="F19" s="111">
        <v>3102229625</v>
      </c>
      <c r="G19" s="112"/>
      <c r="H19" s="112" t="s">
        <v>540</v>
      </c>
      <c r="I19" s="112" t="s">
        <v>730</v>
      </c>
      <c r="J19" s="113">
        <v>45208</v>
      </c>
      <c r="K19" s="114" t="s">
        <v>802</v>
      </c>
      <c r="L19" s="113">
        <v>45239</v>
      </c>
      <c r="M19" s="115" t="s">
        <v>661</v>
      </c>
      <c r="N19" s="116" t="s">
        <v>661</v>
      </c>
      <c r="O19" s="112" t="s">
        <v>727</v>
      </c>
      <c r="P19" s="117"/>
      <c r="Q19" s="117"/>
      <c r="R19" s="117"/>
      <c r="S19" s="117"/>
      <c r="T19" s="117"/>
      <c r="U19" s="117"/>
    </row>
    <row r="24" spans="1:21" ht="12.5">
      <c r="B24" s="72"/>
      <c r="C24" s="43"/>
      <c r="E24" s="84"/>
      <c r="F24" s="27"/>
      <c r="K24" s="43"/>
      <c r="N24" s="74"/>
    </row>
    <row r="25" spans="1:21" ht="12.5">
      <c r="B25" s="72"/>
      <c r="C25" s="43"/>
      <c r="E25" s="84"/>
      <c r="F25" s="27"/>
      <c r="K25" s="43"/>
      <c r="N25" s="74"/>
    </row>
    <row r="26" spans="1:21" ht="12.5">
      <c r="B26" s="72"/>
      <c r="C26" s="43"/>
      <c r="E26" s="84"/>
      <c r="F26" s="27"/>
      <c r="K26" s="43"/>
      <c r="N26" s="74"/>
    </row>
    <row r="27" spans="1:21" ht="12.5">
      <c r="B27" s="72"/>
      <c r="C27" s="43"/>
      <c r="E27" s="84"/>
      <c r="F27" s="27"/>
      <c r="K27" s="43"/>
      <c r="N27" s="74"/>
    </row>
    <row r="28" spans="1:21" ht="12.5">
      <c r="B28" s="72"/>
      <c r="C28" s="43"/>
      <c r="E28" s="84"/>
      <c r="F28" s="27"/>
      <c r="K28" s="43"/>
      <c r="N28" s="74"/>
    </row>
    <row r="29" spans="1:21" ht="12.5">
      <c r="B29" s="72"/>
      <c r="C29" s="43"/>
      <c r="E29" s="84"/>
      <c r="F29" s="27"/>
      <c r="K29" s="43"/>
      <c r="N29" s="74"/>
    </row>
    <row r="30" spans="1:21" ht="12.5">
      <c r="B30" s="72"/>
      <c r="C30" s="43"/>
      <c r="E30" s="84"/>
      <c r="F30" s="27"/>
      <c r="K30" s="43"/>
      <c r="N30" s="74"/>
    </row>
    <row r="31" spans="1:21" ht="12.5">
      <c r="B31" s="72"/>
      <c r="C31" s="43"/>
      <c r="E31" s="84"/>
      <c r="F31" s="27"/>
      <c r="K31" s="43"/>
      <c r="N31" s="74"/>
    </row>
    <row r="32" spans="1:21" ht="12.5">
      <c r="B32" s="72"/>
      <c r="C32" s="43"/>
      <c r="E32" s="84"/>
      <c r="F32" s="27"/>
      <c r="K32" s="43"/>
      <c r="N32" s="74"/>
    </row>
    <row r="33" spans="2:14" ht="12.5">
      <c r="B33" s="72"/>
      <c r="C33" s="43"/>
      <c r="E33" s="84"/>
      <c r="F33" s="27"/>
      <c r="K33" s="43"/>
      <c r="N33" s="74"/>
    </row>
    <row r="34" spans="2:14" ht="12.5">
      <c r="B34" s="72"/>
      <c r="C34" s="43"/>
      <c r="E34" s="84"/>
      <c r="F34" s="27"/>
      <c r="K34" s="43"/>
      <c r="N34" s="74"/>
    </row>
    <row r="35" spans="2:14" ht="12.5">
      <c r="B35" s="72"/>
      <c r="C35" s="43"/>
      <c r="E35" s="84"/>
      <c r="F35" s="27"/>
      <c r="K35" s="43"/>
      <c r="N35" s="74"/>
    </row>
    <row r="36" spans="2:14" ht="12.5">
      <c r="B36" s="72"/>
      <c r="C36" s="43"/>
      <c r="E36" s="84"/>
      <c r="F36" s="27"/>
      <c r="K36" s="43"/>
      <c r="N36" s="74"/>
    </row>
    <row r="37" spans="2:14" ht="12.5">
      <c r="B37" s="72"/>
      <c r="C37" s="43"/>
      <c r="E37" s="84"/>
      <c r="F37" s="27"/>
      <c r="K37" s="43"/>
      <c r="N37" s="74"/>
    </row>
    <row r="38" spans="2:14" ht="12.5">
      <c r="B38" s="72"/>
      <c r="C38" s="43"/>
      <c r="E38" s="84"/>
      <c r="F38" s="27"/>
      <c r="K38" s="43"/>
      <c r="N38" s="74"/>
    </row>
    <row r="39" spans="2:14" ht="12.5">
      <c r="B39" s="72"/>
      <c r="C39" s="43"/>
      <c r="E39" s="84"/>
      <c r="F39" s="27"/>
      <c r="K39" s="43"/>
      <c r="N39" s="74"/>
    </row>
    <row r="40" spans="2:14" ht="12.5">
      <c r="B40" s="72"/>
      <c r="C40" s="43"/>
      <c r="E40" s="84"/>
      <c r="F40" s="27"/>
      <c r="K40" s="43"/>
      <c r="N40" s="74"/>
    </row>
    <row r="41" spans="2:14" ht="12.5">
      <c r="B41" s="72"/>
      <c r="C41" s="43"/>
      <c r="E41" s="84"/>
      <c r="F41" s="27"/>
      <c r="K41" s="43"/>
      <c r="N41" s="74"/>
    </row>
    <row r="42" spans="2:14" ht="12.5">
      <c r="B42" s="72"/>
      <c r="C42" s="43"/>
      <c r="E42" s="84"/>
      <c r="F42" s="27"/>
      <c r="K42" s="43"/>
      <c r="N42" s="74"/>
    </row>
    <row r="43" spans="2:14" ht="12.5">
      <c r="B43" s="72"/>
      <c r="C43" s="43"/>
      <c r="E43" s="84"/>
      <c r="F43" s="27"/>
      <c r="K43" s="43"/>
      <c r="N43" s="74"/>
    </row>
    <row r="44" spans="2:14" ht="12.5">
      <c r="B44" s="72"/>
      <c r="C44" s="43"/>
      <c r="E44" s="84"/>
      <c r="F44" s="27"/>
      <c r="K44" s="43"/>
      <c r="N44" s="74"/>
    </row>
    <row r="45" spans="2:14" ht="12.5">
      <c r="B45" s="72"/>
      <c r="C45" s="43"/>
      <c r="E45" s="84"/>
      <c r="F45" s="27"/>
      <c r="K45" s="43"/>
      <c r="N45" s="74"/>
    </row>
    <row r="46" spans="2:14" ht="12.5">
      <c r="B46" s="72"/>
      <c r="C46" s="43"/>
      <c r="E46" s="84"/>
      <c r="F46" s="27"/>
      <c r="K46" s="43"/>
      <c r="N46" s="74"/>
    </row>
    <row r="47" spans="2:14" ht="12.5">
      <c r="B47" s="72"/>
      <c r="C47" s="43"/>
      <c r="E47" s="84"/>
      <c r="F47" s="27"/>
      <c r="K47" s="43"/>
      <c r="N47" s="74"/>
    </row>
    <row r="48" spans="2:14" ht="12.5">
      <c r="B48" s="72"/>
      <c r="C48" s="43"/>
      <c r="E48" s="84"/>
      <c r="F48" s="27"/>
      <c r="K48" s="43"/>
      <c r="N48" s="74"/>
    </row>
    <row r="49" spans="2:14" ht="12.5">
      <c r="B49" s="72"/>
      <c r="C49" s="43"/>
      <c r="E49" s="84"/>
      <c r="F49" s="27"/>
      <c r="K49" s="43"/>
      <c r="N49" s="74"/>
    </row>
    <row r="50" spans="2:14" ht="12.5">
      <c r="B50" s="72"/>
      <c r="C50" s="43"/>
      <c r="E50" s="84"/>
      <c r="F50" s="27"/>
      <c r="K50" s="43"/>
      <c r="N50" s="74"/>
    </row>
    <row r="51" spans="2:14" ht="12.5">
      <c r="B51" s="72"/>
      <c r="C51" s="43"/>
      <c r="E51" s="84"/>
      <c r="F51" s="27"/>
      <c r="K51" s="43"/>
      <c r="N51" s="74"/>
    </row>
    <row r="52" spans="2:14" ht="12.5">
      <c r="B52" s="72"/>
      <c r="C52" s="43"/>
      <c r="E52" s="84"/>
      <c r="F52" s="27"/>
      <c r="K52" s="43"/>
      <c r="N52" s="74"/>
    </row>
    <row r="53" spans="2:14" ht="12.5">
      <c r="B53" s="72"/>
      <c r="C53" s="43"/>
      <c r="E53" s="84"/>
      <c r="F53" s="27"/>
      <c r="K53" s="43"/>
      <c r="N53" s="74"/>
    </row>
    <row r="54" spans="2:14" ht="12.5">
      <c r="B54" s="72"/>
      <c r="C54" s="43"/>
      <c r="E54" s="84"/>
      <c r="F54" s="27"/>
      <c r="K54" s="43"/>
      <c r="N54" s="74"/>
    </row>
    <row r="55" spans="2:14" ht="12.5">
      <c r="B55" s="72"/>
      <c r="C55" s="43"/>
      <c r="E55" s="84"/>
      <c r="F55" s="27"/>
      <c r="K55" s="43"/>
      <c r="N55" s="74"/>
    </row>
    <row r="56" spans="2:14" ht="12.5">
      <c r="B56" s="72"/>
      <c r="C56" s="43"/>
      <c r="E56" s="84"/>
      <c r="F56" s="27"/>
      <c r="K56" s="43"/>
      <c r="N56" s="74"/>
    </row>
    <row r="57" spans="2:14" ht="12.5">
      <c r="B57" s="72"/>
      <c r="C57" s="43"/>
      <c r="E57" s="84"/>
      <c r="F57" s="27"/>
      <c r="K57" s="43"/>
      <c r="N57" s="74"/>
    </row>
    <row r="58" spans="2:14" ht="12.5">
      <c r="B58" s="72"/>
      <c r="C58" s="43"/>
      <c r="E58" s="84"/>
      <c r="F58" s="27"/>
      <c r="K58" s="43"/>
      <c r="N58" s="74"/>
    </row>
    <row r="59" spans="2:14" ht="12.5">
      <c r="B59" s="72"/>
      <c r="C59" s="43"/>
      <c r="E59" s="84"/>
      <c r="F59" s="27"/>
      <c r="K59" s="43"/>
      <c r="N59" s="74"/>
    </row>
    <row r="60" spans="2:14" ht="12.5">
      <c r="B60" s="72"/>
      <c r="C60" s="43"/>
      <c r="E60" s="84"/>
      <c r="F60" s="27"/>
      <c r="K60" s="43"/>
      <c r="N60" s="74"/>
    </row>
    <row r="61" spans="2:14" ht="12.5">
      <c r="B61" s="72"/>
      <c r="C61" s="43"/>
      <c r="E61" s="84"/>
      <c r="F61" s="27"/>
      <c r="K61" s="43"/>
      <c r="N61" s="74"/>
    </row>
    <row r="62" spans="2:14" ht="12.5">
      <c r="B62" s="72"/>
      <c r="C62" s="43"/>
      <c r="E62" s="84"/>
      <c r="F62" s="27"/>
      <c r="K62" s="43"/>
      <c r="N62" s="74"/>
    </row>
    <row r="63" spans="2:14" ht="12.5">
      <c r="B63" s="72"/>
      <c r="C63" s="43"/>
      <c r="E63" s="84"/>
      <c r="F63" s="27"/>
      <c r="K63" s="43"/>
      <c r="N63" s="74"/>
    </row>
    <row r="64" spans="2:14" ht="12.5">
      <c r="B64" s="72"/>
      <c r="C64" s="43"/>
      <c r="E64" s="84"/>
      <c r="F64" s="27"/>
      <c r="K64" s="43"/>
      <c r="N64" s="74"/>
    </row>
    <row r="65" spans="2:14" ht="12.5">
      <c r="B65" s="72"/>
      <c r="C65" s="43"/>
      <c r="E65" s="84"/>
      <c r="F65" s="27"/>
      <c r="K65" s="43"/>
      <c r="N65" s="74"/>
    </row>
    <row r="66" spans="2:14" ht="12.5">
      <c r="B66" s="72"/>
      <c r="C66" s="43"/>
      <c r="E66" s="84"/>
      <c r="F66" s="27"/>
      <c r="K66" s="43"/>
      <c r="N66" s="74"/>
    </row>
    <row r="67" spans="2:14" ht="12.5">
      <c r="B67" s="72"/>
      <c r="C67" s="43"/>
      <c r="E67" s="84"/>
      <c r="F67" s="27"/>
      <c r="K67" s="43"/>
      <c r="N67" s="74"/>
    </row>
    <row r="68" spans="2:14" ht="12.5">
      <c r="B68" s="72"/>
      <c r="C68" s="43"/>
      <c r="E68" s="84"/>
      <c r="F68" s="27"/>
      <c r="K68" s="43"/>
      <c r="N68" s="74"/>
    </row>
    <row r="69" spans="2:14" ht="12.5">
      <c r="B69" s="72"/>
      <c r="C69" s="43"/>
      <c r="E69" s="84"/>
      <c r="F69" s="27"/>
      <c r="K69" s="43"/>
      <c r="N69" s="74"/>
    </row>
    <row r="70" spans="2:14" ht="12.5">
      <c r="B70" s="72"/>
      <c r="C70" s="43"/>
      <c r="E70" s="84"/>
      <c r="F70" s="27"/>
      <c r="K70" s="43"/>
      <c r="N70" s="74"/>
    </row>
    <row r="71" spans="2:14" ht="12.5">
      <c r="B71" s="72"/>
      <c r="C71" s="43"/>
      <c r="E71" s="84"/>
      <c r="F71" s="27"/>
      <c r="K71" s="43"/>
      <c r="N71" s="74"/>
    </row>
    <row r="72" spans="2:14" ht="12.5">
      <c r="B72" s="72"/>
      <c r="C72" s="43"/>
      <c r="E72" s="84"/>
      <c r="F72" s="27"/>
      <c r="K72" s="43"/>
      <c r="N72" s="74"/>
    </row>
    <row r="73" spans="2:14" ht="12.5">
      <c r="B73" s="72"/>
      <c r="C73" s="43"/>
      <c r="E73" s="84"/>
      <c r="F73" s="27"/>
      <c r="K73" s="43"/>
      <c r="N73" s="74"/>
    </row>
    <row r="74" spans="2:14" ht="12.5">
      <c r="B74" s="72"/>
      <c r="C74" s="43"/>
      <c r="E74" s="84"/>
      <c r="F74" s="27"/>
      <c r="K74" s="43"/>
      <c r="N74" s="74"/>
    </row>
    <row r="75" spans="2:14" ht="12.5">
      <c r="B75" s="72"/>
      <c r="C75" s="43"/>
      <c r="E75" s="84"/>
      <c r="F75" s="27"/>
      <c r="K75" s="43"/>
      <c r="N75" s="74"/>
    </row>
    <row r="76" spans="2:14" ht="12.5">
      <c r="B76" s="72"/>
      <c r="C76" s="43"/>
      <c r="E76" s="84"/>
      <c r="F76" s="27"/>
      <c r="K76" s="43"/>
      <c r="N76" s="74"/>
    </row>
    <row r="77" spans="2:14" ht="12.5">
      <c r="B77" s="72"/>
      <c r="C77" s="43"/>
      <c r="E77" s="84"/>
      <c r="F77" s="27"/>
      <c r="K77" s="43"/>
      <c r="N77" s="74"/>
    </row>
    <row r="78" spans="2:14" ht="12.5">
      <c r="B78" s="72"/>
      <c r="C78" s="43"/>
      <c r="E78" s="84"/>
      <c r="F78" s="27"/>
      <c r="K78" s="43"/>
      <c r="N78" s="74"/>
    </row>
    <row r="79" spans="2:14" ht="12.5">
      <c r="B79" s="72"/>
      <c r="C79" s="43"/>
      <c r="E79" s="84"/>
      <c r="F79" s="27"/>
      <c r="K79" s="43"/>
      <c r="N79" s="74"/>
    </row>
    <row r="80" spans="2:14" ht="12.5">
      <c r="B80" s="72"/>
      <c r="C80" s="43"/>
      <c r="E80" s="84"/>
      <c r="F80" s="27"/>
      <c r="K80" s="43"/>
      <c r="N80" s="74"/>
    </row>
    <row r="81" spans="2:14" ht="12.5">
      <c r="B81" s="72"/>
      <c r="C81" s="43"/>
      <c r="E81" s="84"/>
      <c r="F81" s="27"/>
      <c r="K81" s="43"/>
      <c r="N81" s="74"/>
    </row>
    <row r="82" spans="2:14" ht="12.5">
      <c r="B82" s="72"/>
      <c r="C82" s="43"/>
      <c r="E82" s="84"/>
      <c r="F82" s="27"/>
      <c r="K82" s="43"/>
      <c r="N82" s="74"/>
    </row>
    <row r="83" spans="2:14" ht="12.5">
      <c r="B83" s="72"/>
      <c r="C83" s="43"/>
      <c r="E83" s="84"/>
      <c r="F83" s="27"/>
      <c r="K83" s="43"/>
      <c r="N83" s="74"/>
    </row>
    <row r="84" spans="2:14" ht="12.5">
      <c r="B84" s="72"/>
      <c r="C84" s="43"/>
      <c r="E84" s="84"/>
      <c r="F84" s="27"/>
      <c r="K84" s="43"/>
      <c r="N84" s="74"/>
    </row>
    <row r="85" spans="2:14" ht="12.5">
      <c r="B85" s="72"/>
      <c r="C85" s="43"/>
      <c r="E85" s="84"/>
      <c r="F85" s="27"/>
      <c r="K85" s="43"/>
      <c r="N85" s="74"/>
    </row>
    <row r="86" spans="2:14" ht="12.5">
      <c r="B86" s="72"/>
      <c r="C86" s="43"/>
      <c r="E86" s="84"/>
      <c r="F86" s="27"/>
      <c r="K86" s="43"/>
      <c r="N86" s="74"/>
    </row>
    <row r="87" spans="2:14" ht="12.5">
      <c r="B87" s="72"/>
      <c r="C87" s="43"/>
      <c r="E87" s="84"/>
      <c r="F87" s="27"/>
      <c r="K87" s="43"/>
      <c r="N87" s="74"/>
    </row>
    <row r="88" spans="2:14" ht="12.5">
      <c r="B88" s="72"/>
      <c r="C88" s="43"/>
      <c r="E88" s="84"/>
      <c r="F88" s="27"/>
      <c r="K88" s="43"/>
      <c r="N88" s="74"/>
    </row>
    <row r="89" spans="2:14" ht="12.5">
      <c r="B89" s="72"/>
      <c r="C89" s="43"/>
      <c r="E89" s="84"/>
      <c r="F89" s="27"/>
      <c r="K89" s="43"/>
      <c r="N89" s="74"/>
    </row>
    <row r="90" spans="2:14" ht="12.5">
      <c r="B90" s="72"/>
      <c r="C90" s="43"/>
      <c r="E90" s="84"/>
      <c r="F90" s="27"/>
      <c r="K90" s="43"/>
      <c r="N90" s="74"/>
    </row>
    <row r="91" spans="2:14" ht="12.5">
      <c r="B91" s="72"/>
      <c r="C91" s="43"/>
      <c r="E91" s="84"/>
      <c r="F91" s="27"/>
      <c r="K91" s="43"/>
      <c r="N91" s="74"/>
    </row>
    <row r="92" spans="2:14" ht="12.5">
      <c r="B92" s="72"/>
      <c r="C92" s="43"/>
      <c r="E92" s="84"/>
      <c r="F92" s="27"/>
      <c r="K92" s="43"/>
      <c r="N92" s="74"/>
    </row>
    <row r="93" spans="2:14" ht="12.5">
      <c r="B93" s="72"/>
      <c r="C93" s="43"/>
      <c r="E93" s="84"/>
      <c r="F93" s="27"/>
      <c r="K93" s="43"/>
      <c r="N93" s="74"/>
    </row>
    <row r="94" spans="2:14" ht="12.5">
      <c r="B94" s="72"/>
      <c r="C94" s="43"/>
      <c r="E94" s="84"/>
      <c r="F94" s="27"/>
      <c r="K94" s="43"/>
      <c r="N94" s="74"/>
    </row>
    <row r="95" spans="2:14" ht="12.5">
      <c r="B95" s="72"/>
      <c r="C95" s="43"/>
      <c r="E95" s="84"/>
      <c r="F95" s="27"/>
      <c r="K95" s="43"/>
      <c r="N95" s="74"/>
    </row>
    <row r="96" spans="2:14" ht="12.5">
      <c r="B96" s="72"/>
      <c r="C96" s="43"/>
      <c r="E96" s="84"/>
      <c r="F96" s="27"/>
      <c r="K96" s="43"/>
      <c r="N96" s="74"/>
    </row>
    <row r="97" spans="2:14" ht="12.5">
      <c r="B97" s="72"/>
      <c r="C97" s="43"/>
      <c r="E97" s="84"/>
      <c r="F97" s="27"/>
      <c r="K97" s="43"/>
      <c r="N97" s="74"/>
    </row>
    <row r="98" spans="2:14" ht="12.5">
      <c r="B98" s="72"/>
      <c r="C98" s="43"/>
      <c r="E98" s="84"/>
      <c r="F98" s="27"/>
      <c r="K98" s="43"/>
      <c r="N98" s="74"/>
    </row>
    <row r="99" spans="2:14" ht="12.5">
      <c r="B99" s="72"/>
      <c r="C99" s="43"/>
      <c r="E99" s="84"/>
      <c r="F99" s="27"/>
      <c r="K99" s="43"/>
      <c r="N99" s="74"/>
    </row>
    <row r="100" spans="2:14" ht="12.5">
      <c r="B100" s="72"/>
      <c r="C100" s="43"/>
      <c r="E100" s="84"/>
      <c r="F100" s="27"/>
      <c r="K100" s="43"/>
      <c r="N100" s="74"/>
    </row>
    <row r="101" spans="2:14" ht="12.5">
      <c r="B101" s="72"/>
      <c r="C101" s="43"/>
      <c r="E101" s="84"/>
      <c r="F101" s="27"/>
      <c r="K101" s="43"/>
      <c r="N101" s="74"/>
    </row>
    <row r="102" spans="2:14" ht="12.5">
      <c r="B102" s="72"/>
      <c r="C102" s="43"/>
      <c r="E102" s="84"/>
      <c r="F102" s="27"/>
      <c r="K102" s="43"/>
      <c r="N102" s="74"/>
    </row>
    <row r="103" spans="2:14" ht="12.5">
      <c r="B103" s="72"/>
      <c r="C103" s="43"/>
      <c r="E103" s="84"/>
      <c r="F103" s="27"/>
      <c r="K103" s="43"/>
      <c r="N103" s="74"/>
    </row>
    <row r="104" spans="2:14" ht="12.5">
      <c r="B104" s="72"/>
      <c r="C104" s="43"/>
      <c r="E104" s="84"/>
      <c r="F104" s="27"/>
      <c r="K104" s="43"/>
      <c r="N104" s="74"/>
    </row>
    <row r="105" spans="2:14" ht="12.5">
      <c r="B105" s="72"/>
      <c r="C105" s="43"/>
      <c r="E105" s="84"/>
      <c r="F105" s="27"/>
      <c r="K105" s="43"/>
      <c r="N105" s="74"/>
    </row>
    <row r="106" spans="2:14" ht="12.5">
      <c r="B106" s="72"/>
      <c r="C106" s="43"/>
      <c r="E106" s="84"/>
      <c r="F106" s="27"/>
      <c r="K106" s="43"/>
      <c r="N106" s="74"/>
    </row>
    <row r="107" spans="2:14" ht="12.5">
      <c r="B107" s="72"/>
      <c r="C107" s="43"/>
      <c r="E107" s="84"/>
      <c r="F107" s="27"/>
      <c r="K107" s="43"/>
      <c r="N107" s="74"/>
    </row>
    <row r="108" spans="2:14" ht="12.5">
      <c r="B108" s="72"/>
      <c r="C108" s="43"/>
      <c r="E108" s="84"/>
      <c r="F108" s="27"/>
      <c r="K108" s="43"/>
      <c r="N108" s="74"/>
    </row>
    <row r="109" spans="2:14" ht="12.5">
      <c r="B109" s="72"/>
      <c r="C109" s="43"/>
      <c r="E109" s="84"/>
      <c r="F109" s="27"/>
      <c r="K109" s="43"/>
      <c r="N109" s="74"/>
    </row>
    <row r="110" spans="2:14" ht="12.5">
      <c r="B110" s="72"/>
      <c r="C110" s="43"/>
      <c r="E110" s="84"/>
      <c r="F110" s="27"/>
      <c r="K110" s="43"/>
      <c r="N110" s="74"/>
    </row>
    <row r="111" spans="2:14" ht="12.5">
      <c r="B111" s="72"/>
      <c r="C111" s="43"/>
      <c r="E111" s="84"/>
      <c r="F111" s="27"/>
      <c r="K111" s="43"/>
      <c r="N111" s="74"/>
    </row>
    <row r="112" spans="2:14" ht="12.5">
      <c r="B112" s="72"/>
      <c r="C112" s="43"/>
      <c r="E112" s="84"/>
      <c r="F112" s="27"/>
      <c r="K112" s="43"/>
      <c r="N112" s="74"/>
    </row>
    <row r="113" spans="2:14" ht="12.5">
      <c r="B113" s="72"/>
      <c r="C113" s="43"/>
      <c r="E113" s="84"/>
      <c r="F113" s="27"/>
      <c r="K113" s="43"/>
      <c r="N113" s="74"/>
    </row>
    <row r="114" spans="2:14" ht="12.5">
      <c r="B114" s="72"/>
      <c r="C114" s="43"/>
      <c r="E114" s="84"/>
      <c r="F114" s="27"/>
      <c r="K114" s="43"/>
      <c r="N114" s="74"/>
    </row>
    <row r="115" spans="2:14" ht="12.5">
      <c r="B115" s="72"/>
      <c r="C115" s="43"/>
      <c r="E115" s="84"/>
      <c r="F115" s="27"/>
      <c r="K115" s="43"/>
      <c r="N115" s="74"/>
    </row>
    <row r="116" spans="2:14" ht="12.5">
      <c r="B116" s="72"/>
      <c r="C116" s="43"/>
      <c r="E116" s="84"/>
      <c r="F116" s="27"/>
      <c r="K116" s="43"/>
      <c r="N116" s="74"/>
    </row>
    <row r="117" spans="2:14" ht="12.5">
      <c r="B117" s="72"/>
      <c r="C117" s="43"/>
      <c r="E117" s="84"/>
      <c r="F117" s="27"/>
      <c r="K117" s="43"/>
      <c r="N117" s="74"/>
    </row>
    <row r="118" spans="2:14" ht="12.5">
      <c r="B118" s="72"/>
      <c r="C118" s="43"/>
      <c r="E118" s="84"/>
      <c r="F118" s="27"/>
      <c r="K118" s="43"/>
      <c r="N118" s="74"/>
    </row>
    <row r="119" spans="2:14" ht="12.5">
      <c r="B119" s="72"/>
      <c r="C119" s="43"/>
      <c r="E119" s="84"/>
      <c r="F119" s="27"/>
      <c r="K119" s="43"/>
      <c r="N119" s="74"/>
    </row>
    <row r="120" spans="2:14" ht="12.5">
      <c r="B120" s="72"/>
      <c r="C120" s="43"/>
      <c r="E120" s="84"/>
      <c r="F120" s="27"/>
      <c r="K120" s="43"/>
      <c r="N120" s="74"/>
    </row>
    <row r="121" spans="2:14" ht="12.5">
      <c r="B121" s="72"/>
      <c r="C121" s="43"/>
      <c r="E121" s="84"/>
      <c r="F121" s="27"/>
      <c r="K121" s="43"/>
      <c r="N121" s="74"/>
    </row>
    <row r="122" spans="2:14" ht="12.5">
      <c r="B122" s="72"/>
      <c r="C122" s="43"/>
      <c r="E122" s="84"/>
      <c r="F122" s="27"/>
      <c r="K122" s="43"/>
      <c r="N122" s="74"/>
    </row>
    <row r="123" spans="2:14" ht="12.5">
      <c r="B123" s="72"/>
      <c r="C123" s="43"/>
      <c r="E123" s="84"/>
      <c r="F123" s="27"/>
      <c r="K123" s="43"/>
      <c r="N123" s="74"/>
    </row>
    <row r="124" spans="2:14" ht="12.5">
      <c r="B124" s="72"/>
      <c r="C124" s="43"/>
      <c r="E124" s="84"/>
      <c r="F124" s="27"/>
      <c r="K124" s="43"/>
      <c r="N124" s="74"/>
    </row>
    <row r="125" spans="2:14" ht="12.5">
      <c r="B125" s="72"/>
      <c r="C125" s="43"/>
      <c r="E125" s="84"/>
      <c r="F125" s="27"/>
      <c r="K125" s="43"/>
      <c r="N125" s="74"/>
    </row>
    <row r="126" spans="2:14" ht="12.5">
      <c r="B126" s="72"/>
      <c r="C126" s="43"/>
      <c r="E126" s="84"/>
      <c r="F126" s="27"/>
      <c r="K126" s="43"/>
      <c r="N126" s="74"/>
    </row>
    <row r="127" spans="2:14" ht="12.5">
      <c r="B127" s="72"/>
      <c r="C127" s="43"/>
      <c r="E127" s="84"/>
      <c r="F127" s="27"/>
      <c r="K127" s="43"/>
      <c r="N127" s="74"/>
    </row>
    <row r="128" spans="2:14" ht="12.5">
      <c r="B128" s="72"/>
      <c r="C128" s="43"/>
      <c r="E128" s="84"/>
      <c r="F128" s="27"/>
      <c r="K128" s="43"/>
      <c r="N128" s="74"/>
    </row>
    <row r="129" spans="2:14" ht="12.5">
      <c r="B129" s="72"/>
      <c r="C129" s="43"/>
      <c r="E129" s="84"/>
      <c r="F129" s="27"/>
      <c r="K129" s="43"/>
      <c r="N129" s="74"/>
    </row>
    <row r="130" spans="2:14" ht="12.5">
      <c r="B130" s="72"/>
      <c r="C130" s="43"/>
      <c r="E130" s="84"/>
      <c r="F130" s="27"/>
      <c r="K130" s="43"/>
      <c r="N130" s="74"/>
    </row>
    <row r="131" spans="2:14" ht="12.5">
      <c r="B131" s="72"/>
      <c r="C131" s="43"/>
      <c r="E131" s="84"/>
      <c r="F131" s="27"/>
      <c r="K131" s="43"/>
      <c r="N131" s="74"/>
    </row>
    <row r="132" spans="2:14" ht="12.5">
      <c r="B132" s="72"/>
      <c r="C132" s="43"/>
      <c r="E132" s="84"/>
      <c r="F132" s="27"/>
      <c r="K132" s="43"/>
      <c r="N132" s="74"/>
    </row>
    <row r="133" spans="2:14" ht="12.5">
      <c r="B133" s="72"/>
      <c r="C133" s="43"/>
      <c r="E133" s="84"/>
      <c r="F133" s="27"/>
      <c r="K133" s="43"/>
      <c r="N133" s="74"/>
    </row>
    <row r="134" spans="2:14" ht="12.5">
      <c r="B134" s="72"/>
      <c r="C134" s="43"/>
      <c r="E134" s="84"/>
      <c r="F134" s="27"/>
      <c r="K134" s="43"/>
      <c r="N134" s="74"/>
    </row>
    <row r="135" spans="2:14" ht="12.5">
      <c r="B135" s="72"/>
      <c r="C135" s="43"/>
      <c r="E135" s="84"/>
      <c r="F135" s="27"/>
      <c r="K135" s="43"/>
      <c r="N135" s="74"/>
    </row>
    <row r="136" spans="2:14" ht="12.5">
      <c r="B136" s="72"/>
      <c r="C136" s="43"/>
      <c r="E136" s="84"/>
      <c r="F136" s="27"/>
      <c r="K136" s="43"/>
      <c r="N136" s="74"/>
    </row>
    <row r="137" spans="2:14" ht="12.5">
      <c r="B137" s="72"/>
      <c r="C137" s="43"/>
      <c r="E137" s="84"/>
      <c r="F137" s="27"/>
      <c r="K137" s="43"/>
      <c r="N137" s="74"/>
    </row>
    <row r="138" spans="2:14" ht="12.5">
      <c r="B138" s="72"/>
      <c r="C138" s="43"/>
      <c r="E138" s="84"/>
      <c r="F138" s="27"/>
      <c r="K138" s="43"/>
      <c r="N138" s="74"/>
    </row>
    <row r="139" spans="2:14" ht="12.5">
      <c r="B139" s="72"/>
      <c r="C139" s="43"/>
      <c r="E139" s="84"/>
      <c r="F139" s="27"/>
      <c r="K139" s="43"/>
      <c r="N139" s="74"/>
    </row>
    <row r="140" spans="2:14" ht="12.5">
      <c r="B140" s="72"/>
      <c r="C140" s="43"/>
      <c r="E140" s="84"/>
      <c r="F140" s="27"/>
      <c r="K140" s="43"/>
      <c r="N140" s="74"/>
    </row>
    <row r="141" spans="2:14" ht="12.5">
      <c r="B141" s="72"/>
      <c r="C141" s="43"/>
      <c r="E141" s="84"/>
      <c r="F141" s="27"/>
      <c r="K141" s="43"/>
      <c r="N141" s="74"/>
    </row>
    <row r="142" spans="2:14" ht="12.5">
      <c r="B142" s="72"/>
      <c r="C142" s="43"/>
      <c r="E142" s="84"/>
      <c r="F142" s="27"/>
      <c r="K142" s="43"/>
      <c r="N142" s="74"/>
    </row>
    <row r="143" spans="2:14" ht="12.5">
      <c r="B143" s="72"/>
      <c r="C143" s="43"/>
      <c r="E143" s="84"/>
      <c r="F143" s="27"/>
      <c r="K143" s="43"/>
      <c r="N143" s="74"/>
    </row>
    <row r="144" spans="2:14" ht="12.5">
      <c r="B144" s="72"/>
      <c r="C144" s="43"/>
      <c r="E144" s="84"/>
      <c r="F144" s="27"/>
      <c r="K144" s="43"/>
      <c r="N144" s="74"/>
    </row>
    <row r="145" spans="2:14" ht="12.5">
      <c r="B145" s="72"/>
      <c r="C145" s="43"/>
      <c r="E145" s="84"/>
      <c r="F145" s="27"/>
      <c r="K145" s="43"/>
      <c r="N145" s="74"/>
    </row>
    <row r="146" spans="2:14" ht="12.5">
      <c r="B146" s="72"/>
      <c r="C146" s="43"/>
      <c r="E146" s="84"/>
      <c r="F146" s="27"/>
      <c r="K146" s="43"/>
      <c r="N146" s="74"/>
    </row>
    <row r="147" spans="2:14" ht="12.5">
      <c r="B147" s="72"/>
      <c r="C147" s="43"/>
      <c r="E147" s="84"/>
      <c r="F147" s="27"/>
      <c r="K147" s="43"/>
      <c r="N147" s="74"/>
    </row>
    <row r="148" spans="2:14" ht="12.5">
      <c r="B148" s="72"/>
      <c r="C148" s="43"/>
      <c r="E148" s="84"/>
      <c r="F148" s="27"/>
      <c r="K148" s="43"/>
      <c r="N148" s="74"/>
    </row>
    <row r="149" spans="2:14" ht="12.5">
      <c r="B149" s="72"/>
      <c r="C149" s="43"/>
      <c r="E149" s="84"/>
      <c r="F149" s="27"/>
      <c r="K149" s="43"/>
      <c r="N149" s="74"/>
    </row>
    <row r="150" spans="2:14" ht="12.5">
      <c r="B150" s="72"/>
      <c r="C150" s="43"/>
      <c r="E150" s="84"/>
      <c r="F150" s="27"/>
      <c r="K150" s="43"/>
      <c r="N150" s="74"/>
    </row>
    <row r="151" spans="2:14" ht="12.5">
      <c r="B151" s="72"/>
      <c r="C151" s="43"/>
      <c r="E151" s="84"/>
      <c r="F151" s="27"/>
      <c r="K151" s="43"/>
      <c r="N151" s="74"/>
    </row>
    <row r="152" spans="2:14" ht="12.5">
      <c r="B152" s="72"/>
      <c r="C152" s="43"/>
      <c r="E152" s="84"/>
      <c r="F152" s="27"/>
      <c r="K152" s="43"/>
      <c r="N152" s="74"/>
    </row>
    <row r="153" spans="2:14" ht="12.5">
      <c r="B153" s="72"/>
      <c r="C153" s="43"/>
      <c r="E153" s="84"/>
      <c r="F153" s="27"/>
      <c r="K153" s="43"/>
      <c r="N153" s="74"/>
    </row>
    <row r="154" spans="2:14" ht="12.5">
      <c r="B154" s="72"/>
      <c r="C154" s="43"/>
      <c r="E154" s="84"/>
      <c r="F154" s="27"/>
      <c r="K154" s="43"/>
      <c r="N154" s="74"/>
    </row>
    <row r="155" spans="2:14" ht="12.5">
      <c r="B155" s="72"/>
      <c r="C155" s="43"/>
      <c r="E155" s="84"/>
      <c r="F155" s="27"/>
      <c r="K155" s="43"/>
      <c r="N155" s="74"/>
    </row>
    <row r="156" spans="2:14" ht="12.5">
      <c r="B156" s="72"/>
      <c r="C156" s="43"/>
      <c r="E156" s="84"/>
      <c r="F156" s="27"/>
      <c r="K156" s="43"/>
      <c r="N156" s="74"/>
    </row>
    <row r="157" spans="2:14" ht="12.5">
      <c r="B157" s="72"/>
      <c r="C157" s="43"/>
      <c r="E157" s="84"/>
      <c r="F157" s="27"/>
      <c r="K157" s="43"/>
      <c r="N157" s="74"/>
    </row>
    <row r="158" spans="2:14" ht="12.5">
      <c r="B158" s="72"/>
      <c r="C158" s="43"/>
      <c r="E158" s="84"/>
      <c r="F158" s="27"/>
      <c r="K158" s="43"/>
      <c r="N158" s="74"/>
    </row>
    <row r="159" spans="2:14" ht="12.5">
      <c r="B159" s="72"/>
      <c r="C159" s="43"/>
      <c r="E159" s="84"/>
      <c r="F159" s="27"/>
      <c r="K159" s="43"/>
      <c r="N159" s="74"/>
    </row>
    <row r="160" spans="2:14" ht="12.5">
      <c r="B160" s="72"/>
      <c r="C160" s="43"/>
      <c r="E160" s="84"/>
      <c r="F160" s="27"/>
      <c r="K160" s="43"/>
      <c r="N160" s="74"/>
    </row>
    <row r="161" spans="2:14" ht="12.5">
      <c r="B161" s="72"/>
      <c r="C161" s="43"/>
      <c r="E161" s="84"/>
      <c r="F161" s="27"/>
      <c r="K161" s="43"/>
      <c r="N161" s="74"/>
    </row>
    <row r="162" spans="2:14" ht="12.5">
      <c r="B162" s="72"/>
      <c r="C162" s="43"/>
      <c r="E162" s="84"/>
      <c r="F162" s="27"/>
      <c r="K162" s="43"/>
      <c r="N162" s="74"/>
    </row>
    <row r="163" spans="2:14" ht="12.5">
      <c r="B163" s="72"/>
      <c r="C163" s="43"/>
      <c r="E163" s="84"/>
      <c r="F163" s="27"/>
      <c r="K163" s="43"/>
      <c r="N163" s="74"/>
    </row>
    <row r="164" spans="2:14" ht="12.5">
      <c r="B164" s="72"/>
      <c r="C164" s="43"/>
      <c r="E164" s="84"/>
      <c r="F164" s="27"/>
      <c r="K164" s="43"/>
      <c r="N164" s="74"/>
    </row>
    <row r="165" spans="2:14" ht="12.5">
      <c r="B165" s="72"/>
      <c r="C165" s="43"/>
      <c r="E165" s="84"/>
      <c r="F165" s="27"/>
      <c r="K165" s="43"/>
      <c r="N165" s="74"/>
    </row>
    <row r="166" spans="2:14" ht="12.5">
      <c r="B166" s="72"/>
      <c r="C166" s="43"/>
      <c r="E166" s="84"/>
      <c r="F166" s="27"/>
      <c r="K166" s="43"/>
      <c r="N166" s="74"/>
    </row>
    <row r="167" spans="2:14" ht="12.5">
      <c r="B167" s="72"/>
      <c r="C167" s="43"/>
      <c r="E167" s="84"/>
      <c r="F167" s="27"/>
      <c r="K167" s="43"/>
      <c r="N167" s="74"/>
    </row>
    <row r="168" spans="2:14" ht="12.5">
      <c r="B168" s="72"/>
      <c r="C168" s="43"/>
      <c r="E168" s="84"/>
      <c r="F168" s="27"/>
      <c r="K168" s="43"/>
      <c r="N168" s="74"/>
    </row>
    <row r="169" spans="2:14" ht="12.5">
      <c r="B169" s="72"/>
      <c r="C169" s="43"/>
      <c r="E169" s="84"/>
      <c r="F169" s="27"/>
      <c r="K169" s="43"/>
      <c r="N169" s="74"/>
    </row>
    <row r="170" spans="2:14" ht="12.5">
      <c r="B170" s="72"/>
      <c r="C170" s="43"/>
      <c r="E170" s="84"/>
      <c r="F170" s="27"/>
      <c r="K170" s="43"/>
      <c r="N170" s="74"/>
    </row>
    <row r="171" spans="2:14" ht="12.5">
      <c r="B171" s="72"/>
      <c r="C171" s="43"/>
      <c r="E171" s="84"/>
      <c r="F171" s="27"/>
      <c r="K171" s="43"/>
      <c r="N171" s="74"/>
    </row>
    <row r="172" spans="2:14" ht="12.5">
      <c r="B172" s="72"/>
      <c r="C172" s="43"/>
      <c r="E172" s="84"/>
      <c r="F172" s="27"/>
      <c r="K172" s="43"/>
      <c r="N172" s="74"/>
    </row>
    <row r="173" spans="2:14" ht="12.5">
      <c r="B173" s="72"/>
      <c r="C173" s="43"/>
      <c r="E173" s="84"/>
      <c r="F173" s="27"/>
      <c r="K173" s="43"/>
      <c r="N173" s="74"/>
    </row>
    <row r="174" spans="2:14" ht="12.5">
      <c r="B174" s="72"/>
      <c r="C174" s="43"/>
      <c r="E174" s="84"/>
      <c r="F174" s="27"/>
      <c r="K174" s="43"/>
      <c r="N174" s="74"/>
    </row>
    <row r="175" spans="2:14" ht="12.5">
      <c r="B175" s="72"/>
      <c r="C175" s="43"/>
      <c r="E175" s="84"/>
      <c r="F175" s="27"/>
      <c r="K175" s="43"/>
      <c r="N175" s="74"/>
    </row>
    <row r="176" spans="2:14" ht="12.5">
      <c r="B176" s="72"/>
      <c r="C176" s="43"/>
      <c r="E176" s="84"/>
      <c r="F176" s="27"/>
      <c r="K176" s="43"/>
      <c r="N176" s="74"/>
    </row>
    <row r="177" spans="2:14" ht="12.5">
      <c r="B177" s="72"/>
      <c r="C177" s="43"/>
      <c r="E177" s="84"/>
      <c r="F177" s="27"/>
      <c r="K177" s="43"/>
      <c r="N177" s="74"/>
    </row>
    <row r="178" spans="2:14" ht="12.5">
      <c r="B178" s="72"/>
      <c r="C178" s="43"/>
      <c r="E178" s="84"/>
      <c r="F178" s="27"/>
      <c r="K178" s="43"/>
      <c r="N178" s="74"/>
    </row>
    <row r="179" spans="2:14" ht="12.5">
      <c r="B179" s="72"/>
      <c r="C179" s="43"/>
      <c r="E179" s="84"/>
      <c r="F179" s="27"/>
      <c r="K179" s="43"/>
      <c r="N179" s="74"/>
    </row>
    <row r="180" spans="2:14" ht="12.5">
      <c r="B180" s="72"/>
      <c r="C180" s="43"/>
      <c r="E180" s="84"/>
      <c r="F180" s="27"/>
      <c r="K180" s="43"/>
      <c r="N180" s="74"/>
    </row>
    <row r="181" spans="2:14" ht="12.5">
      <c r="B181" s="72"/>
      <c r="C181" s="43"/>
      <c r="E181" s="84"/>
      <c r="F181" s="27"/>
      <c r="K181" s="43"/>
      <c r="N181" s="74"/>
    </row>
    <row r="182" spans="2:14" ht="12.5">
      <c r="B182" s="72"/>
      <c r="C182" s="43"/>
      <c r="E182" s="84"/>
      <c r="F182" s="27"/>
      <c r="K182" s="43"/>
      <c r="N182" s="74"/>
    </row>
    <row r="183" spans="2:14" ht="12.5">
      <c r="B183" s="72"/>
      <c r="C183" s="43"/>
      <c r="E183" s="84"/>
      <c r="F183" s="27"/>
      <c r="K183" s="43"/>
      <c r="N183" s="74"/>
    </row>
    <row r="184" spans="2:14" ht="12.5">
      <c r="B184" s="72"/>
      <c r="C184" s="43"/>
      <c r="E184" s="84"/>
      <c r="F184" s="27"/>
      <c r="K184" s="43"/>
      <c r="N184" s="74"/>
    </row>
    <row r="185" spans="2:14" ht="12.5">
      <c r="B185" s="72"/>
      <c r="C185" s="43"/>
      <c r="E185" s="84"/>
      <c r="F185" s="27"/>
      <c r="K185" s="43"/>
      <c r="N185" s="74"/>
    </row>
    <row r="186" spans="2:14" ht="12.5">
      <c r="B186" s="72"/>
      <c r="C186" s="43"/>
      <c r="E186" s="84"/>
      <c r="F186" s="27"/>
      <c r="K186" s="43"/>
      <c r="N186" s="74"/>
    </row>
    <row r="187" spans="2:14" ht="12.5">
      <c r="B187" s="72"/>
      <c r="C187" s="43"/>
      <c r="E187" s="84"/>
      <c r="F187" s="27"/>
      <c r="K187" s="43"/>
      <c r="N187" s="74"/>
    </row>
    <row r="188" spans="2:14" ht="12.5">
      <c r="B188" s="72"/>
      <c r="C188" s="43"/>
      <c r="E188" s="84"/>
      <c r="F188" s="27"/>
      <c r="K188" s="43"/>
      <c r="N188" s="74"/>
    </row>
    <row r="189" spans="2:14" ht="12.5">
      <c r="B189" s="72"/>
      <c r="C189" s="43"/>
      <c r="E189" s="84"/>
      <c r="F189" s="27"/>
      <c r="K189" s="43"/>
      <c r="N189" s="74"/>
    </row>
    <row r="190" spans="2:14" ht="12.5">
      <c r="B190" s="72"/>
      <c r="C190" s="43"/>
      <c r="E190" s="84"/>
      <c r="F190" s="27"/>
      <c r="K190" s="43"/>
      <c r="N190" s="74"/>
    </row>
    <row r="191" spans="2:14" ht="12.5">
      <c r="B191" s="72"/>
      <c r="C191" s="43"/>
      <c r="E191" s="84"/>
      <c r="F191" s="27"/>
      <c r="K191" s="43"/>
      <c r="N191" s="74"/>
    </row>
    <row r="192" spans="2:14" ht="12.5">
      <c r="B192" s="72"/>
      <c r="C192" s="43"/>
      <c r="E192" s="84"/>
      <c r="F192" s="27"/>
      <c r="K192" s="43"/>
      <c r="N192" s="74"/>
    </row>
    <row r="193" spans="2:14" ht="12.5">
      <c r="B193" s="72"/>
      <c r="C193" s="43"/>
      <c r="E193" s="84"/>
      <c r="F193" s="27"/>
      <c r="K193" s="43"/>
      <c r="N193" s="74"/>
    </row>
    <row r="194" spans="2:14" ht="12.5">
      <c r="B194" s="72"/>
      <c r="C194" s="43"/>
      <c r="E194" s="84"/>
      <c r="F194" s="27"/>
      <c r="K194" s="43"/>
      <c r="N194" s="74"/>
    </row>
    <row r="195" spans="2:14" ht="12.5">
      <c r="B195" s="72"/>
      <c r="C195" s="43"/>
      <c r="E195" s="84"/>
      <c r="F195" s="27"/>
      <c r="K195" s="43"/>
      <c r="N195" s="74"/>
    </row>
    <row r="196" spans="2:14" ht="12.5">
      <c r="B196" s="72"/>
      <c r="C196" s="43"/>
      <c r="E196" s="84"/>
      <c r="F196" s="27"/>
      <c r="K196" s="43"/>
      <c r="N196" s="74"/>
    </row>
    <row r="197" spans="2:14" ht="12.5">
      <c r="B197" s="72"/>
      <c r="C197" s="43"/>
      <c r="E197" s="84"/>
      <c r="F197" s="27"/>
      <c r="K197" s="43"/>
      <c r="N197" s="74"/>
    </row>
    <row r="198" spans="2:14" ht="12.5">
      <c r="B198" s="72"/>
      <c r="C198" s="43"/>
      <c r="E198" s="84"/>
      <c r="F198" s="27"/>
      <c r="K198" s="43"/>
      <c r="N198" s="74"/>
    </row>
    <row r="199" spans="2:14" ht="12.5">
      <c r="B199" s="72"/>
      <c r="C199" s="43"/>
      <c r="E199" s="84"/>
      <c r="F199" s="27"/>
      <c r="K199" s="43"/>
      <c r="N199" s="74"/>
    </row>
    <row r="200" spans="2:14" ht="12.5">
      <c r="B200" s="72"/>
      <c r="C200" s="43"/>
      <c r="E200" s="84"/>
      <c r="F200" s="27"/>
      <c r="K200" s="43"/>
      <c r="N200" s="74"/>
    </row>
    <row r="201" spans="2:14" ht="12.5">
      <c r="B201" s="72"/>
      <c r="C201" s="43"/>
      <c r="E201" s="84"/>
      <c r="F201" s="27"/>
      <c r="K201" s="43"/>
      <c r="N201" s="74"/>
    </row>
    <row r="202" spans="2:14" ht="12.5">
      <c r="B202" s="72"/>
      <c r="C202" s="43"/>
      <c r="E202" s="84"/>
      <c r="F202" s="27"/>
      <c r="K202" s="43"/>
      <c r="N202" s="74"/>
    </row>
    <row r="203" spans="2:14" ht="12.5">
      <c r="B203" s="72"/>
      <c r="C203" s="43"/>
      <c r="E203" s="84"/>
      <c r="F203" s="27"/>
      <c r="K203" s="43"/>
      <c r="N203" s="74"/>
    </row>
    <row r="204" spans="2:14" ht="12.5">
      <c r="B204" s="72"/>
      <c r="C204" s="43"/>
      <c r="E204" s="84"/>
      <c r="F204" s="27"/>
      <c r="K204" s="43"/>
      <c r="N204" s="74"/>
    </row>
    <row r="205" spans="2:14" ht="12.5">
      <c r="B205" s="72"/>
      <c r="C205" s="43"/>
      <c r="E205" s="84"/>
      <c r="F205" s="27"/>
      <c r="K205" s="43"/>
      <c r="N205" s="74"/>
    </row>
    <row r="206" spans="2:14" ht="12.5">
      <c r="B206" s="72"/>
      <c r="C206" s="43"/>
      <c r="E206" s="84"/>
      <c r="F206" s="27"/>
      <c r="K206" s="43"/>
      <c r="N206" s="74"/>
    </row>
    <row r="207" spans="2:14" ht="12.5">
      <c r="B207" s="72"/>
      <c r="C207" s="43"/>
      <c r="E207" s="84"/>
      <c r="F207" s="27"/>
      <c r="K207" s="43"/>
      <c r="N207" s="74"/>
    </row>
    <row r="208" spans="2:14" ht="12.5">
      <c r="B208" s="72"/>
      <c r="C208" s="43"/>
      <c r="E208" s="84"/>
      <c r="F208" s="27"/>
      <c r="K208" s="43"/>
      <c r="N208" s="74"/>
    </row>
    <row r="209" spans="2:14" ht="12.5">
      <c r="B209" s="72"/>
      <c r="C209" s="43"/>
      <c r="E209" s="84"/>
      <c r="F209" s="27"/>
      <c r="K209" s="43"/>
      <c r="N209" s="74"/>
    </row>
    <row r="210" spans="2:14" ht="12.5">
      <c r="B210" s="72"/>
      <c r="C210" s="43"/>
      <c r="E210" s="84"/>
      <c r="F210" s="27"/>
      <c r="K210" s="43"/>
      <c r="N210" s="74"/>
    </row>
    <row r="211" spans="2:14" ht="12.5">
      <c r="B211" s="72"/>
      <c r="C211" s="43"/>
      <c r="E211" s="84"/>
      <c r="F211" s="27"/>
      <c r="K211" s="43"/>
      <c r="N211" s="74"/>
    </row>
    <row r="212" spans="2:14" ht="12.5">
      <c r="B212" s="72"/>
      <c r="C212" s="43"/>
      <c r="E212" s="84"/>
      <c r="F212" s="27"/>
      <c r="K212" s="43"/>
      <c r="N212" s="74"/>
    </row>
    <row r="213" spans="2:14" ht="12.5">
      <c r="B213" s="72"/>
      <c r="C213" s="43"/>
      <c r="E213" s="84"/>
      <c r="F213" s="27"/>
      <c r="K213" s="43"/>
      <c r="N213" s="74"/>
    </row>
    <row r="214" spans="2:14" ht="12.5">
      <c r="B214" s="72"/>
      <c r="C214" s="43"/>
      <c r="E214" s="84"/>
      <c r="F214" s="27"/>
      <c r="K214" s="43"/>
      <c r="N214" s="74"/>
    </row>
    <row r="215" spans="2:14" ht="12.5">
      <c r="B215" s="72"/>
      <c r="C215" s="43"/>
      <c r="E215" s="84"/>
      <c r="F215" s="27"/>
      <c r="K215" s="43"/>
      <c r="N215" s="74"/>
    </row>
    <row r="216" spans="2:14" ht="12.5">
      <c r="B216" s="72"/>
      <c r="C216" s="43"/>
      <c r="E216" s="84"/>
      <c r="F216" s="27"/>
      <c r="K216" s="43"/>
      <c r="N216" s="74"/>
    </row>
    <row r="217" spans="2:14" ht="12.5">
      <c r="B217" s="72"/>
      <c r="C217" s="43"/>
      <c r="E217" s="84"/>
      <c r="F217" s="27"/>
      <c r="K217" s="43"/>
      <c r="N217" s="74"/>
    </row>
    <row r="218" spans="2:14" ht="12.5">
      <c r="B218" s="72"/>
      <c r="C218" s="43"/>
      <c r="E218" s="84"/>
      <c r="F218" s="27"/>
      <c r="K218" s="43"/>
      <c r="N218" s="74"/>
    </row>
    <row r="219" spans="2:14" ht="12.5">
      <c r="B219" s="72"/>
      <c r="C219" s="43"/>
      <c r="E219" s="84"/>
      <c r="F219" s="27"/>
      <c r="K219" s="43"/>
      <c r="N219" s="74"/>
    </row>
    <row r="220" spans="2:14" ht="12.5">
      <c r="B220" s="72"/>
      <c r="C220" s="43"/>
      <c r="E220" s="84"/>
      <c r="F220" s="27"/>
      <c r="K220" s="43"/>
      <c r="N220" s="74"/>
    </row>
    <row r="221" spans="2:14" ht="12.5">
      <c r="B221" s="72"/>
      <c r="C221" s="43"/>
      <c r="E221" s="84"/>
      <c r="F221" s="27"/>
      <c r="K221" s="43"/>
      <c r="N221" s="74"/>
    </row>
    <row r="222" spans="2:14" ht="12.5">
      <c r="B222" s="72"/>
      <c r="C222" s="43"/>
      <c r="E222" s="84"/>
      <c r="F222" s="27"/>
      <c r="K222" s="43"/>
      <c r="N222" s="74"/>
    </row>
    <row r="223" spans="2:14" ht="12.5">
      <c r="B223" s="72"/>
      <c r="C223" s="43"/>
      <c r="E223" s="84"/>
      <c r="F223" s="27"/>
      <c r="K223" s="43"/>
      <c r="N223" s="74"/>
    </row>
    <row r="224" spans="2:14" ht="12.5">
      <c r="B224" s="72"/>
      <c r="C224" s="43"/>
      <c r="E224" s="84"/>
      <c r="F224" s="27"/>
      <c r="K224" s="43"/>
      <c r="N224" s="74"/>
    </row>
    <row r="225" spans="2:14" ht="12.5">
      <c r="B225" s="72"/>
      <c r="C225" s="43"/>
      <c r="E225" s="84"/>
      <c r="F225" s="27"/>
      <c r="K225" s="43"/>
      <c r="N225" s="74"/>
    </row>
    <row r="226" spans="2:14" ht="12.5">
      <c r="B226" s="72"/>
      <c r="C226" s="43"/>
      <c r="E226" s="84"/>
      <c r="F226" s="27"/>
      <c r="K226" s="43"/>
      <c r="N226" s="74"/>
    </row>
    <row r="227" spans="2:14" ht="12.5">
      <c r="B227" s="72"/>
      <c r="C227" s="43"/>
      <c r="E227" s="84"/>
      <c r="F227" s="27"/>
      <c r="K227" s="43"/>
      <c r="N227" s="74"/>
    </row>
    <row r="228" spans="2:14" ht="12.5">
      <c r="B228" s="72"/>
      <c r="C228" s="43"/>
      <c r="E228" s="84"/>
      <c r="F228" s="27"/>
      <c r="K228" s="43"/>
      <c r="N228" s="74"/>
    </row>
    <row r="229" spans="2:14" ht="12.5">
      <c r="B229" s="72"/>
      <c r="C229" s="43"/>
      <c r="E229" s="84"/>
      <c r="F229" s="27"/>
      <c r="K229" s="43"/>
      <c r="N229" s="74"/>
    </row>
    <row r="230" spans="2:14" ht="12.5">
      <c r="B230" s="72"/>
      <c r="C230" s="43"/>
      <c r="E230" s="84"/>
      <c r="F230" s="27"/>
      <c r="K230" s="43"/>
      <c r="N230" s="74"/>
    </row>
    <row r="231" spans="2:14" ht="12.5">
      <c r="B231" s="72"/>
      <c r="C231" s="43"/>
      <c r="E231" s="84"/>
      <c r="F231" s="27"/>
      <c r="K231" s="43"/>
      <c r="N231" s="74"/>
    </row>
    <row r="232" spans="2:14" ht="12.5">
      <c r="B232" s="72"/>
      <c r="C232" s="43"/>
      <c r="E232" s="84"/>
      <c r="F232" s="27"/>
      <c r="K232" s="43"/>
      <c r="N232" s="74"/>
    </row>
    <row r="233" spans="2:14" ht="12.5">
      <c r="B233" s="72"/>
      <c r="C233" s="43"/>
      <c r="E233" s="84"/>
      <c r="F233" s="27"/>
      <c r="K233" s="43"/>
      <c r="N233" s="74"/>
    </row>
    <row r="234" spans="2:14" ht="12.5">
      <c r="B234" s="72"/>
      <c r="C234" s="43"/>
      <c r="E234" s="84"/>
      <c r="F234" s="27"/>
      <c r="K234" s="43"/>
      <c r="N234" s="74"/>
    </row>
    <row r="235" spans="2:14" ht="12.5">
      <c r="B235" s="72"/>
      <c r="C235" s="43"/>
      <c r="E235" s="84"/>
      <c r="F235" s="27"/>
      <c r="K235" s="43"/>
      <c r="N235" s="74"/>
    </row>
    <row r="236" spans="2:14" ht="12.5">
      <c r="B236" s="72"/>
      <c r="C236" s="43"/>
      <c r="E236" s="84"/>
      <c r="F236" s="27"/>
      <c r="K236" s="43"/>
      <c r="N236" s="74"/>
    </row>
    <row r="237" spans="2:14" ht="12.5">
      <c r="B237" s="72"/>
      <c r="C237" s="43"/>
      <c r="E237" s="84"/>
      <c r="F237" s="27"/>
      <c r="K237" s="43"/>
      <c r="N237" s="74"/>
    </row>
    <row r="238" spans="2:14" ht="12.5">
      <c r="B238" s="72"/>
      <c r="C238" s="43"/>
      <c r="E238" s="84"/>
      <c r="F238" s="27"/>
      <c r="K238" s="43"/>
      <c r="N238" s="74"/>
    </row>
    <row r="239" spans="2:14" ht="12.5">
      <c r="B239" s="72"/>
      <c r="C239" s="43"/>
      <c r="E239" s="84"/>
      <c r="F239" s="27"/>
      <c r="K239" s="43"/>
      <c r="N239" s="74"/>
    </row>
    <row r="240" spans="2:14" ht="12.5">
      <c r="B240" s="72"/>
      <c r="C240" s="43"/>
      <c r="E240" s="84"/>
      <c r="F240" s="27"/>
      <c r="K240" s="43"/>
      <c r="N240" s="74"/>
    </row>
    <row r="241" spans="2:14" ht="12.5">
      <c r="B241" s="72"/>
      <c r="C241" s="43"/>
      <c r="E241" s="84"/>
      <c r="F241" s="27"/>
      <c r="K241" s="43"/>
      <c r="N241" s="74"/>
    </row>
    <row r="242" spans="2:14" ht="12.5">
      <c r="B242" s="72"/>
      <c r="C242" s="43"/>
      <c r="E242" s="84"/>
      <c r="F242" s="27"/>
      <c r="K242" s="43"/>
      <c r="N242" s="74"/>
    </row>
    <row r="243" spans="2:14" ht="12.5">
      <c r="B243" s="72"/>
      <c r="C243" s="43"/>
      <c r="E243" s="84"/>
      <c r="F243" s="27"/>
      <c r="K243" s="43"/>
      <c r="N243" s="74"/>
    </row>
    <row r="244" spans="2:14" ht="12.5">
      <c r="B244" s="72"/>
      <c r="C244" s="43"/>
      <c r="E244" s="84"/>
      <c r="F244" s="27"/>
      <c r="K244" s="43"/>
      <c r="N244" s="74"/>
    </row>
    <row r="245" spans="2:14" ht="12.5">
      <c r="B245" s="72"/>
      <c r="C245" s="43"/>
      <c r="E245" s="84"/>
      <c r="F245" s="27"/>
      <c r="K245" s="43"/>
      <c r="N245" s="74"/>
    </row>
    <row r="246" spans="2:14" ht="12.5">
      <c r="B246" s="72"/>
      <c r="C246" s="43"/>
      <c r="E246" s="84"/>
      <c r="F246" s="27"/>
      <c r="K246" s="43"/>
      <c r="N246" s="74"/>
    </row>
    <row r="247" spans="2:14" ht="12.5">
      <c r="B247" s="72"/>
      <c r="C247" s="43"/>
      <c r="E247" s="84"/>
      <c r="F247" s="27"/>
      <c r="K247" s="43"/>
      <c r="N247" s="74"/>
    </row>
    <row r="248" spans="2:14" ht="12.5">
      <c r="B248" s="72"/>
      <c r="C248" s="43"/>
      <c r="E248" s="84"/>
      <c r="F248" s="27"/>
      <c r="K248" s="43"/>
      <c r="N248" s="74"/>
    </row>
    <row r="249" spans="2:14" ht="12.5">
      <c r="B249" s="72"/>
      <c r="C249" s="43"/>
      <c r="E249" s="84"/>
      <c r="F249" s="27"/>
      <c r="K249" s="43"/>
      <c r="N249" s="74"/>
    </row>
    <row r="250" spans="2:14" ht="12.5">
      <c r="B250" s="72"/>
      <c r="C250" s="43"/>
      <c r="E250" s="84"/>
      <c r="F250" s="27"/>
      <c r="K250" s="43"/>
      <c r="N250" s="74"/>
    </row>
    <row r="251" spans="2:14" ht="12.5">
      <c r="B251" s="72"/>
      <c r="C251" s="43"/>
      <c r="E251" s="84"/>
      <c r="F251" s="27"/>
      <c r="K251" s="43"/>
      <c r="N251" s="74"/>
    </row>
    <row r="252" spans="2:14" ht="12.5">
      <c r="B252" s="72"/>
      <c r="C252" s="43"/>
      <c r="E252" s="84"/>
      <c r="F252" s="27"/>
      <c r="K252" s="43"/>
      <c r="N252" s="74"/>
    </row>
    <row r="253" spans="2:14" ht="12.5">
      <c r="B253" s="72"/>
      <c r="C253" s="43"/>
      <c r="E253" s="84"/>
      <c r="F253" s="27"/>
      <c r="K253" s="43"/>
      <c r="N253" s="74"/>
    </row>
    <row r="254" spans="2:14" ht="12.5">
      <c r="B254" s="72"/>
      <c r="C254" s="43"/>
      <c r="E254" s="84"/>
      <c r="F254" s="27"/>
      <c r="K254" s="43"/>
      <c r="N254" s="74"/>
    </row>
    <row r="255" spans="2:14" ht="12.5">
      <c r="B255" s="72"/>
      <c r="C255" s="43"/>
      <c r="E255" s="84"/>
      <c r="F255" s="27"/>
      <c r="K255" s="43"/>
      <c r="N255" s="74"/>
    </row>
    <row r="256" spans="2:14" ht="12.5">
      <c r="B256" s="72"/>
      <c r="C256" s="43"/>
      <c r="E256" s="84"/>
      <c r="F256" s="27"/>
      <c r="K256" s="43"/>
      <c r="N256" s="74"/>
    </row>
    <row r="257" spans="2:14" ht="12.5">
      <c r="B257" s="72"/>
      <c r="C257" s="43"/>
      <c r="E257" s="84"/>
      <c r="F257" s="27"/>
      <c r="K257" s="43"/>
      <c r="N257" s="74"/>
    </row>
    <row r="258" spans="2:14" ht="12.5">
      <c r="B258" s="72"/>
      <c r="C258" s="43"/>
      <c r="E258" s="84"/>
      <c r="F258" s="27"/>
      <c r="K258" s="43"/>
      <c r="N258" s="74"/>
    </row>
    <row r="259" spans="2:14" ht="12.5">
      <c r="B259" s="72"/>
      <c r="C259" s="43"/>
      <c r="E259" s="84"/>
      <c r="F259" s="27"/>
      <c r="K259" s="43"/>
      <c r="N259" s="74"/>
    </row>
    <row r="260" spans="2:14" ht="12.5">
      <c r="B260" s="72"/>
      <c r="C260" s="43"/>
      <c r="E260" s="84"/>
      <c r="F260" s="27"/>
      <c r="K260" s="43"/>
      <c r="N260" s="74"/>
    </row>
    <row r="261" spans="2:14" ht="12.5">
      <c r="B261" s="72"/>
      <c r="C261" s="43"/>
      <c r="E261" s="84"/>
      <c r="F261" s="27"/>
      <c r="K261" s="43"/>
      <c r="N261" s="74"/>
    </row>
    <row r="262" spans="2:14" ht="12.5">
      <c r="B262" s="72"/>
      <c r="C262" s="43"/>
      <c r="E262" s="84"/>
      <c r="F262" s="27"/>
      <c r="K262" s="43"/>
      <c r="N262" s="74"/>
    </row>
    <row r="263" spans="2:14" ht="12.5">
      <c r="B263" s="72"/>
      <c r="C263" s="43"/>
      <c r="E263" s="84"/>
      <c r="F263" s="27"/>
      <c r="K263" s="43"/>
      <c r="N263" s="74"/>
    </row>
    <row r="264" spans="2:14" ht="12.5">
      <c r="B264" s="72"/>
      <c r="C264" s="43"/>
      <c r="E264" s="84"/>
      <c r="F264" s="27"/>
      <c r="K264" s="43"/>
      <c r="N264" s="74"/>
    </row>
    <row r="265" spans="2:14" ht="12.5">
      <c r="B265" s="72"/>
      <c r="C265" s="43"/>
      <c r="E265" s="84"/>
      <c r="F265" s="27"/>
      <c r="K265" s="43"/>
      <c r="N265" s="74"/>
    </row>
    <row r="266" spans="2:14" ht="12.5">
      <c r="B266" s="72"/>
      <c r="C266" s="43"/>
      <c r="E266" s="84"/>
      <c r="F266" s="27"/>
      <c r="K266" s="43"/>
      <c r="N266" s="74"/>
    </row>
    <row r="267" spans="2:14" ht="12.5">
      <c r="B267" s="72"/>
      <c r="C267" s="43"/>
      <c r="E267" s="84"/>
      <c r="F267" s="27"/>
      <c r="K267" s="43"/>
      <c r="N267" s="74"/>
    </row>
    <row r="268" spans="2:14" ht="12.5">
      <c r="B268" s="72"/>
      <c r="C268" s="43"/>
      <c r="E268" s="84"/>
      <c r="F268" s="27"/>
      <c r="K268" s="43"/>
      <c r="N268" s="74"/>
    </row>
    <row r="269" spans="2:14" ht="12.5">
      <c r="B269" s="72"/>
      <c r="C269" s="43"/>
      <c r="E269" s="84"/>
      <c r="F269" s="27"/>
      <c r="K269" s="43"/>
      <c r="N269" s="74"/>
    </row>
    <row r="270" spans="2:14" ht="12.5">
      <c r="B270" s="72"/>
      <c r="C270" s="43"/>
      <c r="E270" s="84"/>
      <c r="F270" s="27"/>
      <c r="K270" s="43"/>
      <c r="N270" s="74"/>
    </row>
    <row r="271" spans="2:14" ht="12.5">
      <c r="B271" s="72"/>
      <c r="C271" s="43"/>
      <c r="E271" s="84"/>
      <c r="F271" s="27"/>
      <c r="K271" s="43"/>
      <c r="N271" s="74"/>
    </row>
    <row r="272" spans="2:14" ht="12.5">
      <c r="B272" s="72"/>
      <c r="C272" s="43"/>
      <c r="E272" s="84"/>
      <c r="F272" s="27"/>
      <c r="K272" s="43"/>
      <c r="N272" s="74"/>
    </row>
    <row r="273" spans="2:14" ht="12.5">
      <c r="B273" s="72"/>
      <c r="C273" s="43"/>
      <c r="E273" s="84"/>
      <c r="F273" s="27"/>
      <c r="K273" s="43"/>
      <c r="N273" s="74"/>
    </row>
    <row r="274" spans="2:14" ht="12.5">
      <c r="B274" s="72"/>
      <c r="C274" s="43"/>
      <c r="E274" s="84"/>
      <c r="F274" s="27"/>
      <c r="K274" s="43"/>
      <c r="N274" s="74"/>
    </row>
    <row r="275" spans="2:14" ht="12.5">
      <c r="B275" s="72"/>
      <c r="C275" s="43"/>
      <c r="E275" s="84"/>
      <c r="F275" s="27"/>
      <c r="K275" s="43"/>
      <c r="N275" s="74"/>
    </row>
    <row r="276" spans="2:14" ht="12.5">
      <c r="B276" s="72"/>
      <c r="C276" s="43"/>
      <c r="E276" s="84"/>
      <c r="F276" s="27"/>
      <c r="K276" s="43"/>
      <c r="N276" s="74"/>
    </row>
    <row r="277" spans="2:14" ht="12.5">
      <c r="B277" s="72"/>
      <c r="C277" s="43"/>
      <c r="E277" s="84"/>
      <c r="F277" s="27"/>
      <c r="K277" s="43"/>
      <c r="N277" s="74"/>
    </row>
    <row r="278" spans="2:14" ht="12.5">
      <c r="B278" s="72"/>
      <c r="C278" s="43"/>
      <c r="E278" s="84"/>
      <c r="F278" s="27"/>
      <c r="K278" s="43"/>
      <c r="N278" s="74"/>
    </row>
    <row r="279" spans="2:14" ht="12.5">
      <c r="B279" s="72"/>
      <c r="C279" s="43"/>
      <c r="E279" s="84"/>
      <c r="F279" s="27"/>
      <c r="K279" s="43"/>
      <c r="N279" s="74"/>
    </row>
    <row r="280" spans="2:14" ht="12.5">
      <c r="B280" s="72"/>
      <c r="C280" s="43"/>
      <c r="E280" s="84"/>
      <c r="F280" s="27"/>
      <c r="K280" s="43"/>
      <c r="N280" s="74"/>
    </row>
    <row r="281" spans="2:14" ht="12.5">
      <c r="B281" s="72"/>
      <c r="C281" s="43"/>
      <c r="E281" s="84"/>
      <c r="F281" s="27"/>
      <c r="K281" s="43"/>
      <c r="N281" s="74"/>
    </row>
    <row r="282" spans="2:14" ht="12.5">
      <c r="B282" s="72"/>
      <c r="C282" s="43"/>
      <c r="E282" s="84"/>
      <c r="F282" s="27"/>
      <c r="K282" s="43"/>
      <c r="N282" s="74"/>
    </row>
    <row r="283" spans="2:14" ht="12.5">
      <c r="B283" s="72"/>
      <c r="C283" s="43"/>
      <c r="E283" s="84"/>
      <c r="F283" s="27"/>
      <c r="K283" s="43"/>
      <c r="N283" s="74"/>
    </row>
    <row r="284" spans="2:14" ht="12.5">
      <c r="B284" s="72"/>
      <c r="C284" s="43"/>
      <c r="E284" s="84"/>
      <c r="F284" s="27"/>
      <c r="K284" s="43"/>
      <c r="N284" s="74"/>
    </row>
    <row r="285" spans="2:14" ht="12.5">
      <c r="B285" s="72"/>
      <c r="C285" s="43"/>
      <c r="E285" s="84"/>
      <c r="F285" s="27"/>
      <c r="K285" s="43"/>
      <c r="N285" s="74"/>
    </row>
    <row r="286" spans="2:14" ht="12.5">
      <c r="B286" s="72"/>
      <c r="C286" s="43"/>
      <c r="E286" s="84"/>
      <c r="F286" s="27"/>
      <c r="K286" s="43"/>
      <c r="N286" s="74"/>
    </row>
    <row r="287" spans="2:14" ht="12.5">
      <c r="B287" s="72"/>
      <c r="C287" s="43"/>
      <c r="E287" s="84"/>
      <c r="F287" s="27"/>
      <c r="K287" s="43"/>
      <c r="N287" s="74"/>
    </row>
    <row r="288" spans="2:14" ht="12.5">
      <c r="B288" s="72"/>
      <c r="C288" s="43"/>
      <c r="E288" s="84"/>
      <c r="F288" s="27"/>
      <c r="K288" s="43"/>
      <c r="N288" s="74"/>
    </row>
    <row r="289" spans="2:14" ht="12.5">
      <c r="B289" s="72"/>
      <c r="C289" s="43"/>
      <c r="E289" s="84"/>
      <c r="F289" s="27"/>
      <c r="K289" s="43"/>
      <c r="N289" s="74"/>
    </row>
    <row r="290" spans="2:14" ht="12.5">
      <c r="B290" s="72"/>
      <c r="C290" s="43"/>
      <c r="E290" s="84"/>
      <c r="F290" s="27"/>
      <c r="K290" s="43"/>
      <c r="N290" s="74"/>
    </row>
    <row r="291" spans="2:14" ht="12.5">
      <c r="B291" s="72"/>
      <c r="C291" s="43"/>
      <c r="E291" s="84"/>
      <c r="F291" s="27"/>
      <c r="K291" s="43"/>
      <c r="N291" s="74"/>
    </row>
    <row r="292" spans="2:14" ht="12.5">
      <c r="B292" s="72"/>
      <c r="C292" s="43"/>
      <c r="E292" s="84"/>
      <c r="F292" s="27"/>
      <c r="K292" s="43"/>
      <c r="N292" s="74"/>
    </row>
    <row r="293" spans="2:14" ht="12.5">
      <c r="B293" s="72"/>
      <c r="C293" s="43"/>
      <c r="E293" s="84"/>
      <c r="F293" s="27"/>
      <c r="K293" s="43"/>
      <c r="N293" s="74"/>
    </row>
    <row r="294" spans="2:14" ht="12.5">
      <c r="B294" s="72"/>
      <c r="C294" s="43"/>
      <c r="E294" s="84"/>
      <c r="F294" s="27"/>
      <c r="K294" s="43"/>
      <c r="N294" s="74"/>
    </row>
    <row r="295" spans="2:14" ht="12.5">
      <c r="B295" s="72"/>
      <c r="C295" s="43"/>
      <c r="E295" s="84"/>
      <c r="F295" s="27"/>
      <c r="K295" s="43"/>
      <c r="N295" s="74"/>
    </row>
    <row r="296" spans="2:14" ht="12.5">
      <c r="B296" s="72"/>
      <c r="C296" s="43"/>
      <c r="E296" s="84"/>
      <c r="F296" s="27"/>
      <c r="K296" s="43"/>
      <c r="N296" s="74"/>
    </row>
    <row r="297" spans="2:14" ht="12.5">
      <c r="B297" s="72"/>
      <c r="C297" s="43"/>
      <c r="E297" s="84"/>
      <c r="F297" s="27"/>
      <c r="K297" s="43"/>
      <c r="N297" s="74"/>
    </row>
    <row r="298" spans="2:14" ht="12.5">
      <c r="B298" s="72"/>
      <c r="C298" s="43"/>
      <c r="E298" s="84"/>
      <c r="F298" s="27"/>
      <c r="K298" s="43"/>
      <c r="N298" s="74"/>
    </row>
    <row r="299" spans="2:14" ht="12.5">
      <c r="B299" s="72"/>
      <c r="C299" s="43"/>
      <c r="E299" s="84"/>
      <c r="F299" s="27"/>
      <c r="K299" s="43"/>
      <c r="N299" s="74"/>
    </row>
    <row r="300" spans="2:14" ht="12.5">
      <c r="B300" s="72"/>
      <c r="C300" s="43"/>
      <c r="E300" s="84"/>
      <c r="F300" s="27"/>
      <c r="K300" s="43"/>
      <c r="N300" s="74"/>
    </row>
    <row r="301" spans="2:14" ht="12.5">
      <c r="B301" s="72"/>
      <c r="C301" s="43"/>
      <c r="E301" s="84"/>
      <c r="F301" s="27"/>
      <c r="K301" s="43"/>
      <c r="N301" s="74"/>
    </row>
    <row r="302" spans="2:14" ht="12.5">
      <c r="B302" s="72"/>
      <c r="C302" s="43"/>
      <c r="E302" s="84"/>
      <c r="F302" s="27"/>
      <c r="K302" s="43"/>
      <c r="N302" s="74"/>
    </row>
    <row r="303" spans="2:14" ht="12.5">
      <c r="B303" s="72"/>
      <c r="C303" s="43"/>
      <c r="E303" s="84"/>
      <c r="F303" s="27"/>
      <c r="K303" s="43"/>
      <c r="N303" s="74"/>
    </row>
    <row r="304" spans="2:14" ht="12.5">
      <c r="B304" s="72"/>
      <c r="C304" s="43"/>
      <c r="E304" s="84"/>
      <c r="F304" s="27"/>
      <c r="K304" s="43"/>
      <c r="N304" s="74"/>
    </row>
    <row r="305" spans="2:14" ht="12.5">
      <c r="B305" s="72"/>
      <c r="C305" s="43"/>
      <c r="E305" s="84"/>
      <c r="F305" s="27"/>
      <c r="K305" s="43"/>
      <c r="N305" s="74"/>
    </row>
    <row r="306" spans="2:14" ht="12.5">
      <c r="B306" s="72"/>
      <c r="C306" s="43"/>
      <c r="E306" s="84"/>
      <c r="F306" s="27"/>
      <c r="K306" s="43"/>
      <c r="N306" s="74"/>
    </row>
    <row r="307" spans="2:14" ht="12.5">
      <c r="B307" s="72"/>
      <c r="C307" s="43"/>
      <c r="E307" s="84"/>
      <c r="F307" s="27"/>
      <c r="K307" s="43"/>
      <c r="N307" s="74"/>
    </row>
    <row r="308" spans="2:14" ht="12.5">
      <c r="B308" s="72"/>
      <c r="C308" s="43"/>
      <c r="E308" s="84"/>
      <c r="F308" s="27"/>
      <c r="K308" s="43"/>
      <c r="N308" s="74"/>
    </row>
    <row r="309" spans="2:14" ht="12.5">
      <c r="B309" s="72"/>
      <c r="C309" s="43"/>
      <c r="E309" s="84"/>
      <c r="F309" s="27"/>
      <c r="K309" s="43"/>
      <c r="N309" s="74"/>
    </row>
    <row r="310" spans="2:14" ht="12.5">
      <c r="B310" s="72"/>
      <c r="C310" s="43"/>
      <c r="E310" s="84"/>
      <c r="F310" s="27"/>
      <c r="K310" s="43"/>
      <c r="N310" s="74"/>
    </row>
    <row r="311" spans="2:14" ht="12.5">
      <c r="B311" s="72"/>
      <c r="C311" s="43"/>
      <c r="E311" s="84"/>
      <c r="F311" s="27"/>
      <c r="K311" s="43"/>
      <c r="N311" s="74"/>
    </row>
    <row r="312" spans="2:14" ht="12.5">
      <c r="B312" s="72"/>
      <c r="C312" s="43"/>
      <c r="E312" s="84"/>
      <c r="F312" s="27"/>
      <c r="K312" s="43"/>
      <c r="N312" s="74"/>
    </row>
    <row r="313" spans="2:14" ht="12.5">
      <c r="B313" s="72"/>
      <c r="C313" s="43"/>
      <c r="E313" s="84"/>
      <c r="F313" s="27"/>
      <c r="K313" s="43"/>
      <c r="N313" s="74"/>
    </row>
    <row r="314" spans="2:14" ht="12.5">
      <c r="B314" s="72"/>
      <c r="C314" s="43"/>
      <c r="E314" s="84"/>
      <c r="F314" s="27"/>
      <c r="K314" s="43"/>
      <c r="N314" s="74"/>
    </row>
    <row r="315" spans="2:14" ht="12.5">
      <c r="B315" s="72"/>
      <c r="C315" s="43"/>
      <c r="E315" s="84"/>
      <c r="F315" s="27"/>
      <c r="K315" s="43"/>
      <c r="N315" s="74"/>
    </row>
    <row r="316" spans="2:14" ht="12.5">
      <c r="B316" s="72"/>
      <c r="C316" s="43"/>
      <c r="E316" s="84"/>
      <c r="F316" s="27"/>
      <c r="K316" s="43"/>
      <c r="N316" s="74"/>
    </row>
    <row r="317" spans="2:14" ht="12.5">
      <c r="B317" s="72"/>
      <c r="C317" s="43"/>
      <c r="E317" s="84"/>
      <c r="F317" s="27"/>
      <c r="K317" s="43"/>
      <c r="N317" s="74"/>
    </row>
    <row r="318" spans="2:14" ht="12.5">
      <c r="B318" s="72"/>
      <c r="C318" s="43"/>
      <c r="E318" s="84"/>
      <c r="F318" s="27"/>
      <c r="K318" s="43"/>
      <c r="N318" s="74"/>
    </row>
    <row r="319" spans="2:14" ht="12.5">
      <c r="B319" s="72"/>
      <c r="C319" s="43"/>
      <c r="E319" s="84"/>
      <c r="F319" s="27"/>
      <c r="K319" s="43"/>
      <c r="N319" s="74"/>
    </row>
    <row r="320" spans="2:14" ht="12.5">
      <c r="B320" s="72"/>
      <c r="C320" s="43"/>
      <c r="E320" s="84"/>
      <c r="F320" s="27"/>
      <c r="K320" s="43"/>
      <c r="N320" s="74"/>
    </row>
    <row r="321" spans="2:14" ht="12.5">
      <c r="B321" s="72"/>
      <c r="C321" s="43"/>
      <c r="E321" s="84"/>
      <c r="F321" s="27"/>
      <c r="K321" s="43"/>
      <c r="N321" s="74"/>
    </row>
    <row r="322" spans="2:14" ht="12.5">
      <c r="B322" s="72"/>
      <c r="C322" s="43"/>
      <c r="E322" s="84"/>
      <c r="F322" s="27"/>
      <c r="K322" s="43"/>
      <c r="N322" s="74"/>
    </row>
    <row r="323" spans="2:14" ht="12.5">
      <c r="B323" s="72"/>
      <c r="C323" s="43"/>
      <c r="E323" s="84"/>
      <c r="F323" s="27"/>
      <c r="K323" s="43"/>
      <c r="N323" s="74"/>
    </row>
    <row r="324" spans="2:14" ht="12.5">
      <c r="B324" s="72"/>
      <c r="C324" s="43"/>
      <c r="E324" s="84"/>
      <c r="F324" s="27"/>
      <c r="K324" s="43"/>
      <c r="N324" s="74"/>
    </row>
    <row r="325" spans="2:14" ht="12.5">
      <c r="B325" s="72"/>
      <c r="C325" s="43"/>
      <c r="E325" s="84"/>
      <c r="F325" s="27"/>
      <c r="K325" s="43"/>
      <c r="N325" s="74"/>
    </row>
    <row r="326" spans="2:14" ht="12.5">
      <c r="B326" s="72"/>
      <c r="C326" s="43"/>
      <c r="E326" s="84"/>
      <c r="F326" s="27"/>
      <c r="K326" s="43"/>
      <c r="N326" s="74"/>
    </row>
    <row r="327" spans="2:14" ht="12.5">
      <c r="B327" s="72"/>
      <c r="C327" s="43"/>
      <c r="E327" s="84"/>
      <c r="F327" s="27"/>
      <c r="K327" s="43"/>
      <c r="N327" s="74"/>
    </row>
    <row r="328" spans="2:14" ht="12.5">
      <c r="B328" s="72"/>
      <c r="C328" s="43"/>
      <c r="E328" s="84"/>
      <c r="F328" s="27"/>
      <c r="K328" s="43"/>
      <c r="N328" s="74"/>
    </row>
    <row r="329" spans="2:14" ht="12.5">
      <c r="B329" s="72"/>
      <c r="C329" s="43"/>
      <c r="E329" s="84"/>
      <c r="F329" s="27"/>
      <c r="K329" s="43"/>
      <c r="N329" s="74"/>
    </row>
    <row r="330" spans="2:14" ht="12.5">
      <c r="B330" s="72"/>
      <c r="C330" s="43"/>
      <c r="E330" s="84"/>
      <c r="F330" s="27"/>
      <c r="K330" s="43"/>
      <c r="N330" s="74"/>
    </row>
    <row r="331" spans="2:14" ht="12.5">
      <c r="B331" s="72"/>
      <c r="C331" s="43"/>
      <c r="E331" s="84"/>
      <c r="F331" s="27"/>
      <c r="K331" s="43"/>
      <c r="N331" s="74"/>
    </row>
    <row r="332" spans="2:14" ht="12.5">
      <c r="B332" s="72"/>
      <c r="C332" s="43"/>
      <c r="E332" s="84"/>
      <c r="F332" s="27"/>
      <c r="K332" s="43"/>
      <c r="N332" s="74"/>
    </row>
    <row r="333" spans="2:14" ht="12.5">
      <c r="B333" s="72"/>
      <c r="C333" s="43"/>
      <c r="E333" s="84"/>
      <c r="F333" s="27"/>
      <c r="K333" s="43"/>
      <c r="N333" s="74"/>
    </row>
    <row r="334" spans="2:14" ht="12.5">
      <c r="B334" s="72"/>
      <c r="C334" s="43"/>
      <c r="E334" s="84"/>
      <c r="F334" s="27"/>
      <c r="K334" s="43"/>
      <c r="N334" s="74"/>
    </row>
    <row r="335" spans="2:14" ht="12.5">
      <c r="B335" s="72"/>
      <c r="C335" s="43"/>
      <c r="E335" s="84"/>
      <c r="F335" s="27"/>
      <c r="K335" s="43"/>
      <c r="N335" s="74"/>
    </row>
    <row r="336" spans="2:14" ht="12.5">
      <c r="B336" s="72"/>
      <c r="C336" s="43"/>
      <c r="E336" s="84"/>
      <c r="F336" s="27"/>
      <c r="K336" s="43"/>
      <c r="N336" s="74"/>
    </row>
    <row r="337" spans="2:14" ht="12.5">
      <c r="B337" s="72"/>
      <c r="C337" s="43"/>
      <c r="E337" s="84"/>
      <c r="F337" s="27"/>
      <c r="K337" s="43"/>
      <c r="N337" s="74"/>
    </row>
    <row r="338" spans="2:14" ht="12.5">
      <c r="B338" s="72"/>
      <c r="C338" s="43"/>
      <c r="E338" s="84"/>
      <c r="F338" s="27"/>
      <c r="K338" s="43"/>
      <c r="N338" s="74"/>
    </row>
    <row r="339" spans="2:14" ht="12.5">
      <c r="B339" s="72"/>
      <c r="C339" s="43"/>
      <c r="E339" s="84"/>
      <c r="F339" s="27"/>
      <c r="K339" s="43"/>
      <c r="N339" s="74"/>
    </row>
    <row r="340" spans="2:14" ht="12.5">
      <c r="B340" s="72"/>
      <c r="C340" s="43"/>
      <c r="E340" s="84"/>
      <c r="F340" s="27"/>
      <c r="K340" s="43"/>
      <c r="N340" s="74"/>
    </row>
    <row r="341" spans="2:14" ht="12.5">
      <c r="B341" s="72"/>
      <c r="C341" s="43"/>
      <c r="E341" s="84"/>
      <c r="F341" s="27"/>
      <c r="K341" s="43"/>
      <c r="N341" s="74"/>
    </row>
    <row r="342" spans="2:14" ht="12.5">
      <c r="B342" s="72"/>
      <c r="C342" s="43"/>
      <c r="E342" s="84"/>
      <c r="F342" s="27"/>
      <c r="K342" s="43"/>
      <c r="N342" s="74"/>
    </row>
    <row r="343" spans="2:14" ht="12.5">
      <c r="B343" s="72"/>
      <c r="C343" s="43"/>
      <c r="E343" s="84"/>
      <c r="F343" s="27"/>
      <c r="K343" s="43"/>
      <c r="N343" s="74"/>
    </row>
    <row r="344" spans="2:14" ht="12.5">
      <c r="B344" s="72"/>
      <c r="C344" s="43"/>
      <c r="E344" s="84"/>
      <c r="F344" s="27"/>
      <c r="K344" s="43"/>
      <c r="N344" s="74"/>
    </row>
    <row r="345" spans="2:14" ht="12.5">
      <c r="B345" s="72"/>
      <c r="C345" s="43"/>
      <c r="E345" s="84"/>
      <c r="F345" s="27"/>
      <c r="K345" s="43"/>
      <c r="N345" s="74"/>
    </row>
    <row r="346" spans="2:14" ht="12.5">
      <c r="B346" s="72"/>
      <c r="C346" s="43"/>
      <c r="E346" s="84"/>
      <c r="F346" s="27"/>
      <c r="K346" s="43"/>
      <c r="N346" s="74"/>
    </row>
    <row r="347" spans="2:14" ht="12.5">
      <c r="B347" s="72"/>
      <c r="C347" s="43"/>
      <c r="E347" s="84"/>
      <c r="F347" s="27"/>
      <c r="K347" s="43"/>
      <c r="N347" s="74"/>
    </row>
    <row r="348" spans="2:14" ht="12.5">
      <c r="B348" s="72"/>
      <c r="C348" s="43"/>
      <c r="E348" s="84"/>
      <c r="F348" s="27"/>
      <c r="K348" s="43"/>
      <c r="N348" s="74"/>
    </row>
    <row r="349" spans="2:14" ht="12.5">
      <c r="B349" s="72"/>
      <c r="C349" s="43"/>
      <c r="E349" s="84"/>
      <c r="F349" s="27"/>
      <c r="K349" s="43"/>
      <c r="N349" s="74"/>
    </row>
    <row r="350" spans="2:14" ht="12.5">
      <c r="B350" s="72"/>
      <c r="C350" s="43"/>
      <c r="E350" s="84"/>
      <c r="F350" s="27"/>
      <c r="K350" s="43"/>
      <c r="N350" s="74"/>
    </row>
    <row r="351" spans="2:14" ht="12.5">
      <c r="B351" s="72"/>
      <c r="C351" s="43"/>
      <c r="E351" s="84"/>
      <c r="F351" s="27"/>
      <c r="K351" s="43"/>
      <c r="N351" s="74"/>
    </row>
    <row r="352" spans="2:14" ht="12.5">
      <c r="B352" s="72"/>
      <c r="C352" s="43"/>
      <c r="E352" s="84"/>
      <c r="F352" s="27"/>
      <c r="K352" s="43"/>
      <c r="N352" s="74"/>
    </row>
    <row r="353" spans="2:14" ht="12.5">
      <c r="B353" s="72"/>
      <c r="C353" s="43"/>
      <c r="E353" s="84"/>
      <c r="F353" s="27"/>
      <c r="K353" s="43"/>
      <c r="N353" s="74"/>
    </row>
    <row r="354" spans="2:14" ht="12.5">
      <c r="B354" s="72"/>
      <c r="C354" s="43"/>
      <c r="E354" s="84"/>
      <c r="F354" s="27"/>
      <c r="K354" s="43"/>
      <c r="N354" s="74"/>
    </row>
    <row r="355" spans="2:14" ht="12.5">
      <c r="B355" s="72"/>
      <c r="C355" s="43"/>
      <c r="E355" s="84"/>
      <c r="F355" s="27"/>
      <c r="K355" s="43"/>
      <c r="N355" s="74"/>
    </row>
    <row r="356" spans="2:14" ht="12.5">
      <c r="B356" s="72"/>
      <c r="C356" s="43"/>
      <c r="E356" s="84"/>
      <c r="F356" s="27"/>
      <c r="K356" s="43"/>
      <c r="N356" s="74"/>
    </row>
    <row r="357" spans="2:14" ht="12.5">
      <c r="B357" s="72"/>
      <c r="C357" s="43"/>
      <c r="E357" s="84"/>
      <c r="F357" s="27"/>
      <c r="K357" s="43"/>
      <c r="N357" s="74"/>
    </row>
    <row r="358" spans="2:14" ht="12.5">
      <c r="B358" s="72"/>
      <c r="C358" s="43"/>
      <c r="E358" s="84"/>
      <c r="F358" s="27"/>
      <c r="K358" s="43"/>
      <c r="N358" s="74"/>
    </row>
    <row r="359" spans="2:14" ht="12.5">
      <c r="B359" s="72"/>
      <c r="C359" s="43"/>
      <c r="E359" s="84"/>
      <c r="F359" s="27"/>
      <c r="K359" s="43"/>
      <c r="N359" s="74"/>
    </row>
    <row r="360" spans="2:14" ht="12.5">
      <c r="B360" s="72"/>
      <c r="C360" s="43"/>
      <c r="E360" s="84"/>
      <c r="F360" s="27"/>
      <c r="K360" s="43"/>
      <c r="N360" s="74"/>
    </row>
    <row r="361" spans="2:14" ht="12.5">
      <c r="B361" s="72"/>
      <c r="C361" s="43"/>
      <c r="E361" s="84"/>
      <c r="F361" s="27"/>
      <c r="K361" s="43"/>
      <c r="N361" s="74"/>
    </row>
    <row r="362" spans="2:14" ht="12.5">
      <c r="B362" s="72"/>
      <c r="C362" s="43"/>
      <c r="E362" s="84"/>
      <c r="F362" s="27"/>
      <c r="K362" s="43"/>
      <c r="N362" s="74"/>
    </row>
    <row r="363" spans="2:14" ht="12.5">
      <c r="B363" s="72"/>
      <c r="C363" s="43"/>
      <c r="E363" s="84"/>
      <c r="F363" s="27"/>
      <c r="K363" s="43"/>
      <c r="N363" s="74"/>
    </row>
    <row r="364" spans="2:14" ht="12.5">
      <c r="B364" s="72"/>
      <c r="C364" s="43"/>
      <c r="E364" s="84"/>
      <c r="F364" s="27"/>
      <c r="K364" s="43"/>
      <c r="N364" s="74"/>
    </row>
    <row r="365" spans="2:14" ht="12.5">
      <c r="B365" s="72"/>
      <c r="C365" s="43"/>
      <c r="E365" s="84"/>
      <c r="F365" s="27"/>
      <c r="K365" s="43"/>
      <c r="N365" s="74"/>
    </row>
    <row r="366" spans="2:14" ht="12.5">
      <c r="B366" s="72"/>
      <c r="C366" s="43"/>
      <c r="E366" s="84"/>
      <c r="F366" s="27"/>
      <c r="K366" s="43"/>
      <c r="N366" s="74"/>
    </row>
    <row r="367" spans="2:14" ht="12.5">
      <c r="B367" s="72"/>
      <c r="C367" s="43"/>
      <c r="E367" s="84"/>
      <c r="F367" s="27"/>
      <c r="K367" s="43"/>
      <c r="N367" s="74"/>
    </row>
    <row r="368" spans="2:14" ht="12.5">
      <c r="B368" s="72"/>
      <c r="C368" s="43"/>
      <c r="E368" s="84"/>
      <c r="F368" s="27"/>
      <c r="K368" s="43"/>
      <c r="N368" s="74"/>
    </row>
    <row r="369" spans="2:14" ht="12.5">
      <c r="B369" s="72"/>
      <c r="C369" s="43"/>
      <c r="E369" s="84"/>
      <c r="F369" s="27"/>
      <c r="K369" s="43"/>
      <c r="N369" s="74"/>
    </row>
    <row r="370" spans="2:14" ht="12.5">
      <c r="B370" s="72"/>
      <c r="C370" s="43"/>
      <c r="E370" s="84"/>
      <c r="F370" s="27"/>
      <c r="K370" s="43"/>
      <c r="N370" s="74"/>
    </row>
    <row r="371" spans="2:14" ht="12.5">
      <c r="B371" s="72"/>
      <c r="C371" s="43"/>
      <c r="E371" s="84"/>
      <c r="F371" s="27"/>
      <c r="K371" s="43"/>
      <c r="N371" s="74"/>
    </row>
    <row r="372" spans="2:14" ht="12.5">
      <c r="B372" s="72"/>
      <c r="C372" s="43"/>
      <c r="E372" s="84"/>
      <c r="F372" s="27"/>
      <c r="K372" s="43"/>
      <c r="N372" s="74"/>
    </row>
    <row r="373" spans="2:14" ht="12.5">
      <c r="B373" s="72"/>
      <c r="C373" s="43"/>
      <c r="E373" s="84"/>
      <c r="F373" s="27"/>
      <c r="K373" s="43"/>
      <c r="N373" s="74"/>
    </row>
    <row r="374" spans="2:14" ht="12.5">
      <c r="B374" s="72"/>
      <c r="C374" s="43"/>
      <c r="E374" s="84"/>
      <c r="F374" s="27"/>
      <c r="K374" s="43"/>
      <c r="N374" s="74"/>
    </row>
    <row r="375" spans="2:14" ht="12.5">
      <c r="B375" s="72"/>
      <c r="C375" s="43"/>
      <c r="E375" s="84"/>
      <c r="F375" s="27"/>
      <c r="K375" s="43"/>
      <c r="N375" s="74"/>
    </row>
    <row r="376" spans="2:14" ht="12.5">
      <c r="B376" s="72"/>
      <c r="C376" s="43"/>
      <c r="E376" s="84"/>
      <c r="F376" s="27"/>
      <c r="K376" s="43"/>
      <c r="N376" s="74"/>
    </row>
    <row r="377" spans="2:14" ht="12.5">
      <c r="B377" s="72"/>
      <c r="C377" s="43"/>
      <c r="E377" s="84"/>
      <c r="F377" s="27"/>
      <c r="K377" s="43"/>
      <c r="N377" s="74"/>
    </row>
    <row r="378" spans="2:14" ht="12.5">
      <c r="B378" s="72"/>
      <c r="C378" s="43"/>
      <c r="E378" s="84"/>
      <c r="F378" s="27"/>
      <c r="K378" s="43"/>
      <c r="N378" s="74"/>
    </row>
    <row r="379" spans="2:14" ht="12.5">
      <c r="B379" s="72"/>
      <c r="C379" s="43"/>
      <c r="E379" s="84"/>
      <c r="F379" s="27"/>
      <c r="K379" s="43"/>
      <c r="N379" s="74"/>
    </row>
    <row r="380" spans="2:14" ht="12.5">
      <c r="B380" s="72"/>
      <c r="C380" s="43"/>
      <c r="E380" s="84"/>
      <c r="F380" s="27"/>
      <c r="K380" s="43"/>
      <c r="N380" s="74"/>
    </row>
    <row r="381" spans="2:14" ht="12.5">
      <c r="B381" s="72"/>
      <c r="C381" s="43"/>
      <c r="E381" s="84"/>
      <c r="F381" s="27"/>
      <c r="K381" s="43"/>
      <c r="N381" s="74"/>
    </row>
    <row r="382" spans="2:14" ht="12.5">
      <c r="B382" s="72"/>
      <c r="C382" s="43"/>
      <c r="E382" s="84"/>
      <c r="F382" s="27"/>
      <c r="K382" s="43"/>
      <c r="N382" s="74"/>
    </row>
    <row r="383" spans="2:14" ht="12.5">
      <c r="B383" s="72"/>
      <c r="C383" s="43"/>
      <c r="E383" s="84"/>
      <c r="F383" s="27"/>
      <c r="K383" s="43"/>
      <c r="N383" s="74"/>
    </row>
    <row r="384" spans="2:14" ht="12.5">
      <c r="B384" s="72"/>
      <c r="C384" s="43"/>
      <c r="E384" s="84"/>
      <c r="F384" s="27"/>
      <c r="K384" s="43"/>
      <c r="N384" s="74"/>
    </row>
    <row r="385" spans="2:14" ht="12.5">
      <c r="B385" s="72"/>
      <c r="C385" s="43"/>
      <c r="E385" s="84"/>
      <c r="F385" s="27"/>
      <c r="K385" s="43"/>
      <c r="N385" s="74"/>
    </row>
    <row r="386" spans="2:14" ht="12.5">
      <c r="B386" s="72"/>
      <c r="C386" s="43"/>
      <c r="E386" s="84"/>
      <c r="F386" s="27"/>
      <c r="K386" s="43"/>
      <c r="N386" s="74"/>
    </row>
    <row r="387" spans="2:14" ht="12.5">
      <c r="B387" s="72"/>
      <c r="C387" s="43"/>
      <c r="E387" s="84"/>
      <c r="F387" s="27"/>
      <c r="K387" s="43"/>
      <c r="N387" s="74"/>
    </row>
    <row r="388" spans="2:14" ht="12.5">
      <c r="B388" s="72"/>
      <c r="C388" s="43"/>
      <c r="E388" s="84"/>
      <c r="F388" s="27"/>
      <c r="K388" s="43"/>
      <c r="N388" s="74"/>
    </row>
    <row r="389" spans="2:14" ht="12.5">
      <c r="B389" s="72"/>
      <c r="C389" s="43"/>
      <c r="E389" s="84"/>
      <c r="F389" s="27"/>
      <c r="K389" s="43"/>
      <c r="N389" s="74"/>
    </row>
    <row r="390" spans="2:14" ht="12.5">
      <c r="B390" s="72"/>
      <c r="C390" s="43"/>
      <c r="E390" s="84"/>
      <c r="F390" s="27"/>
      <c r="K390" s="43"/>
      <c r="N390" s="74"/>
    </row>
    <row r="391" spans="2:14" ht="12.5">
      <c r="B391" s="72"/>
      <c r="C391" s="43"/>
      <c r="E391" s="84"/>
      <c r="F391" s="27"/>
      <c r="K391" s="43"/>
      <c r="N391" s="74"/>
    </row>
    <row r="392" spans="2:14" ht="12.5">
      <c r="B392" s="72"/>
      <c r="C392" s="43"/>
      <c r="E392" s="84"/>
      <c r="F392" s="27"/>
      <c r="K392" s="43"/>
      <c r="N392" s="74"/>
    </row>
    <row r="393" spans="2:14" ht="12.5">
      <c r="B393" s="72"/>
      <c r="C393" s="43"/>
      <c r="E393" s="84"/>
      <c r="F393" s="27"/>
      <c r="K393" s="43"/>
      <c r="N393" s="74"/>
    </row>
    <row r="394" spans="2:14" ht="12.5">
      <c r="B394" s="72"/>
      <c r="C394" s="43"/>
      <c r="E394" s="84"/>
      <c r="F394" s="27"/>
      <c r="K394" s="43"/>
      <c r="N394" s="74"/>
    </row>
    <row r="395" spans="2:14" ht="12.5">
      <c r="B395" s="72"/>
      <c r="C395" s="43"/>
      <c r="E395" s="84"/>
      <c r="F395" s="27"/>
      <c r="K395" s="43"/>
      <c r="N395" s="74"/>
    </row>
    <row r="396" spans="2:14" ht="12.5">
      <c r="B396" s="72"/>
      <c r="C396" s="43"/>
      <c r="E396" s="84"/>
      <c r="F396" s="27"/>
      <c r="K396" s="43"/>
      <c r="N396" s="74"/>
    </row>
    <row r="397" spans="2:14" ht="12.5">
      <c r="B397" s="72"/>
      <c r="C397" s="43"/>
      <c r="E397" s="84"/>
      <c r="F397" s="27"/>
      <c r="K397" s="43"/>
      <c r="N397" s="74"/>
    </row>
    <row r="398" spans="2:14" ht="12.5">
      <c r="B398" s="72"/>
      <c r="C398" s="43"/>
      <c r="E398" s="84"/>
      <c r="F398" s="27"/>
      <c r="K398" s="43"/>
      <c r="N398" s="74"/>
    </row>
    <row r="399" spans="2:14" ht="12.5">
      <c r="B399" s="72"/>
      <c r="C399" s="43"/>
      <c r="E399" s="84"/>
      <c r="F399" s="27"/>
      <c r="K399" s="43"/>
      <c r="N399" s="74"/>
    </row>
    <row r="400" spans="2:14" ht="12.5">
      <c r="B400" s="72"/>
      <c r="C400" s="43"/>
      <c r="E400" s="84"/>
      <c r="F400" s="27"/>
      <c r="K400" s="43"/>
      <c r="N400" s="74"/>
    </row>
    <row r="401" spans="2:14" ht="12.5">
      <c r="B401" s="72"/>
      <c r="C401" s="43"/>
      <c r="E401" s="84"/>
      <c r="F401" s="27"/>
      <c r="K401" s="43"/>
      <c r="N401" s="74"/>
    </row>
    <row r="402" spans="2:14" ht="12.5">
      <c r="B402" s="72"/>
      <c r="C402" s="43"/>
      <c r="E402" s="84"/>
      <c r="F402" s="27"/>
      <c r="K402" s="43"/>
      <c r="N402" s="74"/>
    </row>
    <row r="403" spans="2:14" ht="12.5">
      <c r="B403" s="72"/>
      <c r="C403" s="43"/>
      <c r="E403" s="84"/>
      <c r="F403" s="27"/>
      <c r="K403" s="43"/>
      <c r="N403" s="74"/>
    </row>
    <row r="404" spans="2:14" ht="12.5">
      <c r="B404" s="72"/>
      <c r="C404" s="43"/>
      <c r="E404" s="84"/>
      <c r="F404" s="27"/>
      <c r="K404" s="43"/>
      <c r="N404" s="74"/>
    </row>
    <row r="405" spans="2:14" ht="12.5">
      <c r="B405" s="72"/>
      <c r="C405" s="43"/>
      <c r="E405" s="84"/>
      <c r="F405" s="27"/>
      <c r="K405" s="43"/>
      <c r="N405" s="74"/>
    </row>
    <row r="406" spans="2:14" ht="12.5">
      <c r="B406" s="72"/>
      <c r="C406" s="43"/>
      <c r="E406" s="84"/>
      <c r="F406" s="27"/>
      <c r="K406" s="43"/>
      <c r="N406" s="74"/>
    </row>
    <row r="407" spans="2:14" ht="12.5">
      <c r="B407" s="72"/>
      <c r="C407" s="43"/>
      <c r="E407" s="84"/>
      <c r="F407" s="27"/>
      <c r="K407" s="43"/>
      <c r="N407" s="74"/>
    </row>
    <row r="408" spans="2:14" ht="12.5">
      <c r="B408" s="72"/>
      <c r="C408" s="43"/>
      <c r="E408" s="84"/>
      <c r="F408" s="27"/>
      <c r="K408" s="43"/>
      <c r="N408" s="74"/>
    </row>
    <row r="409" spans="2:14" ht="12.5">
      <c r="B409" s="72"/>
      <c r="C409" s="43"/>
      <c r="E409" s="84"/>
      <c r="F409" s="27"/>
      <c r="K409" s="43"/>
      <c r="N409" s="74"/>
    </row>
    <row r="410" spans="2:14" ht="12.5">
      <c r="B410" s="72"/>
      <c r="C410" s="43"/>
      <c r="E410" s="84"/>
      <c r="F410" s="27"/>
      <c r="K410" s="43"/>
      <c r="N410" s="74"/>
    </row>
    <row r="411" spans="2:14" ht="12.5">
      <c r="B411" s="72"/>
      <c r="C411" s="43"/>
      <c r="E411" s="84"/>
      <c r="F411" s="27"/>
      <c r="K411" s="43"/>
      <c r="N411" s="74"/>
    </row>
    <row r="412" spans="2:14" ht="12.5">
      <c r="B412" s="72"/>
      <c r="C412" s="43"/>
      <c r="E412" s="84"/>
      <c r="F412" s="27"/>
      <c r="K412" s="43"/>
      <c r="N412" s="74"/>
    </row>
    <row r="413" spans="2:14" ht="12.5">
      <c r="B413" s="72"/>
      <c r="C413" s="43"/>
      <c r="E413" s="84"/>
      <c r="F413" s="27"/>
      <c r="K413" s="43"/>
      <c r="N413" s="74"/>
    </row>
    <row r="414" spans="2:14" ht="12.5">
      <c r="B414" s="72"/>
      <c r="C414" s="43"/>
      <c r="E414" s="84"/>
      <c r="F414" s="27"/>
      <c r="K414" s="43"/>
      <c r="N414" s="74"/>
    </row>
    <row r="415" spans="2:14" ht="12.5">
      <c r="B415" s="72"/>
      <c r="C415" s="43"/>
      <c r="E415" s="84"/>
      <c r="F415" s="27"/>
      <c r="K415" s="43"/>
      <c r="N415" s="74"/>
    </row>
    <row r="416" spans="2:14" ht="12.5">
      <c r="B416" s="72"/>
      <c r="C416" s="43"/>
      <c r="E416" s="84"/>
      <c r="F416" s="27"/>
      <c r="K416" s="43"/>
      <c r="N416" s="74"/>
    </row>
    <row r="417" spans="2:14" ht="12.5">
      <c r="B417" s="72"/>
      <c r="C417" s="43"/>
      <c r="E417" s="84"/>
      <c r="F417" s="27"/>
      <c r="K417" s="43"/>
      <c r="N417" s="74"/>
    </row>
    <row r="418" spans="2:14" ht="12.5">
      <c r="B418" s="72"/>
      <c r="C418" s="43"/>
      <c r="E418" s="84"/>
      <c r="F418" s="27"/>
      <c r="K418" s="43"/>
      <c r="N418" s="74"/>
    </row>
    <row r="419" spans="2:14" ht="12.5">
      <c r="B419" s="72"/>
      <c r="C419" s="43"/>
      <c r="E419" s="84"/>
      <c r="F419" s="27"/>
      <c r="K419" s="43"/>
      <c r="N419" s="74"/>
    </row>
    <row r="420" spans="2:14" ht="12.5">
      <c r="B420" s="72"/>
      <c r="C420" s="43"/>
      <c r="E420" s="84"/>
      <c r="F420" s="27"/>
      <c r="K420" s="43"/>
      <c r="N420" s="74"/>
    </row>
    <row r="421" spans="2:14" ht="12.5">
      <c r="B421" s="72"/>
      <c r="C421" s="43"/>
      <c r="E421" s="84"/>
      <c r="F421" s="27"/>
      <c r="K421" s="43"/>
      <c r="N421" s="74"/>
    </row>
    <row r="422" spans="2:14" ht="12.5">
      <c r="B422" s="72"/>
      <c r="C422" s="43"/>
      <c r="E422" s="84"/>
      <c r="F422" s="27"/>
      <c r="K422" s="43"/>
      <c r="N422" s="74"/>
    </row>
    <row r="423" spans="2:14" ht="12.5">
      <c r="B423" s="72"/>
      <c r="C423" s="43"/>
      <c r="E423" s="84"/>
      <c r="F423" s="27"/>
      <c r="K423" s="43"/>
      <c r="N423" s="74"/>
    </row>
    <row r="424" spans="2:14" ht="12.5">
      <c r="B424" s="72"/>
      <c r="C424" s="43"/>
      <c r="E424" s="84"/>
      <c r="F424" s="27"/>
      <c r="K424" s="43"/>
      <c r="N424" s="74"/>
    </row>
    <row r="425" spans="2:14" ht="12.5">
      <c r="B425" s="72"/>
      <c r="C425" s="43"/>
      <c r="E425" s="84"/>
      <c r="F425" s="27"/>
      <c r="K425" s="43"/>
      <c r="N425" s="74"/>
    </row>
    <row r="426" spans="2:14" ht="12.5">
      <c r="B426" s="72"/>
      <c r="C426" s="43"/>
      <c r="E426" s="84"/>
      <c r="F426" s="27"/>
      <c r="K426" s="43"/>
      <c r="N426" s="74"/>
    </row>
    <row r="427" spans="2:14" ht="12.5">
      <c r="B427" s="72"/>
      <c r="C427" s="43"/>
      <c r="E427" s="84"/>
      <c r="F427" s="27"/>
      <c r="K427" s="43"/>
      <c r="N427" s="74"/>
    </row>
    <row r="428" spans="2:14" ht="12.5">
      <c r="B428" s="72"/>
      <c r="C428" s="43"/>
      <c r="E428" s="84"/>
      <c r="F428" s="27"/>
      <c r="K428" s="43"/>
      <c r="N428" s="74"/>
    </row>
    <row r="429" spans="2:14" ht="12.5">
      <c r="B429" s="72"/>
      <c r="C429" s="43"/>
      <c r="E429" s="84"/>
      <c r="F429" s="27"/>
      <c r="K429" s="43"/>
      <c r="N429" s="74"/>
    </row>
    <row r="430" spans="2:14" ht="12.5">
      <c r="B430" s="72"/>
      <c r="C430" s="43"/>
      <c r="E430" s="84"/>
      <c r="F430" s="27"/>
      <c r="K430" s="43"/>
      <c r="N430" s="74"/>
    </row>
    <row r="431" spans="2:14" ht="12.5">
      <c r="B431" s="72"/>
      <c r="C431" s="43"/>
      <c r="E431" s="84"/>
      <c r="F431" s="27"/>
      <c r="K431" s="43"/>
      <c r="N431" s="74"/>
    </row>
    <row r="432" spans="2:14" ht="12.5">
      <c r="B432" s="72"/>
      <c r="C432" s="43"/>
      <c r="E432" s="84"/>
      <c r="F432" s="27"/>
      <c r="K432" s="43"/>
      <c r="N432" s="74"/>
    </row>
    <row r="433" spans="2:14" ht="12.5">
      <c r="B433" s="72"/>
      <c r="C433" s="43"/>
      <c r="E433" s="84"/>
      <c r="F433" s="27"/>
      <c r="K433" s="43"/>
      <c r="N433" s="74"/>
    </row>
    <row r="434" spans="2:14" ht="12.5">
      <c r="B434" s="72"/>
      <c r="C434" s="43"/>
      <c r="E434" s="84"/>
      <c r="F434" s="27"/>
      <c r="K434" s="43"/>
      <c r="N434" s="74"/>
    </row>
    <row r="435" spans="2:14" ht="12.5">
      <c r="B435" s="72"/>
      <c r="C435" s="43"/>
      <c r="E435" s="84"/>
      <c r="F435" s="27"/>
      <c r="K435" s="43"/>
      <c r="N435" s="74"/>
    </row>
    <row r="436" spans="2:14" ht="12.5">
      <c r="B436" s="72"/>
      <c r="C436" s="43"/>
      <c r="E436" s="84"/>
      <c r="F436" s="27"/>
      <c r="K436" s="43"/>
      <c r="N436" s="74"/>
    </row>
    <row r="437" spans="2:14" ht="12.5">
      <c r="B437" s="72"/>
      <c r="C437" s="43"/>
      <c r="E437" s="84"/>
      <c r="F437" s="27"/>
      <c r="K437" s="43"/>
      <c r="N437" s="74"/>
    </row>
    <row r="438" spans="2:14" ht="12.5">
      <c r="B438" s="72"/>
      <c r="C438" s="43"/>
      <c r="E438" s="84"/>
      <c r="F438" s="27"/>
      <c r="K438" s="43"/>
      <c r="N438" s="74"/>
    </row>
    <row r="439" spans="2:14" ht="12.5">
      <c r="B439" s="72"/>
      <c r="C439" s="43"/>
      <c r="E439" s="84"/>
      <c r="F439" s="27"/>
      <c r="K439" s="43"/>
      <c r="N439" s="74"/>
    </row>
    <row r="440" spans="2:14" ht="12.5">
      <c r="B440" s="72"/>
      <c r="C440" s="43"/>
      <c r="E440" s="84"/>
      <c r="F440" s="27"/>
      <c r="K440" s="43"/>
      <c r="N440" s="74"/>
    </row>
    <row r="441" spans="2:14" ht="12.5">
      <c r="B441" s="72"/>
      <c r="C441" s="43"/>
      <c r="E441" s="84"/>
      <c r="F441" s="27"/>
      <c r="K441" s="43"/>
      <c r="N441" s="74"/>
    </row>
    <row r="442" spans="2:14" ht="12.5">
      <c r="B442" s="72"/>
      <c r="C442" s="43"/>
      <c r="E442" s="84"/>
      <c r="F442" s="27"/>
      <c r="K442" s="43"/>
      <c r="N442" s="74"/>
    </row>
    <row r="443" spans="2:14" ht="12.5">
      <c r="B443" s="72"/>
      <c r="C443" s="43"/>
      <c r="E443" s="84"/>
      <c r="F443" s="27"/>
      <c r="K443" s="43"/>
      <c r="N443" s="74"/>
    </row>
    <row r="444" spans="2:14" ht="12.5">
      <c r="B444" s="72"/>
      <c r="C444" s="43"/>
      <c r="E444" s="84"/>
      <c r="F444" s="27"/>
      <c r="K444" s="43"/>
      <c r="N444" s="74"/>
    </row>
    <row r="445" spans="2:14" ht="12.5">
      <c r="B445" s="72"/>
      <c r="C445" s="43"/>
      <c r="E445" s="84"/>
      <c r="F445" s="27"/>
      <c r="K445" s="43"/>
      <c r="N445" s="74"/>
    </row>
    <row r="446" spans="2:14" ht="12.5">
      <c r="B446" s="72"/>
      <c r="C446" s="43"/>
      <c r="E446" s="84"/>
      <c r="F446" s="27"/>
      <c r="K446" s="43"/>
      <c r="N446" s="74"/>
    </row>
    <row r="447" spans="2:14" ht="12.5">
      <c r="B447" s="72"/>
      <c r="C447" s="43"/>
      <c r="E447" s="84"/>
      <c r="F447" s="27"/>
      <c r="K447" s="43"/>
      <c r="N447" s="74"/>
    </row>
    <row r="448" spans="2:14" ht="12.5">
      <c r="B448" s="72"/>
      <c r="C448" s="43"/>
      <c r="E448" s="84"/>
      <c r="F448" s="27"/>
      <c r="K448" s="43"/>
      <c r="N448" s="74"/>
    </row>
    <row r="449" spans="2:14" ht="12.5">
      <c r="B449" s="72"/>
      <c r="C449" s="43"/>
      <c r="E449" s="84"/>
      <c r="F449" s="27"/>
      <c r="K449" s="43"/>
      <c r="N449" s="74"/>
    </row>
    <row r="450" spans="2:14" ht="12.5">
      <c r="B450" s="72"/>
      <c r="C450" s="43"/>
      <c r="E450" s="84"/>
      <c r="F450" s="27"/>
      <c r="K450" s="43"/>
      <c r="N450" s="74"/>
    </row>
    <row r="451" spans="2:14" ht="12.5">
      <c r="B451" s="72"/>
      <c r="C451" s="43"/>
      <c r="E451" s="84"/>
      <c r="F451" s="27"/>
      <c r="K451" s="43"/>
      <c r="N451" s="74"/>
    </row>
    <row r="452" spans="2:14" ht="12.5">
      <c r="B452" s="72"/>
      <c r="C452" s="43"/>
      <c r="E452" s="84"/>
      <c r="F452" s="27"/>
      <c r="K452" s="43"/>
      <c r="N452" s="74"/>
    </row>
    <row r="453" spans="2:14" ht="12.5">
      <c r="B453" s="72"/>
      <c r="C453" s="43"/>
      <c r="E453" s="84"/>
      <c r="F453" s="27"/>
      <c r="K453" s="43"/>
      <c r="N453" s="74"/>
    </row>
    <row r="454" spans="2:14" ht="12.5">
      <c r="B454" s="72"/>
      <c r="C454" s="43"/>
      <c r="E454" s="84"/>
      <c r="F454" s="27"/>
      <c r="K454" s="43"/>
      <c r="N454" s="74"/>
    </row>
    <row r="455" spans="2:14" ht="12.5">
      <c r="B455" s="72"/>
      <c r="C455" s="43"/>
      <c r="E455" s="84"/>
      <c r="F455" s="27"/>
      <c r="K455" s="43"/>
      <c r="N455" s="74"/>
    </row>
    <row r="456" spans="2:14" ht="12.5">
      <c r="B456" s="72"/>
      <c r="C456" s="43"/>
      <c r="E456" s="84"/>
      <c r="F456" s="27"/>
      <c r="K456" s="43"/>
      <c r="N456" s="74"/>
    </row>
    <row r="457" spans="2:14" ht="12.5">
      <c r="B457" s="72"/>
      <c r="C457" s="43"/>
      <c r="E457" s="84"/>
      <c r="F457" s="27"/>
      <c r="K457" s="43"/>
      <c r="N457" s="74"/>
    </row>
    <row r="458" spans="2:14" ht="12.5">
      <c r="B458" s="72"/>
      <c r="C458" s="43"/>
      <c r="E458" s="84"/>
      <c r="F458" s="27"/>
      <c r="K458" s="43"/>
      <c r="N458" s="74"/>
    </row>
    <row r="459" spans="2:14" ht="12.5">
      <c r="B459" s="72"/>
      <c r="C459" s="43"/>
      <c r="E459" s="84"/>
      <c r="F459" s="27"/>
      <c r="K459" s="43"/>
      <c r="N459" s="74"/>
    </row>
    <row r="460" spans="2:14" ht="12.5">
      <c r="B460" s="72"/>
      <c r="C460" s="43"/>
      <c r="E460" s="84"/>
      <c r="F460" s="27"/>
      <c r="K460" s="43"/>
      <c r="N460" s="74"/>
    </row>
    <row r="461" spans="2:14" ht="12.5">
      <c r="B461" s="72"/>
      <c r="C461" s="43"/>
      <c r="E461" s="84"/>
      <c r="F461" s="27"/>
      <c r="K461" s="43"/>
      <c r="N461" s="74"/>
    </row>
    <row r="462" spans="2:14" ht="12.5">
      <c r="B462" s="72"/>
      <c r="C462" s="43"/>
      <c r="E462" s="84"/>
      <c r="F462" s="27"/>
      <c r="K462" s="43"/>
      <c r="N462" s="74"/>
    </row>
    <row r="463" spans="2:14" ht="12.5">
      <c r="B463" s="72"/>
      <c r="C463" s="43"/>
      <c r="E463" s="84"/>
      <c r="F463" s="27"/>
      <c r="K463" s="43"/>
      <c r="N463" s="74"/>
    </row>
    <row r="464" spans="2:14" ht="12.5">
      <c r="B464" s="72"/>
      <c r="C464" s="43"/>
      <c r="E464" s="84"/>
      <c r="F464" s="27"/>
      <c r="K464" s="43"/>
      <c r="N464" s="74"/>
    </row>
    <row r="465" spans="2:14" ht="12.5">
      <c r="B465" s="72"/>
      <c r="C465" s="43"/>
      <c r="E465" s="84"/>
      <c r="F465" s="27"/>
      <c r="K465" s="43"/>
      <c r="N465" s="74"/>
    </row>
    <row r="466" spans="2:14" ht="12.5">
      <c r="B466" s="72"/>
      <c r="C466" s="43"/>
      <c r="E466" s="84"/>
      <c r="F466" s="27"/>
      <c r="K466" s="43"/>
      <c r="N466" s="74"/>
    </row>
    <row r="467" spans="2:14" ht="12.5">
      <c r="B467" s="72"/>
      <c r="C467" s="43"/>
      <c r="E467" s="84"/>
      <c r="F467" s="27"/>
      <c r="K467" s="43"/>
      <c r="N467" s="74"/>
    </row>
    <row r="468" spans="2:14" ht="12.5">
      <c r="B468" s="72"/>
      <c r="C468" s="43"/>
      <c r="E468" s="84"/>
      <c r="F468" s="27"/>
      <c r="K468" s="43"/>
      <c r="N468" s="74"/>
    </row>
    <row r="469" spans="2:14" ht="12.5">
      <c r="B469" s="72"/>
      <c r="C469" s="43"/>
      <c r="E469" s="84"/>
      <c r="F469" s="27"/>
      <c r="K469" s="43"/>
      <c r="N469" s="74"/>
    </row>
    <row r="470" spans="2:14" ht="12.5">
      <c r="B470" s="72"/>
      <c r="C470" s="43"/>
      <c r="E470" s="84"/>
      <c r="F470" s="27"/>
      <c r="K470" s="43"/>
      <c r="N470" s="74"/>
    </row>
    <row r="471" spans="2:14" ht="12.5">
      <c r="B471" s="72"/>
      <c r="C471" s="43"/>
      <c r="E471" s="84"/>
      <c r="F471" s="27"/>
      <c r="K471" s="43"/>
      <c r="N471" s="74"/>
    </row>
    <row r="472" spans="2:14" ht="12.5">
      <c r="B472" s="72"/>
      <c r="C472" s="43"/>
      <c r="E472" s="84"/>
      <c r="F472" s="27"/>
      <c r="K472" s="43"/>
      <c r="N472" s="74"/>
    </row>
    <row r="473" spans="2:14" ht="12.5">
      <c r="B473" s="72"/>
      <c r="C473" s="43"/>
      <c r="E473" s="84"/>
      <c r="F473" s="27"/>
      <c r="K473" s="43"/>
      <c r="N473" s="74"/>
    </row>
    <row r="474" spans="2:14" ht="12.5">
      <c r="B474" s="72"/>
      <c r="C474" s="43"/>
      <c r="E474" s="84"/>
      <c r="F474" s="27"/>
      <c r="K474" s="43"/>
      <c r="N474" s="74"/>
    </row>
    <row r="475" spans="2:14" ht="12.5">
      <c r="B475" s="72"/>
      <c r="C475" s="43"/>
      <c r="E475" s="84"/>
      <c r="F475" s="27"/>
      <c r="K475" s="43"/>
      <c r="N475" s="74"/>
    </row>
    <row r="476" spans="2:14" ht="12.5">
      <c r="B476" s="72"/>
      <c r="C476" s="43"/>
      <c r="E476" s="84"/>
      <c r="F476" s="27"/>
      <c r="K476" s="43"/>
      <c r="N476" s="74"/>
    </row>
    <row r="477" spans="2:14" ht="12.5">
      <c r="B477" s="72"/>
      <c r="C477" s="43"/>
      <c r="E477" s="84"/>
      <c r="F477" s="27"/>
      <c r="K477" s="43"/>
      <c r="N477" s="74"/>
    </row>
    <row r="478" spans="2:14" ht="12.5">
      <c r="B478" s="72"/>
      <c r="C478" s="43"/>
      <c r="E478" s="84"/>
      <c r="F478" s="27"/>
      <c r="K478" s="43"/>
      <c r="N478" s="74"/>
    </row>
    <row r="479" spans="2:14" ht="12.5">
      <c r="B479" s="72"/>
      <c r="C479" s="43"/>
      <c r="E479" s="84"/>
      <c r="F479" s="27"/>
      <c r="K479" s="43"/>
      <c r="N479" s="74"/>
    </row>
    <row r="480" spans="2:14" ht="12.5">
      <c r="B480" s="72"/>
      <c r="C480" s="43"/>
      <c r="E480" s="84"/>
      <c r="F480" s="27"/>
      <c r="K480" s="43"/>
      <c r="N480" s="74"/>
    </row>
    <row r="481" spans="2:14" ht="12.5">
      <c r="B481" s="72"/>
      <c r="C481" s="43"/>
      <c r="E481" s="84"/>
      <c r="F481" s="27"/>
      <c r="K481" s="43"/>
      <c r="N481" s="74"/>
    </row>
    <row r="482" spans="2:14" ht="12.5">
      <c r="B482" s="72"/>
      <c r="C482" s="43"/>
      <c r="E482" s="84"/>
      <c r="F482" s="27"/>
      <c r="K482" s="43"/>
      <c r="N482" s="74"/>
    </row>
    <row r="483" spans="2:14" ht="12.5">
      <c r="B483" s="72"/>
      <c r="C483" s="43"/>
      <c r="E483" s="84"/>
      <c r="F483" s="27"/>
      <c r="K483" s="43"/>
      <c r="N483" s="74"/>
    </row>
    <row r="484" spans="2:14" ht="12.5">
      <c r="B484" s="72"/>
      <c r="C484" s="43"/>
      <c r="E484" s="84"/>
      <c r="F484" s="27"/>
      <c r="K484" s="43"/>
      <c r="N484" s="74"/>
    </row>
    <row r="485" spans="2:14" ht="12.5">
      <c r="B485" s="72"/>
      <c r="C485" s="43"/>
      <c r="E485" s="84"/>
      <c r="F485" s="27"/>
      <c r="K485" s="43"/>
      <c r="N485" s="74"/>
    </row>
    <row r="486" spans="2:14" ht="12.5">
      <c r="B486" s="72"/>
      <c r="C486" s="43"/>
      <c r="E486" s="84"/>
      <c r="F486" s="27"/>
      <c r="K486" s="43"/>
      <c r="N486" s="74"/>
    </row>
    <row r="487" spans="2:14" ht="12.5">
      <c r="B487" s="72"/>
      <c r="C487" s="43"/>
      <c r="E487" s="84"/>
      <c r="F487" s="27"/>
      <c r="K487" s="43"/>
      <c r="N487" s="74"/>
    </row>
    <row r="488" spans="2:14" ht="12.5">
      <c r="B488" s="72"/>
      <c r="C488" s="43"/>
      <c r="E488" s="84"/>
      <c r="F488" s="27"/>
      <c r="K488" s="43"/>
      <c r="N488" s="74"/>
    </row>
    <row r="489" spans="2:14" ht="12.5">
      <c r="B489" s="72"/>
      <c r="C489" s="43"/>
      <c r="E489" s="84"/>
      <c r="F489" s="27"/>
      <c r="K489" s="43"/>
      <c r="N489" s="74"/>
    </row>
    <row r="490" spans="2:14" ht="12.5">
      <c r="B490" s="72"/>
      <c r="C490" s="43"/>
      <c r="E490" s="84"/>
      <c r="F490" s="27"/>
      <c r="K490" s="43"/>
      <c r="N490" s="74"/>
    </row>
    <row r="491" spans="2:14" ht="12.5">
      <c r="B491" s="72"/>
      <c r="C491" s="43"/>
      <c r="E491" s="84"/>
      <c r="F491" s="27"/>
      <c r="K491" s="43"/>
      <c r="N491" s="74"/>
    </row>
    <row r="492" spans="2:14" ht="12.5">
      <c r="B492" s="72"/>
      <c r="C492" s="43"/>
      <c r="E492" s="84"/>
      <c r="F492" s="27"/>
      <c r="K492" s="43"/>
      <c r="N492" s="74"/>
    </row>
    <row r="493" spans="2:14" ht="12.5">
      <c r="B493" s="72"/>
      <c r="C493" s="43"/>
      <c r="E493" s="84"/>
      <c r="F493" s="27"/>
      <c r="K493" s="43"/>
      <c r="N493" s="74"/>
    </row>
    <row r="494" spans="2:14" ht="12.5">
      <c r="B494" s="72"/>
      <c r="C494" s="43"/>
      <c r="E494" s="84"/>
      <c r="F494" s="27"/>
      <c r="K494" s="43"/>
      <c r="N494" s="74"/>
    </row>
    <row r="495" spans="2:14" ht="12.5">
      <c r="B495" s="72"/>
      <c r="C495" s="43"/>
      <c r="E495" s="84"/>
      <c r="F495" s="27"/>
      <c r="K495" s="43"/>
      <c r="N495" s="74"/>
    </row>
    <row r="496" spans="2:14" ht="12.5">
      <c r="B496" s="72"/>
      <c r="C496" s="43"/>
      <c r="E496" s="84"/>
      <c r="F496" s="27"/>
      <c r="K496" s="43"/>
      <c r="N496" s="74"/>
    </row>
    <row r="497" spans="2:14" ht="12.5">
      <c r="B497" s="72"/>
      <c r="C497" s="43"/>
      <c r="E497" s="84"/>
      <c r="F497" s="27"/>
      <c r="K497" s="43"/>
      <c r="N497" s="74"/>
    </row>
    <row r="498" spans="2:14" ht="12.5">
      <c r="B498" s="72"/>
      <c r="C498" s="43"/>
      <c r="E498" s="84"/>
      <c r="F498" s="27"/>
      <c r="K498" s="43"/>
      <c r="N498" s="74"/>
    </row>
    <row r="499" spans="2:14" ht="12.5">
      <c r="B499" s="72"/>
      <c r="C499" s="43"/>
      <c r="E499" s="84"/>
      <c r="F499" s="27"/>
      <c r="K499" s="43"/>
      <c r="N499" s="74"/>
    </row>
    <row r="500" spans="2:14" ht="12.5">
      <c r="B500" s="72"/>
      <c r="C500" s="43"/>
      <c r="E500" s="84"/>
      <c r="F500" s="27"/>
      <c r="K500" s="43"/>
      <c r="N500" s="74"/>
    </row>
    <row r="501" spans="2:14" ht="12.5">
      <c r="B501" s="72"/>
      <c r="C501" s="43"/>
      <c r="E501" s="84"/>
      <c r="F501" s="27"/>
      <c r="K501" s="43"/>
      <c r="N501" s="74"/>
    </row>
    <row r="502" spans="2:14" ht="12.5">
      <c r="B502" s="72"/>
      <c r="C502" s="43"/>
      <c r="E502" s="84"/>
      <c r="F502" s="27"/>
      <c r="K502" s="43"/>
      <c r="N502" s="74"/>
    </row>
    <row r="503" spans="2:14" ht="12.5">
      <c r="B503" s="72"/>
      <c r="C503" s="43"/>
      <c r="E503" s="84"/>
      <c r="F503" s="27"/>
      <c r="K503" s="43"/>
      <c r="N503" s="74"/>
    </row>
    <row r="504" spans="2:14" ht="12.5">
      <c r="B504" s="72"/>
      <c r="C504" s="43"/>
      <c r="E504" s="84"/>
      <c r="F504" s="27"/>
      <c r="K504" s="43"/>
      <c r="N504" s="74"/>
    </row>
    <row r="505" spans="2:14" ht="12.5">
      <c r="B505" s="72"/>
      <c r="C505" s="43"/>
      <c r="E505" s="84"/>
      <c r="F505" s="27"/>
      <c r="K505" s="43"/>
      <c r="N505" s="74"/>
    </row>
    <row r="506" spans="2:14" ht="12.5">
      <c r="B506" s="72"/>
      <c r="C506" s="43"/>
      <c r="E506" s="84"/>
      <c r="F506" s="27"/>
      <c r="K506" s="43"/>
      <c r="N506" s="74"/>
    </row>
    <row r="507" spans="2:14" ht="12.5">
      <c r="B507" s="72"/>
      <c r="C507" s="43"/>
      <c r="E507" s="84"/>
      <c r="F507" s="27"/>
      <c r="K507" s="43"/>
      <c r="N507" s="74"/>
    </row>
    <row r="508" spans="2:14" ht="12.5">
      <c r="B508" s="72"/>
      <c r="C508" s="43"/>
      <c r="E508" s="84"/>
      <c r="F508" s="27"/>
      <c r="K508" s="43"/>
      <c r="N508" s="74"/>
    </row>
    <row r="509" spans="2:14" ht="12.5">
      <c r="B509" s="72"/>
      <c r="C509" s="43"/>
      <c r="E509" s="84"/>
      <c r="F509" s="27"/>
      <c r="K509" s="43"/>
      <c r="N509" s="74"/>
    </row>
    <row r="510" spans="2:14" ht="12.5">
      <c r="B510" s="72"/>
      <c r="C510" s="43"/>
      <c r="E510" s="84"/>
      <c r="F510" s="27"/>
      <c r="K510" s="43"/>
      <c r="N510" s="74"/>
    </row>
    <row r="511" spans="2:14" ht="12.5">
      <c r="B511" s="72"/>
      <c r="C511" s="43"/>
      <c r="E511" s="84"/>
      <c r="F511" s="27"/>
      <c r="K511" s="43"/>
      <c r="N511" s="74"/>
    </row>
    <row r="512" spans="2:14" ht="12.5">
      <c r="B512" s="72"/>
      <c r="C512" s="43"/>
      <c r="E512" s="84"/>
      <c r="F512" s="27"/>
      <c r="K512" s="43"/>
      <c r="N512" s="74"/>
    </row>
    <row r="513" spans="2:14" ht="12.5">
      <c r="B513" s="72"/>
      <c r="C513" s="43"/>
      <c r="E513" s="84"/>
      <c r="F513" s="27"/>
      <c r="K513" s="43"/>
      <c r="N513" s="74"/>
    </row>
    <row r="514" spans="2:14" ht="12.5">
      <c r="B514" s="72"/>
      <c r="C514" s="43"/>
      <c r="E514" s="84"/>
      <c r="F514" s="27"/>
      <c r="K514" s="43"/>
      <c r="N514" s="74"/>
    </row>
    <row r="515" spans="2:14" ht="12.5">
      <c r="B515" s="72"/>
      <c r="C515" s="43"/>
      <c r="E515" s="84"/>
      <c r="F515" s="27"/>
      <c r="K515" s="43"/>
      <c r="N515" s="74"/>
    </row>
    <row r="516" spans="2:14" ht="12.5">
      <c r="B516" s="72"/>
      <c r="C516" s="43"/>
      <c r="E516" s="84"/>
      <c r="F516" s="27"/>
      <c r="K516" s="43"/>
      <c r="N516" s="74"/>
    </row>
    <row r="517" spans="2:14" ht="12.5">
      <c r="B517" s="72"/>
      <c r="C517" s="43"/>
      <c r="E517" s="84"/>
      <c r="F517" s="27"/>
      <c r="K517" s="43"/>
      <c r="N517" s="74"/>
    </row>
    <row r="518" spans="2:14" ht="12.5">
      <c r="B518" s="72"/>
      <c r="C518" s="43"/>
      <c r="E518" s="84"/>
      <c r="F518" s="27"/>
      <c r="K518" s="43"/>
      <c r="N518" s="74"/>
    </row>
    <row r="519" spans="2:14" ht="12.5">
      <c r="B519" s="72"/>
      <c r="C519" s="43"/>
      <c r="E519" s="84"/>
      <c r="F519" s="27"/>
      <c r="K519" s="43"/>
      <c r="N519" s="74"/>
    </row>
    <row r="520" spans="2:14" ht="12.5">
      <c r="B520" s="72"/>
      <c r="C520" s="43"/>
      <c r="E520" s="84"/>
      <c r="F520" s="27"/>
      <c r="K520" s="43"/>
      <c r="N520" s="74"/>
    </row>
    <row r="521" spans="2:14" ht="12.5">
      <c r="B521" s="72"/>
      <c r="C521" s="43"/>
      <c r="E521" s="84"/>
      <c r="F521" s="27"/>
      <c r="K521" s="43"/>
      <c r="N521" s="74"/>
    </row>
    <row r="522" spans="2:14" ht="12.5">
      <c r="B522" s="72"/>
      <c r="C522" s="43"/>
      <c r="E522" s="84"/>
      <c r="F522" s="27"/>
      <c r="K522" s="43"/>
      <c r="N522" s="74"/>
    </row>
    <row r="523" spans="2:14" ht="12.5">
      <c r="B523" s="72"/>
      <c r="C523" s="43"/>
      <c r="E523" s="84"/>
      <c r="F523" s="27"/>
      <c r="K523" s="43"/>
      <c r="N523" s="74"/>
    </row>
    <row r="524" spans="2:14" ht="12.5">
      <c r="B524" s="72"/>
      <c r="C524" s="43"/>
      <c r="E524" s="84"/>
      <c r="F524" s="27"/>
      <c r="K524" s="43"/>
      <c r="N524" s="74"/>
    </row>
    <row r="525" spans="2:14" ht="12.5">
      <c r="B525" s="72"/>
      <c r="C525" s="43"/>
      <c r="E525" s="84"/>
      <c r="F525" s="27"/>
      <c r="K525" s="43"/>
      <c r="N525" s="74"/>
    </row>
    <row r="526" spans="2:14" ht="12.5">
      <c r="B526" s="72"/>
      <c r="C526" s="43"/>
      <c r="E526" s="84"/>
      <c r="F526" s="27"/>
      <c r="K526" s="43"/>
      <c r="N526" s="74"/>
    </row>
    <row r="527" spans="2:14" ht="12.5">
      <c r="B527" s="72"/>
      <c r="C527" s="43"/>
      <c r="E527" s="84"/>
      <c r="F527" s="27"/>
      <c r="K527" s="43"/>
      <c r="N527" s="74"/>
    </row>
    <row r="528" spans="2:14" ht="12.5">
      <c r="B528" s="72"/>
      <c r="C528" s="43"/>
      <c r="E528" s="84"/>
      <c r="F528" s="27"/>
      <c r="K528" s="43"/>
      <c r="N528" s="74"/>
    </row>
    <row r="529" spans="2:14" ht="12.5">
      <c r="B529" s="72"/>
      <c r="C529" s="43"/>
      <c r="E529" s="84"/>
      <c r="F529" s="27"/>
      <c r="K529" s="43"/>
      <c r="N529" s="74"/>
    </row>
    <row r="530" spans="2:14" ht="12.5">
      <c r="B530" s="72"/>
      <c r="C530" s="43"/>
      <c r="E530" s="84"/>
      <c r="F530" s="27"/>
      <c r="K530" s="43"/>
      <c r="N530" s="74"/>
    </row>
    <row r="531" spans="2:14" ht="12.5">
      <c r="B531" s="72"/>
      <c r="C531" s="43"/>
      <c r="E531" s="84"/>
      <c r="F531" s="27"/>
      <c r="K531" s="43"/>
      <c r="N531" s="74"/>
    </row>
    <row r="532" spans="2:14" ht="12.5">
      <c r="B532" s="72"/>
      <c r="C532" s="43"/>
      <c r="E532" s="84"/>
      <c r="F532" s="27"/>
      <c r="K532" s="43"/>
      <c r="N532" s="74"/>
    </row>
    <row r="533" spans="2:14" ht="12.5">
      <c r="B533" s="72"/>
      <c r="C533" s="43"/>
      <c r="E533" s="84"/>
      <c r="F533" s="27"/>
      <c r="K533" s="43"/>
      <c r="N533" s="74"/>
    </row>
    <row r="534" spans="2:14" ht="12.5">
      <c r="B534" s="72"/>
      <c r="C534" s="43"/>
      <c r="E534" s="84"/>
      <c r="F534" s="27"/>
      <c r="K534" s="43"/>
      <c r="N534" s="74"/>
    </row>
    <row r="535" spans="2:14" ht="12.5">
      <c r="B535" s="72"/>
      <c r="C535" s="43"/>
      <c r="E535" s="84"/>
      <c r="F535" s="27"/>
      <c r="K535" s="43"/>
      <c r="N535" s="74"/>
    </row>
    <row r="536" spans="2:14" ht="12.5">
      <c r="B536" s="72"/>
      <c r="C536" s="43"/>
      <c r="E536" s="84"/>
      <c r="F536" s="27"/>
      <c r="K536" s="43"/>
      <c r="N536" s="74"/>
    </row>
    <row r="537" spans="2:14" ht="12.5">
      <c r="B537" s="72"/>
      <c r="C537" s="43"/>
      <c r="E537" s="84"/>
      <c r="F537" s="27"/>
      <c r="K537" s="43"/>
      <c r="N537" s="74"/>
    </row>
    <row r="538" spans="2:14" ht="12.5">
      <c r="B538" s="72"/>
      <c r="C538" s="43"/>
      <c r="E538" s="84"/>
      <c r="F538" s="27"/>
      <c r="K538" s="43"/>
      <c r="N538" s="74"/>
    </row>
    <row r="539" spans="2:14" ht="12.5">
      <c r="B539" s="72"/>
      <c r="C539" s="43"/>
      <c r="E539" s="84"/>
      <c r="F539" s="27"/>
      <c r="K539" s="43"/>
      <c r="N539" s="74"/>
    </row>
    <row r="540" spans="2:14" ht="12.5">
      <c r="B540" s="72"/>
      <c r="C540" s="43"/>
      <c r="E540" s="84"/>
      <c r="F540" s="27"/>
      <c r="K540" s="43"/>
      <c r="N540" s="74"/>
    </row>
    <row r="541" spans="2:14" ht="12.5">
      <c r="B541" s="72"/>
      <c r="C541" s="43"/>
      <c r="E541" s="84"/>
      <c r="F541" s="27"/>
      <c r="K541" s="43"/>
      <c r="N541" s="74"/>
    </row>
    <row r="542" spans="2:14" ht="12.5">
      <c r="B542" s="72"/>
      <c r="C542" s="43"/>
      <c r="E542" s="84"/>
      <c r="F542" s="27"/>
      <c r="K542" s="43"/>
      <c r="N542" s="74"/>
    </row>
    <row r="543" spans="2:14" ht="12.5">
      <c r="B543" s="72"/>
      <c r="C543" s="43"/>
      <c r="E543" s="84"/>
      <c r="F543" s="27"/>
      <c r="K543" s="43"/>
      <c r="N543" s="74"/>
    </row>
    <row r="544" spans="2:14" ht="12.5">
      <c r="B544" s="72"/>
      <c r="C544" s="43"/>
      <c r="E544" s="84"/>
      <c r="F544" s="27"/>
      <c r="K544" s="43"/>
      <c r="N544" s="74"/>
    </row>
    <row r="545" spans="2:14" ht="12.5">
      <c r="B545" s="72"/>
      <c r="C545" s="43"/>
      <c r="E545" s="84"/>
      <c r="F545" s="27"/>
      <c r="K545" s="43"/>
      <c r="N545" s="74"/>
    </row>
    <row r="546" spans="2:14" ht="12.5">
      <c r="B546" s="72"/>
      <c r="C546" s="43"/>
      <c r="E546" s="84"/>
      <c r="F546" s="27"/>
      <c r="K546" s="43"/>
      <c r="N546" s="74"/>
    </row>
    <row r="547" spans="2:14" ht="12.5">
      <c r="B547" s="72"/>
      <c r="C547" s="43"/>
      <c r="E547" s="84"/>
      <c r="F547" s="27"/>
      <c r="K547" s="43"/>
      <c r="N547" s="74"/>
    </row>
    <row r="548" spans="2:14" ht="12.5">
      <c r="B548" s="72"/>
      <c r="C548" s="43"/>
      <c r="E548" s="84"/>
      <c r="F548" s="27"/>
      <c r="K548" s="43"/>
      <c r="N548" s="74"/>
    </row>
    <row r="549" spans="2:14" ht="12.5">
      <c r="B549" s="72"/>
      <c r="C549" s="43"/>
      <c r="E549" s="84"/>
      <c r="F549" s="27"/>
      <c r="K549" s="43"/>
      <c r="N549" s="74"/>
    </row>
    <row r="550" spans="2:14" ht="12.5">
      <c r="B550" s="72"/>
      <c r="C550" s="43"/>
      <c r="E550" s="84"/>
      <c r="F550" s="27"/>
      <c r="K550" s="43"/>
      <c r="N550" s="74"/>
    </row>
    <row r="551" spans="2:14" ht="12.5">
      <c r="B551" s="72"/>
      <c r="C551" s="43"/>
      <c r="E551" s="84"/>
      <c r="F551" s="27"/>
      <c r="K551" s="43"/>
      <c r="N551" s="74"/>
    </row>
    <row r="552" spans="2:14" ht="12.5">
      <c r="B552" s="72"/>
      <c r="C552" s="43"/>
      <c r="E552" s="84"/>
      <c r="F552" s="27"/>
      <c r="K552" s="43"/>
      <c r="N552" s="74"/>
    </row>
    <row r="553" spans="2:14" ht="12.5">
      <c r="B553" s="72"/>
      <c r="C553" s="43"/>
      <c r="E553" s="84"/>
      <c r="F553" s="27"/>
      <c r="K553" s="43"/>
      <c r="N553" s="74"/>
    </row>
    <row r="554" spans="2:14" ht="12.5">
      <c r="B554" s="72"/>
      <c r="C554" s="43"/>
      <c r="E554" s="84"/>
      <c r="F554" s="27"/>
      <c r="K554" s="43"/>
      <c r="N554" s="74"/>
    </row>
    <row r="555" spans="2:14" ht="12.5">
      <c r="B555" s="72"/>
      <c r="C555" s="43"/>
      <c r="E555" s="84"/>
      <c r="F555" s="27"/>
      <c r="K555" s="43"/>
      <c r="N555" s="74"/>
    </row>
    <row r="556" spans="2:14" ht="12.5">
      <c r="B556" s="72"/>
      <c r="C556" s="43"/>
      <c r="E556" s="84"/>
      <c r="F556" s="27"/>
      <c r="K556" s="43"/>
      <c r="N556" s="74"/>
    </row>
    <row r="557" spans="2:14" ht="12.5">
      <c r="B557" s="72"/>
      <c r="C557" s="43"/>
      <c r="E557" s="84"/>
      <c r="F557" s="27"/>
      <c r="K557" s="43"/>
      <c r="N557" s="74"/>
    </row>
    <row r="558" spans="2:14" ht="12.5">
      <c r="B558" s="72"/>
      <c r="C558" s="43"/>
      <c r="E558" s="84"/>
      <c r="F558" s="27"/>
      <c r="K558" s="43"/>
      <c r="N558" s="74"/>
    </row>
    <row r="559" spans="2:14" ht="12.5">
      <c r="B559" s="72"/>
      <c r="C559" s="43"/>
      <c r="E559" s="84"/>
      <c r="F559" s="27"/>
      <c r="K559" s="43"/>
      <c r="N559" s="74"/>
    </row>
    <row r="560" spans="2:14" ht="12.5">
      <c r="B560" s="72"/>
      <c r="C560" s="43"/>
      <c r="E560" s="84"/>
      <c r="F560" s="27"/>
      <c r="K560" s="43"/>
      <c r="N560" s="74"/>
    </row>
    <row r="561" spans="2:14" ht="12.5">
      <c r="B561" s="72"/>
      <c r="C561" s="43"/>
      <c r="E561" s="84"/>
      <c r="F561" s="27"/>
      <c r="K561" s="43"/>
      <c r="N561" s="74"/>
    </row>
    <row r="562" spans="2:14" ht="12.5">
      <c r="B562" s="72"/>
      <c r="C562" s="43"/>
      <c r="E562" s="84"/>
      <c r="F562" s="27"/>
      <c r="K562" s="43"/>
      <c r="N562" s="74"/>
    </row>
    <row r="563" spans="2:14" ht="12.5">
      <c r="B563" s="72"/>
      <c r="C563" s="43"/>
      <c r="E563" s="84"/>
      <c r="F563" s="27"/>
      <c r="K563" s="43"/>
      <c r="N563" s="74"/>
    </row>
    <row r="564" spans="2:14" ht="12.5">
      <c r="B564" s="72"/>
      <c r="C564" s="43"/>
      <c r="E564" s="84"/>
      <c r="F564" s="27"/>
      <c r="K564" s="43"/>
      <c r="N564" s="74"/>
    </row>
    <row r="565" spans="2:14" ht="12.5">
      <c r="B565" s="72"/>
      <c r="C565" s="43"/>
      <c r="E565" s="84"/>
      <c r="F565" s="27"/>
      <c r="K565" s="43"/>
      <c r="N565" s="74"/>
    </row>
    <row r="566" spans="2:14" ht="12.5">
      <c r="B566" s="72"/>
      <c r="C566" s="43"/>
      <c r="E566" s="84"/>
      <c r="F566" s="27"/>
      <c r="K566" s="43"/>
      <c r="N566" s="74"/>
    </row>
    <row r="567" spans="2:14" ht="12.5">
      <c r="B567" s="72"/>
      <c r="C567" s="43"/>
      <c r="E567" s="84"/>
      <c r="F567" s="27"/>
      <c r="K567" s="43"/>
      <c r="N567" s="74"/>
    </row>
    <row r="568" spans="2:14" ht="12.5">
      <c r="B568" s="72"/>
      <c r="C568" s="43"/>
      <c r="E568" s="84"/>
      <c r="F568" s="27"/>
      <c r="K568" s="43"/>
      <c r="N568" s="74"/>
    </row>
    <row r="569" spans="2:14" ht="12.5">
      <c r="B569" s="72"/>
      <c r="C569" s="43"/>
      <c r="E569" s="84"/>
      <c r="F569" s="27"/>
      <c r="K569" s="43"/>
      <c r="N569" s="74"/>
    </row>
    <row r="570" spans="2:14" ht="12.5">
      <c r="B570" s="72"/>
      <c r="C570" s="43"/>
      <c r="E570" s="84"/>
      <c r="F570" s="27"/>
      <c r="K570" s="43"/>
      <c r="N570" s="74"/>
    </row>
    <row r="571" spans="2:14" ht="12.5">
      <c r="B571" s="72"/>
      <c r="C571" s="43"/>
      <c r="E571" s="84"/>
      <c r="F571" s="27"/>
      <c r="K571" s="43"/>
      <c r="N571" s="74"/>
    </row>
    <row r="572" spans="2:14" ht="12.5">
      <c r="B572" s="72"/>
      <c r="C572" s="43"/>
      <c r="E572" s="84"/>
      <c r="F572" s="27"/>
      <c r="K572" s="43"/>
      <c r="N572" s="74"/>
    </row>
    <row r="573" spans="2:14" ht="12.5">
      <c r="B573" s="72"/>
      <c r="C573" s="43"/>
      <c r="E573" s="84"/>
      <c r="F573" s="27"/>
      <c r="K573" s="43"/>
      <c r="N573" s="74"/>
    </row>
    <row r="574" spans="2:14" ht="12.5">
      <c r="B574" s="72"/>
      <c r="C574" s="43"/>
      <c r="E574" s="84"/>
      <c r="F574" s="27"/>
      <c r="K574" s="43"/>
      <c r="N574" s="74"/>
    </row>
    <row r="575" spans="2:14" ht="12.5">
      <c r="B575" s="72"/>
      <c r="C575" s="43"/>
      <c r="E575" s="84"/>
      <c r="F575" s="27"/>
      <c r="K575" s="43"/>
      <c r="N575" s="74"/>
    </row>
    <row r="576" spans="2:14" ht="12.5">
      <c r="B576" s="72"/>
      <c r="C576" s="43"/>
      <c r="E576" s="84"/>
      <c r="F576" s="27"/>
      <c r="K576" s="43"/>
      <c r="N576" s="74"/>
    </row>
    <row r="577" spans="2:14" ht="12.5">
      <c r="B577" s="72"/>
      <c r="C577" s="43"/>
      <c r="E577" s="84"/>
      <c r="F577" s="27"/>
      <c r="K577" s="43"/>
      <c r="N577" s="74"/>
    </row>
    <row r="578" spans="2:14" ht="12.5">
      <c r="B578" s="72"/>
      <c r="C578" s="43"/>
      <c r="E578" s="84"/>
      <c r="F578" s="27"/>
      <c r="K578" s="43"/>
      <c r="N578" s="74"/>
    </row>
    <row r="579" spans="2:14" ht="12.5">
      <c r="B579" s="72"/>
      <c r="C579" s="43"/>
      <c r="E579" s="84"/>
      <c r="F579" s="27"/>
      <c r="K579" s="43"/>
      <c r="N579" s="74"/>
    </row>
    <row r="580" spans="2:14" ht="12.5">
      <c r="B580" s="72"/>
      <c r="C580" s="43"/>
      <c r="E580" s="84"/>
      <c r="F580" s="27"/>
      <c r="K580" s="43"/>
      <c r="N580" s="74"/>
    </row>
    <row r="581" spans="2:14" ht="12.5">
      <c r="B581" s="72"/>
      <c r="C581" s="43"/>
      <c r="E581" s="84"/>
      <c r="F581" s="27"/>
      <c r="K581" s="43"/>
      <c r="N581" s="74"/>
    </row>
    <row r="582" spans="2:14" ht="12.5">
      <c r="B582" s="72"/>
      <c r="C582" s="43"/>
      <c r="E582" s="84"/>
      <c r="F582" s="27"/>
      <c r="K582" s="43"/>
      <c r="N582" s="74"/>
    </row>
    <row r="583" spans="2:14" ht="12.5">
      <c r="B583" s="72"/>
      <c r="C583" s="43"/>
      <c r="E583" s="84"/>
      <c r="F583" s="27"/>
      <c r="K583" s="43"/>
      <c r="N583" s="74"/>
    </row>
    <row r="584" spans="2:14" ht="12.5">
      <c r="B584" s="72"/>
      <c r="C584" s="43"/>
      <c r="E584" s="84"/>
      <c r="F584" s="27"/>
      <c r="K584" s="43"/>
      <c r="N584" s="74"/>
    </row>
    <row r="585" spans="2:14" ht="12.5">
      <c r="B585" s="72"/>
      <c r="C585" s="43"/>
      <c r="E585" s="84"/>
      <c r="F585" s="27"/>
      <c r="K585" s="43"/>
      <c r="N585" s="74"/>
    </row>
    <row r="586" spans="2:14" ht="12.5">
      <c r="B586" s="72"/>
      <c r="C586" s="43"/>
      <c r="E586" s="84"/>
      <c r="F586" s="27"/>
      <c r="K586" s="43"/>
      <c r="N586" s="74"/>
    </row>
    <row r="587" spans="2:14" ht="12.5">
      <c r="B587" s="72"/>
      <c r="C587" s="43"/>
      <c r="E587" s="84"/>
      <c r="F587" s="27"/>
      <c r="K587" s="43"/>
      <c r="N587" s="74"/>
    </row>
    <row r="588" spans="2:14" ht="12.5">
      <c r="B588" s="72"/>
      <c r="C588" s="43"/>
      <c r="E588" s="84"/>
      <c r="F588" s="27"/>
      <c r="K588" s="43"/>
      <c r="N588" s="74"/>
    </row>
    <row r="589" spans="2:14" ht="12.5">
      <c r="B589" s="72"/>
      <c r="C589" s="43"/>
      <c r="E589" s="84"/>
      <c r="F589" s="27"/>
      <c r="K589" s="43"/>
      <c r="N589" s="74"/>
    </row>
    <row r="590" spans="2:14" ht="12.5">
      <c r="B590" s="72"/>
      <c r="C590" s="43"/>
      <c r="E590" s="84"/>
      <c r="F590" s="27"/>
      <c r="K590" s="43"/>
      <c r="N590" s="74"/>
    </row>
    <row r="591" spans="2:14" ht="12.5">
      <c r="B591" s="72"/>
      <c r="C591" s="43"/>
      <c r="E591" s="84"/>
      <c r="F591" s="27"/>
      <c r="K591" s="43"/>
      <c r="N591" s="74"/>
    </row>
    <row r="592" spans="2:14" ht="12.5">
      <c r="B592" s="72"/>
      <c r="C592" s="43"/>
      <c r="E592" s="84"/>
      <c r="F592" s="27"/>
      <c r="K592" s="43"/>
      <c r="N592" s="74"/>
    </row>
    <row r="593" spans="2:14" ht="12.5">
      <c r="B593" s="72"/>
      <c r="C593" s="43"/>
      <c r="E593" s="84"/>
      <c r="F593" s="27"/>
      <c r="K593" s="43"/>
      <c r="N593" s="74"/>
    </row>
    <row r="594" spans="2:14" ht="12.5">
      <c r="B594" s="72"/>
      <c r="C594" s="43"/>
      <c r="E594" s="84"/>
      <c r="F594" s="27"/>
      <c r="K594" s="43"/>
      <c r="N594" s="74"/>
    </row>
    <row r="595" spans="2:14" ht="12.5">
      <c r="B595" s="72"/>
      <c r="C595" s="43"/>
      <c r="E595" s="84"/>
      <c r="F595" s="27"/>
      <c r="K595" s="43"/>
      <c r="N595" s="74"/>
    </row>
    <row r="596" spans="2:14" ht="12.5">
      <c r="B596" s="72"/>
      <c r="C596" s="43"/>
      <c r="E596" s="84"/>
      <c r="F596" s="27"/>
      <c r="K596" s="43"/>
      <c r="N596" s="74"/>
    </row>
    <row r="597" spans="2:14" ht="12.5">
      <c r="B597" s="72"/>
      <c r="C597" s="43"/>
      <c r="E597" s="84"/>
      <c r="F597" s="27"/>
      <c r="K597" s="43"/>
      <c r="N597" s="74"/>
    </row>
    <row r="598" spans="2:14" ht="12.5">
      <c r="B598" s="72"/>
      <c r="C598" s="43"/>
      <c r="E598" s="84"/>
      <c r="F598" s="27"/>
      <c r="K598" s="43"/>
      <c r="N598" s="74"/>
    </row>
    <row r="599" spans="2:14" ht="12.5">
      <c r="B599" s="72"/>
      <c r="C599" s="43"/>
      <c r="E599" s="84"/>
      <c r="F599" s="27"/>
      <c r="K599" s="43"/>
      <c r="N599" s="74"/>
    </row>
    <row r="600" spans="2:14" ht="12.5">
      <c r="B600" s="72"/>
      <c r="C600" s="43"/>
      <c r="E600" s="84"/>
      <c r="F600" s="27"/>
      <c r="K600" s="43"/>
      <c r="N600" s="74"/>
    </row>
    <row r="601" spans="2:14" ht="12.5">
      <c r="B601" s="72"/>
      <c r="C601" s="43"/>
      <c r="E601" s="84"/>
      <c r="F601" s="27"/>
      <c r="K601" s="43"/>
      <c r="N601" s="74"/>
    </row>
    <row r="602" spans="2:14" ht="12.5">
      <c r="B602" s="72"/>
      <c r="C602" s="43"/>
      <c r="E602" s="84"/>
      <c r="F602" s="27"/>
      <c r="K602" s="43"/>
      <c r="N602" s="74"/>
    </row>
    <row r="603" spans="2:14" ht="12.5">
      <c r="B603" s="72"/>
      <c r="C603" s="43"/>
      <c r="E603" s="84"/>
      <c r="F603" s="27"/>
      <c r="K603" s="43"/>
      <c r="N603" s="74"/>
    </row>
    <row r="604" spans="2:14" ht="12.5">
      <c r="B604" s="72"/>
      <c r="C604" s="43"/>
      <c r="E604" s="84"/>
      <c r="F604" s="27"/>
      <c r="K604" s="43"/>
      <c r="N604" s="74"/>
    </row>
    <row r="605" spans="2:14" ht="12.5">
      <c r="B605" s="72"/>
      <c r="C605" s="43"/>
      <c r="E605" s="84"/>
      <c r="F605" s="27"/>
      <c r="K605" s="43"/>
      <c r="N605" s="74"/>
    </row>
    <row r="606" spans="2:14" ht="12.5">
      <c r="B606" s="72"/>
      <c r="C606" s="43"/>
      <c r="E606" s="84"/>
      <c r="F606" s="27"/>
      <c r="K606" s="43"/>
      <c r="N606" s="74"/>
    </row>
    <row r="607" spans="2:14" ht="12.5">
      <c r="B607" s="72"/>
      <c r="C607" s="43"/>
      <c r="E607" s="84"/>
      <c r="F607" s="27"/>
      <c r="K607" s="43"/>
      <c r="N607" s="74"/>
    </row>
    <row r="608" spans="2:14" ht="12.5">
      <c r="B608" s="72"/>
      <c r="C608" s="43"/>
      <c r="E608" s="84"/>
      <c r="F608" s="27"/>
      <c r="K608" s="43"/>
      <c r="N608" s="74"/>
    </row>
    <row r="609" spans="2:14" ht="12.5">
      <c r="B609" s="72"/>
      <c r="C609" s="43"/>
      <c r="E609" s="84"/>
      <c r="F609" s="27"/>
      <c r="K609" s="43"/>
      <c r="N609" s="74"/>
    </row>
    <row r="610" spans="2:14" ht="12.5">
      <c r="B610" s="72"/>
      <c r="C610" s="43"/>
      <c r="E610" s="84"/>
      <c r="F610" s="27"/>
      <c r="K610" s="43"/>
      <c r="N610" s="74"/>
    </row>
    <row r="611" spans="2:14" ht="12.5">
      <c r="B611" s="72"/>
      <c r="C611" s="43"/>
      <c r="E611" s="84"/>
      <c r="F611" s="27"/>
      <c r="K611" s="43"/>
      <c r="N611" s="74"/>
    </row>
    <row r="612" spans="2:14" ht="12.5">
      <c r="B612" s="72"/>
      <c r="C612" s="43"/>
      <c r="E612" s="84"/>
      <c r="F612" s="27"/>
      <c r="K612" s="43"/>
      <c r="N612" s="74"/>
    </row>
    <row r="613" spans="2:14" ht="12.5">
      <c r="B613" s="72"/>
      <c r="C613" s="43"/>
      <c r="E613" s="84"/>
      <c r="F613" s="27"/>
      <c r="K613" s="43"/>
      <c r="N613" s="74"/>
    </row>
    <row r="614" spans="2:14" ht="12.5">
      <c r="B614" s="72"/>
      <c r="C614" s="43"/>
      <c r="E614" s="84"/>
      <c r="F614" s="27"/>
      <c r="K614" s="43"/>
      <c r="N614" s="74"/>
    </row>
    <row r="615" spans="2:14" ht="12.5">
      <c r="B615" s="72"/>
      <c r="C615" s="43"/>
      <c r="E615" s="84"/>
      <c r="F615" s="27"/>
      <c r="K615" s="43"/>
      <c r="N615" s="74"/>
    </row>
    <row r="616" spans="2:14" ht="12.5">
      <c r="B616" s="72"/>
      <c r="C616" s="43"/>
      <c r="E616" s="84"/>
      <c r="F616" s="27"/>
      <c r="K616" s="43"/>
      <c r="N616" s="74"/>
    </row>
    <row r="617" spans="2:14" ht="12.5">
      <c r="B617" s="72"/>
      <c r="C617" s="43"/>
      <c r="E617" s="84"/>
      <c r="F617" s="27"/>
      <c r="K617" s="43"/>
      <c r="N617" s="74"/>
    </row>
    <row r="618" spans="2:14" ht="12.5">
      <c r="B618" s="72"/>
      <c r="C618" s="43"/>
      <c r="E618" s="84"/>
      <c r="F618" s="27"/>
      <c r="K618" s="43"/>
      <c r="N618" s="74"/>
    </row>
    <row r="619" spans="2:14" ht="12.5">
      <c r="B619" s="72"/>
      <c r="C619" s="43"/>
      <c r="E619" s="84"/>
      <c r="F619" s="27"/>
      <c r="K619" s="43"/>
      <c r="N619" s="74"/>
    </row>
    <row r="620" spans="2:14" ht="12.5">
      <c r="B620" s="72"/>
      <c r="C620" s="43"/>
      <c r="E620" s="84"/>
      <c r="F620" s="27"/>
      <c r="K620" s="43"/>
      <c r="N620" s="74"/>
    </row>
    <row r="621" spans="2:14" ht="12.5">
      <c r="B621" s="72"/>
      <c r="C621" s="43"/>
      <c r="E621" s="84"/>
      <c r="F621" s="27"/>
      <c r="K621" s="43"/>
      <c r="N621" s="74"/>
    </row>
    <row r="622" spans="2:14" ht="12.5">
      <c r="B622" s="72"/>
      <c r="C622" s="43"/>
      <c r="E622" s="84"/>
      <c r="F622" s="27"/>
      <c r="K622" s="43"/>
      <c r="N622" s="74"/>
    </row>
    <row r="623" spans="2:14" ht="12.5">
      <c r="B623" s="72"/>
      <c r="C623" s="43"/>
      <c r="E623" s="84"/>
      <c r="F623" s="27"/>
      <c r="K623" s="43"/>
      <c r="N623" s="74"/>
    </row>
    <row r="624" spans="2:14" ht="12.5">
      <c r="B624" s="72"/>
      <c r="C624" s="43"/>
      <c r="E624" s="84"/>
      <c r="F624" s="27"/>
      <c r="K624" s="43"/>
      <c r="N624" s="74"/>
    </row>
    <row r="625" spans="2:14" ht="12.5">
      <c r="B625" s="72"/>
      <c r="C625" s="43"/>
      <c r="E625" s="84"/>
      <c r="F625" s="27"/>
      <c r="K625" s="43"/>
      <c r="N625" s="74"/>
    </row>
    <row r="626" spans="2:14" ht="12.5">
      <c r="B626" s="72"/>
      <c r="C626" s="43"/>
      <c r="E626" s="84"/>
      <c r="F626" s="27"/>
      <c r="K626" s="43"/>
      <c r="N626" s="74"/>
    </row>
    <row r="627" spans="2:14" ht="12.5">
      <c r="B627" s="72"/>
      <c r="C627" s="43"/>
      <c r="E627" s="84"/>
      <c r="F627" s="27"/>
      <c r="K627" s="43"/>
      <c r="N627" s="74"/>
    </row>
    <row r="628" spans="2:14" ht="12.5">
      <c r="B628" s="72"/>
      <c r="C628" s="43"/>
      <c r="E628" s="84"/>
      <c r="F628" s="27"/>
      <c r="K628" s="43"/>
      <c r="N628" s="74"/>
    </row>
    <row r="629" spans="2:14" ht="12.5">
      <c r="B629" s="72"/>
      <c r="C629" s="43"/>
      <c r="E629" s="84"/>
      <c r="F629" s="27"/>
      <c r="K629" s="43"/>
      <c r="N629" s="74"/>
    </row>
    <row r="630" spans="2:14" ht="12.5">
      <c r="B630" s="72"/>
      <c r="C630" s="43"/>
      <c r="E630" s="84"/>
      <c r="F630" s="27"/>
      <c r="K630" s="43"/>
      <c r="N630" s="74"/>
    </row>
    <row r="631" spans="2:14" ht="12.5">
      <c r="B631" s="72"/>
      <c r="C631" s="43"/>
      <c r="E631" s="84"/>
      <c r="F631" s="27"/>
      <c r="K631" s="43"/>
      <c r="N631" s="74"/>
    </row>
    <row r="632" spans="2:14" ht="12.5">
      <c r="B632" s="72"/>
      <c r="C632" s="43"/>
      <c r="E632" s="84"/>
      <c r="F632" s="27"/>
      <c r="K632" s="43"/>
      <c r="N632" s="74"/>
    </row>
    <row r="633" spans="2:14" ht="12.5">
      <c r="B633" s="72"/>
      <c r="C633" s="43"/>
      <c r="E633" s="84"/>
      <c r="F633" s="27"/>
      <c r="K633" s="43"/>
      <c r="N633" s="74"/>
    </row>
    <row r="634" spans="2:14" ht="12.5">
      <c r="B634" s="72"/>
      <c r="C634" s="43"/>
      <c r="E634" s="84"/>
      <c r="F634" s="27"/>
      <c r="K634" s="43"/>
      <c r="N634" s="74"/>
    </row>
    <row r="635" spans="2:14" ht="12.5">
      <c r="B635" s="72"/>
      <c r="C635" s="43"/>
      <c r="E635" s="84"/>
      <c r="F635" s="27"/>
      <c r="K635" s="43"/>
      <c r="N635" s="74"/>
    </row>
    <row r="636" spans="2:14" ht="12.5">
      <c r="B636" s="72"/>
      <c r="C636" s="43"/>
      <c r="E636" s="84"/>
      <c r="F636" s="27"/>
      <c r="K636" s="43"/>
      <c r="N636" s="74"/>
    </row>
    <row r="637" spans="2:14" ht="12.5">
      <c r="B637" s="72"/>
      <c r="C637" s="43"/>
      <c r="E637" s="84"/>
      <c r="F637" s="27"/>
      <c r="K637" s="43"/>
      <c r="N637" s="74"/>
    </row>
    <row r="638" spans="2:14" ht="12.5">
      <c r="B638" s="72"/>
      <c r="C638" s="43"/>
      <c r="E638" s="84"/>
      <c r="F638" s="27"/>
      <c r="K638" s="43"/>
      <c r="N638" s="74"/>
    </row>
    <row r="639" spans="2:14" ht="12.5">
      <c r="B639" s="72"/>
      <c r="C639" s="43"/>
      <c r="E639" s="84"/>
      <c r="F639" s="27"/>
      <c r="K639" s="43"/>
      <c r="N639" s="74"/>
    </row>
    <row r="640" spans="2:14" ht="12.5">
      <c r="B640" s="72"/>
      <c r="C640" s="43"/>
      <c r="E640" s="84"/>
      <c r="F640" s="27"/>
      <c r="K640" s="43"/>
      <c r="N640" s="74"/>
    </row>
    <row r="641" spans="2:14" ht="12.5">
      <c r="B641" s="72"/>
      <c r="C641" s="43"/>
      <c r="E641" s="84"/>
      <c r="F641" s="27"/>
      <c r="K641" s="43"/>
      <c r="N641" s="74"/>
    </row>
    <row r="642" spans="2:14" ht="12.5">
      <c r="B642" s="72"/>
      <c r="C642" s="43"/>
      <c r="E642" s="84"/>
      <c r="F642" s="27"/>
      <c r="K642" s="43"/>
      <c r="N642" s="74"/>
    </row>
    <row r="643" spans="2:14" ht="12.5">
      <c r="B643" s="72"/>
      <c r="C643" s="43"/>
      <c r="E643" s="84"/>
      <c r="F643" s="27"/>
      <c r="K643" s="43"/>
      <c r="N643" s="74"/>
    </row>
    <row r="644" spans="2:14" ht="12.5">
      <c r="B644" s="72"/>
      <c r="C644" s="43"/>
      <c r="E644" s="84"/>
      <c r="F644" s="27"/>
      <c r="K644" s="43"/>
      <c r="N644" s="74"/>
    </row>
    <row r="645" spans="2:14" ht="12.5">
      <c r="B645" s="72"/>
      <c r="C645" s="43"/>
      <c r="E645" s="84"/>
      <c r="F645" s="27"/>
      <c r="K645" s="43"/>
      <c r="N645" s="74"/>
    </row>
    <row r="646" spans="2:14" ht="12.5">
      <c r="B646" s="72"/>
      <c r="C646" s="43"/>
      <c r="E646" s="84"/>
      <c r="F646" s="27"/>
      <c r="K646" s="43"/>
      <c r="N646" s="74"/>
    </row>
    <row r="647" spans="2:14" ht="12.5">
      <c r="B647" s="72"/>
      <c r="C647" s="43"/>
      <c r="E647" s="84"/>
      <c r="F647" s="27"/>
      <c r="K647" s="43"/>
      <c r="N647" s="74"/>
    </row>
    <row r="648" spans="2:14" ht="12.5">
      <c r="B648" s="72"/>
      <c r="C648" s="43"/>
      <c r="E648" s="84"/>
      <c r="F648" s="27"/>
      <c r="K648" s="43"/>
      <c r="N648" s="74"/>
    </row>
    <row r="649" spans="2:14" ht="12.5">
      <c r="B649" s="72"/>
      <c r="C649" s="43"/>
      <c r="E649" s="84"/>
      <c r="F649" s="27"/>
      <c r="K649" s="43"/>
      <c r="N649" s="74"/>
    </row>
    <row r="650" spans="2:14" ht="12.5">
      <c r="B650" s="72"/>
      <c r="C650" s="43"/>
      <c r="E650" s="84"/>
      <c r="F650" s="27"/>
      <c r="K650" s="43"/>
      <c r="N650" s="74"/>
    </row>
    <row r="651" spans="2:14" ht="12.5">
      <c r="B651" s="72"/>
      <c r="C651" s="43"/>
      <c r="E651" s="84"/>
      <c r="F651" s="27"/>
      <c r="K651" s="43"/>
      <c r="N651" s="74"/>
    </row>
    <row r="652" spans="2:14" ht="12.5">
      <c r="B652" s="72"/>
      <c r="C652" s="43"/>
      <c r="E652" s="84"/>
      <c r="F652" s="27"/>
      <c r="K652" s="43"/>
      <c r="N652" s="74"/>
    </row>
    <row r="653" spans="2:14" ht="12.5">
      <c r="B653" s="72"/>
      <c r="C653" s="43"/>
      <c r="E653" s="84"/>
      <c r="F653" s="27"/>
      <c r="K653" s="43"/>
      <c r="N653" s="74"/>
    </row>
    <row r="654" spans="2:14" ht="12.5">
      <c r="B654" s="72"/>
      <c r="C654" s="43"/>
      <c r="E654" s="84"/>
      <c r="F654" s="27"/>
      <c r="K654" s="43"/>
      <c r="N654" s="74"/>
    </row>
    <row r="655" spans="2:14" ht="12.5">
      <c r="B655" s="72"/>
      <c r="C655" s="43"/>
      <c r="E655" s="84"/>
      <c r="F655" s="27"/>
      <c r="K655" s="43"/>
      <c r="N655" s="74"/>
    </row>
    <row r="656" spans="2:14" ht="12.5">
      <c r="B656" s="72"/>
      <c r="C656" s="43"/>
      <c r="E656" s="84"/>
      <c r="F656" s="27"/>
      <c r="K656" s="43"/>
      <c r="N656" s="74"/>
    </row>
    <row r="657" spans="2:14" ht="12.5">
      <c r="B657" s="72"/>
      <c r="C657" s="43"/>
      <c r="E657" s="84"/>
      <c r="F657" s="27"/>
      <c r="K657" s="43"/>
      <c r="N657" s="74"/>
    </row>
    <row r="658" spans="2:14" ht="12.5">
      <c r="B658" s="72"/>
      <c r="C658" s="43"/>
      <c r="E658" s="84"/>
      <c r="F658" s="27"/>
      <c r="K658" s="43"/>
      <c r="N658" s="74"/>
    </row>
    <row r="659" spans="2:14" ht="12.5">
      <c r="B659" s="72"/>
      <c r="C659" s="43"/>
      <c r="E659" s="84"/>
      <c r="F659" s="27"/>
      <c r="K659" s="43"/>
      <c r="N659" s="74"/>
    </row>
    <row r="660" spans="2:14" ht="12.5">
      <c r="B660" s="72"/>
      <c r="C660" s="43"/>
      <c r="E660" s="84"/>
      <c r="F660" s="27"/>
      <c r="K660" s="43"/>
      <c r="N660" s="74"/>
    </row>
    <row r="661" spans="2:14" ht="12.5">
      <c r="B661" s="72"/>
      <c r="C661" s="43"/>
      <c r="E661" s="84"/>
      <c r="F661" s="27"/>
      <c r="K661" s="43"/>
      <c r="N661" s="74"/>
    </row>
    <row r="662" spans="2:14" ht="12.5">
      <c r="B662" s="72"/>
      <c r="C662" s="43"/>
      <c r="E662" s="84"/>
      <c r="F662" s="27"/>
      <c r="K662" s="43"/>
      <c r="N662" s="74"/>
    </row>
    <row r="663" spans="2:14" ht="12.5">
      <c r="B663" s="72"/>
      <c r="C663" s="43"/>
      <c r="E663" s="84"/>
      <c r="F663" s="27"/>
      <c r="K663" s="43"/>
      <c r="N663" s="74"/>
    </row>
    <row r="664" spans="2:14" ht="12.5">
      <c r="B664" s="72"/>
      <c r="C664" s="43"/>
      <c r="E664" s="84"/>
      <c r="F664" s="27"/>
      <c r="K664" s="43"/>
      <c r="N664" s="74"/>
    </row>
    <row r="665" spans="2:14" ht="12.5">
      <c r="B665" s="72"/>
      <c r="C665" s="43"/>
      <c r="E665" s="84"/>
      <c r="F665" s="27"/>
      <c r="K665" s="43"/>
      <c r="N665" s="74"/>
    </row>
    <row r="666" spans="2:14" ht="12.5">
      <c r="B666" s="72"/>
      <c r="C666" s="43"/>
      <c r="E666" s="84"/>
      <c r="F666" s="27"/>
      <c r="K666" s="43"/>
      <c r="N666" s="74"/>
    </row>
    <row r="667" spans="2:14" ht="12.5">
      <c r="B667" s="72"/>
      <c r="C667" s="43"/>
      <c r="E667" s="84"/>
      <c r="F667" s="27"/>
      <c r="K667" s="43"/>
      <c r="N667" s="74"/>
    </row>
    <row r="668" spans="2:14" ht="12.5">
      <c r="B668" s="72"/>
      <c r="C668" s="43"/>
      <c r="E668" s="84"/>
      <c r="F668" s="27"/>
      <c r="K668" s="43"/>
      <c r="N668" s="74"/>
    </row>
    <row r="669" spans="2:14" ht="12.5">
      <c r="B669" s="72"/>
      <c r="C669" s="43"/>
      <c r="E669" s="84"/>
      <c r="F669" s="27"/>
      <c r="K669" s="43"/>
      <c r="N669" s="74"/>
    </row>
    <row r="670" spans="2:14" ht="12.5">
      <c r="B670" s="72"/>
      <c r="C670" s="43"/>
      <c r="E670" s="84"/>
      <c r="F670" s="27"/>
      <c r="K670" s="43"/>
      <c r="N670" s="74"/>
    </row>
    <row r="671" spans="2:14" ht="12.5">
      <c r="B671" s="72"/>
      <c r="C671" s="43"/>
      <c r="E671" s="84"/>
      <c r="F671" s="27"/>
      <c r="K671" s="43"/>
      <c r="N671" s="74"/>
    </row>
    <row r="672" spans="2:14" ht="12.5">
      <c r="B672" s="72"/>
      <c r="C672" s="43"/>
      <c r="E672" s="84"/>
      <c r="F672" s="27"/>
      <c r="K672" s="43"/>
      <c r="N672" s="74"/>
    </row>
    <row r="673" spans="2:14" ht="12.5">
      <c r="B673" s="72"/>
      <c r="C673" s="43"/>
      <c r="E673" s="84"/>
      <c r="F673" s="27"/>
      <c r="K673" s="43"/>
      <c r="N673" s="74"/>
    </row>
    <row r="674" spans="2:14" ht="12.5">
      <c r="B674" s="72"/>
      <c r="C674" s="43"/>
      <c r="E674" s="84"/>
      <c r="F674" s="27"/>
      <c r="K674" s="43"/>
      <c r="N674" s="74"/>
    </row>
    <row r="675" spans="2:14" ht="12.5">
      <c r="B675" s="72"/>
      <c r="C675" s="43"/>
      <c r="E675" s="84"/>
      <c r="F675" s="27"/>
      <c r="K675" s="43"/>
      <c r="N675" s="74"/>
    </row>
    <row r="676" spans="2:14" ht="12.5">
      <c r="B676" s="72"/>
      <c r="C676" s="43"/>
      <c r="E676" s="84"/>
      <c r="F676" s="27"/>
      <c r="K676" s="43"/>
      <c r="N676" s="74"/>
    </row>
    <row r="677" spans="2:14" ht="12.5">
      <c r="B677" s="72"/>
      <c r="C677" s="43"/>
      <c r="E677" s="84"/>
      <c r="F677" s="27"/>
      <c r="K677" s="43"/>
      <c r="N677" s="74"/>
    </row>
    <row r="678" spans="2:14" ht="12.5">
      <c r="B678" s="72"/>
      <c r="C678" s="43"/>
      <c r="E678" s="84"/>
      <c r="F678" s="27"/>
      <c r="K678" s="43"/>
      <c r="N678" s="74"/>
    </row>
    <row r="679" spans="2:14" ht="12.5">
      <c r="B679" s="72"/>
      <c r="C679" s="43"/>
      <c r="E679" s="84"/>
      <c r="F679" s="27"/>
      <c r="K679" s="43"/>
      <c r="N679" s="74"/>
    </row>
    <row r="680" spans="2:14" ht="12.5">
      <c r="B680" s="72"/>
      <c r="C680" s="43"/>
      <c r="E680" s="84"/>
      <c r="F680" s="27"/>
      <c r="K680" s="43"/>
      <c r="N680" s="74"/>
    </row>
    <row r="681" spans="2:14" ht="12.5">
      <c r="B681" s="72"/>
      <c r="C681" s="43"/>
      <c r="E681" s="84"/>
      <c r="F681" s="27"/>
      <c r="K681" s="43"/>
      <c r="N681" s="74"/>
    </row>
    <row r="682" spans="2:14" ht="12.5">
      <c r="B682" s="72"/>
      <c r="C682" s="43"/>
      <c r="E682" s="84"/>
      <c r="F682" s="27"/>
      <c r="K682" s="43"/>
      <c r="N682" s="74"/>
    </row>
    <row r="683" spans="2:14" ht="12.5">
      <c r="B683" s="72"/>
      <c r="C683" s="43"/>
      <c r="E683" s="84"/>
      <c r="F683" s="27"/>
      <c r="K683" s="43"/>
      <c r="N683" s="74"/>
    </row>
    <row r="684" spans="2:14" ht="12.5">
      <c r="B684" s="72"/>
      <c r="C684" s="43"/>
      <c r="E684" s="84"/>
      <c r="F684" s="27"/>
      <c r="K684" s="43"/>
      <c r="N684" s="74"/>
    </row>
    <row r="685" spans="2:14" ht="12.5">
      <c r="B685" s="72"/>
      <c r="C685" s="43"/>
      <c r="E685" s="84"/>
      <c r="F685" s="27"/>
      <c r="K685" s="43"/>
      <c r="N685" s="74"/>
    </row>
    <row r="686" spans="2:14" ht="12.5">
      <c r="B686" s="72"/>
      <c r="C686" s="43"/>
      <c r="E686" s="84"/>
      <c r="F686" s="27"/>
      <c r="K686" s="43"/>
      <c r="N686" s="74"/>
    </row>
    <row r="687" spans="2:14" ht="12.5">
      <c r="B687" s="72"/>
      <c r="C687" s="43"/>
      <c r="E687" s="84"/>
      <c r="F687" s="27"/>
      <c r="K687" s="43"/>
      <c r="N687" s="74"/>
    </row>
    <row r="688" spans="2:14" ht="12.5">
      <c r="B688" s="72"/>
      <c r="C688" s="43"/>
      <c r="E688" s="84"/>
      <c r="F688" s="27"/>
      <c r="K688" s="43"/>
      <c r="N688" s="74"/>
    </row>
    <row r="689" spans="2:14" ht="12.5">
      <c r="B689" s="72"/>
      <c r="C689" s="43"/>
      <c r="E689" s="84"/>
      <c r="F689" s="27"/>
      <c r="K689" s="43"/>
      <c r="N689" s="74"/>
    </row>
    <row r="690" spans="2:14" ht="12.5">
      <c r="B690" s="72"/>
      <c r="C690" s="43"/>
      <c r="E690" s="84"/>
      <c r="F690" s="27"/>
      <c r="K690" s="43"/>
      <c r="N690" s="74"/>
    </row>
    <row r="691" spans="2:14" ht="12.5">
      <c r="B691" s="72"/>
      <c r="C691" s="43"/>
      <c r="E691" s="84"/>
      <c r="F691" s="27"/>
      <c r="K691" s="43"/>
      <c r="N691" s="74"/>
    </row>
    <row r="692" spans="2:14" ht="12.5">
      <c r="B692" s="72"/>
      <c r="C692" s="43"/>
      <c r="E692" s="84"/>
      <c r="F692" s="27"/>
      <c r="K692" s="43"/>
      <c r="N692" s="74"/>
    </row>
    <row r="693" spans="2:14" ht="12.5">
      <c r="B693" s="72"/>
      <c r="C693" s="43"/>
      <c r="E693" s="84"/>
      <c r="F693" s="27"/>
      <c r="K693" s="43"/>
      <c r="N693" s="74"/>
    </row>
    <row r="694" spans="2:14" ht="12.5">
      <c r="B694" s="72"/>
      <c r="C694" s="43"/>
      <c r="E694" s="84"/>
      <c r="F694" s="27"/>
      <c r="K694" s="43"/>
      <c r="N694" s="74"/>
    </row>
    <row r="695" spans="2:14" ht="12.5">
      <c r="B695" s="72"/>
      <c r="C695" s="43"/>
      <c r="E695" s="84"/>
      <c r="F695" s="27"/>
      <c r="K695" s="43"/>
      <c r="N695" s="74"/>
    </row>
    <row r="696" spans="2:14" ht="12.5">
      <c r="B696" s="72"/>
      <c r="C696" s="43"/>
      <c r="E696" s="84"/>
      <c r="F696" s="27"/>
      <c r="K696" s="43"/>
      <c r="N696" s="74"/>
    </row>
    <row r="697" spans="2:14" ht="12.5">
      <c r="B697" s="72"/>
      <c r="C697" s="43"/>
      <c r="E697" s="84"/>
      <c r="F697" s="27"/>
      <c r="K697" s="43"/>
      <c r="N697" s="74"/>
    </row>
    <row r="698" spans="2:14" ht="12.5">
      <c r="B698" s="72"/>
      <c r="C698" s="43"/>
      <c r="E698" s="84"/>
      <c r="F698" s="27"/>
      <c r="K698" s="43"/>
      <c r="N698" s="74"/>
    </row>
    <row r="699" spans="2:14" ht="12.5">
      <c r="B699" s="72"/>
      <c r="C699" s="43"/>
      <c r="E699" s="84"/>
      <c r="F699" s="27"/>
      <c r="K699" s="43"/>
      <c r="N699" s="74"/>
    </row>
    <row r="700" spans="2:14" ht="12.5">
      <c r="B700" s="72"/>
      <c r="C700" s="43"/>
      <c r="E700" s="84"/>
      <c r="F700" s="27"/>
      <c r="K700" s="43"/>
      <c r="N700" s="74"/>
    </row>
    <row r="701" spans="2:14" ht="12.5">
      <c r="B701" s="72"/>
      <c r="C701" s="43"/>
      <c r="E701" s="84"/>
      <c r="F701" s="27"/>
      <c r="K701" s="43"/>
      <c r="N701" s="74"/>
    </row>
    <row r="702" spans="2:14" ht="12.5">
      <c r="B702" s="72"/>
      <c r="C702" s="43"/>
      <c r="E702" s="84"/>
      <c r="F702" s="27"/>
      <c r="K702" s="43"/>
      <c r="N702" s="74"/>
    </row>
    <row r="703" spans="2:14" ht="12.5">
      <c r="B703" s="72"/>
      <c r="C703" s="43"/>
      <c r="E703" s="84"/>
      <c r="F703" s="27"/>
      <c r="K703" s="43"/>
      <c r="N703" s="74"/>
    </row>
    <row r="704" spans="2:14" ht="12.5">
      <c r="B704" s="72"/>
      <c r="C704" s="43"/>
      <c r="E704" s="84"/>
      <c r="F704" s="27"/>
      <c r="K704" s="43"/>
      <c r="N704" s="74"/>
    </row>
    <row r="705" spans="2:14" ht="12.5">
      <c r="B705" s="72"/>
      <c r="C705" s="43"/>
      <c r="E705" s="84"/>
      <c r="F705" s="27"/>
      <c r="K705" s="43"/>
      <c r="N705" s="74"/>
    </row>
    <row r="706" spans="2:14" ht="12.5">
      <c r="B706" s="72"/>
      <c r="C706" s="43"/>
      <c r="E706" s="84"/>
      <c r="F706" s="27"/>
      <c r="K706" s="43"/>
      <c r="N706" s="74"/>
    </row>
    <row r="707" spans="2:14" ht="12.5">
      <c r="B707" s="72"/>
      <c r="C707" s="43"/>
      <c r="E707" s="84"/>
      <c r="F707" s="27"/>
      <c r="K707" s="43"/>
      <c r="N707" s="74"/>
    </row>
    <row r="708" spans="2:14" ht="12.5">
      <c r="B708" s="72"/>
      <c r="C708" s="43"/>
      <c r="E708" s="84"/>
      <c r="F708" s="27"/>
      <c r="K708" s="43"/>
      <c r="N708" s="74"/>
    </row>
    <row r="709" spans="2:14" ht="12.5">
      <c r="B709" s="72"/>
      <c r="C709" s="43"/>
      <c r="E709" s="84"/>
      <c r="F709" s="27"/>
      <c r="K709" s="43"/>
      <c r="N709" s="74"/>
    </row>
    <row r="710" spans="2:14" ht="12.5">
      <c r="B710" s="72"/>
      <c r="C710" s="43"/>
      <c r="E710" s="84"/>
      <c r="F710" s="27"/>
      <c r="K710" s="43"/>
      <c r="N710" s="74"/>
    </row>
    <row r="711" spans="2:14" ht="12.5">
      <c r="B711" s="72"/>
      <c r="C711" s="43"/>
      <c r="E711" s="84"/>
      <c r="F711" s="27"/>
      <c r="K711" s="43"/>
      <c r="N711" s="74"/>
    </row>
    <row r="712" spans="2:14" ht="12.5">
      <c r="B712" s="72"/>
      <c r="C712" s="43"/>
      <c r="E712" s="84"/>
      <c r="F712" s="27"/>
      <c r="K712" s="43"/>
      <c r="N712" s="74"/>
    </row>
    <row r="713" spans="2:14" ht="12.5">
      <c r="B713" s="72"/>
      <c r="C713" s="43"/>
      <c r="E713" s="84"/>
      <c r="F713" s="27"/>
      <c r="K713" s="43"/>
      <c r="N713" s="74"/>
    </row>
    <row r="714" spans="2:14" ht="12.5">
      <c r="B714" s="72"/>
      <c r="C714" s="43"/>
      <c r="E714" s="84"/>
      <c r="F714" s="27"/>
      <c r="K714" s="43"/>
      <c r="N714" s="74"/>
    </row>
    <row r="715" spans="2:14" ht="12.5">
      <c r="B715" s="72"/>
      <c r="C715" s="43"/>
      <c r="E715" s="84"/>
      <c r="F715" s="27"/>
      <c r="K715" s="43"/>
      <c r="N715" s="74"/>
    </row>
    <row r="716" spans="2:14" ht="12.5">
      <c r="B716" s="72"/>
      <c r="C716" s="43"/>
      <c r="E716" s="84"/>
      <c r="F716" s="27"/>
      <c r="K716" s="43"/>
      <c r="N716" s="74"/>
    </row>
    <row r="717" spans="2:14" ht="12.5">
      <c r="B717" s="72"/>
      <c r="C717" s="43"/>
      <c r="E717" s="84"/>
      <c r="F717" s="27"/>
      <c r="K717" s="43"/>
      <c r="N717" s="74"/>
    </row>
    <row r="718" spans="2:14" ht="12.5">
      <c r="B718" s="72"/>
      <c r="C718" s="43"/>
      <c r="E718" s="84"/>
      <c r="F718" s="27"/>
      <c r="K718" s="43"/>
      <c r="N718" s="74"/>
    </row>
    <row r="719" spans="2:14" ht="12.5">
      <c r="B719" s="72"/>
      <c r="C719" s="43"/>
      <c r="E719" s="84"/>
      <c r="F719" s="27"/>
      <c r="K719" s="43"/>
      <c r="N719" s="74"/>
    </row>
    <row r="720" spans="2:14" ht="12.5">
      <c r="B720" s="72"/>
      <c r="C720" s="43"/>
      <c r="E720" s="84"/>
      <c r="F720" s="27"/>
      <c r="K720" s="43"/>
      <c r="N720" s="74"/>
    </row>
    <row r="721" spans="2:14" ht="12.5">
      <c r="B721" s="72"/>
      <c r="C721" s="43"/>
      <c r="E721" s="84"/>
      <c r="F721" s="27"/>
      <c r="K721" s="43"/>
      <c r="N721" s="74"/>
    </row>
    <row r="722" spans="2:14" ht="12.5">
      <c r="B722" s="72"/>
      <c r="C722" s="43"/>
      <c r="E722" s="84"/>
      <c r="F722" s="27"/>
      <c r="K722" s="43"/>
      <c r="N722" s="74"/>
    </row>
    <row r="723" spans="2:14" ht="12.5">
      <c r="B723" s="72"/>
      <c r="C723" s="43"/>
      <c r="E723" s="84"/>
      <c r="F723" s="27"/>
      <c r="K723" s="43"/>
      <c r="N723" s="74"/>
    </row>
    <row r="724" spans="2:14" ht="12.5">
      <c r="B724" s="72"/>
      <c r="C724" s="43"/>
      <c r="E724" s="84"/>
      <c r="F724" s="27"/>
      <c r="K724" s="43"/>
      <c r="N724" s="74"/>
    </row>
    <row r="725" spans="2:14" ht="12.5">
      <c r="B725" s="72"/>
      <c r="C725" s="43"/>
      <c r="E725" s="84"/>
      <c r="F725" s="27"/>
      <c r="K725" s="43"/>
      <c r="N725" s="74"/>
    </row>
    <row r="726" spans="2:14" ht="12.5">
      <c r="B726" s="72"/>
      <c r="C726" s="43"/>
      <c r="E726" s="84"/>
      <c r="F726" s="27"/>
      <c r="K726" s="43"/>
      <c r="N726" s="74"/>
    </row>
    <row r="727" spans="2:14" ht="12.5">
      <c r="B727" s="72"/>
      <c r="C727" s="43"/>
      <c r="E727" s="84"/>
      <c r="F727" s="27"/>
      <c r="K727" s="43"/>
      <c r="N727" s="74"/>
    </row>
    <row r="728" spans="2:14" ht="12.5">
      <c r="B728" s="72"/>
      <c r="C728" s="43"/>
      <c r="E728" s="84"/>
      <c r="F728" s="27"/>
      <c r="K728" s="43"/>
      <c r="N728" s="74"/>
    </row>
    <row r="729" spans="2:14" ht="12.5">
      <c r="B729" s="72"/>
      <c r="C729" s="43"/>
      <c r="E729" s="84"/>
      <c r="F729" s="27"/>
      <c r="K729" s="43"/>
      <c r="N729" s="74"/>
    </row>
    <row r="730" spans="2:14" ht="12.5">
      <c r="B730" s="72"/>
      <c r="C730" s="43"/>
      <c r="E730" s="84"/>
      <c r="F730" s="27"/>
      <c r="K730" s="43"/>
      <c r="N730" s="74"/>
    </row>
    <row r="731" spans="2:14" ht="12.5">
      <c r="B731" s="72"/>
      <c r="C731" s="43"/>
      <c r="E731" s="84"/>
      <c r="F731" s="27"/>
      <c r="K731" s="43"/>
      <c r="N731" s="74"/>
    </row>
    <row r="732" spans="2:14" ht="12.5">
      <c r="B732" s="72"/>
      <c r="C732" s="43"/>
      <c r="E732" s="84"/>
      <c r="F732" s="27"/>
      <c r="K732" s="43"/>
      <c r="N732" s="74"/>
    </row>
    <row r="733" spans="2:14" ht="12.5">
      <c r="B733" s="72"/>
      <c r="C733" s="43"/>
      <c r="E733" s="84"/>
      <c r="F733" s="27"/>
      <c r="K733" s="43"/>
      <c r="N733" s="74"/>
    </row>
    <row r="734" spans="2:14" ht="12.5">
      <c r="B734" s="72"/>
      <c r="C734" s="43"/>
      <c r="E734" s="84"/>
      <c r="F734" s="27"/>
      <c r="K734" s="43"/>
      <c r="N734" s="74"/>
    </row>
    <row r="735" spans="2:14" ht="12.5">
      <c r="B735" s="72"/>
      <c r="C735" s="43"/>
      <c r="E735" s="84"/>
      <c r="F735" s="27"/>
      <c r="K735" s="43"/>
      <c r="N735" s="74"/>
    </row>
    <row r="736" spans="2:14" ht="12.5">
      <c r="B736" s="72"/>
      <c r="C736" s="43"/>
      <c r="E736" s="84"/>
      <c r="F736" s="27"/>
      <c r="K736" s="43"/>
      <c r="N736" s="74"/>
    </row>
    <row r="737" spans="2:14" ht="12.5">
      <c r="B737" s="72"/>
      <c r="C737" s="43"/>
      <c r="E737" s="84"/>
      <c r="F737" s="27"/>
      <c r="K737" s="43"/>
      <c r="N737" s="74"/>
    </row>
    <row r="738" spans="2:14" ht="12.5">
      <c r="B738" s="72"/>
      <c r="C738" s="43"/>
      <c r="E738" s="84"/>
      <c r="F738" s="27"/>
      <c r="K738" s="43"/>
      <c r="N738" s="74"/>
    </row>
    <row r="739" spans="2:14" ht="12.5">
      <c r="B739" s="72"/>
      <c r="C739" s="43"/>
      <c r="E739" s="84"/>
      <c r="F739" s="27"/>
      <c r="K739" s="43"/>
      <c r="N739" s="74"/>
    </row>
    <row r="740" spans="2:14" ht="12.5">
      <c r="B740" s="72"/>
      <c r="C740" s="43"/>
      <c r="E740" s="84"/>
      <c r="F740" s="27"/>
      <c r="K740" s="43"/>
      <c r="N740" s="74"/>
    </row>
    <row r="741" spans="2:14" ht="12.5">
      <c r="B741" s="72"/>
      <c r="C741" s="43"/>
      <c r="E741" s="84"/>
      <c r="F741" s="27"/>
      <c r="K741" s="43"/>
      <c r="N741" s="74"/>
    </row>
    <row r="742" spans="2:14" ht="12.5">
      <c r="B742" s="72"/>
      <c r="C742" s="43"/>
      <c r="E742" s="84"/>
      <c r="F742" s="27"/>
      <c r="K742" s="43"/>
      <c r="N742" s="74"/>
    </row>
    <row r="743" spans="2:14" ht="12.5">
      <c r="B743" s="72"/>
      <c r="C743" s="43"/>
      <c r="E743" s="84"/>
      <c r="F743" s="27"/>
      <c r="K743" s="43"/>
      <c r="N743" s="74"/>
    </row>
    <row r="744" spans="2:14" ht="12.5">
      <c r="B744" s="72"/>
      <c r="C744" s="43"/>
      <c r="E744" s="84"/>
      <c r="F744" s="27"/>
      <c r="K744" s="43"/>
      <c r="N744" s="74"/>
    </row>
    <row r="745" spans="2:14" ht="12.5">
      <c r="B745" s="72"/>
      <c r="C745" s="43"/>
      <c r="E745" s="84"/>
      <c r="F745" s="27"/>
      <c r="K745" s="43"/>
      <c r="N745" s="74"/>
    </row>
    <row r="746" spans="2:14" ht="12.5">
      <c r="B746" s="72"/>
      <c r="C746" s="43"/>
      <c r="E746" s="84"/>
      <c r="F746" s="27"/>
      <c r="K746" s="43"/>
      <c r="N746" s="74"/>
    </row>
    <row r="747" spans="2:14" ht="12.5">
      <c r="B747" s="72"/>
      <c r="C747" s="43"/>
      <c r="E747" s="84"/>
      <c r="F747" s="27"/>
      <c r="K747" s="43"/>
      <c r="N747" s="74"/>
    </row>
    <row r="748" spans="2:14" ht="12.5">
      <c r="B748" s="72"/>
      <c r="C748" s="43"/>
      <c r="E748" s="84"/>
      <c r="F748" s="27"/>
      <c r="K748" s="43"/>
      <c r="N748" s="74"/>
    </row>
    <row r="749" spans="2:14" ht="12.5">
      <c r="B749" s="72"/>
      <c r="C749" s="43"/>
      <c r="E749" s="84"/>
      <c r="F749" s="27"/>
      <c r="K749" s="43"/>
      <c r="N749" s="74"/>
    </row>
    <row r="750" spans="2:14" ht="12.5">
      <c r="B750" s="72"/>
      <c r="C750" s="43"/>
      <c r="E750" s="84"/>
      <c r="F750" s="27"/>
      <c r="K750" s="43"/>
      <c r="N750" s="74"/>
    </row>
    <row r="751" spans="2:14" ht="12.5">
      <c r="B751" s="72"/>
      <c r="C751" s="43"/>
      <c r="E751" s="84"/>
      <c r="F751" s="27"/>
      <c r="K751" s="43"/>
      <c r="N751" s="74"/>
    </row>
    <row r="752" spans="2:14" ht="12.5">
      <c r="B752" s="72"/>
      <c r="C752" s="43"/>
      <c r="E752" s="84"/>
      <c r="F752" s="27"/>
      <c r="K752" s="43"/>
      <c r="N752" s="74"/>
    </row>
    <row r="753" spans="2:14" ht="12.5">
      <c r="B753" s="72"/>
      <c r="C753" s="43"/>
      <c r="E753" s="84"/>
      <c r="F753" s="27"/>
      <c r="K753" s="43"/>
      <c r="N753" s="74"/>
    </row>
    <row r="754" spans="2:14" ht="12.5">
      <c r="B754" s="72"/>
      <c r="C754" s="43"/>
      <c r="E754" s="84"/>
      <c r="F754" s="27"/>
      <c r="K754" s="43"/>
      <c r="N754" s="74"/>
    </row>
    <row r="755" spans="2:14" ht="12.5">
      <c r="B755" s="72"/>
      <c r="C755" s="43"/>
      <c r="E755" s="84"/>
      <c r="F755" s="27"/>
      <c r="K755" s="43"/>
      <c r="N755" s="74"/>
    </row>
    <row r="756" spans="2:14" ht="12.5">
      <c r="B756" s="72"/>
      <c r="C756" s="43"/>
      <c r="E756" s="84"/>
      <c r="F756" s="27"/>
      <c r="K756" s="43"/>
      <c r="N756" s="74"/>
    </row>
    <row r="757" spans="2:14" ht="12.5">
      <c r="B757" s="72"/>
      <c r="C757" s="43"/>
      <c r="E757" s="84"/>
      <c r="F757" s="27"/>
      <c r="K757" s="43"/>
      <c r="N757" s="74"/>
    </row>
    <row r="758" spans="2:14" ht="12.5">
      <c r="B758" s="72"/>
      <c r="C758" s="43"/>
      <c r="E758" s="84"/>
      <c r="F758" s="27"/>
      <c r="K758" s="43"/>
      <c r="N758" s="74"/>
    </row>
    <row r="759" spans="2:14" ht="12.5">
      <c r="B759" s="72"/>
      <c r="C759" s="43"/>
      <c r="E759" s="84"/>
      <c r="F759" s="27"/>
      <c r="K759" s="43"/>
      <c r="N759" s="74"/>
    </row>
    <row r="760" spans="2:14" ht="12.5">
      <c r="B760" s="72"/>
      <c r="C760" s="43"/>
      <c r="E760" s="84"/>
      <c r="F760" s="27"/>
      <c r="K760" s="43"/>
      <c r="N760" s="74"/>
    </row>
    <row r="761" spans="2:14" ht="12.5">
      <c r="B761" s="72"/>
      <c r="C761" s="43"/>
      <c r="E761" s="84"/>
      <c r="F761" s="27"/>
      <c r="K761" s="43"/>
      <c r="N761" s="74"/>
    </row>
    <row r="762" spans="2:14" ht="12.5">
      <c r="B762" s="72"/>
      <c r="C762" s="43"/>
      <c r="E762" s="84"/>
      <c r="F762" s="27"/>
      <c r="K762" s="43"/>
      <c r="N762" s="74"/>
    </row>
    <row r="763" spans="2:14" ht="12.5">
      <c r="B763" s="72"/>
      <c r="C763" s="43"/>
      <c r="E763" s="84"/>
      <c r="F763" s="27"/>
      <c r="K763" s="43"/>
      <c r="N763" s="74"/>
    </row>
    <row r="764" spans="2:14" ht="12.5">
      <c r="B764" s="72"/>
      <c r="C764" s="43"/>
      <c r="E764" s="84"/>
      <c r="F764" s="27"/>
      <c r="K764" s="43"/>
      <c r="N764" s="74"/>
    </row>
    <row r="765" spans="2:14" ht="12.5">
      <c r="B765" s="72"/>
      <c r="C765" s="43"/>
      <c r="E765" s="84"/>
      <c r="F765" s="27"/>
      <c r="K765" s="43"/>
      <c r="N765" s="74"/>
    </row>
    <row r="766" spans="2:14" ht="12.5">
      <c r="B766" s="72"/>
      <c r="C766" s="43"/>
      <c r="E766" s="84"/>
      <c r="F766" s="27"/>
      <c r="K766" s="43"/>
      <c r="N766" s="74"/>
    </row>
    <row r="767" spans="2:14" ht="12.5">
      <c r="B767" s="72"/>
      <c r="C767" s="43"/>
      <c r="E767" s="84"/>
      <c r="F767" s="27"/>
      <c r="K767" s="43"/>
      <c r="N767" s="74"/>
    </row>
    <row r="768" spans="2:14" ht="12.5">
      <c r="B768" s="72"/>
      <c r="C768" s="43"/>
      <c r="E768" s="84"/>
      <c r="F768" s="27"/>
      <c r="K768" s="43"/>
      <c r="N768" s="74"/>
    </row>
    <row r="769" spans="2:14" ht="12.5">
      <c r="B769" s="72"/>
      <c r="C769" s="43"/>
      <c r="E769" s="84"/>
      <c r="F769" s="27"/>
      <c r="K769" s="43"/>
      <c r="N769" s="74"/>
    </row>
    <row r="770" spans="2:14" ht="12.5">
      <c r="B770" s="72"/>
      <c r="C770" s="43"/>
      <c r="E770" s="84"/>
      <c r="F770" s="27"/>
      <c r="K770" s="43"/>
      <c r="N770" s="74"/>
    </row>
    <row r="771" spans="2:14" ht="12.5">
      <c r="B771" s="72"/>
      <c r="C771" s="43"/>
      <c r="E771" s="84"/>
      <c r="F771" s="27"/>
      <c r="K771" s="43"/>
      <c r="N771" s="74"/>
    </row>
    <row r="772" spans="2:14" ht="12.5">
      <c r="B772" s="72"/>
      <c r="C772" s="43"/>
      <c r="E772" s="84"/>
      <c r="F772" s="27"/>
      <c r="K772" s="43"/>
      <c r="N772" s="74"/>
    </row>
    <row r="773" spans="2:14" ht="12.5">
      <c r="B773" s="72"/>
      <c r="C773" s="43"/>
      <c r="E773" s="84"/>
      <c r="F773" s="27"/>
      <c r="K773" s="43"/>
      <c r="N773" s="74"/>
    </row>
    <row r="774" spans="2:14" ht="12.5">
      <c r="B774" s="72"/>
      <c r="C774" s="43"/>
      <c r="E774" s="84"/>
      <c r="F774" s="27"/>
      <c r="K774" s="43"/>
      <c r="N774" s="74"/>
    </row>
    <row r="775" spans="2:14" ht="12.5">
      <c r="B775" s="72"/>
      <c r="C775" s="43"/>
      <c r="E775" s="84"/>
      <c r="F775" s="27"/>
      <c r="K775" s="43"/>
      <c r="N775" s="74"/>
    </row>
    <row r="776" spans="2:14" ht="12.5">
      <c r="B776" s="72"/>
      <c r="C776" s="43"/>
      <c r="E776" s="84"/>
      <c r="F776" s="27"/>
      <c r="K776" s="43"/>
      <c r="N776" s="74"/>
    </row>
    <row r="777" spans="2:14" ht="12.5">
      <c r="B777" s="72"/>
      <c r="C777" s="43"/>
      <c r="E777" s="84"/>
      <c r="F777" s="27"/>
      <c r="K777" s="43"/>
      <c r="N777" s="74"/>
    </row>
    <row r="778" spans="2:14" ht="12.5">
      <c r="B778" s="72"/>
      <c r="C778" s="43"/>
      <c r="E778" s="84"/>
      <c r="F778" s="27"/>
      <c r="K778" s="43"/>
      <c r="N778" s="74"/>
    </row>
    <row r="779" spans="2:14" ht="12.5">
      <c r="B779" s="72"/>
      <c r="C779" s="43"/>
      <c r="E779" s="84"/>
      <c r="F779" s="27"/>
      <c r="K779" s="43"/>
      <c r="N779" s="74"/>
    </row>
    <row r="780" spans="2:14" ht="12.5">
      <c r="B780" s="72"/>
      <c r="C780" s="43"/>
      <c r="E780" s="84"/>
      <c r="F780" s="27"/>
      <c r="K780" s="43"/>
      <c r="N780" s="74"/>
    </row>
    <row r="781" spans="2:14" ht="12.5">
      <c r="B781" s="72"/>
      <c r="C781" s="43"/>
      <c r="E781" s="84"/>
      <c r="F781" s="27"/>
      <c r="K781" s="43"/>
      <c r="N781" s="74"/>
    </row>
    <row r="782" spans="2:14" ht="12.5">
      <c r="B782" s="72"/>
      <c r="C782" s="43"/>
      <c r="E782" s="84"/>
      <c r="F782" s="27"/>
      <c r="K782" s="43"/>
      <c r="N782" s="74"/>
    </row>
    <row r="783" spans="2:14" ht="12.5">
      <c r="B783" s="72"/>
      <c r="C783" s="43"/>
      <c r="E783" s="84"/>
      <c r="F783" s="27"/>
      <c r="K783" s="43"/>
      <c r="N783" s="74"/>
    </row>
    <row r="784" spans="2:14" ht="12.5">
      <c r="B784" s="72"/>
      <c r="C784" s="43"/>
      <c r="E784" s="84"/>
      <c r="F784" s="27"/>
      <c r="K784" s="43"/>
      <c r="N784" s="74"/>
    </row>
    <row r="785" spans="2:14" ht="12.5">
      <c r="B785" s="72"/>
      <c r="C785" s="43"/>
      <c r="E785" s="84"/>
      <c r="F785" s="27"/>
      <c r="K785" s="43"/>
      <c r="N785" s="74"/>
    </row>
    <row r="786" spans="2:14" ht="12.5">
      <c r="B786" s="72"/>
      <c r="C786" s="43"/>
      <c r="E786" s="84"/>
      <c r="F786" s="27"/>
      <c r="K786" s="43"/>
      <c r="N786" s="74"/>
    </row>
    <row r="787" spans="2:14" ht="12.5">
      <c r="B787" s="72"/>
      <c r="C787" s="43"/>
      <c r="E787" s="84"/>
      <c r="F787" s="27"/>
      <c r="K787" s="43"/>
      <c r="N787" s="74"/>
    </row>
    <row r="788" spans="2:14" ht="12.5">
      <c r="B788" s="72"/>
      <c r="C788" s="43"/>
      <c r="E788" s="84"/>
      <c r="F788" s="27"/>
      <c r="K788" s="43"/>
      <c r="N788" s="74"/>
    </row>
    <row r="789" spans="2:14" ht="12.5">
      <c r="B789" s="72"/>
      <c r="C789" s="43"/>
      <c r="E789" s="84"/>
      <c r="F789" s="27"/>
      <c r="K789" s="43"/>
      <c r="N789" s="74"/>
    </row>
    <row r="790" spans="2:14" ht="12.5">
      <c r="B790" s="72"/>
      <c r="C790" s="43"/>
      <c r="E790" s="84"/>
      <c r="F790" s="27"/>
      <c r="K790" s="43"/>
      <c r="N790" s="74"/>
    </row>
    <row r="791" spans="2:14" ht="12.5">
      <c r="B791" s="72"/>
      <c r="C791" s="43"/>
      <c r="E791" s="84"/>
      <c r="F791" s="27"/>
      <c r="K791" s="43"/>
      <c r="N791" s="74"/>
    </row>
    <row r="792" spans="2:14" ht="12.5">
      <c r="B792" s="72"/>
      <c r="C792" s="43"/>
      <c r="E792" s="84"/>
      <c r="F792" s="27"/>
      <c r="K792" s="43"/>
      <c r="N792" s="74"/>
    </row>
    <row r="793" spans="2:14" ht="12.5">
      <c r="B793" s="72"/>
      <c r="C793" s="43"/>
      <c r="E793" s="84"/>
      <c r="F793" s="27"/>
      <c r="K793" s="43"/>
      <c r="N793" s="74"/>
    </row>
    <row r="794" spans="2:14" ht="12.5">
      <c r="B794" s="72"/>
      <c r="C794" s="43"/>
      <c r="E794" s="84"/>
      <c r="F794" s="27"/>
      <c r="K794" s="43"/>
      <c r="N794" s="74"/>
    </row>
    <row r="795" spans="2:14" ht="12.5">
      <c r="B795" s="72"/>
      <c r="C795" s="43"/>
      <c r="E795" s="84"/>
      <c r="F795" s="27"/>
      <c r="K795" s="43"/>
      <c r="N795" s="74"/>
    </row>
    <row r="796" spans="2:14" ht="12.5">
      <c r="B796" s="72"/>
      <c r="C796" s="43"/>
      <c r="E796" s="84"/>
      <c r="F796" s="27"/>
      <c r="K796" s="43"/>
      <c r="N796" s="74"/>
    </row>
    <row r="797" spans="2:14" ht="12.5">
      <c r="B797" s="72"/>
      <c r="C797" s="43"/>
      <c r="E797" s="84"/>
      <c r="F797" s="27"/>
      <c r="K797" s="43"/>
      <c r="N797" s="74"/>
    </row>
    <row r="798" spans="2:14" ht="12.5">
      <c r="B798" s="72"/>
      <c r="C798" s="43"/>
      <c r="E798" s="84"/>
      <c r="F798" s="27"/>
      <c r="K798" s="43"/>
      <c r="N798" s="74"/>
    </row>
    <row r="799" spans="2:14" ht="12.5">
      <c r="B799" s="72"/>
      <c r="C799" s="43"/>
      <c r="E799" s="84"/>
      <c r="F799" s="27"/>
      <c r="K799" s="43"/>
      <c r="N799" s="74"/>
    </row>
    <row r="800" spans="2:14" ht="12.5">
      <c r="B800" s="72"/>
      <c r="C800" s="43"/>
      <c r="E800" s="84"/>
      <c r="F800" s="27"/>
      <c r="K800" s="43"/>
      <c r="N800" s="74"/>
    </row>
    <row r="801" spans="2:14" ht="12.5">
      <c r="B801" s="72"/>
      <c r="C801" s="43"/>
      <c r="E801" s="84"/>
      <c r="F801" s="27"/>
      <c r="K801" s="43"/>
      <c r="N801" s="74"/>
    </row>
    <row r="802" spans="2:14" ht="12.5">
      <c r="B802" s="72"/>
      <c r="C802" s="43"/>
      <c r="E802" s="84"/>
      <c r="F802" s="27"/>
      <c r="K802" s="43"/>
      <c r="N802" s="74"/>
    </row>
    <row r="803" spans="2:14" ht="12.5">
      <c r="B803" s="72"/>
      <c r="C803" s="43"/>
      <c r="E803" s="84"/>
      <c r="F803" s="27"/>
      <c r="K803" s="43"/>
      <c r="N803" s="74"/>
    </row>
    <row r="804" spans="2:14" ht="12.5">
      <c r="B804" s="72"/>
      <c r="C804" s="43"/>
      <c r="E804" s="84"/>
      <c r="F804" s="27"/>
      <c r="K804" s="43"/>
      <c r="N804" s="74"/>
    </row>
    <row r="805" spans="2:14" ht="12.5">
      <c r="B805" s="72"/>
      <c r="C805" s="43"/>
      <c r="E805" s="84"/>
      <c r="F805" s="27"/>
      <c r="K805" s="43"/>
      <c r="N805" s="74"/>
    </row>
    <row r="806" spans="2:14" ht="12.5">
      <c r="B806" s="72"/>
      <c r="C806" s="43"/>
      <c r="E806" s="84"/>
      <c r="F806" s="27"/>
      <c r="K806" s="43"/>
      <c r="N806" s="74"/>
    </row>
    <row r="807" spans="2:14" ht="12.5">
      <c r="B807" s="72"/>
      <c r="C807" s="43"/>
      <c r="E807" s="84"/>
      <c r="F807" s="27"/>
      <c r="K807" s="43"/>
      <c r="N807" s="74"/>
    </row>
    <row r="808" spans="2:14" ht="12.5">
      <c r="B808" s="72"/>
      <c r="C808" s="43"/>
      <c r="E808" s="84"/>
      <c r="F808" s="27"/>
      <c r="K808" s="43"/>
      <c r="N808" s="74"/>
    </row>
    <row r="809" spans="2:14" ht="12.5">
      <c r="B809" s="72"/>
      <c r="C809" s="43"/>
      <c r="E809" s="84"/>
      <c r="F809" s="27"/>
      <c r="K809" s="43"/>
      <c r="N809" s="74"/>
    </row>
    <row r="810" spans="2:14" ht="12.5">
      <c r="B810" s="72"/>
      <c r="C810" s="43"/>
      <c r="E810" s="84"/>
      <c r="F810" s="27"/>
      <c r="K810" s="43"/>
      <c r="N810" s="74"/>
    </row>
    <row r="811" spans="2:14" ht="12.5">
      <c r="B811" s="72"/>
      <c r="C811" s="43"/>
      <c r="E811" s="84"/>
      <c r="F811" s="27"/>
      <c r="K811" s="43"/>
      <c r="N811" s="74"/>
    </row>
    <row r="812" spans="2:14" ht="12.5">
      <c r="B812" s="72"/>
      <c r="C812" s="43"/>
      <c r="E812" s="84"/>
      <c r="F812" s="27"/>
      <c r="K812" s="43"/>
      <c r="N812" s="74"/>
    </row>
    <row r="813" spans="2:14" ht="12.5">
      <c r="B813" s="72"/>
      <c r="C813" s="43"/>
      <c r="E813" s="84"/>
      <c r="F813" s="27"/>
      <c r="K813" s="43"/>
      <c r="N813" s="74"/>
    </row>
    <row r="814" spans="2:14" ht="12.5">
      <c r="B814" s="72"/>
      <c r="C814" s="43"/>
      <c r="E814" s="84"/>
      <c r="F814" s="27"/>
      <c r="K814" s="43"/>
      <c r="N814" s="74"/>
    </row>
    <row r="815" spans="2:14" ht="12.5">
      <c r="B815" s="72"/>
      <c r="C815" s="43"/>
      <c r="E815" s="84"/>
      <c r="F815" s="27"/>
      <c r="K815" s="43"/>
      <c r="N815" s="74"/>
    </row>
    <row r="816" spans="2:14" ht="12.5">
      <c r="B816" s="72"/>
      <c r="C816" s="43"/>
      <c r="E816" s="84"/>
      <c r="F816" s="27"/>
      <c r="K816" s="43"/>
      <c r="N816" s="74"/>
    </row>
    <row r="817" spans="2:14" ht="12.5">
      <c r="B817" s="72"/>
      <c r="C817" s="43"/>
      <c r="E817" s="84"/>
      <c r="F817" s="27"/>
      <c r="K817" s="43"/>
      <c r="N817" s="74"/>
    </row>
    <row r="818" spans="2:14" ht="12.5">
      <c r="B818" s="72"/>
      <c r="C818" s="43"/>
      <c r="E818" s="84"/>
      <c r="F818" s="27"/>
      <c r="K818" s="43"/>
      <c r="N818" s="74"/>
    </row>
    <row r="819" spans="2:14" ht="12.5">
      <c r="B819" s="72"/>
      <c r="C819" s="43"/>
      <c r="E819" s="84"/>
      <c r="F819" s="27"/>
      <c r="K819" s="43"/>
      <c r="N819" s="74"/>
    </row>
    <row r="820" spans="2:14" ht="12.5">
      <c r="B820" s="72"/>
      <c r="C820" s="43"/>
      <c r="E820" s="84"/>
      <c r="F820" s="27"/>
      <c r="K820" s="43"/>
      <c r="N820" s="74"/>
    </row>
    <row r="821" spans="2:14" ht="12.5">
      <c r="B821" s="72"/>
      <c r="C821" s="43"/>
      <c r="E821" s="84"/>
      <c r="F821" s="27"/>
      <c r="K821" s="43"/>
      <c r="N821" s="74"/>
    </row>
    <row r="822" spans="2:14" ht="12.5">
      <c r="B822" s="72"/>
      <c r="C822" s="43"/>
      <c r="E822" s="84"/>
      <c r="F822" s="27"/>
      <c r="K822" s="43"/>
      <c r="N822" s="74"/>
    </row>
    <row r="823" spans="2:14" ht="12.5">
      <c r="B823" s="72"/>
      <c r="C823" s="43"/>
      <c r="E823" s="84"/>
      <c r="F823" s="27"/>
      <c r="K823" s="43"/>
      <c r="N823" s="74"/>
    </row>
    <row r="824" spans="2:14" ht="12.5">
      <c r="B824" s="72"/>
      <c r="C824" s="43"/>
      <c r="E824" s="84"/>
      <c r="F824" s="27"/>
      <c r="K824" s="43"/>
      <c r="N824" s="74"/>
    </row>
    <row r="825" spans="2:14" ht="12.5">
      <c r="B825" s="72"/>
      <c r="C825" s="43"/>
      <c r="E825" s="84"/>
      <c r="F825" s="27"/>
      <c r="K825" s="43"/>
      <c r="N825" s="74"/>
    </row>
    <row r="826" spans="2:14" ht="12.5">
      <c r="B826" s="72"/>
      <c r="C826" s="43"/>
      <c r="E826" s="84"/>
      <c r="F826" s="27"/>
      <c r="K826" s="43"/>
      <c r="N826" s="74"/>
    </row>
    <row r="827" spans="2:14" ht="12.5">
      <c r="B827" s="72"/>
      <c r="C827" s="43"/>
      <c r="E827" s="84"/>
      <c r="F827" s="27"/>
      <c r="K827" s="43"/>
      <c r="N827" s="74"/>
    </row>
    <row r="828" spans="2:14" ht="12.5">
      <c r="B828" s="72"/>
      <c r="C828" s="43"/>
      <c r="E828" s="84"/>
      <c r="F828" s="27"/>
      <c r="K828" s="43"/>
      <c r="N828" s="74"/>
    </row>
    <row r="829" spans="2:14" ht="12.5">
      <c r="B829" s="72"/>
      <c r="C829" s="43"/>
      <c r="E829" s="84"/>
      <c r="F829" s="27"/>
      <c r="K829" s="43"/>
      <c r="N829" s="74"/>
    </row>
    <row r="830" spans="2:14" ht="12.5">
      <c r="B830" s="72"/>
      <c r="C830" s="43"/>
      <c r="E830" s="84"/>
      <c r="F830" s="27"/>
      <c r="K830" s="43"/>
      <c r="N830" s="74"/>
    </row>
    <row r="831" spans="2:14" ht="12.5">
      <c r="B831" s="72"/>
      <c r="C831" s="43"/>
      <c r="E831" s="84"/>
      <c r="F831" s="27"/>
      <c r="K831" s="43"/>
      <c r="N831" s="74"/>
    </row>
    <row r="832" spans="2:14" ht="12.5">
      <c r="B832" s="72"/>
      <c r="C832" s="43"/>
      <c r="E832" s="84"/>
      <c r="F832" s="27"/>
      <c r="K832" s="43"/>
      <c r="N832" s="74"/>
    </row>
    <row r="833" spans="2:14" ht="12.5">
      <c r="B833" s="72"/>
      <c r="C833" s="43"/>
      <c r="E833" s="84"/>
      <c r="F833" s="27"/>
      <c r="K833" s="43"/>
      <c r="N833" s="74"/>
    </row>
    <row r="834" spans="2:14" ht="12.5">
      <c r="B834" s="72"/>
      <c r="C834" s="43"/>
      <c r="E834" s="84"/>
      <c r="F834" s="27"/>
      <c r="K834" s="43"/>
      <c r="N834" s="74"/>
    </row>
    <row r="835" spans="2:14" ht="12.5">
      <c r="B835" s="72"/>
      <c r="C835" s="43"/>
      <c r="E835" s="84"/>
      <c r="F835" s="27"/>
      <c r="K835" s="43"/>
      <c r="N835" s="74"/>
    </row>
    <row r="836" spans="2:14" ht="12.5">
      <c r="B836" s="72"/>
      <c r="C836" s="43"/>
      <c r="E836" s="84"/>
      <c r="F836" s="27"/>
      <c r="K836" s="43"/>
      <c r="N836" s="74"/>
    </row>
    <row r="837" spans="2:14" ht="12.5">
      <c r="B837" s="72"/>
      <c r="C837" s="43"/>
      <c r="E837" s="84"/>
      <c r="F837" s="27"/>
      <c r="K837" s="43"/>
      <c r="N837" s="74"/>
    </row>
    <row r="838" spans="2:14" ht="12.5">
      <c r="B838" s="72"/>
      <c r="C838" s="43"/>
      <c r="E838" s="84"/>
      <c r="F838" s="27"/>
      <c r="K838" s="43"/>
      <c r="N838" s="74"/>
    </row>
    <row r="839" spans="2:14" ht="12.5">
      <c r="B839" s="72"/>
      <c r="C839" s="43"/>
      <c r="E839" s="84"/>
      <c r="F839" s="27"/>
      <c r="K839" s="43"/>
      <c r="N839" s="74"/>
    </row>
    <row r="840" spans="2:14" ht="12.5">
      <c r="B840" s="72"/>
      <c r="C840" s="43"/>
      <c r="E840" s="84"/>
      <c r="F840" s="27"/>
      <c r="K840" s="43"/>
      <c r="N840" s="74"/>
    </row>
    <row r="841" spans="2:14" ht="12.5">
      <c r="B841" s="72"/>
      <c r="C841" s="43"/>
      <c r="E841" s="84"/>
      <c r="F841" s="27"/>
      <c r="K841" s="43"/>
      <c r="N841" s="74"/>
    </row>
    <row r="842" spans="2:14" ht="12.5">
      <c r="B842" s="72"/>
      <c r="C842" s="43"/>
      <c r="E842" s="84"/>
      <c r="F842" s="27"/>
      <c r="K842" s="43"/>
      <c r="N842" s="74"/>
    </row>
    <row r="843" spans="2:14" ht="12.5">
      <c r="B843" s="72"/>
      <c r="C843" s="43"/>
      <c r="E843" s="84"/>
      <c r="F843" s="27"/>
      <c r="K843" s="43"/>
      <c r="N843" s="74"/>
    </row>
    <row r="844" spans="2:14" ht="12.5">
      <c r="B844" s="72"/>
      <c r="C844" s="43"/>
      <c r="E844" s="84"/>
      <c r="F844" s="27"/>
      <c r="K844" s="43"/>
      <c r="N844" s="74"/>
    </row>
    <row r="845" spans="2:14" ht="12.5">
      <c r="B845" s="72"/>
      <c r="C845" s="43"/>
      <c r="E845" s="84"/>
      <c r="F845" s="27"/>
      <c r="K845" s="43"/>
      <c r="N845" s="74"/>
    </row>
    <row r="846" spans="2:14" ht="12.5">
      <c r="B846" s="72"/>
      <c r="C846" s="43"/>
      <c r="E846" s="84"/>
      <c r="F846" s="27"/>
      <c r="K846" s="43"/>
      <c r="N846" s="74"/>
    </row>
    <row r="847" spans="2:14" ht="12.5">
      <c r="B847" s="72"/>
      <c r="C847" s="43"/>
      <c r="E847" s="84"/>
      <c r="F847" s="27"/>
      <c r="K847" s="43"/>
      <c r="N847" s="74"/>
    </row>
    <row r="848" spans="2:14" ht="12.5">
      <c r="B848" s="72"/>
      <c r="C848" s="43"/>
      <c r="E848" s="84"/>
      <c r="F848" s="27"/>
      <c r="K848" s="43"/>
      <c r="N848" s="74"/>
    </row>
    <row r="849" spans="2:14" ht="12.5">
      <c r="B849" s="72"/>
      <c r="C849" s="43"/>
      <c r="E849" s="84"/>
      <c r="F849" s="27"/>
      <c r="K849" s="43"/>
      <c r="N849" s="74"/>
    </row>
    <row r="850" spans="2:14" ht="12.5">
      <c r="B850" s="72"/>
      <c r="C850" s="43"/>
      <c r="E850" s="84"/>
      <c r="F850" s="27"/>
      <c r="K850" s="43"/>
      <c r="N850" s="74"/>
    </row>
    <row r="851" spans="2:14" ht="12.5">
      <c r="B851" s="72"/>
      <c r="C851" s="43"/>
      <c r="E851" s="84"/>
      <c r="F851" s="27"/>
      <c r="K851" s="43"/>
      <c r="N851" s="74"/>
    </row>
    <row r="852" spans="2:14" ht="12.5">
      <c r="B852" s="72"/>
      <c r="C852" s="43"/>
      <c r="E852" s="84"/>
      <c r="F852" s="27"/>
      <c r="K852" s="43"/>
      <c r="N852" s="74"/>
    </row>
    <row r="853" spans="2:14" ht="12.5">
      <c r="B853" s="72"/>
      <c r="C853" s="43"/>
      <c r="E853" s="84"/>
      <c r="F853" s="27"/>
      <c r="K853" s="43"/>
      <c r="N853" s="74"/>
    </row>
    <row r="854" spans="2:14" ht="12.5">
      <c r="B854" s="72"/>
      <c r="C854" s="43"/>
      <c r="E854" s="84"/>
      <c r="F854" s="27"/>
      <c r="K854" s="43"/>
      <c r="N854" s="74"/>
    </row>
    <row r="855" spans="2:14" ht="12.5">
      <c r="B855" s="72"/>
      <c r="C855" s="43"/>
      <c r="E855" s="84"/>
      <c r="F855" s="27"/>
      <c r="K855" s="43"/>
      <c r="N855" s="74"/>
    </row>
    <row r="856" spans="2:14" ht="12.5">
      <c r="B856" s="72"/>
      <c r="C856" s="43"/>
      <c r="E856" s="84"/>
      <c r="F856" s="27"/>
      <c r="K856" s="43"/>
      <c r="N856" s="74"/>
    </row>
    <row r="857" spans="2:14" ht="12.5">
      <c r="B857" s="72"/>
      <c r="C857" s="43"/>
      <c r="E857" s="84"/>
      <c r="F857" s="27"/>
      <c r="K857" s="43"/>
      <c r="N857" s="74"/>
    </row>
    <row r="858" spans="2:14" ht="12.5">
      <c r="B858" s="72"/>
      <c r="C858" s="43"/>
      <c r="E858" s="84"/>
      <c r="F858" s="27"/>
      <c r="K858" s="43"/>
      <c r="N858" s="74"/>
    </row>
    <row r="859" spans="2:14" ht="12.5">
      <c r="B859" s="72"/>
      <c r="C859" s="43"/>
      <c r="E859" s="84"/>
      <c r="F859" s="27"/>
      <c r="K859" s="43"/>
      <c r="N859" s="74"/>
    </row>
    <row r="860" spans="2:14" ht="12.5">
      <c r="B860" s="72"/>
      <c r="C860" s="43"/>
      <c r="E860" s="84"/>
      <c r="F860" s="27"/>
      <c r="K860" s="43"/>
      <c r="N860" s="74"/>
    </row>
    <row r="861" spans="2:14" ht="12.5">
      <c r="B861" s="72"/>
      <c r="C861" s="43"/>
      <c r="E861" s="84"/>
      <c r="F861" s="27"/>
      <c r="K861" s="43"/>
      <c r="N861" s="74"/>
    </row>
    <row r="862" spans="2:14" ht="12.5">
      <c r="B862" s="72"/>
      <c r="C862" s="43"/>
      <c r="E862" s="84"/>
      <c r="F862" s="27"/>
      <c r="K862" s="43"/>
      <c r="N862" s="74"/>
    </row>
    <row r="863" spans="2:14" ht="12.5">
      <c r="B863" s="72"/>
      <c r="C863" s="43"/>
      <c r="E863" s="84"/>
      <c r="F863" s="27"/>
      <c r="K863" s="43"/>
      <c r="N863" s="74"/>
    </row>
    <row r="864" spans="2:14" ht="12.5">
      <c r="B864" s="72"/>
      <c r="C864" s="43"/>
      <c r="E864" s="84"/>
      <c r="F864" s="27"/>
      <c r="K864" s="43"/>
      <c r="N864" s="74"/>
    </row>
    <row r="865" spans="2:14" ht="12.5">
      <c r="B865" s="72"/>
      <c r="C865" s="43"/>
      <c r="E865" s="84"/>
      <c r="F865" s="27"/>
      <c r="K865" s="43"/>
      <c r="N865" s="74"/>
    </row>
    <row r="866" spans="2:14" ht="12.5">
      <c r="B866" s="72"/>
      <c r="C866" s="43"/>
      <c r="E866" s="84"/>
      <c r="F866" s="27"/>
      <c r="K866" s="43"/>
      <c r="N866" s="74"/>
    </row>
    <row r="867" spans="2:14" ht="12.5">
      <c r="B867" s="72"/>
      <c r="C867" s="43"/>
      <c r="E867" s="84"/>
      <c r="F867" s="27"/>
      <c r="K867" s="43"/>
      <c r="N867" s="74"/>
    </row>
    <row r="868" spans="2:14" ht="12.5">
      <c r="B868" s="72"/>
      <c r="C868" s="43"/>
      <c r="E868" s="84"/>
      <c r="F868" s="27"/>
      <c r="K868" s="43"/>
      <c r="N868" s="74"/>
    </row>
    <row r="869" spans="2:14" ht="12.5">
      <c r="B869" s="72"/>
      <c r="C869" s="43"/>
      <c r="E869" s="84"/>
      <c r="F869" s="27"/>
      <c r="K869" s="43"/>
      <c r="N869" s="74"/>
    </row>
    <row r="870" spans="2:14" ht="12.5">
      <c r="B870" s="72"/>
      <c r="C870" s="43"/>
      <c r="E870" s="84"/>
      <c r="F870" s="27"/>
      <c r="K870" s="43"/>
      <c r="N870" s="74"/>
    </row>
    <row r="871" spans="2:14" ht="12.5">
      <c r="B871" s="72"/>
      <c r="C871" s="43"/>
      <c r="E871" s="84"/>
      <c r="F871" s="27"/>
      <c r="K871" s="43"/>
      <c r="N871" s="74"/>
    </row>
    <row r="872" spans="2:14" ht="12.5">
      <c r="B872" s="72"/>
      <c r="C872" s="43"/>
      <c r="E872" s="84"/>
      <c r="F872" s="27"/>
      <c r="K872" s="43"/>
      <c r="N872" s="74"/>
    </row>
    <row r="873" spans="2:14" ht="12.5">
      <c r="B873" s="72"/>
      <c r="C873" s="43"/>
      <c r="E873" s="84"/>
      <c r="F873" s="27"/>
      <c r="K873" s="43"/>
      <c r="N873" s="74"/>
    </row>
    <row r="874" spans="2:14" ht="12.5">
      <c r="B874" s="72"/>
      <c r="C874" s="43"/>
      <c r="E874" s="84"/>
      <c r="F874" s="27"/>
      <c r="K874" s="43"/>
      <c r="N874" s="74"/>
    </row>
    <row r="875" spans="2:14" ht="12.5">
      <c r="B875" s="72"/>
      <c r="C875" s="43"/>
      <c r="E875" s="84"/>
      <c r="F875" s="27"/>
      <c r="K875" s="43"/>
      <c r="N875" s="74"/>
    </row>
    <row r="876" spans="2:14" ht="12.5">
      <c r="B876" s="72"/>
      <c r="C876" s="43"/>
      <c r="E876" s="84"/>
      <c r="F876" s="27"/>
      <c r="K876" s="43"/>
      <c r="N876" s="74"/>
    </row>
    <row r="877" spans="2:14" ht="12.5">
      <c r="B877" s="72"/>
      <c r="C877" s="43"/>
      <c r="E877" s="84"/>
      <c r="F877" s="27"/>
      <c r="K877" s="43"/>
      <c r="N877" s="74"/>
    </row>
    <row r="878" spans="2:14" ht="12.5">
      <c r="B878" s="72"/>
      <c r="C878" s="43"/>
      <c r="E878" s="84"/>
      <c r="F878" s="27"/>
      <c r="K878" s="43"/>
      <c r="N878" s="74"/>
    </row>
    <row r="879" spans="2:14" ht="12.5">
      <c r="B879" s="72"/>
      <c r="C879" s="43"/>
      <c r="E879" s="84"/>
      <c r="F879" s="27"/>
      <c r="K879" s="43"/>
      <c r="N879" s="74"/>
    </row>
    <row r="880" spans="2:14" ht="12.5">
      <c r="B880" s="72"/>
      <c r="C880" s="43"/>
      <c r="E880" s="84"/>
      <c r="F880" s="27"/>
      <c r="K880" s="43"/>
      <c r="N880" s="74"/>
    </row>
    <row r="881" spans="2:14" ht="12.5">
      <c r="B881" s="72"/>
      <c r="C881" s="43"/>
      <c r="E881" s="84"/>
      <c r="F881" s="27"/>
      <c r="K881" s="43"/>
      <c r="N881" s="74"/>
    </row>
    <row r="882" spans="2:14" ht="12.5">
      <c r="B882" s="72"/>
      <c r="C882" s="43"/>
      <c r="E882" s="84"/>
      <c r="F882" s="27"/>
      <c r="K882" s="43"/>
      <c r="N882" s="74"/>
    </row>
    <row r="883" spans="2:14" ht="12.5">
      <c r="B883" s="72"/>
      <c r="C883" s="43"/>
      <c r="E883" s="84"/>
      <c r="F883" s="27"/>
      <c r="K883" s="43"/>
      <c r="N883" s="74"/>
    </row>
    <row r="884" spans="2:14" ht="12.5">
      <c r="B884" s="72"/>
      <c r="C884" s="43"/>
      <c r="E884" s="84"/>
      <c r="F884" s="27"/>
      <c r="K884" s="43"/>
      <c r="N884" s="74"/>
    </row>
    <row r="885" spans="2:14" ht="12.5">
      <c r="B885" s="72"/>
      <c r="C885" s="43"/>
      <c r="E885" s="84"/>
      <c r="F885" s="27"/>
      <c r="K885" s="43"/>
      <c r="N885" s="74"/>
    </row>
    <row r="886" spans="2:14" ht="12.5">
      <c r="B886" s="72"/>
      <c r="C886" s="43"/>
      <c r="E886" s="84"/>
      <c r="F886" s="27"/>
      <c r="K886" s="43"/>
      <c r="N886" s="74"/>
    </row>
    <row r="887" spans="2:14" ht="12.5">
      <c r="B887" s="72"/>
      <c r="C887" s="43"/>
      <c r="E887" s="84"/>
      <c r="F887" s="27"/>
      <c r="K887" s="43"/>
      <c r="N887" s="74"/>
    </row>
    <row r="888" spans="2:14" ht="12.5">
      <c r="B888" s="72"/>
      <c r="C888" s="43"/>
      <c r="E888" s="84"/>
      <c r="F888" s="27"/>
      <c r="K888" s="43"/>
      <c r="N888" s="74"/>
    </row>
    <row r="889" spans="2:14" ht="12.5">
      <c r="B889" s="72"/>
      <c r="C889" s="43"/>
      <c r="E889" s="84"/>
      <c r="F889" s="27"/>
      <c r="K889" s="43"/>
      <c r="N889" s="74"/>
    </row>
    <row r="890" spans="2:14" ht="12.5">
      <c r="B890" s="72"/>
      <c r="C890" s="43"/>
      <c r="E890" s="84"/>
      <c r="F890" s="27"/>
      <c r="K890" s="43"/>
      <c r="N890" s="74"/>
    </row>
    <row r="891" spans="2:14" ht="12.5">
      <c r="B891" s="72"/>
      <c r="C891" s="43"/>
      <c r="E891" s="84"/>
      <c r="F891" s="27"/>
      <c r="K891" s="43"/>
      <c r="N891" s="74"/>
    </row>
    <row r="892" spans="2:14" ht="12.5">
      <c r="B892" s="72"/>
      <c r="C892" s="43"/>
      <c r="E892" s="84"/>
      <c r="F892" s="27"/>
      <c r="K892" s="43"/>
      <c r="N892" s="74"/>
    </row>
    <row r="893" spans="2:14" ht="12.5">
      <c r="B893" s="72"/>
      <c r="C893" s="43"/>
      <c r="E893" s="84"/>
      <c r="F893" s="27"/>
      <c r="K893" s="43"/>
      <c r="N893" s="74"/>
    </row>
    <row r="894" spans="2:14" ht="12.5">
      <c r="B894" s="72"/>
      <c r="C894" s="43"/>
      <c r="E894" s="84"/>
      <c r="F894" s="27"/>
      <c r="K894" s="43"/>
      <c r="N894" s="74"/>
    </row>
    <row r="895" spans="2:14" ht="12.5">
      <c r="B895" s="72"/>
      <c r="C895" s="43"/>
      <c r="E895" s="84"/>
      <c r="F895" s="27"/>
      <c r="K895" s="43"/>
      <c r="N895" s="74"/>
    </row>
    <row r="896" spans="2:14" ht="12.5">
      <c r="B896" s="72"/>
      <c r="C896" s="43"/>
      <c r="E896" s="84"/>
      <c r="F896" s="27"/>
      <c r="K896" s="43"/>
      <c r="N896" s="74"/>
    </row>
    <row r="897" spans="2:14" ht="12.5">
      <c r="B897" s="72"/>
      <c r="C897" s="43"/>
      <c r="E897" s="84"/>
      <c r="F897" s="27"/>
      <c r="K897" s="43"/>
      <c r="N897" s="74"/>
    </row>
    <row r="898" spans="2:14" ht="12.5">
      <c r="B898" s="72"/>
      <c r="C898" s="43"/>
      <c r="E898" s="84"/>
      <c r="F898" s="27"/>
      <c r="K898" s="43"/>
      <c r="N898" s="74"/>
    </row>
    <row r="899" spans="2:14" ht="12.5">
      <c r="B899" s="72"/>
      <c r="C899" s="43"/>
      <c r="E899" s="84"/>
      <c r="F899" s="27"/>
      <c r="K899" s="43"/>
      <c r="N899" s="74"/>
    </row>
    <row r="900" spans="2:14" ht="12.5">
      <c r="B900" s="72"/>
      <c r="C900" s="43"/>
      <c r="E900" s="84"/>
      <c r="F900" s="27"/>
      <c r="K900" s="43"/>
      <c r="N900" s="74"/>
    </row>
    <row r="901" spans="2:14" ht="12.5">
      <c r="B901" s="72"/>
      <c r="C901" s="43"/>
      <c r="E901" s="84"/>
      <c r="F901" s="27"/>
      <c r="K901" s="43"/>
      <c r="N901" s="74"/>
    </row>
    <row r="902" spans="2:14" ht="12.5">
      <c r="B902" s="72"/>
      <c r="C902" s="43"/>
      <c r="E902" s="84"/>
      <c r="F902" s="27"/>
      <c r="K902" s="43"/>
      <c r="N902" s="74"/>
    </row>
    <row r="903" spans="2:14" ht="12.5">
      <c r="B903" s="72"/>
      <c r="C903" s="43"/>
      <c r="E903" s="84"/>
      <c r="F903" s="27"/>
      <c r="K903" s="43"/>
      <c r="N903" s="74"/>
    </row>
    <row r="904" spans="2:14" ht="12.5">
      <c r="B904" s="72"/>
      <c r="C904" s="43"/>
      <c r="E904" s="84"/>
      <c r="F904" s="27"/>
      <c r="K904" s="43"/>
      <c r="N904" s="74"/>
    </row>
    <row r="905" spans="2:14" ht="12.5">
      <c r="B905" s="72"/>
      <c r="C905" s="43"/>
      <c r="E905" s="84"/>
      <c r="F905" s="27"/>
      <c r="K905" s="43"/>
      <c r="N905" s="74"/>
    </row>
    <row r="906" spans="2:14" ht="12.5">
      <c r="B906" s="72"/>
      <c r="C906" s="43"/>
      <c r="E906" s="84"/>
      <c r="F906" s="27"/>
      <c r="K906" s="43"/>
      <c r="N906" s="74"/>
    </row>
    <row r="907" spans="2:14" ht="12.5">
      <c r="B907" s="72"/>
      <c r="C907" s="43"/>
      <c r="E907" s="84"/>
      <c r="F907" s="27"/>
      <c r="K907" s="43"/>
      <c r="N907" s="74"/>
    </row>
    <row r="908" spans="2:14" ht="12.5">
      <c r="B908" s="72"/>
      <c r="C908" s="43"/>
      <c r="E908" s="84"/>
      <c r="F908" s="27"/>
      <c r="K908" s="43"/>
      <c r="N908" s="74"/>
    </row>
    <row r="909" spans="2:14" ht="12.5">
      <c r="B909" s="72"/>
      <c r="C909" s="43"/>
      <c r="E909" s="84"/>
      <c r="F909" s="27"/>
      <c r="K909" s="43"/>
      <c r="N909" s="74"/>
    </row>
    <row r="910" spans="2:14" ht="12.5">
      <c r="B910" s="72"/>
      <c r="C910" s="43"/>
      <c r="E910" s="84"/>
      <c r="F910" s="27"/>
      <c r="K910" s="43"/>
      <c r="N910" s="74"/>
    </row>
    <row r="911" spans="2:14" ht="12.5">
      <c r="B911" s="72"/>
      <c r="C911" s="43"/>
      <c r="E911" s="84"/>
      <c r="F911" s="27"/>
      <c r="K911" s="43"/>
      <c r="N911" s="74"/>
    </row>
    <row r="912" spans="2:14" ht="12.5">
      <c r="B912" s="72"/>
      <c r="C912" s="43"/>
      <c r="E912" s="84"/>
      <c r="F912" s="27"/>
      <c r="K912" s="43"/>
      <c r="N912" s="74"/>
    </row>
    <row r="913" spans="2:14" ht="12.5">
      <c r="B913" s="72"/>
      <c r="C913" s="43"/>
      <c r="E913" s="84"/>
      <c r="F913" s="27"/>
      <c r="K913" s="43"/>
      <c r="N913" s="74"/>
    </row>
    <row r="914" spans="2:14" ht="12.5">
      <c r="B914" s="72"/>
      <c r="C914" s="43"/>
      <c r="E914" s="84"/>
      <c r="F914" s="27"/>
      <c r="K914" s="43"/>
      <c r="N914" s="74"/>
    </row>
    <row r="915" spans="2:14" ht="12.5">
      <c r="B915" s="72"/>
      <c r="C915" s="43"/>
      <c r="E915" s="84"/>
      <c r="F915" s="27"/>
      <c r="K915" s="43"/>
      <c r="N915" s="74"/>
    </row>
    <row r="916" spans="2:14" ht="12.5">
      <c r="B916" s="72"/>
      <c r="C916" s="43"/>
      <c r="E916" s="84"/>
      <c r="F916" s="27"/>
      <c r="K916" s="43"/>
      <c r="N916" s="74"/>
    </row>
    <row r="917" spans="2:14" ht="12.5">
      <c r="B917" s="72"/>
      <c r="C917" s="43"/>
      <c r="E917" s="84"/>
      <c r="F917" s="27"/>
      <c r="K917" s="43"/>
      <c r="N917" s="74"/>
    </row>
    <row r="918" spans="2:14" ht="12.5">
      <c r="B918" s="72"/>
      <c r="C918" s="43"/>
      <c r="E918" s="84"/>
      <c r="F918" s="27"/>
      <c r="K918" s="43"/>
      <c r="N918" s="74"/>
    </row>
    <row r="919" spans="2:14" ht="12.5">
      <c r="B919" s="72"/>
      <c r="C919" s="43"/>
      <c r="E919" s="84"/>
      <c r="F919" s="27"/>
      <c r="K919" s="43"/>
      <c r="N919" s="74"/>
    </row>
    <row r="920" spans="2:14" ht="12.5">
      <c r="B920" s="72"/>
      <c r="C920" s="43"/>
      <c r="E920" s="84"/>
      <c r="F920" s="27"/>
      <c r="K920" s="43"/>
      <c r="N920" s="74"/>
    </row>
    <row r="921" spans="2:14" ht="12.5">
      <c r="B921" s="72"/>
      <c r="C921" s="43"/>
      <c r="E921" s="84"/>
      <c r="F921" s="27"/>
      <c r="K921" s="43"/>
      <c r="N921" s="74"/>
    </row>
    <row r="922" spans="2:14" ht="12.5">
      <c r="B922" s="72"/>
      <c r="C922" s="43"/>
      <c r="E922" s="84"/>
      <c r="F922" s="27"/>
      <c r="K922" s="43"/>
      <c r="N922" s="74"/>
    </row>
    <row r="923" spans="2:14" ht="12.5">
      <c r="B923" s="72"/>
      <c r="C923" s="43"/>
      <c r="E923" s="84"/>
      <c r="F923" s="27"/>
      <c r="K923" s="43"/>
      <c r="N923" s="74"/>
    </row>
    <row r="924" spans="2:14" ht="12.5">
      <c r="B924" s="72"/>
      <c r="C924" s="43"/>
      <c r="E924" s="84"/>
      <c r="F924" s="27"/>
      <c r="K924" s="43"/>
      <c r="N924" s="74"/>
    </row>
    <row r="925" spans="2:14" ht="12.5">
      <c r="B925" s="72"/>
      <c r="C925" s="43"/>
      <c r="E925" s="84"/>
      <c r="F925" s="27"/>
      <c r="K925" s="43"/>
      <c r="N925" s="74"/>
    </row>
    <row r="926" spans="2:14" ht="12.5">
      <c r="B926" s="72"/>
      <c r="C926" s="43"/>
      <c r="E926" s="84"/>
      <c r="F926" s="27"/>
      <c r="K926" s="43"/>
      <c r="N926" s="74"/>
    </row>
    <row r="927" spans="2:14" ht="12.5">
      <c r="B927" s="72"/>
      <c r="C927" s="43"/>
      <c r="E927" s="84"/>
      <c r="F927" s="27"/>
      <c r="K927" s="43"/>
      <c r="N927" s="74"/>
    </row>
    <row r="928" spans="2:14" ht="12.5">
      <c r="B928" s="72"/>
      <c r="C928" s="43"/>
      <c r="E928" s="84"/>
      <c r="F928" s="27"/>
      <c r="K928" s="43"/>
      <c r="N928" s="74"/>
    </row>
    <row r="929" spans="2:14" ht="12.5">
      <c r="B929" s="72"/>
      <c r="C929" s="43"/>
      <c r="E929" s="84"/>
      <c r="F929" s="27"/>
      <c r="K929" s="43"/>
      <c r="N929" s="74"/>
    </row>
    <row r="930" spans="2:14" ht="12.5">
      <c r="B930" s="72"/>
      <c r="C930" s="43"/>
      <c r="E930" s="84"/>
      <c r="F930" s="27"/>
      <c r="K930" s="43"/>
      <c r="N930" s="74"/>
    </row>
    <row r="931" spans="2:14" ht="12.5">
      <c r="B931" s="72"/>
      <c r="C931" s="43"/>
      <c r="E931" s="84"/>
      <c r="F931" s="27"/>
      <c r="K931" s="43"/>
      <c r="N931" s="74"/>
    </row>
    <row r="932" spans="2:14" ht="12.5">
      <c r="B932" s="72"/>
      <c r="C932" s="43"/>
      <c r="E932" s="84"/>
      <c r="F932" s="27"/>
      <c r="K932" s="43"/>
      <c r="N932" s="74"/>
    </row>
    <row r="933" spans="2:14" ht="12.5">
      <c r="B933" s="72"/>
      <c r="C933" s="43"/>
      <c r="E933" s="84"/>
      <c r="F933" s="27"/>
      <c r="K933" s="43"/>
      <c r="N933" s="74"/>
    </row>
    <row r="934" spans="2:14" ht="12.5">
      <c r="B934" s="72"/>
      <c r="C934" s="43"/>
      <c r="E934" s="84"/>
      <c r="F934" s="27"/>
      <c r="K934" s="43"/>
      <c r="N934" s="74"/>
    </row>
    <row r="935" spans="2:14" ht="12.5">
      <c r="B935" s="72"/>
      <c r="C935" s="43"/>
      <c r="E935" s="84"/>
      <c r="F935" s="27"/>
      <c r="K935" s="43"/>
      <c r="N935" s="74"/>
    </row>
    <row r="936" spans="2:14" ht="12.5">
      <c r="B936" s="72"/>
      <c r="C936" s="43"/>
      <c r="E936" s="84"/>
      <c r="F936" s="27"/>
      <c r="K936" s="43"/>
      <c r="N936" s="74"/>
    </row>
    <row r="937" spans="2:14" ht="12.5">
      <c r="B937" s="72"/>
      <c r="C937" s="43"/>
      <c r="E937" s="84"/>
      <c r="F937" s="27"/>
      <c r="K937" s="43"/>
      <c r="N937" s="74"/>
    </row>
    <row r="938" spans="2:14" ht="12.5">
      <c r="B938" s="72"/>
      <c r="C938" s="43"/>
      <c r="E938" s="84"/>
      <c r="F938" s="27"/>
      <c r="K938" s="43"/>
      <c r="N938" s="74"/>
    </row>
    <row r="939" spans="2:14" ht="12.5">
      <c r="B939" s="72"/>
      <c r="C939" s="43"/>
      <c r="E939" s="84"/>
      <c r="F939" s="27"/>
      <c r="K939" s="43"/>
      <c r="N939" s="74"/>
    </row>
    <row r="940" spans="2:14" ht="12.5">
      <c r="B940" s="72"/>
      <c r="C940" s="43"/>
      <c r="E940" s="84"/>
      <c r="F940" s="27"/>
      <c r="K940" s="43"/>
      <c r="N940" s="74"/>
    </row>
    <row r="941" spans="2:14" ht="12.5">
      <c r="B941" s="72"/>
      <c r="C941" s="43"/>
      <c r="E941" s="84"/>
      <c r="F941" s="27"/>
      <c r="K941" s="43"/>
      <c r="N941" s="74"/>
    </row>
    <row r="942" spans="2:14" ht="12.5">
      <c r="B942" s="72"/>
      <c r="C942" s="43"/>
      <c r="E942" s="84"/>
      <c r="F942" s="27"/>
      <c r="K942" s="43"/>
      <c r="N942" s="74"/>
    </row>
    <row r="943" spans="2:14" ht="12.5">
      <c r="B943" s="72"/>
      <c r="C943" s="43"/>
      <c r="E943" s="84"/>
      <c r="F943" s="27"/>
      <c r="K943" s="43"/>
      <c r="N943" s="74"/>
    </row>
    <row r="944" spans="2:14" ht="12.5">
      <c r="B944" s="72"/>
      <c r="C944" s="43"/>
      <c r="E944" s="84"/>
      <c r="F944" s="27"/>
      <c r="K944" s="43"/>
      <c r="N944" s="74"/>
    </row>
    <row r="945" spans="2:14" ht="12.5">
      <c r="B945" s="72"/>
      <c r="C945" s="43"/>
      <c r="E945" s="84"/>
      <c r="F945" s="27"/>
      <c r="K945" s="43"/>
      <c r="N945" s="74"/>
    </row>
    <row r="946" spans="2:14" ht="12.5">
      <c r="B946" s="72"/>
      <c r="C946" s="43"/>
      <c r="E946" s="84"/>
      <c r="F946" s="27"/>
      <c r="K946" s="43"/>
      <c r="N946" s="74"/>
    </row>
    <row r="947" spans="2:14" ht="12.5">
      <c r="B947" s="72"/>
      <c r="C947" s="43"/>
      <c r="E947" s="84"/>
      <c r="F947" s="27"/>
      <c r="K947" s="43"/>
      <c r="N947" s="74"/>
    </row>
    <row r="948" spans="2:14" ht="12.5">
      <c r="B948" s="72"/>
      <c r="C948" s="43"/>
      <c r="E948" s="84"/>
      <c r="F948" s="27"/>
      <c r="K948" s="43"/>
      <c r="N948" s="74"/>
    </row>
    <row r="949" spans="2:14" ht="12.5">
      <c r="B949" s="72"/>
      <c r="C949" s="43"/>
      <c r="E949" s="84"/>
      <c r="F949" s="27"/>
      <c r="K949" s="43"/>
      <c r="N949" s="74"/>
    </row>
    <row r="950" spans="2:14" ht="12.5">
      <c r="B950" s="72"/>
      <c r="C950" s="43"/>
      <c r="E950" s="84"/>
      <c r="F950" s="27"/>
      <c r="K950" s="43"/>
      <c r="N950" s="74"/>
    </row>
    <row r="951" spans="2:14" ht="12.5">
      <c r="B951" s="72"/>
      <c r="C951" s="43"/>
      <c r="E951" s="84"/>
      <c r="F951" s="27"/>
      <c r="K951" s="43"/>
      <c r="N951" s="74"/>
    </row>
    <row r="952" spans="2:14" ht="12.5">
      <c r="B952" s="72"/>
      <c r="C952" s="43"/>
      <c r="E952" s="84"/>
      <c r="F952" s="27"/>
      <c r="K952" s="43"/>
      <c r="N952" s="74"/>
    </row>
    <row r="953" spans="2:14" ht="12.5">
      <c r="B953" s="72"/>
      <c r="C953" s="43"/>
      <c r="E953" s="84"/>
      <c r="F953" s="27"/>
      <c r="K953" s="43"/>
      <c r="N953" s="74"/>
    </row>
    <row r="954" spans="2:14" ht="12.5">
      <c r="B954" s="72"/>
      <c r="C954" s="43"/>
      <c r="E954" s="84"/>
      <c r="F954" s="27"/>
      <c r="K954" s="43"/>
      <c r="N954" s="74"/>
    </row>
    <row r="955" spans="2:14" ht="12.5">
      <c r="B955" s="72"/>
      <c r="C955" s="43"/>
      <c r="E955" s="84"/>
      <c r="F955" s="27"/>
      <c r="K955" s="43"/>
      <c r="N955" s="74"/>
    </row>
    <row r="956" spans="2:14" ht="12.5">
      <c r="B956" s="72"/>
      <c r="C956" s="43"/>
      <c r="E956" s="84"/>
      <c r="F956" s="27"/>
      <c r="K956" s="43"/>
      <c r="N956" s="74"/>
    </row>
    <row r="957" spans="2:14" ht="12.5">
      <c r="B957" s="72"/>
      <c r="C957" s="43"/>
      <c r="E957" s="84"/>
      <c r="F957" s="27"/>
      <c r="K957" s="43"/>
      <c r="N957" s="74"/>
    </row>
    <row r="958" spans="2:14" ht="12.5">
      <c r="B958" s="72"/>
      <c r="C958" s="43"/>
      <c r="E958" s="84"/>
      <c r="F958" s="27"/>
      <c r="K958" s="43"/>
      <c r="N958" s="74"/>
    </row>
    <row r="959" spans="2:14" ht="12.5">
      <c r="B959" s="72"/>
      <c r="C959" s="43"/>
      <c r="E959" s="84"/>
      <c r="F959" s="27"/>
      <c r="K959" s="43"/>
      <c r="N959" s="74"/>
    </row>
    <row r="960" spans="2:14" ht="12.5">
      <c r="B960" s="72"/>
      <c r="C960" s="43"/>
      <c r="E960" s="84"/>
      <c r="F960" s="27"/>
      <c r="K960" s="43"/>
      <c r="N960" s="74"/>
    </row>
    <row r="961" spans="2:14" ht="12.5">
      <c r="B961" s="72"/>
      <c r="C961" s="43"/>
      <c r="E961" s="84"/>
      <c r="F961" s="27"/>
      <c r="K961" s="43"/>
      <c r="N961" s="74"/>
    </row>
    <row r="962" spans="2:14" ht="12.5">
      <c r="B962" s="72"/>
      <c r="C962" s="43"/>
      <c r="E962" s="84"/>
      <c r="F962" s="27"/>
      <c r="K962" s="43"/>
      <c r="N962" s="74"/>
    </row>
    <row r="963" spans="2:14" ht="12.5">
      <c r="B963" s="72"/>
      <c r="C963" s="43"/>
      <c r="E963" s="84"/>
      <c r="F963" s="27"/>
      <c r="K963" s="43"/>
      <c r="N963" s="74"/>
    </row>
    <row r="964" spans="2:14" ht="12.5">
      <c r="B964" s="72"/>
      <c r="C964" s="43"/>
      <c r="E964" s="84"/>
      <c r="F964" s="27"/>
      <c r="K964" s="43"/>
      <c r="N964" s="74"/>
    </row>
    <row r="965" spans="2:14" ht="12.5">
      <c r="B965" s="72"/>
      <c r="C965" s="43"/>
      <c r="E965" s="84"/>
      <c r="F965" s="27"/>
      <c r="K965" s="43"/>
      <c r="N965" s="74"/>
    </row>
    <row r="966" spans="2:14" ht="12.5">
      <c r="B966" s="72"/>
      <c r="C966" s="43"/>
      <c r="E966" s="84"/>
      <c r="F966" s="27"/>
      <c r="K966" s="43"/>
      <c r="N966" s="74"/>
    </row>
    <row r="967" spans="2:14" ht="12.5">
      <c r="B967" s="72"/>
      <c r="C967" s="43"/>
      <c r="E967" s="84"/>
      <c r="F967" s="27"/>
      <c r="K967" s="43"/>
      <c r="N967" s="74"/>
    </row>
    <row r="968" spans="2:14" ht="12.5">
      <c r="B968" s="72"/>
      <c r="C968" s="43"/>
      <c r="E968" s="84"/>
      <c r="F968" s="27"/>
      <c r="K968" s="43"/>
      <c r="N968" s="74"/>
    </row>
    <row r="969" spans="2:14" ht="12.5">
      <c r="B969" s="72"/>
      <c r="C969" s="43"/>
      <c r="E969" s="84"/>
      <c r="F969" s="27"/>
      <c r="K969" s="43"/>
      <c r="N969" s="74"/>
    </row>
    <row r="970" spans="2:14" ht="12.5">
      <c r="B970" s="72"/>
      <c r="C970" s="43"/>
      <c r="E970" s="84"/>
      <c r="F970" s="27"/>
      <c r="K970" s="43"/>
      <c r="N970" s="74"/>
    </row>
    <row r="971" spans="2:14" ht="12.5">
      <c r="B971" s="72"/>
      <c r="C971" s="43"/>
      <c r="E971" s="84"/>
      <c r="F971" s="27"/>
      <c r="K971" s="43"/>
      <c r="N971" s="74"/>
    </row>
    <row r="972" spans="2:14" ht="12.5">
      <c r="B972" s="72"/>
      <c r="C972" s="43"/>
      <c r="E972" s="84"/>
      <c r="F972" s="27"/>
      <c r="K972" s="43"/>
      <c r="N972" s="74"/>
    </row>
    <row r="973" spans="2:14" ht="12.5">
      <c r="B973" s="72"/>
      <c r="C973" s="43"/>
      <c r="E973" s="84"/>
      <c r="F973" s="27"/>
      <c r="K973" s="43"/>
      <c r="N973" s="74"/>
    </row>
    <row r="974" spans="2:14" ht="12.5">
      <c r="B974" s="72"/>
      <c r="C974" s="43"/>
      <c r="E974" s="84"/>
      <c r="F974" s="27"/>
      <c r="K974" s="43"/>
      <c r="N974" s="74"/>
    </row>
    <row r="975" spans="2:14" ht="12.5">
      <c r="B975" s="72"/>
      <c r="C975" s="43"/>
      <c r="E975" s="84"/>
      <c r="F975" s="27"/>
      <c r="K975" s="43"/>
      <c r="N975" s="74"/>
    </row>
    <row r="976" spans="2:14" ht="12.5">
      <c r="B976" s="72"/>
      <c r="C976" s="43"/>
      <c r="E976" s="84"/>
      <c r="F976" s="27"/>
      <c r="K976" s="43"/>
      <c r="N976" s="74"/>
    </row>
    <row r="977" spans="2:14" ht="12.5">
      <c r="B977" s="72"/>
      <c r="C977" s="43"/>
      <c r="E977" s="84"/>
      <c r="F977" s="27"/>
      <c r="K977" s="43"/>
      <c r="N977" s="74"/>
    </row>
    <row r="978" spans="2:14" ht="12.5">
      <c r="B978" s="72"/>
      <c r="C978" s="43"/>
      <c r="E978" s="84"/>
      <c r="F978" s="27"/>
      <c r="K978" s="43"/>
      <c r="N978" s="74"/>
    </row>
    <row r="979" spans="2:14" ht="12.5">
      <c r="B979" s="72"/>
      <c r="C979" s="43"/>
      <c r="E979" s="84"/>
      <c r="F979" s="27"/>
      <c r="K979" s="43"/>
      <c r="N979" s="74"/>
    </row>
    <row r="980" spans="2:14" ht="12.5">
      <c r="B980" s="72"/>
      <c r="C980" s="43"/>
      <c r="E980" s="84"/>
      <c r="F980" s="27"/>
      <c r="K980" s="43"/>
      <c r="N980" s="74"/>
    </row>
    <row r="981" spans="2:14" ht="12.5">
      <c r="B981" s="72"/>
      <c r="C981" s="43"/>
      <c r="E981" s="84"/>
      <c r="F981" s="27"/>
      <c r="K981" s="43"/>
      <c r="N981" s="74"/>
    </row>
    <row r="982" spans="2:14" ht="12.5">
      <c r="B982" s="72"/>
      <c r="C982" s="43"/>
      <c r="E982" s="84"/>
      <c r="F982" s="27"/>
      <c r="K982" s="43"/>
      <c r="N982" s="74"/>
    </row>
    <row r="983" spans="2:14" ht="12.5">
      <c r="B983" s="72"/>
      <c r="C983" s="43"/>
      <c r="E983" s="84"/>
      <c r="F983" s="27"/>
      <c r="K983" s="43"/>
      <c r="N983" s="74"/>
    </row>
    <row r="984" spans="2:14" ht="12.5">
      <c r="B984" s="72"/>
      <c r="C984" s="43"/>
      <c r="E984" s="84"/>
      <c r="F984" s="27"/>
      <c r="K984" s="43"/>
      <c r="N984" s="74"/>
    </row>
    <row r="985" spans="2:14" ht="12.5">
      <c r="B985" s="72"/>
      <c r="C985" s="43"/>
      <c r="E985" s="84"/>
      <c r="F985" s="27"/>
      <c r="K985" s="43"/>
      <c r="N985" s="7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27"/>
  <sheetViews>
    <sheetView workbookViewId="0">
      <pane ySplit="1" topLeftCell="A2" activePane="bottomLeft" state="frozen"/>
      <selection pane="bottomLeft" activeCell="B3" sqref="B3"/>
    </sheetView>
  </sheetViews>
  <sheetFormatPr baseColWidth="10" defaultColWidth="12.6328125" defaultRowHeight="15.75" customHeight="1"/>
  <cols>
    <col min="1" max="1" width="12.7265625" customWidth="1"/>
    <col min="2" max="2" width="13.453125" customWidth="1"/>
    <col min="3" max="3" width="12.453125" customWidth="1"/>
    <col min="4" max="4" width="27.26953125" customWidth="1"/>
    <col min="5" max="6" width="11.7265625" customWidth="1"/>
    <col min="7" max="7" width="17" customWidth="1"/>
    <col min="8" max="8" width="13.7265625" customWidth="1"/>
    <col min="9" max="9" width="12.453125" customWidth="1"/>
    <col min="10" max="10" width="12" customWidth="1"/>
    <col min="11" max="11" width="41.36328125" customWidth="1"/>
    <col min="12" max="12" width="10.7265625" customWidth="1"/>
    <col min="13" max="13" width="14.26953125" customWidth="1"/>
    <col min="14" max="14" width="10.90625" customWidth="1"/>
    <col min="15" max="15" width="39.453125" customWidth="1"/>
    <col min="16" max="16" width="2.08984375" customWidth="1"/>
    <col min="18" max="18" width="3" customWidth="1"/>
    <col min="21" max="26" width="6.36328125" customWidth="1"/>
  </cols>
  <sheetData>
    <row r="1" spans="1:26" ht="37.5" customHeight="1">
      <c r="A1" s="118" t="s">
        <v>0</v>
      </c>
      <c r="B1" s="119" t="s">
        <v>531</v>
      </c>
      <c r="C1" s="120" t="s">
        <v>538</v>
      </c>
      <c r="D1" s="120" t="s">
        <v>2</v>
      </c>
      <c r="E1" s="81" t="s">
        <v>3</v>
      </c>
      <c r="F1" s="81" t="s">
        <v>4</v>
      </c>
      <c r="G1" s="81" t="s">
        <v>721</v>
      </c>
      <c r="H1" s="120" t="s">
        <v>5</v>
      </c>
      <c r="I1" s="120" t="s">
        <v>655</v>
      </c>
      <c r="J1" s="120" t="s">
        <v>532</v>
      </c>
      <c r="K1" s="120" t="s">
        <v>7</v>
      </c>
      <c r="L1" s="120" t="s">
        <v>9</v>
      </c>
      <c r="M1" s="121" t="s">
        <v>10</v>
      </c>
      <c r="N1" s="121" t="s">
        <v>12</v>
      </c>
      <c r="O1" s="120" t="s">
        <v>13</v>
      </c>
      <c r="P1" s="121" t="s">
        <v>14</v>
      </c>
      <c r="Q1" s="121" t="s">
        <v>656</v>
      </c>
      <c r="R1" s="121" t="s">
        <v>657</v>
      </c>
      <c r="S1" s="121" t="s">
        <v>658</v>
      </c>
      <c r="T1" s="121" t="s">
        <v>659</v>
      </c>
      <c r="U1" s="122" t="s">
        <v>803</v>
      </c>
      <c r="V1" s="122"/>
      <c r="W1" s="122"/>
      <c r="X1" s="122"/>
      <c r="Y1" s="122"/>
      <c r="Z1" s="122"/>
    </row>
    <row r="2" spans="1:26" ht="50.25" customHeight="1">
      <c r="A2" s="123" t="s">
        <v>644</v>
      </c>
      <c r="B2" s="124">
        <v>300000</v>
      </c>
      <c r="C2" s="123" t="s">
        <v>563</v>
      </c>
      <c r="D2" s="125" t="s">
        <v>804</v>
      </c>
      <c r="E2" s="123" t="s">
        <v>805</v>
      </c>
      <c r="F2" s="123">
        <v>3132097726</v>
      </c>
      <c r="G2" s="123" t="s">
        <v>806</v>
      </c>
      <c r="H2" s="126" t="s">
        <v>540</v>
      </c>
      <c r="I2" s="127">
        <v>44536</v>
      </c>
      <c r="J2" s="128">
        <v>45300</v>
      </c>
      <c r="K2" s="123" t="s">
        <v>807</v>
      </c>
      <c r="L2" s="129"/>
      <c r="M2" s="123" t="s">
        <v>808</v>
      </c>
      <c r="N2" s="123" t="s">
        <v>809</v>
      </c>
      <c r="O2" s="123" t="s">
        <v>810</v>
      </c>
      <c r="P2" s="123"/>
      <c r="Q2" s="130" t="s">
        <v>749</v>
      </c>
      <c r="R2" s="123"/>
      <c r="S2" s="123" t="s">
        <v>811</v>
      </c>
      <c r="T2" s="123" t="s">
        <v>812</v>
      </c>
      <c r="U2" s="123" t="s">
        <v>813</v>
      </c>
      <c r="V2" s="123" t="s">
        <v>814</v>
      </c>
      <c r="W2" s="123"/>
      <c r="X2" s="123"/>
      <c r="Y2" s="123"/>
      <c r="Z2" s="123"/>
    </row>
    <row r="3" spans="1:26" ht="62.5">
      <c r="A3" s="88" t="s">
        <v>815</v>
      </c>
      <c r="B3" s="131">
        <v>300000</v>
      </c>
      <c r="C3" s="90" t="s">
        <v>545</v>
      </c>
      <c r="D3" s="90" t="s">
        <v>816</v>
      </c>
      <c r="E3" s="91" t="s">
        <v>817</v>
      </c>
      <c r="F3" s="132">
        <v>3176441099</v>
      </c>
      <c r="G3" s="133" t="s">
        <v>818</v>
      </c>
      <c r="H3" s="90" t="s">
        <v>540</v>
      </c>
      <c r="I3" s="90" t="s">
        <v>819</v>
      </c>
      <c r="J3" s="100">
        <v>45245</v>
      </c>
      <c r="K3" s="90" t="s">
        <v>820</v>
      </c>
      <c r="L3" s="100">
        <v>45275</v>
      </c>
      <c r="M3" s="90" t="s">
        <v>821</v>
      </c>
      <c r="N3" s="96"/>
      <c r="O3" s="90"/>
      <c r="P3" s="90"/>
      <c r="Q3" s="90" t="s">
        <v>783</v>
      </c>
      <c r="R3" s="90"/>
      <c r="S3" s="97" t="s">
        <v>822</v>
      </c>
      <c r="T3" s="97" t="s">
        <v>773</v>
      </c>
      <c r="U3" s="90" t="s">
        <v>661</v>
      </c>
      <c r="V3" s="90"/>
      <c r="W3" s="90"/>
      <c r="X3" s="90"/>
      <c r="Y3" s="90"/>
      <c r="Z3" s="90"/>
    </row>
    <row r="4" spans="1:26" ht="50">
      <c r="A4" s="91" t="s">
        <v>823</v>
      </c>
      <c r="B4" s="134">
        <v>155462</v>
      </c>
      <c r="C4" s="90" t="s">
        <v>824</v>
      </c>
      <c r="D4" s="90" t="s">
        <v>825</v>
      </c>
      <c r="E4" s="91" t="s">
        <v>826</v>
      </c>
      <c r="F4" s="91" t="s">
        <v>827</v>
      </c>
      <c r="G4" s="91" t="s">
        <v>828</v>
      </c>
      <c r="H4" s="90" t="s">
        <v>540</v>
      </c>
      <c r="I4" s="90" t="s">
        <v>829</v>
      </c>
      <c r="J4" s="135">
        <v>45252</v>
      </c>
      <c r="K4" s="90" t="s">
        <v>830</v>
      </c>
      <c r="L4" s="135">
        <v>45282</v>
      </c>
      <c r="M4" s="90" t="s">
        <v>821</v>
      </c>
      <c r="N4" s="96"/>
      <c r="O4" s="90" t="s">
        <v>831</v>
      </c>
      <c r="P4" s="90"/>
      <c r="Q4" s="18" t="s">
        <v>749</v>
      </c>
      <c r="R4" s="90"/>
      <c r="S4" s="136" t="s">
        <v>784</v>
      </c>
      <c r="T4" s="136" t="s">
        <v>773</v>
      </c>
      <c r="U4" s="90" t="s">
        <v>661</v>
      </c>
      <c r="V4" s="90"/>
      <c r="W4" s="90"/>
      <c r="X4" s="90"/>
      <c r="Y4" s="90"/>
      <c r="Z4" s="90"/>
    </row>
    <row r="5" spans="1:26" ht="87.5">
      <c r="A5" s="37" t="s">
        <v>832</v>
      </c>
      <c r="B5" s="137">
        <v>420000</v>
      </c>
      <c r="C5" s="122" t="s">
        <v>833</v>
      </c>
      <c r="D5" s="122" t="s">
        <v>834</v>
      </c>
      <c r="E5" s="77" t="s">
        <v>835</v>
      </c>
      <c r="F5" s="77">
        <v>3127578064</v>
      </c>
      <c r="G5" s="77" t="s">
        <v>836</v>
      </c>
      <c r="H5" s="122" t="s">
        <v>540</v>
      </c>
      <c r="I5" s="37" t="s">
        <v>837</v>
      </c>
      <c r="J5" s="138">
        <v>45252</v>
      </c>
      <c r="K5" s="122" t="s">
        <v>838</v>
      </c>
      <c r="L5" s="138">
        <v>45282</v>
      </c>
      <c r="M5" s="37" t="s">
        <v>839</v>
      </c>
      <c r="N5" s="139"/>
      <c r="O5" s="122" t="s">
        <v>840</v>
      </c>
      <c r="P5" s="37"/>
      <c r="Q5" s="6" t="s">
        <v>841</v>
      </c>
      <c r="R5" s="37"/>
      <c r="S5" s="21" t="s">
        <v>842</v>
      </c>
      <c r="T5" s="21" t="s">
        <v>773</v>
      </c>
      <c r="U5" s="37" t="s">
        <v>727</v>
      </c>
      <c r="V5" s="37"/>
      <c r="W5" s="37"/>
      <c r="X5" s="37"/>
      <c r="Y5" s="37"/>
      <c r="Z5" s="37"/>
    </row>
    <row r="6" spans="1:26" ht="36" customHeight="1">
      <c r="A6" s="122" t="s">
        <v>843</v>
      </c>
      <c r="B6" s="140">
        <v>288540</v>
      </c>
      <c r="C6" s="122" t="s">
        <v>545</v>
      </c>
      <c r="D6" s="122" t="s">
        <v>844</v>
      </c>
      <c r="E6" s="77" t="s">
        <v>845</v>
      </c>
      <c r="F6" s="77">
        <v>3132078605</v>
      </c>
      <c r="G6" s="77" t="s">
        <v>846</v>
      </c>
      <c r="H6" s="122" t="s">
        <v>540</v>
      </c>
      <c r="I6" s="122" t="s">
        <v>847</v>
      </c>
      <c r="J6" s="138">
        <v>45252</v>
      </c>
      <c r="K6" s="122" t="s">
        <v>848</v>
      </c>
      <c r="L6" s="138">
        <v>45282</v>
      </c>
      <c r="M6" s="141">
        <v>45231</v>
      </c>
      <c r="N6" s="139"/>
      <c r="O6" s="122"/>
      <c r="P6" s="122"/>
      <c r="Q6" s="122" t="s">
        <v>749</v>
      </c>
      <c r="R6" s="122"/>
      <c r="S6" s="142" t="s">
        <v>849</v>
      </c>
      <c r="T6" s="142" t="s">
        <v>773</v>
      </c>
      <c r="U6" s="122" t="s">
        <v>727</v>
      </c>
      <c r="V6" s="122"/>
      <c r="W6" s="122"/>
      <c r="X6" s="122"/>
      <c r="Y6" s="122"/>
      <c r="Z6" s="122"/>
    </row>
    <row r="7" spans="1:26" ht="37.5">
      <c r="A7" s="18" t="s">
        <v>850</v>
      </c>
      <c r="B7" s="89">
        <v>275000</v>
      </c>
      <c r="C7" s="90" t="s">
        <v>563</v>
      </c>
      <c r="D7" s="122" t="s">
        <v>851</v>
      </c>
      <c r="E7" s="104" t="s">
        <v>852</v>
      </c>
      <c r="F7" s="91" t="s">
        <v>853</v>
      </c>
      <c r="G7" s="91" t="s">
        <v>854</v>
      </c>
      <c r="H7" s="90" t="s">
        <v>540</v>
      </c>
      <c r="I7" s="88" t="s">
        <v>855</v>
      </c>
      <c r="J7" s="135">
        <v>45253</v>
      </c>
      <c r="K7" s="90" t="s">
        <v>856</v>
      </c>
      <c r="L7" s="135">
        <v>45283</v>
      </c>
      <c r="M7" s="93">
        <v>45231</v>
      </c>
      <c r="N7" s="96"/>
      <c r="O7" s="88"/>
      <c r="P7" s="88"/>
      <c r="Q7" s="143" t="s">
        <v>749</v>
      </c>
      <c r="R7" s="88"/>
      <c r="S7" s="144" t="s">
        <v>857</v>
      </c>
      <c r="T7" s="144" t="s">
        <v>858</v>
      </c>
      <c r="U7" s="88" t="s">
        <v>727</v>
      </c>
      <c r="V7" s="88"/>
      <c r="W7" s="88"/>
      <c r="X7" s="88"/>
      <c r="Y7" s="88"/>
      <c r="Z7" s="88"/>
    </row>
    <row r="8" spans="1:26" ht="43.5" customHeight="1">
      <c r="A8" s="88" t="s">
        <v>859</v>
      </c>
      <c r="B8" s="89">
        <v>231000</v>
      </c>
      <c r="C8" s="90" t="s">
        <v>548</v>
      </c>
      <c r="D8" s="145" t="s">
        <v>860</v>
      </c>
      <c r="E8" s="91" t="s">
        <v>861</v>
      </c>
      <c r="F8" s="143" t="s">
        <v>862</v>
      </c>
      <c r="G8" s="146" t="s">
        <v>863</v>
      </c>
      <c r="H8" s="90" t="s">
        <v>540</v>
      </c>
      <c r="I8" s="147" t="s">
        <v>864</v>
      </c>
      <c r="J8" s="135">
        <v>45253</v>
      </c>
      <c r="K8" s="90" t="s">
        <v>865</v>
      </c>
      <c r="L8" s="135">
        <v>45283</v>
      </c>
      <c r="M8" s="93">
        <v>45231</v>
      </c>
      <c r="N8" s="96"/>
      <c r="O8" s="88"/>
      <c r="P8" s="88"/>
      <c r="Q8" s="88" t="s">
        <v>727</v>
      </c>
      <c r="R8" s="88"/>
      <c r="S8" s="88"/>
      <c r="T8" s="88"/>
      <c r="U8" s="88" t="s">
        <v>727</v>
      </c>
      <c r="V8" s="88"/>
      <c r="W8" s="88"/>
      <c r="X8" s="88"/>
      <c r="Y8" s="88"/>
      <c r="Z8" s="88"/>
    </row>
    <row r="9" spans="1:26" ht="38.25" customHeight="1">
      <c r="A9" s="18" t="s">
        <v>866</v>
      </c>
      <c r="B9" s="148">
        <v>250000</v>
      </c>
      <c r="C9" s="143" t="s">
        <v>550</v>
      </c>
      <c r="D9" s="90" t="s">
        <v>867</v>
      </c>
      <c r="E9" s="143" t="s">
        <v>868</v>
      </c>
      <c r="F9" s="147">
        <v>3164418886</v>
      </c>
      <c r="G9" s="149" t="s">
        <v>869</v>
      </c>
      <c r="H9" s="90" t="s">
        <v>540</v>
      </c>
      <c r="I9" s="88" t="s">
        <v>870</v>
      </c>
      <c r="J9" s="135">
        <v>45255</v>
      </c>
      <c r="K9" s="90" t="s">
        <v>848</v>
      </c>
      <c r="L9" s="135">
        <v>45316</v>
      </c>
      <c r="M9" s="93">
        <v>45231</v>
      </c>
      <c r="N9" s="96"/>
      <c r="O9" s="88"/>
      <c r="P9" s="88"/>
      <c r="Q9" s="143" t="s">
        <v>871</v>
      </c>
      <c r="R9" s="90"/>
      <c r="S9" s="150" t="s">
        <v>872</v>
      </c>
      <c r="T9" s="150" t="s">
        <v>873</v>
      </c>
      <c r="U9" s="88" t="s">
        <v>727</v>
      </c>
      <c r="V9" s="88"/>
      <c r="W9" s="88"/>
      <c r="X9" s="88"/>
      <c r="Y9" s="88"/>
      <c r="Z9" s="88"/>
    </row>
    <row r="10" spans="1:26" ht="12.5">
      <c r="A10" s="37"/>
      <c r="B10" s="151">
        <f>SUM(B3:B9)</f>
        <v>1920002</v>
      </c>
      <c r="C10" s="122"/>
      <c r="D10" s="122"/>
      <c r="E10" s="84"/>
      <c r="F10" s="77"/>
      <c r="G10" s="77"/>
      <c r="H10" s="37"/>
      <c r="I10" s="37"/>
      <c r="J10" s="37"/>
      <c r="K10" s="122"/>
      <c r="L10" s="37"/>
      <c r="M10" s="37"/>
      <c r="N10" s="139"/>
      <c r="O10" s="37"/>
      <c r="P10" s="37"/>
      <c r="Q10" s="37"/>
      <c r="R10" s="37"/>
      <c r="S10" s="37"/>
      <c r="T10" s="37"/>
      <c r="U10" s="37"/>
      <c r="V10" s="37"/>
      <c r="W10" s="37"/>
      <c r="X10" s="37"/>
      <c r="Y10" s="37"/>
      <c r="Z10" s="37"/>
    </row>
    <row r="11" spans="1:26" ht="12.5">
      <c r="A11" s="152"/>
      <c r="B11" s="153"/>
      <c r="C11" s="154"/>
      <c r="D11" s="154"/>
      <c r="E11" s="155"/>
      <c r="F11" s="156"/>
      <c r="G11" s="156"/>
      <c r="H11" s="152"/>
      <c r="I11" s="152"/>
      <c r="J11" s="152"/>
      <c r="K11" s="154"/>
      <c r="L11" s="152"/>
      <c r="M11" s="152"/>
      <c r="N11" s="157"/>
      <c r="O11" s="152"/>
      <c r="P11" s="152"/>
      <c r="Q11" s="152"/>
      <c r="R11" s="152"/>
      <c r="S11" s="152"/>
      <c r="T11" s="152"/>
      <c r="U11" s="152"/>
      <c r="V11" s="152"/>
      <c r="W11" s="152"/>
      <c r="X11" s="152"/>
      <c r="Y11" s="152"/>
      <c r="Z11" s="152"/>
    </row>
    <row r="12" spans="1:26" ht="51.75" customHeight="1">
      <c r="A12" s="158" t="s">
        <v>727</v>
      </c>
      <c r="B12" s="159">
        <v>371896</v>
      </c>
      <c r="C12" s="160" t="s">
        <v>550</v>
      </c>
      <c r="D12" s="160" t="s">
        <v>874</v>
      </c>
      <c r="E12" s="161" t="s">
        <v>875</v>
      </c>
      <c r="F12" s="161">
        <v>3168319454</v>
      </c>
      <c r="G12" s="161" t="s">
        <v>876</v>
      </c>
      <c r="H12" s="160" t="s">
        <v>877</v>
      </c>
      <c r="I12" s="158" t="s">
        <v>727</v>
      </c>
      <c r="J12" s="158" t="s">
        <v>727</v>
      </c>
      <c r="K12" s="162" t="s">
        <v>878</v>
      </c>
      <c r="L12" s="158" t="s">
        <v>727</v>
      </c>
      <c r="M12" s="158" t="s">
        <v>727</v>
      </c>
      <c r="N12" s="158" t="s">
        <v>727</v>
      </c>
      <c r="O12" s="158" t="s">
        <v>727</v>
      </c>
      <c r="P12" s="158" t="s">
        <v>727</v>
      </c>
      <c r="Q12" s="158" t="s">
        <v>879</v>
      </c>
      <c r="R12" s="158" t="s">
        <v>727</v>
      </c>
      <c r="S12" s="158" t="s">
        <v>727</v>
      </c>
      <c r="T12" s="158" t="s">
        <v>727</v>
      </c>
      <c r="U12" s="158"/>
      <c r="V12" s="158"/>
      <c r="W12" s="158"/>
      <c r="X12" s="158"/>
      <c r="Y12" s="158"/>
      <c r="Z12" s="158"/>
    </row>
    <row r="13" spans="1:26" ht="50">
      <c r="A13" s="158" t="s">
        <v>661</v>
      </c>
      <c r="B13" s="159">
        <v>0</v>
      </c>
      <c r="C13" s="160" t="s">
        <v>661</v>
      </c>
      <c r="D13" s="160" t="s">
        <v>880</v>
      </c>
      <c r="E13" s="161" t="s">
        <v>881</v>
      </c>
      <c r="F13" s="161" t="s">
        <v>882</v>
      </c>
      <c r="G13" s="161" t="s">
        <v>883</v>
      </c>
      <c r="H13" s="160" t="s">
        <v>884</v>
      </c>
      <c r="I13" s="158" t="s">
        <v>661</v>
      </c>
      <c r="J13" s="158"/>
      <c r="K13" s="160" t="s">
        <v>885</v>
      </c>
      <c r="L13" s="158" t="s">
        <v>661</v>
      </c>
      <c r="M13" s="158" t="s">
        <v>661</v>
      </c>
      <c r="N13" s="163" t="s">
        <v>661</v>
      </c>
      <c r="O13" s="158" t="s">
        <v>661</v>
      </c>
      <c r="P13" s="158"/>
      <c r="Q13" s="158"/>
      <c r="R13" s="158"/>
      <c r="S13" s="158"/>
      <c r="T13" s="158"/>
      <c r="U13" s="158"/>
      <c r="V13" s="158"/>
      <c r="W13" s="158"/>
      <c r="X13" s="158"/>
      <c r="Y13" s="158"/>
      <c r="Z13" s="158"/>
    </row>
    <row r="14" spans="1:26" ht="45.75" customHeight="1">
      <c r="A14" s="164" t="s">
        <v>727</v>
      </c>
      <c r="B14" s="165" t="s">
        <v>886</v>
      </c>
      <c r="C14" s="166" t="s">
        <v>887</v>
      </c>
      <c r="D14" s="166" t="s">
        <v>888</v>
      </c>
      <c r="E14" s="167" t="s">
        <v>889</v>
      </c>
      <c r="F14" s="167">
        <v>3174404145</v>
      </c>
      <c r="G14" s="167" t="s">
        <v>890</v>
      </c>
      <c r="H14" s="168" t="s">
        <v>540</v>
      </c>
      <c r="I14" s="164"/>
      <c r="J14" s="169">
        <v>45247</v>
      </c>
      <c r="K14" s="166" t="s">
        <v>891</v>
      </c>
      <c r="L14" s="169">
        <v>45277</v>
      </c>
      <c r="M14" s="164" t="s">
        <v>727</v>
      </c>
      <c r="N14" s="170" t="s">
        <v>727</v>
      </c>
      <c r="O14" s="166" t="s">
        <v>892</v>
      </c>
      <c r="P14" s="164"/>
      <c r="Q14" s="164"/>
      <c r="R14" s="164"/>
      <c r="S14" s="164"/>
      <c r="T14" s="164"/>
      <c r="U14" s="164"/>
      <c r="V14" s="164"/>
      <c r="W14" s="164"/>
      <c r="X14" s="164"/>
      <c r="Y14" s="164"/>
      <c r="Z14" s="164"/>
    </row>
    <row r="15" spans="1:26" ht="12.5">
      <c r="A15" s="171"/>
      <c r="B15" s="172"/>
      <c r="C15" s="173"/>
      <c r="D15" s="173"/>
      <c r="E15" s="174"/>
      <c r="F15" s="175"/>
      <c r="G15" s="175"/>
      <c r="H15" s="171"/>
      <c r="I15" s="171"/>
      <c r="J15" s="171"/>
      <c r="K15" s="173"/>
      <c r="L15" s="171"/>
      <c r="M15" s="171"/>
      <c r="N15" s="176"/>
      <c r="O15" s="171"/>
      <c r="P15" s="171"/>
      <c r="Q15" s="171"/>
      <c r="R15" s="171"/>
      <c r="S15" s="171"/>
      <c r="T15" s="171"/>
      <c r="U15" s="171"/>
      <c r="V15" s="171"/>
      <c r="W15" s="171"/>
      <c r="X15" s="171"/>
      <c r="Y15" s="171"/>
      <c r="Z15" s="171"/>
    </row>
    <row r="16" spans="1:26" ht="12.5">
      <c r="A16" s="37"/>
      <c r="B16" s="151"/>
      <c r="C16" s="122"/>
      <c r="D16" s="122"/>
      <c r="E16" s="84"/>
      <c r="F16" s="77"/>
      <c r="G16" s="77"/>
      <c r="H16" s="37"/>
      <c r="I16" s="37"/>
      <c r="J16" s="37"/>
      <c r="K16" s="122"/>
      <c r="L16" s="37"/>
      <c r="M16" s="37"/>
      <c r="N16" s="139"/>
      <c r="O16" s="37"/>
      <c r="P16" s="37"/>
      <c r="Q16" s="37"/>
      <c r="R16" s="37"/>
      <c r="S16" s="37"/>
      <c r="T16" s="37"/>
      <c r="U16" s="37"/>
      <c r="V16" s="37"/>
      <c r="W16" s="37"/>
      <c r="X16" s="37"/>
      <c r="Y16" s="37"/>
      <c r="Z16" s="37"/>
    </row>
    <row r="17" spans="1:26" ht="12.5">
      <c r="A17" s="37"/>
      <c r="B17" s="151"/>
      <c r="C17" s="122"/>
      <c r="D17" s="122"/>
      <c r="E17" s="84"/>
      <c r="F17" s="77"/>
      <c r="G17" s="77"/>
      <c r="H17" s="37"/>
      <c r="I17" s="37"/>
      <c r="J17" s="37"/>
      <c r="K17" s="122"/>
      <c r="L17" s="37"/>
      <c r="M17" s="37"/>
      <c r="N17" s="139"/>
      <c r="O17" s="37"/>
      <c r="P17" s="37"/>
      <c r="Q17" s="37"/>
      <c r="R17" s="37"/>
      <c r="S17" s="37"/>
      <c r="T17" s="37"/>
      <c r="U17" s="37"/>
      <c r="V17" s="37"/>
      <c r="W17" s="37"/>
      <c r="X17" s="37"/>
      <c r="Y17" s="37"/>
      <c r="Z17" s="37"/>
    </row>
    <row r="18" spans="1:26" ht="12.5">
      <c r="A18" s="37"/>
      <c r="B18" s="151"/>
      <c r="C18" s="122"/>
      <c r="D18" s="122"/>
      <c r="E18" s="84"/>
      <c r="F18" s="77"/>
      <c r="G18" s="77"/>
      <c r="H18" s="37"/>
      <c r="I18" s="37"/>
      <c r="J18" s="37"/>
      <c r="K18" s="122"/>
      <c r="L18" s="37"/>
      <c r="M18" s="37"/>
      <c r="N18" s="139"/>
      <c r="O18" s="37"/>
      <c r="P18" s="37"/>
      <c r="Q18" s="37"/>
      <c r="R18" s="37"/>
      <c r="S18" s="37"/>
      <c r="T18" s="37"/>
      <c r="U18" s="37"/>
      <c r="V18" s="37"/>
      <c r="W18" s="37"/>
      <c r="X18" s="37"/>
      <c r="Y18" s="37"/>
      <c r="Z18" s="37"/>
    </row>
    <row r="19" spans="1:26" ht="12.5">
      <c r="A19" s="37"/>
      <c r="B19" s="151"/>
      <c r="C19" s="122"/>
      <c r="D19" s="122"/>
      <c r="E19" s="84"/>
      <c r="F19" s="77"/>
      <c r="G19" s="77"/>
      <c r="H19" s="37"/>
      <c r="I19" s="37"/>
      <c r="J19" s="37"/>
      <c r="K19" s="122"/>
      <c r="L19" s="37"/>
      <c r="M19" s="37"/>
      <c r="N19" s="139"/>
      <c r="O19" s="37"/>
      <c r="P19" s="37"/>
      <c r="Q19" s="37"/>
      <c r="R19" s="37"/>
      <c r="S19" s="37"/>
      <c r="T19" s="37"/>
      <c r="U19" s="37"/>
      <c r="V19" s="37"/>
      <c r="W19" s="37"/>
      <c r="X19" s="37"/>
      <c r="Y19" s="37"/>
      <c r="Z19" s="37"/>
    </row>
    <row r="23" spans="1:26" ht="12.5">
      <c r="A23" s="37"/>
      <c r="B23" s="151"/>
      <c r="C23" s="122"/>
      <c r="D23" s="122"/>
      <c r="E23" s="84"/>
      <c r="G23" s="77"/>
      <c r="H23" s="37"/>
      <c r="I23" s="37"/>
      <c r="J23" s="37"/>
      <c r="K23" s="122"/>
      <c r="L23" s="37"/>
      <c r="M23" s="37"/>
      <c r="N23" s="139"/>
      <c r="O23" s="37"/>
      <c r="P23" s="37"/>
      <c r="Q23" s="37"/>
      <c r="R23" s="37"/>
      <c r="S23" s="37"/>
      <c r="T23" s="37"/>
      <c r="U23" s="37"/>
      <c r="V23" s="37"/>
      <c r="W23" s="37"/>
      <c r="X23" s="37"/>
      <c r="Y23" s="37"/>
      <c r="Z23" s="37"/>
    </row>
    <row r="24" spans="1:26" ht="12.5">
      <c r="A24" s="37"/>
      <c r="B24" s="151"/>
      <c r="C24" s="122"/>
      <c r="D24" s="122"/>
      <c r="E24" s="84"/>
      <c r="F24" s="77"/>
      <c r="G24" s="77"/>
      <c r="H24" s="37"/>
      <c r="I24" s="37"/>
      <c r="J24" s="37"/>
      <c r="K24" s="122"/>
      <c r="L24" s="37"/>
      <c r="M24" s="37"/>
      <c r="N24" s="139"/>
      <c r="O24" s="37"/>
      <c r="P24" s="37"/>
      <c r="Q24" s="37"/>
      <c r="R24" s="37"/>
      <c r="S24" s="37"/>
      <c r="T24" s="37"/>
      <c r="U24" s="37"/>
      <c r="V24" s="37"/>
      <c r="W24" s="37"/>
      <c r="X24" s="37"/>
      <c r="Y24" s="37"/>
      <c r="Z24" s="37"/>
    </row>
    <row r="25" spans="1:26" ht="12.5">
      <c r="A25" s="37"/>
      <c r="B25" s="151"/>
      <c r="C25" s="122"/>
      <c r="D25" s="122"/>
      <c r="E25" s="84"/>
      <c r="F25" s="77"/>
      <c r="G25" s="77"/>
      <c r="H25" s="37"/>
      <c r="I25" s="37"/>
      <c r="J25" s="37"/>
      <c r="K25" s="122"/>
      <c r="L25" s="37"/>
      <c r="M25" s="37"/>
      <c r="N25" s="139"/>
      <c r="O25" s="37"/>
      <c r="P25" s="37"/>
      <c r="Q25" s="37"/>
      <c r="R25" s="37"/>
      <c r="S25" s="37"/>
      <c r="T25" s="37"/>
      <c r="U25" s="37"/>
      <c r="V25" s="37"/>
      <c r="W25" s="37"/>
      <c r="X25" s="37"/>
      <c r="Y25" s="37"/>
      <c r="Z25" s="37"/>
    </row>
    <row r="26" spans="1:26" ht="12.5">
      <c r="A26" s="37"/>
      <c r="B26" s="151"/>
      <c r="C26" s="122"/>
      <c r="D26" s="122"/>
      <c r="E26" s="84"/>
      <c r="F26" s="77"/>
      <c r="G26" s="77"/>
      <c r="H26" s="37"/>
      <c r="I26" s="37"/>
      <c r="J26" s="37"/>
      <c r="K26" s="122"/>
      <c r="L26" s="37"/>
      <c r="M26" s="37"/>
      <c r="N26" s="139"/>
      <c r="O26" s="37"/>
      <c r="P26" s="37"/>
      <c r="Q26" s="37"/>
      <c r="R26" s="37"/>
      <c r="S26" s="37"/>
      <c r="T26" s="37"/>
      <c r="U26" s="37"/>
      <c r="V26" s="37"/>
      <c r="W26" s="37"/>
      <c r="X26" s="37"/>
      <c r="Y26" s="37"/>
      <c r="Z26" s="37"/>
    </row>
    <row r="27" spans="1:26" ht="12.5">
      <c r="A27" s="37"/>
      <c r="B27" s="151"/>
      <c r="C27" s="122"/>
      <c r="D27" s="122"/>
      <c r="E27" s="84"/>
      <c r="F27" s="77"/>
      <c r="G27" s="77"/>
      <c r="H27" s="37"/>
      <c r="I27" s="37"/>
      <c r="J27" s="37"/>
      <c r="K27" s="122"/>
      <c r="L27" s="37"/>
      <c r="M27" s="37"/>
      <c r="N27" s="139"/>
      <c r="O27" s="37"/>
      <c r="P27" s="37"/>
      <c r="Q27" s="37"/>
      <c r="R27" s="37"/>
      <c r="S27" s="37"/>
      <c r="T27" s="37"/>
      <c r="U27" s="37"/>
      <c r="V27" s="37"/>
      <c r="W27" s="37"/>
      <c r="X27" s="37"/>
      <c r="Y27" s="37"/>
      <c r="Z27" s="37"/>
    </row>
    <row r="28" spans="1:26" ht="12.5">
      <c r="A28" s="37"/>
      <c r="B28" s="151"/>
      <c r="C28" s="122"/>
      <c r="D28" s="122"/>
      <c r="E28" s="84"/>
      <c r="F28" s="77"/>
      <c r="G28" s="77"/>
      <c r="H28" s="37"/>
      <c r="I28" s="37"/>
      <c r="J28" s="37"/>
      <c r="K28" s="122"/>
      <c r="L28" s="37"/>
      <c r="M28" s="37"/>
      <c r="N28" s="139"/>
      <c r="O28" s="37"/>
      <c r="P28" s="37"/>
      <c r="Q28" s="37"/>
      <c r="R28" s="37"/>
      <c r="S28" s="37"/>
      <c r="T28" s="37"/>
      <c r="U28" s="37"/>
      <c r="V28" s="37"/>
      <c r="W28" s="37"/>
      <c r="X28" s="37"/>
      <c r="Y28" s="37"/>
      <c r="Z28" s="37"/>
    </row>
    <row r="29" spans="1:26" ht="12.5">
      <c r="A29" s="37"/>
      <c r="B29" s="151"/>
      <c r="C29" s="122"/>
      <c r="D29" s="122"/>
      <c r="E29" s="84"/>
      <c r="F29" s="77"/>
      <c r="G29" s="77"/>
      <c r="H29" s="37"/>
      <c r="I29" s="37"/>
      <c r="J29" s="37"/>
      <c r="K29" s="122"/>
      <c r="L29" s="37"/>
      <c r="M29" s="37"/>
      <c r="N29" s="139"/>
      <c r="O29" s="37"/>
      <c r="P29" s="37"/>
      <c r="Q29" s="37"/>
      <c r="R29" s="37"/>
      <c r="S29" s="37"/>
      <c r="T29" s="37"/>
      <c r="U29" s="37"/>
      <c r="V29" s="37"/>
      <c r="W29" s="37"/>
      <c r="X29" s="37"/>
      <c r="Y29" s="37"/>
      <c r="Z29" s="37"/>
    </row>
    <row r="30" spans="1:26" ht="12.5">
      <c r="A30" s="37"/>
      <c r="B30" s="151"/>
      <c r="C30" s="122"/>
      <c r="D30" s="122"/>
      <c r="E30" s="84"/>
      <c r="F30" s="77"/>
      <c r="G30" s="77"/>
      <c r="H30" s="37"/>
      <c r="I30" s="37"/>
      <c r="J30" s="37"/>
      <c r="K30" s="122"/>
      <c r="L30" s="37"/>
      <c r="M30" s="37"/>
      <c r="N30" s="139"/>
      <c r="O30" s="37"/>
      <c r="P30" s="37"/>
      <c r="Q30" s="37"/>
      <c r="R30" s="37"/>
      <c r="S30" s="37"/>
      <c r="T30" s="37"/>
      <c r="U30" s="37"/>
      <c r="V30" s="37"/>
      <c r="W30" s="37"/>
      <c r="X30" s="37"/>
      <c r="Y30" s="37"/>
      <c r="Z30" s="37"/>
    </row>
    <row r="31" spans="1:26" ht="12.5">
      <c r="A31" s="37"/>
      <c r="B31" s="151"/>
      <c r="C31" s="122"/>
      <c r="D31" s="122"/>
      <c r="E31" s="84"/>
      <c r="F31" s="77"/>
      <c r="G31" s="77"/>
      <c r="H31" s="37"/>
      <c r="I31" s="37"/>
      <c r="J31" s="37"/>
      <c r="K31" s="122"/>
      <c r="L31" s="37"/>
      <c r="M31" s="37"/>
      <c r="N31" s="139"/>
      <c r="O31" s="37"/>
      <c r="P31" s="37"/>
      <c r="Q31" s="37"/>
      <c r="R31" s="37"/>
      <c r="S31" s="37"/>
      <c r="T31" s="37"/>
      <c r="U31" s="37"/>
      <c r="V31" s="37"/>
      <c r="W31" s="37"/>
      <c r="X31" s="37"/>
      <c r="Y31" s="37"/>
      <c r="Z31" s="37"/>
    </row>
    <row r="32" spans="1:26" ht="12.5">
      <c r="A32" s="37"/>
      <c r="B32" s="151"/>
      <c r="C32" s="122"/>
      <c r="D32" s="122"/>
      <c r="E32" s="84"/>
      <c r="F32" s="77"/>
      <c r="G32" s="77"/>
      <c r="H32" s="37"/>
      <c r="I32" s="37"/>
      <c r="J32" s="37"/>
      <c r="K32" s="122"/>
      <c r="L32" s="37"/>
      <c r="M32" s="37"/>
      <c r="N32" s="139"/>
      <c r="O32" s="37"/>
      <c r="P32" s="37"/>
      <c r="Q32" s="37"/>
      <c r="R32" s="37"/>
      <c r="S32" s="37"/>
      <c r="T32" s="37"/>
      <c r="U32" s="37"/>
      <c r="V32" s="37"/>
      <c r="W32" s="37"/>
      <c r="X32" s="37"/>
      <c r="Y32" s="37"/>
      <c r="Z32" s="37"/>
    </row>
    <row r="33" spans="1:26" ht="12.5">
      <c r="A33" s="37"/>
      <c r="B33" s="151"/>
      <c r="C33" s="122"/>
      <c r="D33" s="122"/>
      <c r="E33" s="84"/>
      <c r="F33" s="77"/>
      <c r="G33" s="77"/>
      <c r="H33" s="37"/>
      <c r="I33" s="37"/>
      <c r="J33" s="37"/>
      <c r="K33" s="122"/>
      <c r="L33" s="37"/>
      <c r="M33" s="37"/>
      <c r="N33" s="139"/>
      <c r="O33" s="37"/>
      <c r="P33" s="37"/>
      <c r="Q33" s="37"/>
      <c r="R33" s="37"/>
      <c r="S33" s="37"/>
      <c r="T33" s="37"/>
      <c r="U33" s="37"/>
      <c r="V33" s="37"/>
      <c r="W33" s="37"/>
      <c r="X33" s="37"/>
      <c r="Y33" s="37"/>
      <c r="Z33" s="37"/>
    </row>
    <row r="34" spans="1:26" ht="12.5">
      <c r="A34" s="37"/>
      <c r="B34" s="151"/>
      <c r="C34" s="122"/>
      <c r="D34" s="122"/>
      <c r="E34" s="84"/>
      <c r="F34" s="77"/>
      <c r="G34" s="77"/>
      <c r="H34" s="37"/>
      <c r="I34" s="37"/>
      <c r="J34" s="37"/>
      <c r="K34" s="122"/>
      <c r="L34" s="37"/>
      <c r="M34" s="37"/>
      <c r="N34" s="139"/>
      <c r="O34" s="37"/>
      <c r="P34" s="37"/>
      <c r="Q34" s="37"/>
      <c r="R34" s="37"/>
      <c r="S34" s="37"/>
      <c r="T34" s="37"/>
      <c r="U34" s="37"/>
      <c r="V34" s="37"/>
      <c r="W34" s="37"/>
      <c r="X34" s="37"/>
      <c r="Y34" s="37"/>
      <c r="Z34" s="37"/>
    </row>
    <row r="35" spans="1:26" ht="12.5">
      <c r="A35" s="37"/>
      <c r="B35" s="151"/>
      <c r="C35" s="122"/>
      <c r="D35" s="122"/>
      <c r="E35" s="84"/>
      <c r="F35" s="77"/>
      <c r="G35" s="77"/>
      <c r="H35" s="37"/>
      <c r="I35" s="37"/>
      <c r="J35" s="37"/>
      <c r="K35" s="122"/>
      <c r="L35" s="37"/>
      <c r="M35" s="37"/>
      <c r="N35" s="139"/>
      <c r="O35" s="37"/>
      <c r="P35" s="37"/>
      <c r="Q35" s="37"/>
      <c r="R35" s="37"/>
      <c r="S35" s="37"/>
      <c r="T35" s="37"/>
      <c r="U35" s="37"/>
      <c r="V35" s="37"/>
      <c r="W35" s="37"/>
      <c r="X35" s="37"/>
      <c r="Y35" s="37"/>
      <c r="Z35" s="37"/>
    </row>
    <row r="36" spans="1:26" ht="12.5">
      <c r="A36" s="37"/>
      <c r="B36" s="151"/>
      <c r="C36" s="122"/>
      <c r="D36" s="122"/>
      <c r="E36" s="84"/>
      <c r="F36" s="77"/>
      <c r="G36" s="77"/>
      <c r="H36" s="37"/>
      <c r="I36" s="37"/>
      <c r="J36" s="37"/>
      <c r="K36" s="122"/>
      <c r="L36" s="37"/>
      <c r="M36" s="37"/>
      <c r="N36" s="139"/>
      <c r="O36" s="37"/>
      <c r="P36" s="37"/>
      <c r="Q36" s="37"/>
      <c r="R36" s="37"/>
      <c r="S36" s="37"/>
      <c r="T36" s="37"/>
      <c r="U36" s="37"/>
      <c r="V36" s="37"/>
      <c r="W36" s="37"/>
      <c r="X36" s="37"/>
      <c r="Y36" s="37"/>
      <c r="Z36" s="37"/>
    </row>
    <row r="37" spans="1:26" ht="12.5">
      <c r="A37" s="37"/>
      <c r="B37" s="151"/>
      <c r="C37" s="122"/>
      <c r="D37" s="122"/>
      <c r="E37" s="84"/>
      <c r="F37" s="77"/>
      <c r="G37" s="77"/>
      <c r="H37" s="37"/>
      <c r="I37" s="37"/>
      <c r="J37" s="37"/>
      <c r="K37" s="122"/>
      <c r="L37" s="37"/>
      <c r="M37" s="37"/>
      <c r="N37" s="139"/>
      <c r="O37" s="37"/>
      <c r="P37" s="37"/>
      <c r="Q37" s="37"/>
      <c r="R37" s="37"/>
      <c r="S37" s="37"/>
      <c r="T37" s="37"/>
      <c r="U37" s="37"/>
      <c r="V37" s="37"/>
      <c r="W37" s="37"/>
      <c r="X37" s="37"/>
      <c r="Y37" s="37"/>
      <c r="Z37" s="37"/>
    </row>
    <row r="38" spans="1:26" ht="12.5">
      <c r="A38" s="37"/>
      <c r="B38" s="151"/>
      <c r="C38" s="122"/>
      <c r="D38" s="122"/>
      <c r="E38" s="84"/>
      <c r="F38" s="77"/>
      <c r="G38" s="77"/>
      <c r="H38" s="37"/>
      <c r="I38" s="37"/>
      <c r="J38" s="37"/>
      <c r="K38" s="122"/>
      <c r="L38" s="37"/>
      <c r="M38" s="37"/>
      <c r="N38" s="139"/>
      <c r="O38" s="37"/>
      <c r="P38" s="37"/>
      <c r="Q38" s="37"/>
      <c r="R38" s="37"/>
      <c r="S38" s="37"/>
      <c r="T38" s="37"/>
      <c r="U38" s="37"/>
      <c r="V38" s="37"/>
      <c r="W38" s="37"/>
      <c r="X38" s="37"/>
      <c r="Y38" s="37"/>
      <c r="Z38" s="37"/>
    </row>
    <row r="39" spans="1:26" ht="12.5">
      <c r="A39" s="37"/>
      <c r="B39" s="151"/>
      <c r="C39" s="122"/>
      <c r="D39" s="122"/>
      <c r="E39" s="84"/>
      <c r="F39" s="77"/>
      <c r="G39" s="77"/>
      <c r="H39" s="37"/>
      <c r="I39" s="37"/>
      <c r="J39" s="37"/>
      <c r="K39" s="122"/>
      <c r="L39" s="37"/>
      <c r="M39" s="37"/>
      <c r="N39" s="139"/>
      <c r="O39" s="37"/>
      <c r="P39" s="37"/>
      <c r="Q39" s="37"/>
      <c r="R39" s="37"/>
      <c r="S39" s="37"/>
      <c r="T39" s="37"/>
      <c r="U39" s="37"/>
      <c r="V39" s="37"/>
      <c r="W39" s="37"/>
      <c r="X39" s="37"/>
      <c r="Y39" s="37"/>
      <c r="Z39" s="37"/>
    </row>
    <row r="40" spans="1:26" ht="12.5">
      <c r="A40" s="37"/>
      <c r="B40" s="151"/>
      <c r="C40" s="122"/>
      <c r="D40" s="122"/>
      <c r="E40" s="84"/>
      <c r="F40" s="77"/>
      <c r="G40" s="77"/>
      <c r="H40" s="37"/>
      <c r="I40" s="37"/>
      <c r="J40" s="37"/>
      <c r="K40" s="122"/>
      <c r="L40" s="37"/>
      <c r="M40" s="37"/>
      <c r="N40" s="139"/>
      <c r="O40" s="37"/>
      <c r="P40" s="37"/>
      <c r="Q40" s="37"/>
      <c r="R40" s="37"/>
      <c r="S40" s="37"/>
      <c r="T40" s="37"/>
      <c r="U40" s="37"/>
      <c r="V40" s="37"/>
      <c r="W40" s="37"/>
      <c r="X40" s="37"/>
      <c r="Y40" s="37"/>
      <c r="Z40" s="37"/>
    </row>
    <row r="41" spans="1:26" ht="12.5">
      <c r="A41" s="37"/>
      <c r="B41" s="151"/>
      <c r="C41" s="122"/>
      <c r="D41" s="122"/>
      <c r="E41" s="84"/>
      <c r="F41" s="77"/>
      <c r="G41" s="77"/>
      <c r="H41" s="37"/>
      <c r="I41" s="37"/>
      <c r="J41" s="37"/>
      <c r="K41" s="122"/>
      <c r="L41" s="37"/>
      <c r="M41" s="37"/>
      <c r="N41" s="139"/>
      <c r="O41" s="37"/>
      <c r="P41" s="37"/>
      <c r="Q41" s="37"/>
      <c r="R41" s="37"/>
      <c r="S41" s="37"/>
      <c r="T41" s="37"/>
      <c r="U41" s="37"/>
      <c r="V41" s="37"/>
      <c r="W41" s="37"/>
      <c r="X41" s="37"/>
      <c r="Y41" s="37"/>
      <c r="Z41" s="37"/>
    </row>
    <row r="42" spans="1:26" ht="12.5">
      <c r="A42" s="37"/>
      <c r="B42" s="151"/>
      <c r="C42" s="122"/>
      <c r="D42" s="122"/>
      <c r="E42" s="84"/>
      <c r="F42" s="77"/>
      <c r="G42" s="77"/>
      <c r="H42" s="37"/>
      <c r="I42" s="37"/>
      <c r="J42" s="37"/>
      <c r="K42" s="122"/>
      <c r="L42" s="37"/>
      <c r="M42" s="37"/>
      <c r="N42" s="139"/>
      <c r="O42" s="37"/>
      <c r="P42" s="37"/>
      <c r="Q42" s="37"/>
      <c r="R42" s="37"/>
      <c r="S42" s="37"/>
      <c r="T42" s="37"/>
      <c r="U42" s="37"/>
      <c r="V42" s="37"/>
      <c r="W42" s="37"/>
      <c r="X42" s="37"/>
      <c r="Y42" s="37"/>
      <c r="Z42" s="37"/>
    </row>
    <row r="43" spans="1:26" ht="12.5">
      <c r="A43" s="37"/>
      <c r="B43" s="151"/>
      <c r="C43" s="122"/>
      <c r="D43" s="122"/>
      <c r="E43" s="84"/>
      <c r="F43" s="77"/>
      <c r="G43" s="77"/>
      <c r="H43" s="37"/>
      <c r="I43" s="37"/>
      <c r="J43" s="37"/>
      <c r="K43" s="122"/>
      <c r="L43" s="37"/>
      <c r="M43" s="37"/>
      <c r="N43" s="139"/>
      <c r="O43" s="37"/>
      <c r="P43" s="37"/>
      <c r="Q43" s="37"/>
      <c r="R43" s="37"/>
      <c r="S43" s="37"/>
      <c r="T43" s="37"/>
      <c r="U43" s="37"/>
      <c r="V43" s="37"/>
      <c r="W43" s="37"/>
      <c r="X43" s="37"/>
      <c r="Y43" s="37"/>
      <c r="Z43" s="37"/>
    </row>
    <row r="44" spans="1:26" ht="12.5">
      <c r="A44" s="37"/>
      <c r="B44" s="151"/>
      <c r="C44" s="122"/>
      <c r="D44" s="122"/>
      <c r="E44" s="84"/>
      <c r="F44" s="77"/>
      <c r="G44" s="77"/>
      <c r="H44" s="37"/>
      <c r="I44" s="37"/>
      <c r="J44" s="37"/>
      <c r="K44" s="122"/>
      <c r="L44" s="37"/>
      <c r="M44" s="37"/>
      <c r="N44" s="139"/>
      <c r="O44" s="37"/>
      <c r="P44" s="37"/>
      <c r="Q44" s="37"/>
      <c r="R44" s="37"/>
      <c r="S44" s="37"/>
      <c r="T44" s="37"/>
      <c r="U44" s="37"/>
      <c r="V44" s="37"/>
      <c r="W44" s="37"/>
      <c r="X44" s="37"/>
      <c r="Y44" s="37"/>
      <c r="Z44" s="37"/>
    </row>
    <row r="45" spans="1:26" ht="12.5">
      <c r="A45" s="37"/>
      <c r="B45" s="151"/>
      <c r="C45" s="122"/>
      <c r="D45" s="122"/>
      <c r="E45" s="84"/>
      <c r="F45" s="77"/>
      <c r="G45" s="77"/>
      <c r="H45" s="37"/>
      <c r="I45" s="37"/>
      <c r="J45" s="37"/>
      <c r="K45" s="122"/>
      <c r="L45" s="37"/>
      <c r="M45" s="37"/>
      <c r="N45" s="139"/>
      <c r="O45" s="37"/>
      <c r="P45" s="37"/>
      <c r="Q45" s="37"/>
      <c r="R45" s="37"/>
      <c r="S45" s="37"/>
      <c r="T45" s="37"/>
      <c r="U45" s="37"/>
      <c r="V45" s="37"/>
      <c r="W45" s="37"/>
      <c r="X45" s="37"/>
      <c r="Y45" s="37"/>
      <c r="Z45" s="37"/>
    </row>
    <row r="46" spans="1:26" ht="12.5">
      <c r="A46" s="37"/>
      <c r="B46" s="151"/>
      <c r="C46" s="122"/>
      <c r="D46" s="122"/>
      <c r="E46" s="84"/>
      <c r="F46" s="77"/>
      <c r="G46" s="77"/>
      <c r="H46" s="37"/>
      <c r="I46" s="37"/>
      <c r="J46" s="37"/>
      <c r="K46" s="122"/>
      <c r="L46" s="37"/>
      <c r="M46" s="37"/>
      <c r="N46" s="139"/>
      <c r="O46" s="37"/>
      <c r="P46" s="37"/>
      <c r="Q46" s="37"/>
      <c r="R46" s="37"/>
      <c r="S46" s="37"/>
      <c r="T46" s="37"/>
      <c r="U46" s="37"/>
      <c r="V46" s="37"/>
      <c r="W46" s="37"/>
      <c r="X46" s="37"/>
      <c r="Y46" s="37"/>
      <c r="Z46" s="37"/>
    </row>
    <row r="47" spans="1:26" ht="12.5">
      <c r="A47" s="37"/>
      <c r="B47" s="151"/>
      <c r="C47" s="122"/>
      <c r="D47" s="122"/>
      <c r="E47" s="84"/>
      <c r="F47" s="77"/>
      <c r="G47" s="77"/>
      <c r="H47" s="37"/>
      <c r="I47" s="37"/>
      <c r="J47" s="37"/>
      <c r="K47" s="122"/>
      <c r="L47" s="37"/>
      <c r="M47" s="37"/>
      <c r="N47" s="139"/>
      <c r="O47" s="37"/>
      <c r="P47" s="37"/>
      <c r="Q47" s="37"/>
      <c r="R47" s="37"/>
      <c r="S47" s="37"/>
      <c r="T47" s="37"/>
      <c r="U47" s="37"/>
      <c r="V47" s="37"/>
      <c r="W47" s="37"/>
      <c r="X47" s="37"/>
      <c r="Y47" s="37"/>
      <c r="Z47" s="37"/>
    </row>
    <row r="48" spans="1:26" ht="12.5">
      <c r="A48" s="37"/>
      <c r="B48" s="151"/>
      <c r="C48" s="122"/>
      <c r="D48" s="122"/>
      <c r="E48" s="84"/>
      <c r="F48" s="77"/>
      <c r="G48" s="77"/>
      <c r="H48" s="37"/>
      <c r="I48" s="37"/>
      <c r="J48" s="37"/>
      <c r="K48" s="122"/>
      <c r="L48" s="37"/>
      <c r="M48" s="37"/>
      <c r="N48" s="139"/>
      <c r="O48" s="37"/>
      <c r="P48" s="37"/>
      <c r="Q48" s="37"/>
      <c r="R48" s="37"/>
      <c r="S48" s="37"/>
      <c r="T48" s="37"/>
      <c r="U48" s="37"/>
      <c r="V48" s="37"/>
      <c r="W48" s="37"/>
      <c r="X48" s="37"/>
      <c r="Y48" s="37"/>
      <c r="Z48" s="37"/>
    </row>
    <row r="49" spans="1:26" ht="12.5">
      <c r="A49" s="37"/>
      <c r="B49" s="151"/>
      <c r="C49" s="122"/>
      <c r="D49" s="122"/>
      <c r="E49" s="84"/>
      <c r="F49" s="77"/>
      <c r="G49" s="77"/>
      <c r="H49" s="37"/>
      <c r="I49" s="37"/>
      <c r="J49" s="37"/>
      <c r="K49" s="122"/>
      <c r="L49" s="37"/>
      <c r="M49" s="37"/>
      <c r="N49" s="139"/>
      <c r="O49" s="37"/>
      <c r="P49" s="37"/>
      <c r="Q49" s="37"/>
      <c r="R49" s="37"/>
      <c r="S49" s="37"/>
      <c r="T49" s="37"/>
      <c r="U49" s="37"/>
      <c r="V49" s="37"/>
      <c r="W49" s="37"/>
      <c r="X49" s="37"/>
      <c r="Y49" s="37"/>
      <c r="Z49" s="37"/>
    </row>
    <row r="50" spans="1:26" ht="12.5">
      <c r="A50" s="37"/>
      <c r="B50" s="151"/>
      <c r="C50" s="122"/>
      <c r="D50" s="122"/>
      <c r="E50" s="84"/>
      <c r="F50" s="77"/>
      <c r="G50" s="77"/>
      <c r="H50" s="37"/>
      <c r="I50" s="37"/>
      <c r="J50" s="37"/>
      <c r="K50" s="122"/>
      <c r="L50" s="37"/>
      <c r="M50" s="37"/>
      <c r="N50" s="139"/>
      <c r="O50" s="37"/>
      <c r="P50" s="37"/>
      <c r="Q50" s="37"/>
      <c r="R50" s="37"/>
      <c r="S50" s="37"/>
      <c r="T50" s="37"/>
      <c r="U50" s="37"/>
      <c r="V50" s="37"/>
      <c r="W50" s="37"/>
      <c r="X50" s="37"/>
      <c r="Y50" s="37"/>
      <c r="Z50" s="37"/>
    </row>
    <row r="51" spans="1:26" ht="12.5">
      <c r="A51" s="37"/>
      <c r="B51" s="151"/>
      <c r="C51" s="122"/>
      <c r="D51" s="122"/>
      <c r="E51" s="84"/>
      <c r="F51" s="77"/>
      <c r="G51" s="77"/>
      <c r="H51" s="37"/>
      <c r="I51" s="37"/>
      <c r="J51" s="37"/>
      <c r="K51" s="122"/>
      <c r="L51" s="37"/>
      <c r="M51" s="37"/>
      <c r="N51" s="139"/>
      <c r="O51" s="37"/>
      <c r="P51" s="37"/>
      <c r="Q51" s="37"/>
      <c r="R51" s="37"/>
      <c r="S51" s="37"/>
      <c r="T51" s="37"/>
      <c r="U51" s="37"/>
      <c r="V51" s="37"/>
      <c r="W51" s="37"/>
      <c r="X51" s="37"/>
      <c r="Y51" s="37"/>
      <c r="Z51" s="37"/>
    </row>
    <row r="52" spans="1:26" ht="12.5">
      <c r="A52" s="37"/>
      <c r="B52" s="151"/>
      <c r="C52" s="122"/>
      <c r="D52" s="122"/>
      <c r="E52" s="84"/>
      <c r="F52" s="77"/>
      <c r="G52" s="77"/>
      <c r="H52" s="37"/>
      <c r="I52" s="37"/>
      <c r="J52" s="37"/>
      <c r="K52" s="122"/>
      <c r="L52" s="37"/>
      <c r="M52" s="37"/>
      <c r="N52" s="139"/>
      <c r="O52" s="37"/>
      <c r="P52" s="37"/>
      <c r="Q52" s="37"/>
      <c r="R52" s="37"/>
      <c r="S52" s="37"/>
      <c r="T52" s="37"/>
      <c r="U52" s="37"/>
      <c r="V52" s="37"/>
      <c r="W52" s="37"/>
      <c r="X52" s="37"/>
      <c r="Y52" s="37"/>
      <c r="Z52" s="37"/>
    </row>
    <row r="53" spans="1:26" ht="12.5">
      <c r="A53" s="37"/>
      <c r="B53" s="151"/>
      <c r="C53" s="122"/>
      <c r="D53" s="122"/>
      <c r="E53" s="84"/>
      <c r="F53" s="77"/>
      <c r="G53" s="77"/>
      <c r="H53" s="37"/>
      <c r="I53" s="37"/>
      <c r="J53" s="37"/>
      <c r="K53" s="122"/>
      <c r="L53" s="37"/>
      <c r="M53" s="37"/>
      <c r="N53" s="139"/>
      <c r="O53" s="37"/>
      <c r="P53" s="37"/>
      <c r="Q53" s="37"/>
      <c r="R53" s="37"/>
      <c r="S53" s="37"/>
      <c r="T53" s="37"/>
      <c r="U53" s="37"/>
      <c r="V53" s="37"/>
      <c r="W53" s="37"/>
      <c r="X53" s="37"/>
      <c r="Y53" s="37"/>
      <c r="Z53" s="37"/>
    </row>
    <row r="54" spans="1:26" ht="12.5">
      <c r="A54" s="37"/>
      <c r="B54" s="151"/>
      <c r="C54" s="122"/>
      <c r="D54" s="122"/>
      <c r="E54" s="84"/>
      <c r="F54" s="77"/>
      <c r="G54" s="77"/>
      <c r="H54" s="37"/>
      <c r="I54" s="37"/>
      <c r="J54" s="37"/>
      <c r="K54" s="122"/>
      <c r="L54" s="37"/>
      <c r="M54" s="37"/>
      <c r="N54" s="139"/>
      <c r="O54" s="37"/>
      <c r="P54" s="37"/>
      <c r="Q54" s="37"/>
      <c r="R54" s="37"/>
      <c r="S54" s="37"/>
      <c r="T54" s="37"/>
      <c r="U54" s="37"/>
      <c r="V54" s="37"/>
      <c r="W54" s="37"/>
      <c r="X54" s="37"/>
      <c r="Y54" s="37"/>
      <c r="Z54" s="37"/>
    </row>
    <row r="55" spans="1:26" ht="12.5">
      <c r="A55" s="37"/>
      <c r="B55" s="151"/>
      <c r="C55" s="122"/>
      <c r="D55" s="122"/>
      <c r="E55" s="84"/>
      <c r="F55" s="77"/>
      <c r="G55" s="77"/>
      <c r="H55" s="37"/>
      <c r="I55" s="37"/>
      <c r="J55" s="37"/>
      <c r="K55" s="122"/>
      <c r="L55" s="37"/>
      <c r="M55" s="37"/>
      <c r="N55" s="139"/>
      <c r="O55" s="37"/>
      <c r="P55" s="37"/>
      <c r="Q55" s="37"/>
      <c r="R55" s="37"/>
      <c r="S55" s="37"/>
      <c r="T55" s="37"/>
      <c r="U55" s="37"/>
      <c r="V55" s="37"/>
      <c r="W55" s="37"/>
      <c r="X55" s="37"/>
      <c r="Y55" s="37"/>
      <c r="Z55" s="37"/>
    </row>
    <row r="56" spans="1:26" ht="12.5">
      <c r="A56" s="37"/>
      <c r="B56" s="151"/>
      <c r="C56" s="122"/>
      <c r="D56" s="122"/>
      <c r="E56" s="84"/>
      <c r="F56" s="77"/>
      <c r="G56" s="77"/>
      <c r="H56" s="37"/>
      <c r="I56" s="37"/>
      <c r="J56" s="37"/>
      <c r="K56" s="122"/>
      <c r="L56" s="37"/>
      <c r="M56" s="37"/>
      <c r="N56" s="139"/>
      <c r="O56" s="37"/>
      <c r="P56" s="37"/>
      <c r="Q56" s="37"/>
      <c r="R56" s="37"/>
      <c r="S56" s="37"/>
      <c r="T56" s="37"/>
      <c r="U56" s="37"/>
      <c r="V56" s="37"/>
      <c r="W56" s="37"/>
      <c r="X56" s="37"/>
      <c r="Y56" s="37"/>
      <c r="Z56" s="37"/>
    </row>
    <row r="57" spans="1:26" ht="12.5">
      <c r="A57" s="37"/>
      <c r="B57" s="151"/>
      <c r="C57" s="122"/>
      <c r="D57" s="122"/>
      <c r="E57" s="84"/>
      <c r="F57" s="77"/>
      <c r="G57" s="77"/>
      <c r="H57" s="37"/>
      <c r="I57" s="37"/>
      <c r="J57" s="37"/>
      <c r="K57" s="122"/>
      <c r="L57" s="37"/>
      <c r="M57" s="37"/>
      <c r="N57" s="139"/>
      <c r="O57" s="37"/>
      <c r="P57" s="37"/>
      <c r="Q57" s="37"/>
      <c r="R57" s="37"/>
      <c r="S57" s="37"/>
      <c r="T57" s="37"/>
      <c r="U57" s="37"/>
      <c r="V57" s="37"/>
      <c r="W57" s="37"/>
      <c r="X57" s="37"/>
      <c r="Y57" s="37"/>
      <c r="Z57" s="37"/>
    </row>
    <row r="58" spans="1:26" ht="12.5">
      <c r="A58" s="37"/>
      <c r="B58" s="151"/>
      <c r="C58" s="122"/>
      <c r="D58" s="122"/>
      <c r="E58" s="84"/>
      <c r="F58" s="77"/>
      <c r="G58" s="77"/>
      <c r="H58" s="37"/>
      <c r="I58" s="37"/>
      <c r="J58" s="37"/>
      <c r="K58" s="122"/>
      <c r="L58" s="37"/>
      <c r="M58" s="37"/>
      <c r="N58" s="139"/>
      <c r="O58" s="37"/>
      <c r="P58" s="37"/>
      <c r="Q58" s="37"/>
      <c r="R58" s="37"/>
      <c r="S58" s="37"/>
      <c r="T58" s="37"/>
      <c r="U58" s="37"/>
      <c r="V58" s="37"/>
      <c r="W58" s="37"/>
      <c r="X58" s="37"/>
      <c r="Y58" s="37"/>
      <c r="Z58" s="37"/>
    </row>
    <row r="59" spans="1:26" ht="12.5">
      <c r="A59" s="37"/>
      <c r="B59" s="151"/>
      <c r="C59" s="122"/>
      <c r="D59" s="122"/>
      <c r="E59" s="84"/>
      <c r="F59" s="77"/>
      <c r="G59" s="77"/>
      <c r="H59" s="37"/>
      <c r="I59" s="37"/>
      <c r="J59" s="37"/>
      <c r="K59" s="122"/>
      <c r="L59" s="37"/>
      <c r="M59" s="37"/>
      <c r="N59" s="139"/>
      <c r="O59" s="37"/>
      <c r="P59" s="37"/>
      <c r="Q59" s="37"/>
      <c r="R59" s="37"/>
      <c r="S59" s="37"/>
      <c r="T59" s="37"/>
      <c r="U59" s="37"/>
      <c r="V59" s="37"/>
      <c r="W59" s="37"/>
      <c r="X59" s="37"/>
      <c r="Y59" s="37"/>
      <c r="Z59" s="37"/>
    </row>
    <row r="60" spans="1:26" ht="12.5">
      <c r="A60" s="37"/>
      <c r="B60" s="151"/>
      <c r="C60" s="122"/>
      <c r="D60" s="122"/>
      <c r="E60" s="84"/>
      <c r="F60" s="77"/>
      <c r="G60" s="77"/>
      <c r="H60" s="37"/>
      <c r="I60" s="37"/>
      <c r="J60" s="37"/>
      <c r="K60" s="122"/>
      <c r="L60" s="37"/>
      <c r="M60" s="37"/>
      <c r="N60" s="139"/>
      <c r="O60" s="37"/>
      <c r="P60" s="37"/>
      <c r="Q60" s="37"/>
      <c r="R60" s="37"/>
      <c r="S60" s="37"/>
      <c r="T60" s="37"/>
      <c r="U60" s="37"/>
      <c r="V60" s="37"/>
      <c r="W60" s="37"/>
      <c r="X60" s="37"/>
      <c r="Y60" s="37"/>
      <c r="Z60" s="37"/>
    </row>
    <row r="61" spans="1:26" ht="12.5">
      <c r="A61" s="37"/>
      <c r="B61" s="151"/>
      <c r="C61" s="122"/>
      <c r="D61" s="122"/>
      <c r="E61" s="84"/>
      <c r="F61" s="77"/>
      <c r="G61" s="77"/>
      <c r="H61" s="37"/>
      <c r="I61" s="37"/>
      <c r="J61" s="37"/>
      <c r="K61" s="122"/>
      <c r="L61" s="37"/>
      <c r="M61" s="37"/>
      <c r="N61" s="139"/>
      <c r="O61" s="37"/>
      <c r="P61" s="37"/>
      <c r="Q61" s="37"/>
      <c r="R61" s="37"/>
      <c r="S61" s="37"/>
      <c r="T61" s="37"/>
      <c r="U61" s="37"/>
      <c r="V61" s="37"/>
      <c r="W61" s="37"/>
      <c r="X61" s="37"/>
      <c r="Y61" s="37"/>
      <c r="Z61" s="37"/>
    </row>
    <row r="62" spans="1:26" ht="12.5">
      <c r="A62" s="37"/>
      <c r="B62" s="151"/>
      <c r="C62" s="122"/>
      <c r="D62" s="122"/>
      <c r="E62" s="84"/>
      <c r="F62" s="77"/>
      <c r="G62" s="77"/>
      <c r="H62" s="37"/>
      <c r="I62" s="37"/>
      <c r="J62" s="37"/>
      <c r="K62" s="122"/>
      <c r="L62" s="37"/>
      <c r="M62" s="37"/>
      <c r="N62" s="139"/>
      <c r="O62" s="37"/>
      <c r="P62" s="37"/>
      <c r="Q62" s="37"/>
      <c r="R62" s="37"/>
      <c r="S62" s="37"/>
      <c r="T62" s="37"/>
      <c r="U62" s="37"/>
      <c r="V62" s="37"/>
      <c r="W62" s="37"/>
      <c r="X62" s="37"/>
      <c r="Y62" s="37"/>
      <c r="Z62" s="37"/>
    </row>
    <row r="63" spans="1:26" ht="12.5">
      <c r="A63" s="37"/>
      <c r="B63" s="151"/>
      <c r="C63" s="122"/>
      <c r="D63" s="122"/>
      <c r="E63" s="84"/>
      <c r="F63" s="77"/>
      <c r="G63" s="77"/>
      <c r="H63" s="37"/>
      <c r="I63" s="37"/>
      <c r="J63" s="37"/>
      <c r="K63" s="122"/>
      <c r="L63" s="37"/>
      <c r="M63" s="37"/>
      <c r="N63" s="139"/>
      <c r="O63" s="37"/>
      <c r="P63" s="37"/>
      <c r="Q63" s="37"/>
      <c r="R63" s="37"/>
      <c r="S63" s="37"/>
      <c r="T63" s="37"/>
      <c r="U63" s="37"/>
      <c r="V63" s="37"/>
      <c r="W63" s="37"/>
      <c r="X63" s="37"/>
      <c r="Y63" s="37"/>
      <c r="Z63" s="37"/>
    </row>
    <row r="64" spans="1:26" ht="12.5">
      <c r="A64" s="37"/>
      <c r="B64" s="151"/>
      <c r="C64" s="122"/>
      <c r="D64" s="122"/>
      <c r="E64" s="84"/>
      <c r="F64" s="77"/>
      <c r="G64" s="77"/>
      <c r="H64" s="37"/>
      <c r="I64" s="37"/>
      <c r="J64" s="37"/>
      <c r="K64" s="122"/>
      <c r="L64" s="37"/>
      <c r="M64" s="37"/>
      <c r="N64" s="139"/>
      <c r="O64" s="37"/>
      <c r="P64" s="37"/>
      <c r="Q64" s="37"/>
      <c r="R64" s="37"/>
      <c r="S64" s="37"/>
      <c r="T64" s="37"/>
      <c r="U64" s="37"/>
      <c r="V64" s="37"/>
      <c r="W64" s="37"/>
      <c r="X64" s="37"/>
      <c r="Y64" s="37"/>
      <c r="Z64" s="37"/>
    </row>
    <row r="65" spans="1:26" ht="12.5">
      <c r="A65" s="37"/>
      <c r="B65" s="151"/>
      <c r="C65" s="122"/>
      <c r="D65" s="122"/>
      <c r="E65" s="84"/>
      <c r="F65" s="77"/>
      <c r="G65" s="77"/>
      <c r="H65" s="37"/>
      <c r="I65" s="37"/>
      <c r="J65" s="37"/>
      <c r="K65" s="122"/>
      <c r="L65" s="37"/>
      <c r="M65" s="37"/>
      <c r="N65" s="139"/>
      <c r="O65" s="37"/>
      <c r="P65" s="37"/>
      <c r="Q65" s="37"/>
      <c r="R65" s="37"/>
      <c r="S65" s="37"/>
      <c r="T65" s="37"/>
      <c r="U65" s="37"/>
      <c r="V65" s="37"/>
      <c r="W65" s="37"/>
      <c r="X65" s="37"/>
      <c r="Y65" s="37"/>
      <c r="Z65" s="37"/>
    </row>
    <row r="66" spans="1:26" ht="12.5">
      <c r="A66" s="37"/>
      <c r="B66" s="151"/>
      <c r="C66" s="122"/>
      <c r="D66" s="122"/>
      <c r="E66" s="84"/>
      <c r="F66" s="77"/>
      <c r="G66" s="77"/>
      <c r="H66" s="37"/>
      <c r="I66" s="37"/>
      <c r="J66" s="37"/>
      <c r="K66" s="122"/>
      <c r="L66" s="37"/>
      <c r="M66" s="37"/>
      <c r="N66" s="139"/>
      <c r="O66" s="37"/>
      <c r="P66" s="37"/>
      <c r="Q66" s="37"/>
      <c r="R66" s="37"/>
      <c r="S66" s="37"/>
      <c r="T66" s="37"/>
      <c r="U66" s="37"/>
      <c r="V66" s="37"/>
      <c r="W66" s="37"/>
      <c r="X66" s="37"/>
      <c r="Y66" s="37"/>
      <c r="Z66" s="37"/>
    </row>
    <row r="67" spans="1:26" ht="12.5">
      <c r="A67" s="37"/>
      <c r="B67" s="151"/>
      <c r="C67" s="122"/>
      <c r="D67" s="122"/>
      <c r="E67" s="84"/>
      <c r="F67" s="77"/>
      <c r="G67" s="77"/>
      <c r="H67" s="37"/>
      <c r="I67" s="37"/>
      <c r="J67" s="37"/>
      <c r="K67" s="122"/>
      <c r="L67" s="37"/>
      <c r="M67" s="37"/>
      <c r="N67" s="139"/>
      <c r="O67" s="37"/>
      <c r="P67" s="37"/>
      <c r="Q67" s="37"/>
      <c r="R67" s="37"/>
      <c r="S67" s="37"/>
      <c r="T67" s="37"/>
      <c r="U67" s="37"/>
      <c r="V67" s="37"/>
      <c r="W67" s="37"/>
      <c r="X67" s="37"/>
      <c r="Y67" s="37"/>
      <c r="Z67" s="37"/>
    </row>
    <row r="68" spans="1:26" ht="12.5">
      <c r="A68" s="37"/>
      <c r="B68" s="151"/>
      <c r="C68" s="122"/>
      <c r="D68" s="122"/>
      <c r="E68" s="84"/>
      <c r="F68" s="77"/>
      <c r="G68" s="77"/>
      <c r="H68" s="37"/>
      <c r="I68" s="37"/>
      <c r="J68" s="37"/>
      <c r="K68" s="122"/>
      <c r="L68" s="37"/>
      <c r="M68" s="37"/>
      <c r="N68" s="139"/>
      <c r="O68" s="37"/>
      <c r="P68" s="37"/>
      <c r="Q68" s="37"/>
      <c r="R68" s="37"/>
      <c r="S68" s="37"/>
      <c r="T68" s="37"/>
      <c r="U68" s="37"/>
      <c r="V68" s="37"/>
      <c r="W68" s="37"/>
      <c r="X68" s="37"/>
      <c r="Y68" s="37"/>
      <c r="Z68" s="37"/>
    </row>
    <row r="69" spans="1:26" ht="12.5">
      <c r="A69" s="37"/>
      <c r="B69" s="151"/>
      <c r="C69" s="122"/>
      <c r="D69" s="122"/>
      <c r="E69" s="84"/>
      <c r="F69" s="77"/>
      <c r="G69" s="77"/>
      <c r="H69" s="37"/>
      <c r="I69" s="37"/>
      <c r="J69" s="37"/>
      <c r="K69" s="122"/>
      <c r="L69" s="37"/>
      <c r="M69" s="37"/>
      <c r="N69" s="139"/>
      <c r="O69" s="37"/>
      <c r="P69" s="37"/>
      <c r="Q69" s="37"/>
      <c r="R69" s="37"/>
      <c r="S69" s="37"/>
      <c r="T69" s="37"/>
      <c r="U69" s="37"/>
      <c r="V69" s="37"/>
      <c r="W69" s="37"/>
      <c r="X69" s="37"/>
      <c r="Y69" s="37"/>
      <c r="Z69" s="37"/>
    </row>
    <row r="70" spans="1:26" ht="12.5">
      <c r="A70" s="37"/>
      <c r="B70" s="151"/>
      <c r="C70" s="122"/>
      <c r="D70" s="122"/>
      <c r="E70" s="84"/>
      <c r="F70" s="77"/>
      <c r="G70" s="77"/>
      <c r="H70" s="37"/>
      <c r="I70" s="37"/>
      <c r="J70" s="37"/>
      <c r="K70" s="122"/>
      <c r="L70" s="37"/>
      <c r="M70" s="37"/>
      <c r="N70" s="139"/>
      <c r="O70" s="37"/>
      <c r="P70" s="37"/>
      <c r="Q70" s="37"/>
      <c r="R70" s="37"/>
      <c r="S70" s="37"/>
      <c r="T70" s="37"/>
      <c r="U70" s="37"/>
      <c r="V70" s="37"/>
      <c r="W70" s="37"/>
      <c r="X70" s="37"/>
      <c r="Y70" s="37"/>
      <c r="Z70" s="37"/>
    </row>
    <row r="71" spans="1:26" ht="12.5">
      <c r="A71" s="37"/>
      <c r="B71" s="151"/>
      <c r="C71" s="122"/>
      <c r="D71" s="122"/>
      <c r="E71" s="84"/>
      <c r="F71" s="77"/>
      <c r="G71" s="77"/>
      <c r="H71" s="37"/>
      <c r="I71" s="37"/>
      <c r="J71" s="37"/>
      <c r="K71" s="122"/>
      <c r="L71" s="37"/>
      <c r="M71" s="37"/>
      <c r="N71" s="139"/>
      <c r="O71" s="37"/>
      <c r="P71" s="37"/>
      <c r="Q71" s="37"/>
      <c r="R71" s="37"/>
      <c r="S71" s="37"/>
      <c r="T71" s="37"/>
      <c r="U71" s="37"/>
      <c r="V71" s="37"/>
      <c r="W71" s="37"/>
      <c r="X71" s="37"/>
      <c r="Y71" s="37"/>
      <c r="Z71" s="37"/>
    </row>
    <row r="72" spans="1:26" ht="12.5">
      <c r="A72" s="37"/>
      <c r="B72" s="151"/>
      <c r="C72" s="122"/>
      <c r="D72" s="122"/>
      <c r="E72" s="84"/>
      <c r="F72" s="77"/>
      <c r="G72" s="77"/>
      <c r="H72" s="37"/>
      <c r="I72" s="37"/>
      <c r="J72" s="37"/>
      <c r="K72" s="122"/>
      <c r="L72" s="37"/>
      <c r="M72" s="37"/>
      <c r="N72" s="139"/>
      <c r="O72" s="37"/>
      <c r="P72" s="37"/>
      <c r="Q72" s="37"/>
      <c r="R72" s="37"/>
      <c r="S72" s="37"/>
      <c r="T72" s="37"/>
      <c r="U72" s="37"/>
      <c r="V72" s="37"/>
      <c r="W72" s="37"/>
      <c r="X72" s="37"/>
      <c r="Y72" s="37"/>
      <c r="Z72" s="37"/>
    </row>
    <row r="73" spans="1:26" ht="12.5">
      <c r="A73" s="37"/>
      <c r="B73" s="151"/>
      <c r="C73" s="122"/>
      <c r="D73" s="122"/>
      <c r="E73" s="84"/>
      <c r="F73" s="77"/>
      <c r="G73" s="77"/>
      <c r="H73" s="37"/>
      <c r="I73" s="37"/>
      <c r="J73" s="37"/>
      <c r="K73" s="122"/>
      <c r="L73" s="37"/>
      <c r="M73" s="37"/>
      <c r="N73" s="139"/>
      <c r="O73" s="37"/>
      <c r="P73" s="37"/>
      <c r="Q73" s="37"/>
      <c r="R73" s="37"/>
      <c r="S73" s="37"/>
      <c r="T73" s="37"/>
      <c r="U73" s="37"/>
      <c r="V73" s="37"/>
      <c r="W73" s="37"/>
      <c r="X73" s="37"/>
      <c r="Y73" s="37"/>
      <c r="Z73" s="37"/>
    </row>
    <row r="74" spans="1:26" ht="12.5">
      <c r="A74" s="37"/>
      <c r="B74" s="151"/>
      <c r="C74" s="122"/>
      <c r="D74" s="122"/>
      <c r="E74" s="84"/>
      <c r="F74" s="77"/>
      <c r="G74" s="77"/>
      <c r="H74" s="37"/>
      <c r="I74" s="37"/>
      <c r="J74" s="37"/>
      <c r="K74" s="122"/>
      <c r="L74" s="37"/>
      <c r="M74" s="37"/>
      <c r="N74" s="139"/>
      <c r="O74" s="37"/>
      <c r="P74" s="37"/>
      <c r="Q74" s="37"/>
      <c r="R74" s="37"/>
      <c r="S74" s="37"/>
      <c r="T74" s="37"/>
      <c r="U74" s="37"/>
      <c r="V74" s="37"/>
      <c r="W74" s="37"/>
      <c r="X74" s="37"/>
      <c r="Y74" s="37"/>
      <c r="Z74" s="37"/>
    </row>
    <row r="75" spans="1:26" ht="12.5">
      <c r="A75" s="37"/>
      <c r="B75" s="151"/>
      <c r="C75" s="122"/>
      <c r="D75" s="122"/>
      <c r="E75" s="84"/>
      <c r="F75" s="77"/>
      <c r="G75" s="77"/>
      <c r="H75" s="37"/>
      <c r="I75" s="37"/>
      <c r="J75" s="37"/>
      <c r="K75" s="122"/>
      <c r="L75" s="37"/>
      <c r="M75" s="37"/>
      <c r="N75" s="139"/>
      <c r="O75" s="37"/>
      <c r="P75" s="37"/>
      <c r="Q75" s="37"/>
      <c r="R75" s="37"/>
      <c r="S75" s="37"/>
      <c r="T75" s="37"/>
      <c r="U75" s="37"/>
      <c r="V75" s="37"/>
      <c r="W75" s="37"/>
      <c r="X75" s="37"/>
      <c r="Y75" s="37"/>
      <c r="Z75" s="37"/>
    </row>
    <row r="76" spans="1:26" ht="12.5">
      <c r="A76" s="37"/>
      <c r="B76" s="151"/>
      <c r="C76" s="122"/>
      <c r="D76" s="122"/>
      <c r="E76" s="84"/>
      <c r="F76" s="77"/>
      <c r="G76" s="77"/>
      <c r="H76" s="37"/>
      <c r="I76" s="37"/>
      <c r="J76" s="37"/>
      <c r="K76" s="122"/>
      <c r="L76" s="37"/>
      <c r="M76" s="37"/>
      <c r="N76" s="139"/>
      <c r="O76" s="37"/>
      <c r="P76" s="37"/>
      <c r="Q76" s="37"/>
      <c r="R76" s="37"/>
      <c r="S76" s="37"/>
      <c r="T76" s="37"/>
      <c r="U76" s="37"/>
      <c r="V76" s="37"/>
      <c r="W76" s="37"/>
      <c r="X76" s="37"/>
      <c r="Y76" s="37"/>
      <c r="Z76" s="37"/>
    </row>
    <row r="77" spans="1:26" ht="12.5">
      <c r="A77" s="37"/>
      <c r="B77" s="151"/>
      <c r="C77" s="122"/>
      <c r="D77" s="122"/>
      <c r="E77" s="84"/>
      <c r="F77" s="77"/>
      <c r="G77" s="77"/>
      <c r="H77" s="37"/>
      <c r="I77" s="37"/>
      <c r="J77" s="37"/>
      <c r="K77" s="122"/>
      <c r="L77" s="37"/>
      <c r="M77" s="37"/>
      <c r="N77" s="139"/>
      <c r="O77" s="37"/>
      <c r="P77" s="37"/>
      <c r="Q77" s="37"/>
      <c r="R77" s="37"/>
      <c r="S77" s="37"/>
      <c r="T77" s="37"/>
      <c r="U77" s="37"/>
      <c r="V77" s="37"/>
      <c r="W77" s="37"/>
      <c r="X77" s="37"/>
      <c r="Y77" s="37"/>
      <c r="Z77" s="37"/>
    </row>
    <row r="78" spans="1:26" ht="12.5">
      <c r="A78" s="37"/>
      <c r="B78" s="151"/>
      <c r="C78" s="122"/>
      <c r="D78" s="122"/>
      <c r="E78" s="84"/>
      <c r="F78" s="77"/>
      <c r="G78" s="77"/>
      <c r="H78" s="37"/>
      <c r="I78" s="37"/>
      <c r="J78" s="37"/>
      <c r="K78" s="122"/>
      <c r="L78" s="37"/>
      <c r="M78" s="37"/>
      <c r="N78" s="139"/>
      <c r="O78" s="37"/>
      <c r="P78" s="37"/>
      <c r="Q78" s="37"/>
      <c r="R78" s="37"/>
      <c r="S78" s="37"/>
      <c r="T78" s="37"/>
      <c r="U78" s="37"/>
      <c r="V78" s="37"/>
      <c r="W78" s="37"/>
      <c r="X78" s="37"/>
      <c r="Y78" s="37"/>
      <c r="Z78" s="37"/>
    </row>
    <row r="79" spans="1:26" ht="12.5">
      <c r="A79" s="37"/>
      <c r="B79" s="151"/>
      <c r="C79" s="122"/>
      <c r="D79" s="122"/>
      <c r="E79" s="84"/>
      <c r="F79" s="77"/>
      <c r="G79" s="77"/>
      <c r="H79" s="37"/>
      <c r="I79" s="37"/>
      <c r="J79" s="37"/>
      <c r="K79" s="122"/>
      <c r="L79" s="37"/>
      <c r="M79" s="37"/>
      <c r="N79" s="139"/>
      <c r="O79" s="37"/>
      <c r="P79" s="37"/>
      <c r="Q79" s="37"/>
      <c r="R79" s="37"/>
      <c r="S79" s="37"/>
      <c r="T79" s="37"/>
      <c r="U79" s="37"/>
      <c r="V79" s="37"/>
      <c r="W79" s="37"/>
      <c r="X79" s="37"/>
      <c r="Y79" s="37"/>
      <c r="Z79" s="37"/>
    </row>
    <row r="80" spans="1:26" ht="12.5">
      <c r="A80" s="37"/>
      <c r="B80" s="151"/>
      <c r="C80" s="122"/>
      <c r="D80" s="122"/>
      <c r="E80" s="84"/>
      <c r="F80" s="77"/>
      <c r="G80" s="77"/>
      <c r="H80" s="37"/>
      <c r="I80" s="37"/>
      <c r="J80" s="37"/>
      <c r="K80" s="122"/>
      <c r="L80" s="37"/>
      <c r="M80" s="37"/>
      <c r="N80" s="139"/>
      <c r="O80" s="37"/>
      <c r="P80" s="37"/>
      <c r="Q80" s="37"/>
      <c r="R80" s="37"/>
      <c r="S80" s="37"/>
      <c r="T80" s="37"/>
      <c r="U80" s="37"/>
      <c r="V80" s="37"/>
      <c r="W80" s="37"/>
      <c r="X80" s="37"/>
      <c r="Y80" s="37"/>
      <c r="Z80" s="37"/>
    </row>
    <row r="81" spans="1:26" ht="12.5">
      <c r="A81" s="37"/>
      <c r="B81" s="151"/>
      <c r="C81" s="122"/>
      <c r="D81" s="122"/>
      <c r="E81" s="84"/>
      <c r="F81" s="77"/>
      <c r="G81" s="77"/>
      <c r="H81" s="37"/>
      <c r="I81" s="37"/>
      <c r="J81" s="37"/>
      <c r="K81" s="122"/>
      <c r="L81" s="37"/>
      <c r="M81" s="37"/>
      <c r="N81" s="139"/>
      <c r="O81" s="37"/>
      <c r="P81" s="37"/>
      <c r="Q81" s="37"/>
      <c r="R81" s="37"/>
      <c r="S81" s="37"/>
      <c r="T81" s="37"/>
      <c r="U81" s="37"/>
      <c r="V81" s="37"/>
      <c r="W81" s="37"/>
      <c r="X81" s="37"/>
      <c r="Y81" s="37"/>
      <c r="Z81" s="37"/>
    </row>
    <row r="82" spans="1:26" ht="12.5">
      <c r="A82" s="37"/>
      <c r="B82" s="151"/>
      <c r="C82" s="122"/>
      <c r="D82" s="122"/>
      <c r="E82" s="84"/>
      <c r="F82" s="77"/>
      <c r="G82" s="77"/>
      <c r="H82" s="37"/>
      <c r="I82" s="37"/>
      <c r="J82" s="37"/>
      <c r="K82" s="122"/>
      <c r="L82" s="37"/>
      <c r="M82" s="37"/>
      <c r="N82" s="139"/>
      <c r="O82" s="37"/>
      <c r="P82" s="37"/>
      <c r="Q82" s="37"/>
      <c r="R82" s="37"/>
      <c r="S82" s="37"/>
      <c r="T82" s="37"/>
      <c r="U82" s="37"/>
      <c r="V82" s="37"/>
      <c r="W82" s="37"/>
      <c r="X82" s="37"/>
      <c r="Y82" s="37"/>
      <c r="Z82" s="37"/>
    </row>
    <row r="83" spans="1:26" ht="12.5">
      <c r="A83" s="37"/>
      <c r="B83" s="151"/>
      <c r="C83" s="122"/>
      <c r="D83" s="122"/>
      <c r="E83" s="84"/>
      <c r="F83" s="77"/>
      <c r="G83" s="77"/>
      <c r="H83" s="37"/>
      <c r="I83" s="37"/>
      <c r="J83" s="37"/>
      <c r="K83" s="122"/>
      <c r="L83" s="37"/>
      <c r="M83" s="37"/>
      <c r="N83" s="139"/>
      <c r="O83" s="37"/>
      <c r="P83" s="37"/>
      <c r="Q83" s="37"/>
      <c r="R83" s="37"/>
      <c r="S83" s="37"/>
      <c r="T83" s="37"/>
      <c r="U83" s="37"/>
      <c r="V83" s="37"/>
      <c r="W83" s="37"/>
      <c r="X83" s="37"/>
      <c r="Y83" s="37"/>
      <c r="Z83" s="37"/>
    </row>
    <row r="84" spans="1:26" ht="12.5">
      <c r="A84" s="37"/>
      <c r="B84" s="151"/>
      <c r="C84" s="122"/>
      <c r="D84" s="122"/>
      <c r="E84" s="84"/>
      <c r="F84" s="77"/>
      <c r="G84" s="77"/>
      <c r="H84" s="37"/>
      <c r="I84" s="37"/>
      <c r="J84" s="37"/>
      <c r="K84" s="122"/>
      <c r="L84" s="37"/>
      <c r="M84" s="37"/>
      <c r="N84" s="139"/>
      <c r="O84" s="37"/>
      <c r="P84" s="37"/>
      <c r="Q84" s="37"/>
      <c r="R84" s="37"/>
      <c r="S84" s="37"/>
      <c r="T84" s="37"/>
      <c r="U84" s="37"/>
      <c r="V84" s="37"/>
      <c r="W84" s="37"/>
      <c r="X84" s="37"/>
      <c r="Y84" s="37"/>
      <c r="Z84" s="37"/>
    </row>
    <row r="85" spans="1:26" ht="12.5">
      <c r="A85" s="37"/>
      <c r="B85" s="151"/>
      <c r="C85" s="122"/>
      <c r="D85" s="122"/>
      <c r="E85" s="84"/>
      <c r="F85" s="77"/>
      <c r="G85" s="77"/>
      <c r="H85" s="37"/>
      <c r="I85" s="37"/>
      <c r="J85" s="37"/>
      <c r="K85" s="122"/>
      <c r="L85" s="37"/>
      <c r="M85" s="37"/>
      <c r="N85" s="139"/>
      <c r="O85" s="37"/>
      <c r="P85" s="37"/>
      <c r="Q85" s="37"/>
      <c r="R85" s="37"/>
      <c r="S85" s="37"/>
      <c r="T85" s="37"/>
      <c r="U85" s="37"/>
      <c r="V85" s="37"/>
      <c r="W85" s="37"/>
      <c r="X85" s="37"/>
      <c r="Y85" s="37"/>
      <c r="Z85" s="37"/>
    </row>
    <row r="86" spans="1:26" ht="12.5">
      <c r="A86" s="37"/>
      <c r="B86" s="151"/>
      <c r="C86" s="122"/>
      <c r="D86" s="122"/>
      <c r="E86" s="84"/>
      <c r="F86" s="77"/>
      <c r="G86" s="77"/>
      <c r="H86" s="37"/>
      <c r="I86" s="37"/>
      <c r="J86" s="37"/>
      <c r="K86" s="122"/>
      <c r="L86" s="37"/>
      <c r="M86" s="37"/>
      <c r="N86" s="139"/>
      <c r="O86" s="37"/>
      <c r="P86" s="37"/>
      <c r="Q86" s="37"/>
      <c r="R86" s="37"/>
      <c r="S86" s="37"/>
      <c r="T86" s="37"/>
      <c r="U86" s="37"/>
      <c r="V86" s="37"/>
      <c r="W86" s="37"/>
      <c r="X86" s="37"/>
      <c r="Y86" s="37"/>
      <c r="Z86" s="37"/>
    </row>
    <row r="87" spans="1:26" ht="12.5">
      <c r="A87" s="37"/>
      <c r="B87" s="151"/>
      <c r="C87" s="122"/>
      <c r="D87" s="122"/>
      <c r="E87" s="84"/>
      <c r="F87" s="77"/>
      <c r="G87" s="77"/>
      <c r="H87" s="37"/>
      <c r="I87" s="37"/>
      <c r="J87" s="37"/>
      <c r="K87" s="122"/>
      <c r="L87" s="37"/>
      <c r="M87" s="37"/>
      <c r="N87" s="139"/>
      <c r="O87" s="37"/>
      <c r="P87" s="37"/>
      <c r="Q87" s="37"/>
      <c r="R87" s="37"/>
      <c r="S87" s="37"/>
      <c r="T87" s="37"/>
      <c r="U87" s="37"/>
      <c r="V87" s="37"/>
      <c r="W87" s="37"/>
      <c r="X87" s="37"/>
      <c r="Y87" s="37"/>
      <c r="Z87" s="37"/>
    </row>
    <row r="88" spans="1:26" ht="12.5">
      <c r="A88" s="37"/>
      <c r="B88" s="151"/>
      <c r="C88" s="122"/>
      <c r="D88" s="122"/>
      <c r="E88" s="84"/>
      <c r="F88" s="77"/>
      <c r="G88" s="77"/>
      <c r="H88" s="37"/>
      <c r="I88" s="37"/>
      <c r="J88" s="37"/>
      <c r="K88" s="122"/>
      <c r="L88" s="37"/>
      <c r="M88" s="37"/>
      <c r="N88" s="139"/>
      <c r="O88" s="37"/>
      <c r="P88" s="37"/>
      <c r="Q88" s="37"/>
      <c r="R88" s="37"/>
      <c r="S88" s="37"/>
      <c r="T88" s="37"/>
      <c r="U88" s="37"/>
      <c r="V88" s="37"/>
      <c r="W88" s="37"/>
      <c r="X88" s="37"/>
      <c r="Y88" s="37"/>
      <c r="Z88" s="37"/>
    </row>
    <row r="89" spans="1:26" ht="12.5">
      <c r="A89" s="37"/>
      <c r="B89" s="151"/>
      <c r="C89" s="122"/>
      <c r="D89" s="122"/>
      <c r="E89" s="84"/>
      <c r="F89" s="77"/>
      <c r="G89" s="77"/>
      <c r="H89" s="37"/>
      <c r="I89" s="37"/>
      <c r="J89" s="37"/>
      <c r="K89" s="122"/>
      <c r="L89" s="37"/>
      <c r="M89" s="37"/>
      <c r="N89" s="139"/>
      <c r="O89" s="37"/>
      <c r="P89" s="37"/>
      <c r="Q89" s="37"/>
      <c r="R89" s="37"/>
      <c r="S89" s="37"/>
      <c r="T89" s="37"/>
      <c r="U89" s="37"/>
      <c r="V89" s="37"/>
      <c r="W89" s="37"/>
      <c r="X89" s="37"/>
      <c r="Y89" s="37"/>
      <c r="Z89" s="37"/>
    </row>
    <row r="90" spans="1:26" ht="12.5">
      <c r="A90" s="37"/>
      <c r="B90" s="151"/>
      <c r="C90" s="122"/>
      <c r="D90" s="122"/>
      <c r="E90" s="84"/>
      <c r="F90" s="77"/>
      <c r="G90" s="77"/>
      <c r="H90" s="37"/>
      <c r="I90" s="37"/>
      <c r="J90" s="37"/>
      <c r="K90" s="122"/>
      <c r="L90" s="37"/>
      <c r="M90" s="37"/>
      <c r="N90" s="139"/>
      <c r="O90" s="37"/>
      <c r="P90" s="37"/>
      <c r="Q90" s="37"/>
      <c r="R90" s="37"/>
      <c r="S90" s="37"/>
      <c r="T90" s="37"/>
      <c r="U90" s="37"/>
      <c r="V90" s="37"/>
      <c r="W90" s="37"/>
      <c r="X90" s="37"/>
      <c r="Y90" s="37"/>
      <c r="Z90" s="37"/>
    </row>
    <row r="91" spans="1:26" ht="12.5">
      <c r="A91" s="37"/>
      <c r="B91" s="151"/>
      <c r="C91" s="122"/>
      <c r="D91" s="122"/>
      <c r="E91" s="84"/>
      <c r="F91" s="77"/>
      <c r="G91" s="77"/>
      <c r="H91" s="37"/>
      <c r="I91" s="37"/>
      <c r="J91" s="37"/>
      <c r="K91" s="122"/>
      <c r="L91" s="37"/>
      <c r="M91" s="37"/>
      <c r="N91" s="139"/>
      <c r="O91" s="37"/>
      <c r="P91" s="37"/>
      <c r="Q91" s="37"/>
      <c r="R91" s="37"/>
      <c r="S91" s="37"/>
      <c r="T91" s="37"/>
      <c r="U91" s="37"/>
      <c r="V91" s="37"/>
      <c r="W91" s="37"/>
      <c r="X91" s="37"/>
      <c r="Y91" s="37"/>
      <c r="Z91" s="37"/>
    </row>
    <row r="92" spans="1:26" ht="12.5">
      <c r="A92" s="37"/>
      <c r="B92" s="151"/>
      <c r="C92" s="122"/>
      <c r="D92" s="122"/>
      <c r="E92" s="84"/>
      <c r="F92" s="77"/>
      <c r="G92" s="77"/>
      <c r="H92" s="37"/>
      <c r="I92" s="37"/>
      <c r="J92" s="37"/>
      <c r="K92" s="122"/>
      <c r="L92" s="37"/>
      <c r="M92" s="37"/>
      <c r="N92" s="139"/>
      <c r="O92" s="37"/>
      <c r="P92" s="37"/>
      <c r="Q92" s="37"/>
      <c r="R92" s="37"/>
      <c r="S92" s="37"/>
      <c r="T92" s="37"/>
      <c r="U92" s="37"/>
      <c r="V92" s="37"/>
      <c r="W92" s="37"/>
      <c r="X92" s="37"/>
      <c r="Y92" s="37"/>
      <c r="Z92" s="37"/>
    </row>
    <row r="93" spans="1:26" ht="12.5">
      <c r="A93" s="37"/>
      <c r="B93" s="151"/>
      <c r="C93" s="122"/>
      <c r="D93" s="122"/>
      <c r="E93" s="84"/>
      <c r="F93" s="77"/>
      <c r="G93" s="77"/>
      <c r="H93" s="37"/>
      <c r="I93" s="37"/>
      <c r="J93" s="37"/>
      <c r="K93" s="122"/>
      <c r="L93" s="37"/>
      <c r="M93" s="37"/>
      <c r="N93" s="139"/>
      <c r="O93" s="37"/>
      <c r="P93" s="37"/>
      <c r="Q93" s="37"/>
      <c r="R93" s="37"/>
      <c r="S93" s="37"/>
      <c r="T93" s="37"/>
      <c r="U93" s="37"/>
      <c r="V93" s="37"/>
      <c r="W93" s="37"/>
      <c r="X93" s="37"/>
      <c r="Y93" s="37"/>
      <c r="Z93" s="37"/>
    </row>
    <row r="94" spans="1:26" ht="12.5">
      <c r="A94" s="37"/>
      <c r="B94" s="151"/>
      <c r="C94" s="122"/>
      <c r="D94" s="122"/>
      <c r="E94" s="84"/>
      <c r="F94" s="77"/>
      <c r="G94" s="77"/>
      <c r="H94" s="37"/>
      <c r="I94" s="37"/>
      <c r="J94" s="37"/>
      <c r="K94" s="122"/>
      <c r="L94" s="37"/>
      <c r="M94" s="37"/>
      <c r="N94" s="139"/>
      <c r="O94" s="37"/>
      <c r="P94" s="37"/>
      <c r="Q94" s="37"/>
      <c r="R94" s="37"/>
      <c r="S94" s="37"/>
      <c r="T94" s="37"/>
      <c r="U94" s="37"/>
      <c r="V94" s="37"/>
      <c r="W94" s="37"/>
      <c r="X94" s="37"/>
      <c r="Y94" s="37"/>
      <c r="Z94" s="37"/>
    </row>
    <row r="95" spans="1:26" ht="12.5">
      <c r="A95" s="37"/>
      <c r="B95" s="151"/>
      <c r="C95" s="122"/>
      <c r="D95" s="122"/>
      <c r="E95" s="84"/>
      <c r="F95" s="77"/>
      <c r="G95" s="77"/>
      <c r="H95" s="37"/>
      <c r="I95" s="37"/>
      <c r="J95" s="37"/>
      <c r="K95" s="122"/>
      <c r="L95" s="37"/>
      <c r="M95" s="37"/>
      <c r="N95" s="139"/>
      <c r="O95" s="37"/>
      <c r="P95" s="37"/>
      <c r="Q95" s="37"/>
      <c r="R95" s="37"/>
      <c r="S95" s="37"/>
      <c r="T95" s="37"/>
      <c r="U95" s="37"/>
      <c r="V95" s="37"/>
      <c r="W95" s="37"/>
      <c r="X95" s="37"/>
      <c r="Y95" s="37"/>
      <c r="Z95" s="37"/>
    </row>
    <row r="96" spans="1:26" ht="12.5">
      <c r="A96" s="37"/>
      <c r="B96" s="151"/>
      <c r="C96" s="122"/>
      <c r="D96" s="122"/>
      <c r="E96" s="84"/>
      <c r="F96" s="77"/>
      <c r="G96" s="77"/>
      <c r="H96" s="37"/>
      <c r="I96" s="37"/>
      <c r="J96" s="37"/>
      <c r="K96" s="122"/>
      <c r="L96" s="37"/>
      <c r="M96" s="37"/>
      <c r="N96" s="139"/>
      <c r="O96" s="37"/>
      <c r="P96" s="37"/>
      <c r="Q96" s="37"/>
      <c r="R96" s="37"/>
      <c r="S96" s="37"/>
      <c r="T96" s="37"/>
      <c r="U96" s="37"/>
      <c r="V96" s="37"/>
      <c r="W96" s="37"/>
      <c r="X96" s="37"/>
      <c r="Y96" s="37"/>
      <c r="Z96" s="37"/>
    </row>
    <row r="97" spans="1:26" ht="12.5">
      <c r="A97" s="37"/>
      <c r="B97" s="151"/>
      <c r="C97" s="122"/>
      <c r="D97" s="122"/>
      <c r="E97" s="84"/>
      <c r="F97" s="77"/>
      <c r="G97" s="77"/>
      <c r="H97" s="37"/>
      <c r="I97" s="37"/>
      <c r="J97" s="37"/>
      <c r="K97" s="122"/>
      <c r="L97" s="37"/>
      <c r="M97" s="37"/>
      <c r="N97" s="139"/>
      <c r="O97" s="37"/>
      <c r="P97" s="37"/>
      <c r="Q97" s="37"/>
      <c r="R97" s="37"/>
      <c r="S97" s="37"/>
      <c r="T97" s="37"/>
      <c r="U97" s="37"/>
      <c r="V97" s="37"/>
      <c r="W97" s="37"/>
      <c r="X97" s="37"/>
      <c r="Y97" s="37"/>
      <c r="Z97" s="37"/>
    </row>
    <row r="98" spans="1:26" ht="12.5">
      <c r="A98" s="37"/>
      <c r="B98" s="151"/>
      <c r="C98" s="122"/>
      <c r="D98" s="122"/>
      <c r="E98" s="84"/>
      <c r="F98" s="77"/>
      <c r="G98" s="77"/>
      <c r="H98" s="37"/>
      <c r="I98" s="37"/>
      <c r="J98" s="37"/>
      <c r="K98" s="122"/>
      <c r="L98" s="37"/>
      <c r="M98" s="37"/>
      <c r="N98" s="139"/>
      <c r="O98" s="37"/>
      <c r="P98" s="37"/>
      <c r="Q98" s="37"/>
      <c r="R98" s="37"/>
      <c r="S98" s="37"/>
      <c r="T98" s="37"/>
      <c r="U98" s="37"/>
      <c r="V98" s="37"/>
      <c r="W98" s="37"/>
      <c r="X98" s="37"/>
      <c r="Y98" s="37"/>
      <c r="Z98" s="37"/>
    </row>
    <row r="99" spans="1:26" ht="12.5">
      <c r="A99" s="37"/>
      <c r="B99" s="151"/>
      <c r="C99" s="122"/>
      <c r="D99" s="122"/>
      <c r="E99" s="84"/>
      <c r="F99" s="77"/>
      <c r="G99" s="77"/>
      <c r="H99" s="37"/>
      <c r="I99" s="37"/>
      <c r="J99" s="37"/>
      <c r="K99" s="122"/>
      <c r="L99" s="37"/>
      <c r="M99" s="37"/>
      <c r="N99" s="139"/>
      <c r="O99" s="37"/>
      <c r="P99" s="37"/>
      <c r="Q99" s="37"/>
      <c r="R99" s="37"/>
      <c r="S99" s="37"/>
      <c r="T99" s="37"/>
      <c r="U99" s="37"/>
      <c r="V99" s="37"/>
      <c r="W99" s="37"/>
      <c r="X99" s="37"/>
      <c r="Y99" s="37"/>
      <c r="Z99" s="37"/>
    </row>
    <row r="100" spans="1:26" ht="12.5">
      <c r="A100" s="37"/>
      <c r="B100" s="151"/>
      <c r="C100" s="122"/>
      <c r="D100" s="122"/>
      <c r="E100" s="84"/>
      <c r="F100" s="77"/>
      <c r="G100" s="77"/>
      <c r="H100" s="37"/>
      <c r="I100" s="37"/>
      <c r="J100" s="37"/>
      <c r="K100" s="122"/>
      <c r="L100" s="37"/>
      <c r="M100" s="37"/>
      <c r="N100" s="139"/>
      <c r="O100" s="37"/>
      <c r="P100" s="37"/>
      <c r="Q100" s="37"/>
      <c r="R100" s="37"/>
      <c r="S100" s="37"/>
      <c r="T100" s="37"/>
      <c r="U100" s="37"/>
      <c r="V100" s="37"/>
      <c r="W100" s="37"/>
      <c r="X100" s="37"/>
      <c r="Y100" s="37"/>
      <c r="Z100" s="37"/>
    </row>
    <row r="101" spans="1:26" ht="12.5">
      <c r="A101" s="37"/>
      <c r="B101" s="151"/>
      <c r="C101" s="122"/>
      <c r="D101" s="122"/>
      <c r="E101" s="84"/>
      <c r="F101" s="77"/>
      <c r="G101" s="77"/>
      <c r="H101" s="37"/>
      <c r="I101" s="37"/>
      <c r="J101" s="37"/>
      <c r="K101" s="122"/>
      <c r="L101" s="37"/>
      <c r="M101" s="37"/>
      <c r="N101" s="139"/>
      <c r="O101" s="37"/>
      <c r="P101" s="37"/>
      <c r="Q101" s="37"/>
      <c r="R101" s="37"/>
      <c r="S101" s="37"/>
      <c r="T101" s="37"/>
      <c r="U101" s="37"/>
      <c r="V101" s="37"/>
      <c r="W101" s="37"/>
      <c r="X101" s="37"/>
      <c r="Y101" s="37"/>
      <c r="Z101" s="37"/>
    </row>
    <row r="102" spans="1:26" ht="12.5">
      <c r="A102" s="37"/>
      <c r="B102" s="151"/>
      <c r="C102" s="122"/>
      <c r="D102" s="122"/>
      <c r="E102" s="84"/>
      <c r="F102" s="77"/>
      <c r="G102" s="77"/>
      <c r="H102" s="37"/>
      <c r="I102" s="37"/>
      <c r="J102" s="37"/>
      <c r="K102" s="122"/>
      <c r="L102" s="37"/>
      <c r="M102" s="37"/>
      <c r="N102" s="139"/>
      <c r="O102" s="37"/>
      <c r="P102" s="37"/>
      <c r="Q102" s="37"/>
      <c r="R102" s="37"/>
      <c r="S102" s="37"/>
      <c r="T102" s="37"/>
      <c r="U102" s="37"/>
      <c r="V102" s="37"/>
      <c r="W102" s="37"/>
      <c r="X102" s="37"/>
      <c r="Y102" s="37"/>
      <c r="Z102" s="37"/>
    </row>
    <row r="103" spans="1:26" ht="12.5">
      <c r="A103" s="37"/>
      <c r="B103" s="151"/>
      <c r="C103" s="122"/>
      <c r="D103" s="122"/>
      <c r="E103" s="84"/>
      <c r="F103" s="77"/>
      <c r="G103" s="77"/>
      <c r="H103" s="37"/>
      <c r="I103" s="37"/>
      <c r="J103" s="37"/>
      <c r="K103" s="122"/>
      <c r="L103" s="37"/>
      <c r="M103" s="37"/>
      <c r="N103" s="139"/>
      <c r="O103" s="37"/>
      <c r="P103" s="37"/>
      <c r="Q103" s="37"/>
      <c r="R103" s="37"/>
      <c r="S103" s="37"/>
      <c r="T103" s="37"/>
      <c r="U103" s="37"/>
      <c r="V103" s="37"/>
      <c r="W103" s="37"/>
      <c r="X103" s="37"/>
      <c r="Y103" s="37"/>
      <c r="Z103" s="37"/>
    </row>
    <row r="104" spans="1:26" ht="12.5">
      <c r="A104" s="37"/>
      <c r="B104" s="151"/>
      <c r="C104" s="122"/>
      <c r="D104" s="122"/>
      <c r="E104" s="84"/>
      <c r="F104" s="77"/>
      <c r="G104" s="77"/>
      <c r="H104" s="37"/>
      <c r="I104" s="37"/>
      <c r="J104" s="37"/>
      <c r="K104" s="122"/>
      <c r="L104" s="37"/>
      <c r="M104" s="37"/>
      <c r="N104" s="139"/>
      <c r="O104" s="37"/>
      <c r="P104" s="37"/>
      <c r="Q104" s="37"/>
      <c r="R104" s="37"/>
      <c r="S104" s="37"/>
      <c r="T104" s="37"/>
      <c r="U104" s="37"/>
      <c r="V104" s="37"/>
      <c r="W104" s="37"/>
      <c r="X104" s="37"/>
      <c r="Y104" s="37"/>
      <c r="Z104" s="37"/>
    </row>
    <row r="105" spans="1:26" ht="12.5">
      <c r="A105" s="37"/>
      <c r="B105" s="151"/>
      <c r="C105" s="122"/>
      <c r="D105" s="122"/>
      <c r="E105" s="84"/>
      <c r="F105" s="77"/>
      <c r="G105" s="77"/>
      <c r="H105" s="37"/>
      <c r="I105" s="37"/>
      <c r="J105" s="37"/>
      <c r="K105" s="122"/>
      <c r="L105" s="37"/>
      <c r="M105" s="37"/>
      <c r="N105" s="139"/>
      <c r="O105" s="37"/>
      <c r="P105" s="37"/>
      <c r="Q105" s="37"/>
      <c r="R105" s="37"/>
      <c r="S105" s="37"/>
      <c r="T105" s="37"/>
      <c r="U105" s="37"/>
      <c r="V105" s="37"/>
      <c r="W105" s="37"/>
      <c r="X105" s="37"/>
      <c r="Y105" s="37"/>
      <c r="Z105" s="37"/>
    </row>
    <row r="106" spans="1:26" ht="12.5">
      <c r="A106" s="37"/>
      <c r="B106" s="151"/>
      <c r="C106" s="122"/>
      <c r="D106" s="122"/>
      <c r="E106" s="84"/>
      <c r="F106" s="77"/>
      <c r="G106" s="77"/>
      <c r="H106" s="37"/>
      <c r="I106" s="37"/>
      <c r="J106" s="37"/>
      <c r="K106" s="122"/>
      <c r="L106" s="37"/>
      <c r="M106" s="37"/>
      <c r="N106" s="139"/>
      <c r="O106" s="37"/>
      <c r="P106" s="37"/>
      <c r="Q106" s="37"/>
      <c r="R106" s="37"/>
      <c r="S106" s="37"/>
      <c r="T106" s="37"/>
      <c r="U106" s="37"/>
      <c r="V106" s="37"/>
      <c r="W106" s="37"/>
      <c r="X106" s="37"/>
      <c r="Y106" s="37"/>
      <c r="Z106" s="37"/>
    </row>
    <row r="107" spans="1:26" ht="12.5">
      <c r="A107" s="37"/>
      <c r="B107" s="151"/>
      <c r="C107" s="122"/>
      <c r="D107" s="122"/>
      <c r="E107" s="84"/>
      <c r="F107" s="77"/>
      <c r="G107" s="77"/>
      <c r="H107" s="37"/>
      <c r="I107" s="37"/>
      <c r="J107" s="37"/>
      <c r="K107" s="122"/>
      <c r="L107" s="37"/>
      <c r="M107" s="37"/>
      <c r="N107" s="139"/>
      <c r="O107" s="37"/>
      <c r="P107" s="37"/>
      <c r="Q107" s="37"/>
      <c r="R107" s="37"/>
      <c r="S107" s="37"/>
      <c r="T107" s="37"/>
      <c r="U107" s="37"/>
      <c r="V107" s="37"/>
      <c r="W107" s="37"/>
      <c r="X107" s="37"/>
      <c r="Y107" s="37"/>
      <c r="Z107" s="37"/>
    </row>
    <row r="108" spans="1:26" ht="12.5">
      <c r="A108" s="37"/>
      <c r="B108" s="151"/>
      <c r="C108" s="122"/>
      <c r="D108" s="122"/>
      <c r="E108" s="84"/>
      <c r="F108" s="77"/>
      <c r="G108" s="77"/>
      <c r="H108" s="37"/>
      <c r="I108" s="37"/>
      <c r="J108" s="37"/>
      <c r="K108" s="122"/>
      <c r="L108" s="37"/>
      <c r="M108" s="37"/>
      <c r="N108" s="139"/>
      <c r="O108" s="37"/>
      <c r="P108" s="37"/>
      <c r="Q108" s="37"/>
      <c r="R108" s="37"/>
      <c r="S108" s="37"/>
      <c r="T108" s="37"/>
      <c r="U108" s="37"/>
      <c r="V108" s="37"/>
      <c r="W108" s="37"/>
      <c r="X108" s="37"/>
      <c r="Y108" s="37"/>
      <c r="Z108" s="37"/>
    </row>
    <row r="109" spans="1:26" ht="12.5">
      <c r="A109" s="37"/>
      <c r="B109" s="151"/>
      <c r="C109" s="122"/>
      <c r="D109" s="122"/>
      <c r="E109" s="84"/>
      <c r="F109" s="77"/>
      <c r="G109" s="77"/>
      <c r="H109" s="37"/>
      <c r="I109" s="37"/>
      <c r="J109" s="37"/>
      <c r="K109" s="122"/>
      <c r="L109" s="37"/>
      <c r="M109" s="37"/>
      <c r="N109" s="139"/>
      <c r="O109" s="37"/>
      <c r="P109" s="37"/>
      <c r="Q109" s="37"/>
      <c r="R109" s="37"/>
      <c r="S109" s="37"/>
      <c r="T109" s="37"/>
      <c r="U109" s="37"/>
      <c r="V109" s="37"/>
      <c r="W109" s="37"/>
      <c r="X109" s="37"/>
      <c r="Y109" s="37"/>
      <c r="Z109" s="37"/>
    </row>
    <row r="110" spans="1:26" ht="12.5">
      <c r="A110" s="37"/>
      <c r="B110" s="151"/>
      <c r="C110" s="122"/>
      <c r="D110" s="122"/>
      <c r="E110" s="84"/>
      <c r="F110" s="77"/>
      <c r="G110" s="77"/>
      <c r="H110" s="37"/>
      <c r="I110" s="37"/>
      <c r="J110" s="37"/>
      <c r="K110" s="122"/>
      <c r="L110" s="37"/>
      <c r="M110" s="37"/>
      <c r="N110" s="139"/>
      <c r="O110" s="37"/>
      <c r="P110" s="37"/>
      <c r="Q110" s="37"/>
      <c r="R110" s="37"/>
      <c r="S110" s="37"/>
      <c r="T110" s="37"/>
      <c r="U110" s="37"/>
      <c r="V110" s="37"/>
      <c r="W110" s="37"/>
      <c r="X110" s="37"/>
      <c r="Y110" s="37"/>
      <c r="Z110" s="37"/>
    </row>
    <row r="111" spans="1:26" ht="12.5">
      <c r="A111" s="37"/>
      <c r="B111" s="151"/>
      <c r="C111" s="122"/>
      <c r="D111" s="122"/>
      <c r="E111" s="84"/>
      <c r="F111" s="77"/>
      <c r="G111" s="77"/>
      <c r="H111" s="37"/>
      <c r="I111" s="37"/>
      <c r="J111" s="37"/>
      <c r="K111" s="122"/>
      <c r="L111" s="37"/>
      <c r="M111" s="37"/>
      <c r="N111" s="139"/>
      <c r="O111" s="37"/>
      <c r="P111" s="37"/>
      <c r="Q111" s="37"/>
      <c r="R111" s="37"/>
      <c r="S111" s="37"/>
      <c r="T111" s="37"/>
      <c r="U111" s="37"/>
      <c r="V111" s="37"/>
      <c r="W111" s="37"/>
      <c r="X111" s="37"/>
      <c r="Y111" s="37"/>
      <c r="Z111" s="37"/>
    </row>
    <row r="112" spans="1:26" ht="12.5">
      <c r="A112" s="37"/>
      <c r="B112" s="151"/>
      <c r="C112" s="122"/>
      <c r="D112" s="122"/>
      <c r="E112" s="84"/>
      <c r="F112" s="77"/>
      <c r="G112" s="77"/>
      <c r="H112" s="37"/>
      <c r="I112" s="37"/>
      <c r="J112" s="37"/>
      <c r="K112" s="122"/>
      <c r="L112" s="37"/>
      <c r="M112" s="37"/>
      <c r="N112" s="139"/>
      <c r="O112" s="37"/>
      <c r="P112" s="37"/>
      <c r="Q112" s="37"/>
      <c r="R112" s="37"/>
      <c r="S112" s="37"/>
      <c r="T112" s="37"/>
      <c r="U112" s="37"/>
      <c r="V112" s="37"/>
      <c r="W112" s="37"/>
      <c r="X112" s="37"/>
      <c r="Y112" s="37"/>
      <c r="Z112" s="37"/>
    </row>
    <row r="113" spans="1:26" ht="12.5">
      <c r="A113" s="37"/>
      <c r="B113" s="151"/>
      <c r="C113" s="122"/>
      <c r="D113" s="122"/>
      <c r="E113" s="84"/>
      <c r="F113" s="77"/>
      <c r="G113" s="77"/>
      <c r="H113" s="37"/>
      <c r="I113" s="37"/>
      <c r="J113" s="37"/>
      <c r="K113" s="122"/>
      <c r="L113" s="37"/>
      <c r="M113" s="37"/>
      <c r="N113" s="139"/>
      <c r="O113" s="37"/>
      <c r="P113" s="37"/>
      <c r="Q113" s="37"/>
      <c r="R113" s="37"/>
      <c r="S113" s="37"/>
      <c r="T113" s="37"/>
      <c r="U113" s="37"/>
      <c r="V113" s="37"/>
      <c r="W113" s="37"/>
      <c r="X113" s="37"/>
      <c r="Y113" s="37"/>
      <c r="Z113" s="37"/>
    </row>
    <row r="114" spans="1:26" ht="12.5">
      <c r="A114" s="37"/>
      <c r="B114" s="151"/>
      <c r="C114" s="122"/>
      <c r="D114" s="122"/>
      <c r="E114" s="84"/>
      <c r="F114" s="77"/>
      <c r="G114" s="77"/>
      <c r="H114" s="37"/>
      <c r="I114" s="37"/>
      <c r="J114" s="37"/>
      <c r="K114" s="122"/>
      <c r="L114" s="37"/>
      <c r="M114" s="37"/>
      <c r="N114" s="139"/>
      <c r="O114" s="37"/>
      <c r="P114" s="37"/>
      <c r="Q114" s="37"/>
      <c r="R114" s="37"/>
      <c r="S114" s="37"/>
      <c r="T114" s="37"/>
      <c r="U114" s="37"/>
      <c r="V114" s="37"/>
      <c r="W114" s="37"/>
      <c r="X114" s="37"/>
      <c r="Y114" s="37"/>
      <c r="Z114" s="37"/>
    </row>
    <row r="115" spans="1:26" ht="12.5">
      <c r="A115" s="37"/>
      <c r="B115" s="151"/>
      <c r="C115" s="122"/>
      <c r="D115" s="122"/>
      <c r="E115" s="84"/>
      <c r="F115" s="77"/>
      <c r="G115" s="77"/>
      <c r="H115" s="37"/>
      <c r="I115" s="37"/>
      <c r="J115" s="37"/>
      <c r="K115" s="122"/>
      <c r="L115" s="37"/>
      <c r="M115" s="37"/>
      <c r="N115" s="139"/>
      <c r="O115" s="37"/>
      <c r="P115" s="37"/>
      <c r="Q115" s="37"/>
      <c r="R115" s="37"/>
      <c r="S115" s="37"/>
      <c r="T115" s="37"/>
      <c r="U115" s="37"/>
      <c r="V115" s="37"/>
      <c r="W115" s="37"/>
      <c r="X115" s="37"/>
      <c r="Y115" s="37"/>
      <c r="Z115" s="37"/>
    </row>
    <row r="116" spans="1:26" ht="12.5">
      <c r="A116" s="37"/>
      <c r="B116" s="151"/>
      <c r="C116" s="122"/>
      <c r="D116" s="122"/>
      <c r="E116" s="84"/>
      <c r="F116" s="77"/>
      <c r="G116" s="77"/>
      <c r="H116" s="37"/>
      <c r="I116" s="37"/>
      <c r="J116" s="37"/>
      <c r="K116" s="122"/>
      <c r="L116" s="37"/>
      <c r="M116" s="37"/>
      <c r="N116" s="139"/>
      <c r="O116" s="37"/>
      <c r="P116" s="37"/>
      <c r="Q116" s="37"/>
      <c r="R116" s="37"/>
      <c r="S116" s="37"/>
      <c r="T116" s="37"/>
      <c r="U116" s="37"/>
      <c r="V116" s="37"/>
      <c r="W116" s="37"/>
      <c r="X116" s="37"/>
      <c r="Y116" s="37"/>
      <c r="Z116" s="37"/>
    </row>
    <row r="117" spans="1:26" ht="12.5">
      <c r="A117" s="37"/>
      <c r="B117" s="151"/>
      <c r="C117" s="122"/>
      <c r="D117" s="122"/>
      <c r="E117" s="84"/>
      <c r="F117" s="77"/>
      <c r="G117" s="77"/>
      <c r="H117" s="37"/>
      <c r="I117" s="37"/>
      <c r="J117" s="37"/>
      <c r="K117" s="122"/>
      <c r="L117" s="37"/>
      <c r="M117" s="37"/>
      <c r="N117" s="139"/>
      <c r="O117" s="37"/>
      <c r="P117" s="37"/>
      <c r="Q117" s="37"/>
      <c r="R117" s="37"/>
      <c r="S117" s="37"/>
      <c r="T117" s="37"/>
      <c r="U117" s="37"/>
      <c r="V117" s="37"/>
      <c r="W117" s="37"/>
      <c r="X117" s="37"/>
      <c r="Y117" s="37"/>
      <c r="Z117" s="37"/>
    </row>
    <row r="118" spans="1:26" ht="12.5">
      <c r="A118" s="37"/>
      <c r="B118" s="151"/>
      <c r="C118" s="122"/>
      <c r="D118" s="122"/>
      <c r="E118" s="84"/>
      <c r="F118" s="77"/>
      <c r="G118" s="77"/>
      <c r="H118" s="37"/>
      <c r="I118" s="37"/>
      <c r="J118" s="37"/>
      <c r="K118" s="122"/>
      <c r="L118" s="37"/>
      <c r="M118" s="37"/>
      <c r="N118" s="139"/>
      <c r="O118" s="37"/>
      <c r="P118" s="37"/>
      <c r="Q118" s="37"/>
      <c r="R118" s="37"/>
      <c r="S118" s="37"/>
      <c r="T118" s="37"/>
      <c r="U118" s="37"/>
      <c r="V118" s="37"/>
      <c r="W118" s="37"/>
      <c r="X118" s="37"/>
      <c r="Y118" s="37"/>
      <c r="Z118" s="37"/>
    </row>
    <row r="119" spans="1:26" ht="12.5">
      <c r="A119" s="37"/>
      <c r="B119" s="151"/>
      <c r="C119" s="122"/>
      <c r="D119" s="122"/>
      <c r="E119" s="84"/>
      <c r="F119" s="77"/>
      <c r="G119" s="77"/>
      <c r="H119" s="37"/>
      <c r="I119" s="37"/>
      <c r="J119" s="37"/>
      <c r="K119" s="122"/>
      <c r="L119" s="37"/>
      <c r="M119" s="37"/>
      <c r="N119" s="139"/>
      <c r="O119" s="37"/>
      <c r="P119" s="37"/>
      <c r="Q119" s="37"/>
      <c r="R119" s="37"/>
      <c r="S119" s="37"/>
      <c r="T119" s="37"/>
      <c r="U119" s="37"/>
      <c r="V119" s="37"/>
      <c r="W119" s="37"/>
      <c r="X119" s="37"/>
      <c r="Y119" s="37"/>
      <c r="Z119" s="37"/>
    </row>
    <row r="120" spans="1:26" ht="12.5">
      <c r="A120" s="37"/>
      <c r="B120" s="151"/>
      <c r="C120" s="122"/>
      <c r="D120" s="122"/>
      <c r="E120" s="84"/>
      <c r="F120" s="77"/>
      <c r="G120" s="77"/>
      <c r="H120" s="37"/>
      <c r="I120" s="37"/>
      <c r="J120" s="37"/>
      <c r="K120" s="122"/>
      <c r="L120" s="37"/>
      <c r="M120" s="37"/>
      <c r="N120" s="139"/>
      <c r="O120" s="37"/>
      <c r="P120" s="37"/>
      <c r="Q120" s="37"/>
      <c r="R120" s="37"/>
      <c r="S120" s="37"/>
      <c r="T120" s="37"/>
      <c r="U120" s="37"/>
      <c r="V120" s="37"/>
      <c r="W120" s="37"/>
      <c r="X120" s="37"/>
      <c r="Y120" s="37"/>
      <c r="Z120" s="37"/>
    </row>
    <row r="121" spans="1:26" ht="12.5">
      <c r="A121" s="37"/>
      <c r="B121" s="151"/>
      <c r="C121" s="122"/>
      <c r="D121" s="122"/>
      <c r="E121" s="84"/>
      <c r="F121" s="77"/>
      <c r="G121" s="77"/>
      <c r="H121" s="37"/>
      <c r="I121" s="37"/>
      <c r="J121" s="37"/>
      <c r="K121" s="122"/>
      <c r="L121" s="37"/>
      <c r="M121" s="37"/>
      <c r="N121" s="139"/>
      <c r="O121" s="37"/>
      <c r="P121" s="37"/>
      <c r="Q121" s="37"/>
      <c r="R121" s="37"/>
      <c r="S121" s="37"/>
      <c r="T121" s="37"/>
      <c r="U121" s="37"/>
      <c r="V121" s="37"/>
      <c r="W121" s="37"/>
      <c r="X121" s="37"/>
      <c r="Y121" s="37"/>
      <c r="Z121" s="37"/>
    </row>
    <row r="122" spans="1:26" ht="12.5">
      <c r="A122" s="37"/>
      <c r="B122" s="151"/>
      <c r="C122" s="122"/>
      <c r="D122" s="122"/>
      <c r="E122" s="84"/>
      <c r="F122" s="77"/>
      <c r="G122" s="77"/>
      <c r="H122" s="37"/>
      <c r="I122" s="37"/>
      <c r="J122" s="37"/>
      <c r="K122" s="122"/>
      <c r="L122" s="37"/>
      <c r="M122" s="37"/>
      <c r="N122" s="139"/>
      <c r="O122" s="37"/>
      <c r="P122" s="37"/>
      <c r="Q122" s="37"/>
      <c r="R122" s="37"/>
      <c r="S122" s="37"/>
      <c r="T122" s="37"/>
      <c r="U122" s="37"/>
      <c r="V122" s="37"/>
      <c r="W122" s="37"/>
      <c r="X122" s="37"/>
      <c r="Y122" s="37"/>
      <c r="Z122" s="37"/>
    </row>
    <row r="123" spans="1:26" ht="12.5">
      <c r="A123" s="37"/>
      <c r="B123" s="151"/>
      <c r="C123" s="122"/>
      <c r="D123" s="122"/>
      <c r="E123" s="84"/>
      <c r="F123" s="77"/>
      <c r="G123" s="77"/>
      <c r="H123" s="37"/>
      <c r="I123" s="37"/>
      <c r="J123" s="37"/>
      <c r="K123" s="122"/>
      <c r="L123" s="37"/>
      <c r="M123" s="37"/>
      <c r="N123" s="139"/>
      <c r="O123" s="37"/>
      <c r="P123" s="37"/>
      <c r="Q123" s="37"/>
      <c r="R123" s="37"/>
      <c r="S123" s="37"/>
      <c r="T123" s="37"/>
      <c r="U123" s="37"/>
      <c r="V123" s="37"/>
      <c r="W123" s="37"/>
      <c r="X123" s="37"/>
      <c r="Y123" s="37"/>
      <c r="Z123" s="37"/>
    </row>
    <row r="124" spans="1:26" ht="12.5">
      <c r="A124" s="37"/>
      <c r="B124" s="151"/>
      <c r="C124" s="122"/>
      <c r="D124" s="122"/>
      <c r="E124" s="84"/>
      <c r="F124" s="77"/>
      <c r="G124" s="77"/>
      <c r="H124" s="37"/>
      <c r="I124" s="37"/>
      <c r="J124" s="37"/>
      <c r="K124" s="122"/>
      <c r="L124" s="37"/>
      <c r="M124" s="37"/>
      <c r="N124" s="139"/>
      <c r="O124" s="37"/>
      <c r="P124" s="37"/>
      <c r="Q124" s="37"/>
      <c r="R124" s="37"/>
      <c r="S124" s="37"/>
      <c r="T124" s="37"/>
      <c r="U124" s="37"/>
      <c r="V124" s="37"/>
      <c r="W124" s="37"/>
      <c r="X124" s="37"/>
      <c r="Y124" s="37"/>
      <c r="Z124" s="37"/>
    </row>
    <row r="125" spans="1:26" ht="12.5">
      <c r="A125" s="37"/>
      <c r="B125" s="151"/>
      <c r="C125" s="122"/>
      <c r="D125" s="122"/>
      <c r="E125" s="84"/>
      <c r="F125" s="77"/>
      <c r="G125" s="77"/>
      <c r="H125" s="37"/>
      <c r="I125" s="37"/>
      <c r="J125" s="37"/>
      <c r="K125" s="122"/>
      <c r="L125" s="37"/>
      <c r="M125" s="37"/>
      <c r="N125" s="139"/>
      <c r="O125" s="37"/>
      <c r="P125" s="37"/>
      <c r="Q125" s="37"/>
      <c r="R125" s="37"/>
      <c r="S125" s="37"/>
      <c r="T125" s="37"/>
      <c r="U125" s="37"/>
      <c r="V125" s="37"/>
      <c r="W125" s="37"/>
      <c r="X125" s="37"/>
      <c r="Y125" s="37"/>
      <c r="Z125" s="37"/>
    </row>
    <row r="126" spans="1:26" ht="12.5">
      <c r="A126" s="37"/>
      <c r="B126" s="151"/>
      <c r="C126" s="122"/>
      <c r="D126" s="122"/>
      <c r="E126" s="84"/>
      <c r="F126" s="77"/>
      <c r="G126" s="77"/>
      <c r="H126" s="37"/>
      <c r="I126" s="37"/>
      <c r="J126" s="37"/>
      <c r="K126" s="122"/>
      <c r="L126" s="37"/>
      <c r="M126" s="37"/>
      <c r="N126" s="139"/>
      <c r="O126" s="37"/>
      <c r="P126" s="37"/>
      <c r="Q126" s="37"/>
      <c r="R126" s="37"/>
      <c r="S126" s="37"/>
      <c r="T126" s="37"/>
      <c r="U126" s="37"/>
      <c r="V126" s="37"/>
      <c r="W126" s="37"/>
      <c r="X126" s="37"/>
      <c r="Y126" s="37"/>
      <c r="Z126" s="37"/>
    </row>
    <row r="127" spans="1:26" ht="12.5">
      <c r="A127" s="37"/>
      <c r="B127" s="151"/>
      <c r="C127" s="122"/>
      <c r="D127" s="122"/>
      <c r="E127" s="84"/>
      <c r="F127" s="77"/>
      <c r="G127" s="77"/>
      <c r="H127" s="37"/>
      <c r="I127" s="37"/>
      <c r="J127" s="37"/>
      <c r="K127" s="122"/>
      <c r="L127" s="37"/>
      <c r="M127" s="37"/>
      <c r="N127" s="139"/>
      <c r="O127" s="37"/>
      <c r="P127" s="37"/>
      <c r="Q127" s="37"/>
      <c r="R127" s="37"/>
      <c r="S127" s="37"/>
      <c r="T127" s="37"/>
      <c r="U127" s="37"/>
      <c r="V127" s="37"/>
      <c r="W127" s="37"/>
      <c r="X127" s="37"/>
      <c r="Y127" s="37"/>
      <c r="Z127" s="37"/>
    </row>
    <row r="128" spans="1:26" ht="12.5">
      <c r="A128" s="37"/>
      <c r="B128" s="151"/>
      <c r="C128" s="122"/>
      <c r="D128" s="122"/>
      <c r="E128" s="84"/>
      <c r="F128" s="77"/>
      <c r="G128" s="77"/>
      <c r="H128" s="37"/>
      <c r="I128" s="37"/>
      <c r="J128" s="37"/>
      <c r="K128" s="122"/>
      <c r="L128" s="37"/>
      <c r="M128" s="37"/>
      <c r="N128" s="139"/>
      <c r="O128" s="37"/>
      <c r="P128" s="37"/>
      <c r="Q128" s="37"/>
      <c r="R128" s="37"/>
      <c r="S128" s="37"/>
      <c r="T128" s="37"/>
      <c r="U128" s="37"/>
      <c r="V128" s="37"/>
      <c r="W128" s="37"/>
      <c r="X128" s="37"/>
      <c r="Y128" s="37"/>
      <c r="Z128" s="37"/>
    </row>
    <row r="129" spans="1:26" ht="12.5">
      <c r="A129" s="37"/>
      <c r="B129" s="151"/>
      <c r="C129" s="122"/>
      <c r="D129" s="122"/>
      <c r="E129" s="84"/>
      <c r="F129" s="77"/>
      <c r="G129" s="77"/>
      <c r="H129" s="37"/>
      <c r="I129" s="37"/>
      <c r="J129" s="37"/>
      <c r="K129" s="122"/>
      <c r="L129" s="37"/>
      <c r="M129" s="37"/>
      <c r="N129" s="139"/>
      <c r="O129" s="37"/>
      <c r="P129" s="37"/>
      <c r="Q129" s="37"/>
      <c r="R129" s="37"/>
      <c r="S129" s="37"/>
      <c r="T129" s="37"/>
      <c r="U129" s="37"/>
      <c r="V129" s="37"/>
      <c r="W129" s="37"/>
      <c r="X129" s="37"/>
      <c r="Y129" s="37"/>
      <c r="Z129" s="37"/>
    </row>
    <row r="130" spans="1:26" ht="12.5">
      <c r="A130" s="37"/>
      <c r="B130" s="151"/>
      <c r="C130" s="122"/>
      <c r="D130" s="122"/>
      <c r="E130" s="84"/>
      <c r="F130" s="77"/>
      <c r="G130" s="77"/>
      <c r="H130" s="37"/>
      <c r="I130" s="37"/>
      <c r="J130" s="37"/>
      <c r="K130" s="122"/>
      <c r="L130" s="37"/>
      <c r="M130" s="37"/>
      <c r="N130" s="139"/>
      <c r="O130" s="37"/>
      <c r="P130" s="37"/>
      <c r="Q130" s="37"/>
      <c r="R130" s="37"/>
      <c r="S130" s="37"/>
      <c r="T130" s="37"/>
      <c r="U130" s="37"/>
      <c r="V130" s="37"/>
      <c r="W130" s="37"/>
      <c r="X130" s="37"/>
      <c r="Y130" s="37"/>
      <c r="Z130" s="37"/>
    </row>
    <row r="131" spans="1:26" ht="12.5">
      <c r="A131" s="37"/>
      <c r="B131" s="151"/>
      <c r="C131" s="122"/>
      <c r="D131" s="122"/>
      <c r="E131" s="84"/>
      <c r="F131" s="77"/>
      <c r="G131" s="77"/>
      <c r="H131" s="37"/>
      <c r="I131" s="37"/>
      <c r="J131" s="37"/>
      <c r="K131" s="122"/>
      <c r="L131" s="37"/>
      <c r="M131" s="37"/>
      <c r="N131" s="139"/>
      <c r="O131" s="37"/>
      <c r="P131" s="37"/>
      <c r="Q131" s="37"/>
      <c r="R131" s="37"/>
      <c r="S131" s="37"/>
      <c r="T131" s="37"/>
      <c r="U131" s="37"/>
      <c r="V131" s="37"/>
      <c r="W131" s="37"/>
      <c r="X131" s="37"/>
      <c r="Y131" s="37"/>
      <c r="Z131" s="37"/>
    </row>
    <row r="132" spans="1:26" ht="12.5">
      <c r="A132" s="37"/>
      <c r="B132" s="151"/>
      <c r="C132" s="122"/>
      <c r="D132" s="122"/>
      <c r="E132" s="84"/>
      <c r="F132" s="77"/>
      <c r="G132" s="77"/>
      <c r="H132" s="37"/>
      <c r="I132" s="37"/>
      <c r="J132" s="37"/>
      <c r="K132" s="122"/>
      <c r="L132" s="37"/>
      <c r="M132" s="37"/>
      <c r="N132" s="139"/>
      <c r="O132" s="37"/>
      <c r="P132" s="37"/>
      <c r="Q132" s="37"/>
      <c r="R132" s="37"/>
      <c r="S132" s="37"/>
      <c r="T132" s="37"/>
      <c r="U132" s="37"/>
      <c r="V132" s="37"/>
      <c r="W132" s="37"/>
      <c r="X132" s="37"/>
      <c r="Y132" s="37"/>
      <c r="Z132" s="37"/>
    </row>
    <row r="133" spans="1:26" ht="12.5">
      <c r="A133" s="37"/>
      <c r="B133" s="151"/>
      <c r="C133" s="122"/>
      <c r="D133" s="122"/>
      <c r="E133" s="84"/>
      <c r="F133" s="77"/>
      <c r="G133" s="77"/>
      <c r="H133" s="37"/>
      <c r="I133" s="37"/>
      <c r="J133" s="37"/>
      <c r="K133" s="122"/>
      <c r="L133" s="37"/>
      <c r="M133" s="37"/>
      <c r="N133" s="139"/>
      <c r="O133" s="37"/>
      <c r="P133" s="37"/>
      <c r="Q133" s="37"/>
      <c r="R133" s="37"/>
      <c r="S133" s="37"/>
      <c r="T133" s="37"/>
      <c r="U133" s="37"/>
      <c r="V133" s="37"/>
      <c r="W133" s="37"/>
      <c r="X133" s="37"/>
      <c r="Y133" s="37"/>
      <c r="Z133" s="37"/>
    </row>
    <row r="134" spans="1:26" ht="12.5">
      <c r="A134" s="37"/>
      <c r="B134" s="151"/>
      <c r="C134" s="122"/>
      <c r="D134" s="122"/>
      <c r="E134" s="84"/>
      <c r="F134" s="77"/>
      <c r="G134" s="77"/>
      <c r="H134" s="37"/>
      <c r="I134" s="37"/>
      <c r="J134" s="37"/>
      <c r="K134" s="122"/>
      <c r="L134" s="37"/>
      <c r="M134" s="37"/>
      <c r="N134" s="139"/>
      <c r="O134" s="37"/>
      <c r="P134" s="37"/>
      <c r="Q134" s="37"/>
      <c r="R134" s="37"/>
      <c r="S134" s="37"/>
      <c r="T134" s="37"/>
      <c r="U134" s="37"/>
      <c r="V134" s="37"/>
      <c r="W134" s="37"/>
      <c r="X134" s="37"/>
      <c r="Y134" s="37"/>
      <c r="Z134" s="37"/>
    </row>
    <row r="135" spans="1:26" ht="12.5">
      <c r="A135" s="37"/>
      <c r="B135" s="151"/>
      <c r="C135" s="122"/>
      <c r="D135" s="122"/>
      <c r="E135" s="84"/>
      <c r="F135" s="77"/>
      <c r="G135" s="77"/>
      <c r="H135" s="37"/>
      <c r="I135" s="37"/>
      <c r="J135" s="37"/>
      <c r="K135" s="122"/>
      <c r="L135" s="37"/>
      <c r="M135" s="37"/>
      <c r="N135" s="139"/>
      <c r="O135" s="37"/>
      <c r="P135" s="37"/>
      <c r="Q135" s="37"/>
      <c r="R135" s="37"/>
      <c r="S135" s="37"/>
      <c r="T135" s="37"/>
      <c r="U135" s="37"/>
      <c r="V135" s="37"/>
      <c r="W135" s="37"/>
      <c r="X135" s="37"/>
      <c r="Y135" s="37"/>
      <c r="Z135" s="37"/>
    </row>
    <row r="136" spans="1:26" ht="12.5">
      <c r="A136" s="37"/>
      <c r="B136" s="151"/>
      <c r="C136" s="122"/>
      <c r="D136" s="122"/>
      <c r="E136" s="84"/>
      <c r="F136" s="77"/>
      <c r="G136" s="77"/>
      <c r="H136" s="37"/>
      <c r="I136" s="37"/>
      <c r="J136" s="37"/>
      <c r="K136" s="122"/>
      <c r="L136" s="37"/>
      <c r="M136" s="37"/>
      <c r="N136" s="139"/>
      <c r="O136" s="37"/>
      <c r="P136" s="37"/>
      <c r="Q136" s="37"/>
      <c r="R136" s="37"/>
      <c r="S136" s="37"/>
      <c r="T136" s="37"/>
      <c r="U136" s="37"/>
      <c r="V136" s="37"/>
      <c r="W136" s="37"/>
      <c r="X136" s="37"/>
      <c r="Y136" s="37"/>
      <c r="Z136" s="37"/>
    </row>
    <row r="137" spans="1:26" ht="12.5">
      <c r="A137" s="37"/>
      <c r="B137" s="151"/>
      <c r="C137" s="122"/>
      <c r="D137" s="122"/>
      <c r="E137" s="84"/>
      <c r="F137" s="77"/>
      <c r="G137" s="77"/>
      <c r="H137" s="37"/>
      <c r="I137" s="37"/>
      <c r="J137" s="37"/>
      <c r="K137" s="122"/>
      <c r="L137" s="37"/>
      <c r="M137" s="37"/>
      <c r="N137" s="139"/>
      <c r="O137" s="37"/>
      <c r="P137" s="37"/>
      <c r="Q137" s="37"/>
      <c r="R137" s="37"/>
      <c r="S137" s="37"/>
      <c r="T137" s="37"/>
      <c r="U137" s="37"/>
      <c r="V137" s="37"/>
      <c r="W137" s="37"/>
      <c r="X137" s="37"/>
      <c r="Y137" s="37"/>
      <c r="Z137" s="37"/>
    </row>
    <row r="138" spans="1:26" ht="12.5">
      <c r="A138" s="37"/>
      <c r="B138" s="151"/>
      <c r="C138" s="122"/>
      <c r="D138" s="122"/>
      <c r="E138" s="84"/>
      <c r="F138" s="77"/>
      <c r="G138" s="77"/>
      <c r="H138" s="37"/>
      <c r="I138" s="37"/>
      <c r="J138" s="37"/>
      <c r="K138" s="122"/>
      <c r="L138" s="37"/>
      <c r="M138" s="37"/>
      <c r="N138" s="139"/>
      <c r="O138" s="37"/>
      <c r="P138" s="37"/>
      <c r="Q138" s="37"/>
      <c r="R138" s="37"/>
      <c r="S138" s="37"/>
      <c r="T138" s="37"/>
      <c r="U138" s="37"/>
      <c r="V138" s="37"/>
      <c r="W138" s="37"/>
      <c r="X138" s="37"/>
      <c r="Y138" s="37"/>
      <c r="Z138" s="37"/>
    </row>
    <row r="139" spans="1:26" ht="12.5">
      <c r="A139" s="37"/>
      <c r="B139" s="151"/>
      <c r="C139" s="122"/>
      <c r="D139" s="122"/>
      <c r="E139" s="84"/>
      <c r="F139" s="77"/>
      <c r="G139" s="77"/>
      <c r="H139" s="37"/>
      <c r="I139" s="37"/>
      <c r="J139" s="37"/>
      <c r="K139" s="122"/>
      <c r="L139" s="37"/>
      <c r="M139" s="37"/>
      <c r="N139" s="139"/>
      <c r="O139" s="37"/>
      <c r="P139" s="37"/>
      <c r="Q139" s="37"/>
      <c r="R139" s="37"/>
      <c r="S139" s="37"/>
      <c r="T139" s="37"/>
      <c r="U139" s="37"/>
      <c r="V139" s="37"/>
      <c r="W139" s="37"/>
      <c r="X139" s="37"/>
      <c r="Y139" s="37"/>
      <c r="Z139" s="37"/>
    </row>
    <row r="140" spans="1:26" ht="12.5">
      <c r="A140" s="37"/>
      <c r="B140" s="151"/>
      <c r="C140" s="122"/>
      <c r="D140" s="122"/>
      <c r="E140" s="84"/>
      <c r="F140" s="77"/>
      <c r="G140" s="77"/>
      <c r="H140" s="37"/>
      <c r="I140" s="37"/>
      <c r="J140" s="37"/>
      <c r="K140" s="122"/>
      <c r="L140" s="37"/>
      <c r="M140" s="37"/>
      <c r="N140" s="139"/>
      <c r="O140" s="37"/>
      <c r="P140" s="37"/>
      <c r="Q140" s="37"/>
      <c r="R140" s="37"/>
      <c r="S140" s="37"/>
      <c r="T140" s="37"/>
      <c r="U140" s="37"/>
      <c r="V140" s="37"/>
      <c r="W140" s="37"/>
      <c r="X140" s="37"/>
      <c r="Y140" s="37"/>
      <c r="Z140" s="37"/>
    </row>
    <row r="141" spans="1:26" ht="12.5">
      <c r="A141" s="37"/>
      <c r="B141" s="151"/>
      <c r="C141" s="122"/>
      <c r="D141" s="122"/>
      <c r="E141" s="84"/>
      <c r="F141" s="77"/>
      <c r="G141" s="77"/>
      <c r="H141" s="37"/>
      <c r="I141" s="37"/>
      <c r="J141" s="37"/>
      <c r="K141" s="122"/>
      <c r="L141" s="37"/>
      <c r="M141" s="37"/>
      <c r="N141" s="139"/>
      <c r="O141" s="37"/>
      <c r="P141" s="37"/>
      <c r="Q141" s="37"/>
      <c r="R141" s="37"/>
      <c r="S141" s="37"/>
      <c r="T141" s="37"/>
      <c r="U141" s="37"/>
      <c r="V141" s="37"/>
      <c r="W141" s="37"/>
      <c r="X141" s="37"/>
      <c r="Y141" s="37"/>
      <c r="Z141" s="37"/>
    </row>
    <row r="142" spans="1:26" ht="12.5">
      <c r="A142" s="37"/>
      <c r="B142" s="151"/>
      <c r="C142" s="122"/>
      <c r="D142" s="122"/>
      <c r="E142" s="84"/>
      <c r="F142" s="77"/>
      <c r="G142" s="77"/>
      <c r="H142" s="37"/>
      <c r="I142" s="37"/>
      <c r="J142" s="37"/>
      <c r="K142" s="122"/>
      <c r="L142" s="37"/>
      <c r="M142" s="37"/>
      <c r="N142" s="139"/>
      <c r="O142" s="37"/>
      <c r="P142" s="37"/>
      <c r="Q142" s="37"/>
      <c r="R142" s="37"/>
      <c r="S142" s="37"/>
      <c r="T142" s="37"/>
      <c r="U142" s="37"/>
      <c r="V142" s="37"/>
      <c r="W142" s="37"/>
      <c r="X142" s="37"/>
      <c r="Y142" s="37"/>
      <c r="Z142" s="37"/>
    </row>
    <row r="143" spans="1:26" ht="12.5">
      <c r="A143" s="37"/>
      <c r="B143" s="151"/>
      <c r="C143" s="122"/>
      <c r="D143" s="122"/>
      <c r="E143" s="84"/>
      <c r="F143" s="77"/>
      <c r="G143" s="77"/>
      <c r="H143" s="37"/>
      <c r="I143" s="37"/>
      <c r="J143" s="37"/>
      <c r="K143" s="122"/>
      <c r="L143" s="37"/>
      <c r="M143" s="37"/>
      <c r="N143" s="139"/>
      <c r="O143" s="37"/>
      <c r="P143" s="37"/>
      <c r="Q143" s="37"/>
      <c r="R143" s="37"/>
      <c r="S143" s="37"/>
      <c r="T143" s="37"/>
      <c r="U143" s="37"/>
      <c r="V143" s="37"/>
      <c r="W143" s="37"/>
      <c r="X143" s="37"/>
      <c r="Y143" s="37"/>
      <c r="Z143" s="37"/>
    </row>
    <row r="144" spans="1:26" ht="12.5">
      <c r="A144" s="37"/>
      <c r="B144" s="151"/>
      <c r="C144" s="122"/>
      <c r="D144" s="122"/>
      <c r="E144" s="84"/>
      <c r="F144" s="77"/>
      <c r="G144" s="77"/>
      <c r="H144" s="37"/>
      <c r="I144" s="37"/>
      <c r="J144" s="37"/>
      <c r="K144" s="122"/>
      <c r="L144" s="37"/>
      <c r="M144" s="37"/>
      <c r="N144" s="139"/>
      <c r="O144" s="37"/>
      <c r="P144" s="37"/>
      <c r="Q144" s="37"/>
      <c r="R144" s="37"/>
      <c r="S144" s="37"/>
      <c r="T144" s="37"/>
      <c r="U144" s="37"/>
      <c r="V144" s="37"/>
      <c r="W144" s="37"/>
      <c r="X144" s="37"/>
      <c r="Y144" s="37"/>
      <c r="Z144" s="37"/>
    </row>
    <row r="145" spans="1:26" ht="12.5">
      <c r="A145" s="37"/>
      <c r="B145" s="151"/>
      <c r="C145" s="122"/>
      <c r="D145" s="122"/>
      <c r="E145" s="84"/>
      <c r="F145" s="77"/>
      <c r="G145" s="77"/>
      <c r="H145" s="37"/>
      <c r="I145" s="37"/>
      <c r="J145" s="37"/>
      <c r="K145" s="122"/>
      <c r="L145" s="37"/>
      <c r="M145" s="37"/>
      <c r="N145" s="139"/>
      <c r="O145" s="37"/>
      <c r="P145" s="37"/>
      <c r="Q145" s="37"/>
      <c r="R145" s="37"/>
      <c r="S145" s="37"/>
      <c r="T145" s="37"/>
      <c r="U145" s="37"/>
      <c r="V145" s="37"/>
      <c r="W145" s="37"/>
      <c r="X145" s="37"/>
      <c r="Y145" s="37"/>
      <c r="Z145" s="37"/>
    </row>
    <row r="146" spans="1:26" ht="12.5">
      <c r="A146" s="37"/>
      <c r="B146" s="151"/>
      <c r="C146" s="122"/>
      <c r="D146" s="122"/>
      <c r="E146" s="84"/>
      <c r="F146" s="77"/>
      <c r="G146" s="77"/>
      <c r="H146" s="37"/>
      <c r="I146" s="37"/>
      <c r="J146" s="37"/>
      <c r="K146" s="122"/>
      <c r="L146" s="37"/>
      <c r="M146" s="37"/>
      <c r="N146" s="139"/>
      <c r="O146" s="37"/>
      <c r="P146" s="37"/>
      <c r="Q146" s="37"/>
      <c r="R146" s="37"/>
      <c r="S146" s="37"/>
      <c r="T146" s="37"/>
      <c r="U146" s="37"/>
      <c r="V146" s="37"/>
      <c r="W146" s="37"/>
      <c r="X146" s="37"/>
      <c r="Y146" s="37"/>
      <c r="Z146" s="37"/>
    </row>
    <row r="147" spans="1:26" ht="12.5">
      <c r="A147" s="37"/>
      <c r="B147" s="151"/>
      <c r="C147" s="122"/>
      <c r="D147" s="122"/>
      <c r="E147" s="84"/>
      <c r="F147" s="77"/>
      <c r="G147" s="77"/>
      <c r="H147" s="37"/>
      <c r="I147" s="37"/>
      <c r="J147" s="37"/>
      <c r="K147" s="122"/>
      <c r="L147" s="37"/>
      <c r="M147" s="37"/>
      <c r="N147" s="139"/>
      <c r="O147" s="37"/>
      <c r="P147" s="37"/>
      <c r="Q147" s="37"/>
      <c r="R147" s="37"/>
      <c r="S147" s="37"/>
      <c r="T147" s="37"/>
      <c r="U147" s="37"/>
      <c r="V147" s="37"/>
      <c r="W147" s="37"/>
      <c r="X147" s="37"/>
      <c r="Y147" s="37"/>
      <c r="Z147" s="37"/>
    </row>
    <row r="148" spans="1:26" ht="12.5">
      <c r="A148" s="37"/>
      <c r="B148" s="151"/>
      <c r="C148" s="122"/>
      <c r="D148" s="122"/>
      <c r="E148" s="84"/>
      <c r="F148" s="77"/>
      <c r="G148" s="77"/>
      <c r="H148" s="37"/>
      <c r="I148" s="37"/>
      <c r="J148" s="37"/>
      <c r="K148" s="122"/>
      <c r="L148" s="37"/>
      <c r="M148" s="37"/>
      <c r="N148" s="139"/>
      <c r="O148" s="37"/>
      <c r="P148" s="37"/>
      <c r="Q148" s="37"/>
      <c r="R148" s="37"/>
      <c r="S148" s="37"/>
      <c r="T148" s="37"/>
      <c r="U148" s="37"/>
      <c r="V148" s="37"/>
      <c r="W148" s="37"/>
      <c r="X148" s="37"/>
      <c r="Y148" s="37"/>
      <c r="Z148" s="37"/>
    </row>
    <row r="149" spans="1:26" ht="12.5">
      <c r="A149" s="37"/>
      <c r="B149" s="151"/>
      <c r="C149" s="122"/>
      <c r="D149" s="122"/>
      <c r="E149" s="84"/>
      <c r="F149" s="77"/>
      <c r="G149" s="77"/>
      <c r="H149" s="37"/>
      <c r="I149" s="37"/>
      <c r="J149" s="37"/>
      <c r="K149" s="122"/>
      <c r="L149" s="37"/>
      <c r="M149" s="37"/>
      <c r="N149" s="139"/>
      <c r="O149" s="37"/>
      <c r="P149" s="37"/>
      <c r="Q149" s="37"/>
      <c r="R149" s="37"/>
      <c r="S149" s="37"/>
      <c r="T149" s="37"/>
      <c r="U149" s="37"/>
      <c r="V149" s="37"/>
      <c r="W149" s="37"/>
      <c r="X149" s="37"/>
      <c r="Y149" s="37"/>
      <c r="Z149" s="37"/>
    </row>
    <row r="150" spans="1:26" ht="12.5">
      <c r="A150" s="37"/>
      <c r="B150" s="151"/>
      <c r="C150" s="122"/>
      <c r="D150" s="122"/>
      <c r="E150" s="84"/>
      <c r="F150" s="77"/>
      <c r="G150" s="77"/>
      <c r="H150" s="37"/>
      <c r="I150" s="37"/>
      <c r="J150" s="37"/>
      <c r="K150" s="122"/>
      <c r="L150" s="37"/>
      <c r="M150" s="37"/>
      <c r="N150" s="139"/>
      <c r="O150" s="37"/>
      <c r="P150" s="37"/>
      <c r="Q150" s="37"/>
      <c r="R150" s="37"/>
      <c r="S150" s="37"/>
      <c r="T150" s="37"/>
      <c r="U150" s="37"/>
      <c r="V150" s="37"/>
      <c r="W150" s="37"/>
      <c r="X150" s="37"/>
      <c r="Y150" s="37"/>
      <c r="Z150" s="37"/>
    </row>
    <row r="151" spans="1:26" ht="12.5">
      <c r="A151" s="37"/>
      <c r="B151" s="151"/>
      <c r="C151" s="122"/>
      <c r="D151" s="122"/>
      <c r="E151" s="84"/>
      <c r="F151" s="77"/>
      <c r="G151" s="77"/>
      <c r="H151" s="37"/>
      <c r="I151" s="37"/>
      <c r="J151" s="37"/>
      <c r="K151" s="122"/>
      <c r="L151" s="37"/>
      <c r="M151" s="37"/>
      <c r="N151" s="139"/>
      <c r="O151" s="37"/>
      <c r="P151" s="37"/>
      <c r="Q151" s="37"/>
      <c r="R151" s="37"/>
      <c r="S151" s="37"/>
      <c r="T151" s="37"/>
      <c r="U151" s="37"/>
      <c r="V151" s="37"/>
      <c r="W151" s="37"/>
      <c r="X151" s="37"/>
      <c r="Y151" s="37"/>
      <c r="Z151" s="37"/>
    </row>
    <row r="152" spans="1:26" ht="12.5">
      <c r="A152" s="37"/>
      <c r="B152" s="151"/>
      <c r="C152" s="122"/>
      <c r="D152" s="122"/>
      <c r="E152" s="84"/>
      <c r="F152" s="77"/>
      <c r="G152" s="77"/>
      <c r="H152" s="37"/>
      <c r="I152" s="37"/>
      <c r="J152" s="37"/>
      <c r="K152" s="122"/>
      <c r="L152" s="37"/>
      <c r="M152" s="37"/>
      <c r="N152" s="139"/>
      <c r="O152" s="37"/>
      <c r="P152" s="37"/>
      <c r="Q152" s="37"/>
      <c r="R152" s="37"/>
      <c r="S152" s="37"/>
      <c r="T152" s="37"/>
      <c r="U152" s="37"/>
      <c r="V152" s="37"/>
      <c r="W152" s="37"/>
      <c r="X152" s="37"/>
      <c r="Y152" s="37"/>
      <c r="Z152" s="37"/>
    </row>
    <row r="153" spans="1:26" ht="12.5">
      <c r="A153" s="37"/>
      <c r="B153" s="151"/>
      <c r="C153" s="122"/>
      <c r="D153" s="122"/>
      <c r="E153" s="84"/>
      <c r="F153" s="77"/>
      <c r="G153" s="77"/>
      <c r="H153" s="37"/>
      <c r="I153" s="37"/>
      <c r="J153" s="37"/>
      <c r="K153" s="122"/>
      <c r="L153" s="37"/>
      <c r="M153" s="37"/>
      <c r="N153" s="139"/>
      <c r="O153" s="37"/>
      <c r="P153" s="37"/>
      <c r="Q153" s="37"/>
      <c r="R153" s="37"/>
      <c r="S153" s="37"/>
      <c r="T153" s="37"/>
      <c r="U153" s="37"/>
      <c r="V153" s="37"/>
      <c r="W153" s="37"/>
      <c r="X153" s="37"/>
      <c r="Y153" s="37"/>
      <c r="Z153" s="37"/>
    </row>
    <row r="154" spans="1:26" ht="12.5">
      <c r="A154" s="37"/>
      <c r="B154" s="151"/>
      <c r="C154" s="122"/>
      <c r="D154" s="122"/>
      <c r="E154" s="84"/>
      <c r="F154" s="77"/>
      <c r="G154" s="77"/>
      <c r="H154" s="37"/>
      <c r="I154" s="37"/>
      <c r="J154" s="37"/>
      <c r="K154" s="122"/>
      <c r="L154" s="37"/>
      <c r="M154" s="37"/>
      <c r="N154" s="139"/>
      <c r="O154" s="37"/>
      <c r="P154" s="37"/>
      <c r="Q154" s="37"/>
      <c r="R154" s="37"/>
      <c r="S154" s="37"/>
      <c r="T154" s="37"/>
      <c r="U154" s="37"/>
      <c r="V154" s="37"/>
      <c r="W154" s="37"/>
      <c r="X154" s="37"/>
      <c r="Y154" s="37"/>
      <c r="Z154" s="37"/>
    </row>
    <row r="155" spans="1:26" ht="12.5">
      <c r="A155" s="37"/>
      <c r="B155" s="151"/>
      <c r="C155" s="122"/>
      <c r="D155" s="122"/>
      <c r="E155" s="84"/>
      <c r="F155" s="77"/>
      <c r="G155" s="77"/>
      <c r="H155" s="37"/>
      <c r="I155" s="37"/>
      <c r="J155" s="37"/>
      <c r="K155" s="122"/>
      <c r="L155" s="37"/>
      <c r="M155" s="37"/>
      <c r="N155" s="139"/>
      <c r="O155" s="37"/>
      <c r="P155" s="37"/>
      <c r="Q155" s="37"/>
      <c r="R155" s="37"/>
      <c r="S155" s="37"/>
      <c r="T155" s="37"/>
      <c r="U155" s="37"/>
      <c r="V155" s="37"/>
      <c r="W155" s="37"/>
      <c r="X155" s="37"/>
      <c r="Y155" s="37"/>
      <c r="Z155" s="37"/>
    </row>
    <row r="156" spans="1:26" ht="12.5">
      <c r="A156" s="37"/>
      <c r="B156" s="151"/>
      <c r="C156" s="122"/>
      <c r="D156" s="122"/>
      <c r="E156" s="84"/>
      <c r="F156" s="77"/>
      <c r="G156" s="77"/>
      <c r="H156" s="37"/>
      <c r="I156" s="37"/>
      <c r="J156" s="37"/>
      <c r="K156" s="122"/>
      <c r="L156" s="37"/>
      <c r="M156" s="37"/>
      <c r="N156" s="139"/>
      <c r="O156" s="37"/>
      <c r="P156" s="37"/>
      <c r="Q156" s="37"/>
      <c r="R156" s="37"/>
      <c r="S156" s="37"/>
      <c r="T156" s="37"/>
      <c r="U156" s="37"/>
      <c r="V156" s="37"/>
      <c r="W156" s="37"/>
      <c r="X156" s="37"/>
      <c r="Y156" s="37"/>
      <c r="Z156" s="37"/>
    </row>
    <row r="157" spans="1:26" ht="12.5">
      <c r="A157" s="37"/>
      <c r="B157" s="151"/>
      <c r="C157" s="122"/>
      <c r="D157" s="122"/>
      <c r="E157" s="84"/>
      <c r="F157" s="77"/>
      <c r="G157" s="77"/>
      <c r="H157" s="37"/>
      <c r="I157" s="37"/>
      <c r="J157" s="37"/>
      <c r="K157" s="122"/>
      <c r="L157" s="37"/>
      <c r="M157" s="37"/>
      <c r="N157" s="139"/>
      <c r="O157" s="37"/>
      <c r="P157" s="37"/>
      <c r="Q157" s="37"/>
      <c r="R157" s="37"/>
      <c r="S157" s="37"/>
      <c r="T157" s="37"/>
      <c r="U157" s="37"/>
      <c r="V157" s="37"/>
      <c r="W157" s="37"/>
      <c r="X157" s="37"/>
      <c r="Y157" s="37"/>
      <c r="Z157" s="37"/>
    </row>
    <row r="158" spans="1:26" ht="12.5">
      <c r="A158" s="37"/>
      <c r="B158" s="151"/>
      <c r="C158" s="122"/>
      <c r="D158" s="122"/>
      <c r="E158" s="84"/>
      <c r="F158" s="77"/>
      <c r="G158" s="77"/>
      <c r="H158" s="37"/>
      <c r="I158" s="37"/>
      <c r="J158" s="37"/>
      <c r="K158" s="122"/>
      <c r="L158" s="37"/>
      <c r="M158" s="37"/>
      <c r="N158" s="139"/>
      <c r="O158" s="37"/>
      <c r="P158" s="37"/>
      <c r="Q158" s="37"/>
      <c r="R158" s="37"/>
      <c r="S158" s="37"/>
      <c r="T158" s="37"/>
      <c r="U158" s="37"/>
      <c r="V158" s="37"/>
      <c r="W158" s="37"/>
      <c r="X158" s="37"/>
      <c r="Y158" s="37"/>
      <c r="Z158" s="37"/>
    </row>
    <row r="159" spans="1:26" ht="12.5">
      <c r="A159" s="37"/>
      <c r="B159" s="151"/>
      <c r="C159" s="122"/>
      <c r="D159" s="122"/>
      <c r="E159" s="84"/>
      <c r="F159" s="77"/>
      <c r="G159" s="77"/>
      <c r="H159" s="37"/>
      <c r="I159" s="37"/>
      <c r="J159" s="37"/>
      <c r="K159" s="122"/>
      <c r="L159" s="37"/>
      <c r="M159" s="37"/>
      <c r="N159" s="139"/>
      <c r="O159" s="37"/>
      <c r="P159" s="37"/>
      <c r="Q159" s="37"/>
      <c r="R159" s="37"/>
      <c r="S159" s="37"/>
      <c r="T159" s="37"/>
      <c r="U159" s="37"/>
      <c r="V159" s="37"/>
      <c r="W159" s="37"/>
      <c r="X159" s="37"/>
      <c r="Y159" s="37"/>
      <c r="Z159" s="37"/>
    </row>
    <row r="160" spans="1:26" ht="12.5">
      <c r="A160" s="37"/>
      <c r="B160" s="151"/>
      <c r="C160" s="122"/>
      <c r="D160" s="122"/>
      <c r="E160" s="84"/>
      <c r="F160" s="77"/>
      <c r="G160" s="77"/>
      <c r="H160" s="37"/>
      <c r="I160" s="37"/>
      <c r="J160" s="37"/>
      <c r="K160" s="122"/>
      <c r="L160" s="37"/>
      <c r="M160" s="37"/>
      <c r="N160" s="139"/>
      <c r="O160" s="37"/>
      <c r="P160" s="37"/>
      <c r="Q160" s="37"/>
      <c r="R160" s="37"/>
      <c r="S160" s="37"/>
      <c r="T160" s="37"/>
      <c r="U160" s="37"/>
      <c r="V160" s="37"/>
      <c r="W160" s="37"/>
      <c r="X160" s="37"/>
      <c r="Y160" s="37"/>
      <c r="Z160" s="37"/>
    </row>
    <row r="161" spans="1:26" ht="12.5">
      <c r="A161" s="37"/>
      <c r="B161" s="151"/>
      <c r="C161" s="122"/>
      <c r="D161" s="122"/>
      <c r="E161" s="84"/>
      <c r="F161" s="77"/>
      <c r="G161" s="77"/>
      <c r="H161" s="37"/>
      <c r="I161" s="37"/>
      <c r="J161" s="37"/>
      <c r="K161" s="122"/>
      <c r="L161" s="37"/>
      <c r="M161" s="37"/>
      <c r="N161" s="139"/>
      <c r="O161" s="37"/>
      <c r="P161" s="37"/>
      <c r="Q161" s="37"/>
      <c r="R161" s="37"/>
      <c r="S161" s="37"/>
      <c r="T161" s="37"/>
      <c r="U161" s="37"/>
      <c r="V161" s="37"/>
      <c r="W161" s="37"/>
      <c r="X161" s="37"/>
      <c r="Y161" s="37"/>
      <c r="Z161" s="37"/>
    </row>
    <row r="162" spans="1:26" ht="12.5">
      <c r="A162" s="37"/>
      <c r="B162" s="151"/>
      <c r="C162" s="122"/>
      <c r="D162" s="122"/>
      <c r="E162" s="84"/>
      <c r="F162" s="77"/>
      <c r="G162" s="77"/>
      <c r="H162" s="37"/>
      <c r="I162" s="37"/>
      <c r="J162" s="37"/>
      <c r="K162" s="122"/>
      <c r="L162" s="37"/>
      <c r="M162" s="37"/>
      <c r="N162" s="139"/>
      <c r="O162" s="37"/>
      <c r="P162" s="37"/>
      <c r="Q162" s="37"/>
      <c r="R162" s="37"/>
      <c r="S162" s="37"/>
      <c r="T162" s="37"/>
      <c r="U162" s="37"/>
      <c r="V162" s="37"/>
      <c r="W162" s="37"/>
      <c r="X162" s="37"/>
      <c r="Y162" s="37"/>
      <c r="Z162" s="37"/>
    </row>
    <row r="163" spans="1:26" ht="12.5">
      <c r="A163" s="37"/>
      <c r="B163" s="151"/>
      <c r="C163" s="122"/>
      <c r="D163" s="122"/>
      <c r="E163" s="84"/>
      <c r="F163" s="77"/>
      <c r="G163" s="77"/>
      <c r="H163" s="37"/>
      <c r="I163" s="37"/>
      <c r="J163" s="37"/>
      <c r="K163" s="122"/>
      <c r="L163" s="37"/>
      <c r="M163" s="37"/>
      <c r="N163" s="139"/>
      <c r="O163" s="37"/>
      <c r="P163" s="37"/>
      <c r="Q163" s="37"/>
      <c r="R163" s="37"/>
      <c r="S163" s="37"/>
      <c r="T163" s="37"/>
      <c r="U163" s="37"/>
      <c r="V163" s="37"/>
      <c r="W163" s="37"/>
      <c r="X163" s="37"/>
      <c r="Y163" s="37"/>
      <c r="Z163" s="37"/>
    </row>
    <row r="164" spans="1:26" ht="12.5">
      <c r="A164" s="37"/>
      <c r="B164" s="151"/>
      <c r="C164" s="122"/>
      <c r="D164" s="122"/>
      <c r="E164" s="84"/>
      <c r="F164" s="77"/>
      <c r="G164" s="77"/>
      <c r="H164" s="37"/>
      <c r="I164" s="37"/>
      <c r="J164" s="37"/>
      <c r="K164" s="122"/>
      <c r="L164" s="37"/>
      <c r="M164" s="37"/>
      <c r="N164" s="139"/>
      <c r="O164" s="37"/>
      <c r="P164" s="37"/>
      <c r="Q164" s="37"/>
      <c r="R164" s="37"/>
      <c r="S164" s="37"/>
      <c r="T164" s="37"/>
      <c r="U164" s="37"/>
      <c r="V164" s="37"/>
      <c r="W164" s="37"/>
      <c r="X164" s="37"/>
      <c r="Y164" s="37"/>
      <c r="Z164" s="37"/>
    </row>
    <row r="165" spans="1:26" ht="12.5">
      <c r="A165" s="37"/>
      <c r="B165" s="151"/>
      <c r="C165" s="122"/>
      <c r="D165" s="122"/>
      <c r="E165" s="84"/>
      <c r="F165" s="77"/>
      <c r="G165" s="77"/>
      <c r="H165" s="37"/>
      <c r="I165" s="37"/>
      <c r="J165" s="37"/>
      <c r="K165" s="122"/>
      <c r="L165" s="37"/>
      <c r="M165" s="37"/>
      <c r="N165" s="139"/>
      <c r="O165" s="37"/>
      <c r="P165" s="37"/>
      <c r="Q165" s="37"/>
      <c r="R165" s="37"/>
      <c r="S165" s="37"/>
      <c r="T165" s="37"/>
      <c r="U165" s="37"/>
      <c r="V165" s="37"/>
      <c r="W165" s="37"/>
      <c r="X165" s="37"/>
      <c r="Y165" s="37"/>
      <c r="Z165" s="37"/>
    </row>
    <row r="166" spans="1:26" ht="12.5">
      <c r="A166" s="37"/>
      <c r="B166" s="151"/>
      <c r="C166" s="122"/>
      <c r="D166" s="122"/>
      <c r="E166" s="84"/>
      <c r="F166" s="77"/>
      <c r="G166" s="77"/>
      <c r="H166" s="37"/>
      <c r="I166" s="37"/>
      <c r="J166" s="37"/>
      <c r="K166" s="122"/>
      <c r="L166" s="37"/>
      <c r="M166" s="37"/>
      <c r="N166" s="139"/>
      <c r="O166" s="37"/>
      <c r="P166" s="37"/>
      <c r="Q166" s="37"/>
      <c r="R166" s="37"/>
      <c r="S166" s="37"/>
      <c r="T166" s="37"/>
      <c r="U166" s="37"/>
      <c r="V166" s="37"/>
      <c r="W166" s="37"/>
      <c r="X166" s="37"/>
      <c r="Y166" s="37"/>
      <c r="Z166" s="37"/>
    </row>
    <row r="167" spans="1:26" ht="12.5">
      <c r="A167" s="37"/>
      <c r="B167" s="151"/>
      <c r="C167" s="122"/>
      <c r="D167" s="122"/>
      <c r="E167" s="84"/>
      <c r="F167" s="77"/>
      <c r="G167" s="77"/>
      <c r="H167" s="37"/>
      <c r="I167" s="37"/>
      <c r="J167" s="37"/>
      <c r="K167" s="122"/>
      <c r="L167" s="37"/>
      <c r="M167" s="37"/>
      <c r="N167" s="139"/>
      <c r="O167" s="37"/>
      <c r="P167" s="37"/>
      <c r="Q167" s="37"/>
      <c r="R167" s="37"/>
      <c r="S167" s="37"/>
      <c r="T167" s="37"/>
      <c r="U167" s="37"/>
      <c r="V167" s="37"/>
      <c r="W167" s="37"/>
      <c r="X167" s="37"/>
      <c r="Y167" s="37"/>
      <c r="Z167" s="37"/>
    </row>
    <row r="168" spans="1:26" ht="12.5">
      <c r="A168" s="37"/>
      <c r="B168" s="151"/>
      <c r="C168" s="122"/>
      <c r="D168" s="122"/>
      <c r="E168" s="84"/>
      <c r="F168" s="77"/>
      <c r="G168" s="77"/>
      <c r="H168" s="37"/>
      <c r="I168" s="37"/>
      <c r="J168" s="37"/>
      <c r="K168" s="122"/>
      <c r="L168" s="37"/>
      <c r="M168" s="37"/>
      <c r="N168" s="139"/>
      <c r="O168" s="37"/>
      <c r="P168" s="37"/>
      <c r="Q168" s="37"/>
      <c r="R168" s="37"/>
      <c r="S168" s="37"/>
      <c r="T168" s="37"/>
      <c r="U168" s="37"/>
      <c r="V168" s="37"/>
      <c r="W168" s="37"/>
      <c r="X168" s="37"/>
      <c r="Y168" s="37"/>
      <c r="Z168" s="37"/>
    </row>
    <row r="169" spans="1:26" ht="12.5">
      <c r="A169" s="37"/>
      <c r="B169" s="151"/>
      <c r="C169" s="122"/>
      <c r="D169" s="122"/>
      <c r="E169" s="84"/>
      <c r="F169" s="77"/>
      <c r="G169" s="77"/>
      <c r="H169" s="37"/>
      <c r="I169" s="37"/>
      <c r="J169" s="37"/>
      <c r="K169" s="122"/>
      <c r="L169" s="37"/>
      <c r="M169" s="37"/>
      <c r="N169" s="139"/>
      <c r="O169" s="37"/>
      <c r="P169" s="37"/>
      <c r="Q169" s="37"/>
      <c r="R169" s="37"/>
      <c r="S169" s="37"/>
      <c r="T169" s="37"/>
      <c r="U169" s="37"/>
      <c r="V169" s="37"/>
      <c r="W169" s="37"/>
      <c r="X169" s="37"/>
      <c r="Y169" s="37"/>
      <c r="Z169" s="37"/>
    </row>
    <row r="170" spans="1:26" ht="12.5">
      <c r="A170" s="37"/>
      <c r="B170" s="151"/>
      <c r="C170" s="122"/>
      <c r="D170" s="122"/>
      <c r="E170" s="84"/>
      <c r="F170" s="77"/>
      <c r="G170" s="77"/>
      <c r="H170" s="37"/>
      <c r="I170" s="37"/>
      <c r="J170" s="37"/>
      <c r="K170" s="122"/>
      <c r="L170" s="37"/>
      <c r="M170" s="37"/>
      <c r="N170" s="139"/>
      <c r="O170" s="37"/>
      <c r="P170" s="37"/>
      <c r="Q170" s="37"/>
      <c r="R170" s="37"/>
      <c r="S170" s="37"/>
      <c r="T170" s="37"/>
      <c r="U170" s="37"/>
      <c r="V170" s="37"/>
      <c r="W170" s="37"/>
      <c r="X170" s="37"/>
      <c r="Y170" s="37"/>
      <c r="Z170" s="37"/>
    </row>
    <row r="171" spans="1:26" ht="12.5">
      <c r="A171" s="37"/>
      <c r="B171" s="151"/>
      <c r="C171" s="122"/>
      <c r="D171" s="122"/>
      <c r="E171" s="84"/>
      <c r="F171" s="77"/>
      <c r="G171" s="77"/>
      <c r="H171" s="37"/>
      <c r="I171" s="37"/>
      <c r="J171" s="37"/>
      <c r="K171" s="122"/>
      <c r="L171" s="37"/>
      <c r="M171" s="37"/>
      <c r="N171" s="139"/>
      <c r="O171" s="37"/>
      <c r="P171" s="37"/>
      <c r="Q171" s="37"/>
      <c r="R171" s="37"/>
      <c r="S171" s="37"/>
      <c r="T171" s="37"/>
      <c r="U171" s="37"/>
      <c r="V171" s="37"/>
      <c r="W171" s="37"/>
      <c r="X171" s="37"/>
      <c r="Y171" s="37"/>
      <c r="Z171" s="37"/>
    </row>
    <row r="172" spans="1:26" ht="12.5">
      <c r="A172" s="37"/>
      <c r="B172" s="151"/>
      <c r="C172" s="122"/>
      <c r="D172" s="122"/>
      <c r="E172" s="84"/>
      <c r="F172" s="77"/>
      <c r="G172" s="77"/>
      <c r="H172" s="37"/>
      <c r="I172" s="37"/>
      <c r="J172" s="37"/>
      <c r="K172" s="122"/>
      <c r="L172" s="37"/>
      <c r="M172" s="37"/>
      <c r="N172" s="139"/>
      <c r="O172" s="37"/>
      <c r="P172" s="37"/>
      <c r="Q172" s="37"/>
      <c r="R172" s="37"/>
      <c r="S172" s="37"/>
      <c r="T172" s="37"/>
      <c r="U172" s="37"/>
      <c r="V172" s="37"/>
      <c r="W172" s="37"/>
      <c r="X172" s="37"/>
      <c r="Y172" s="37"/>
      <c r="Z172" s="37"/>
    </row>
    <row r="173" spans="1:26" ht="12.5">
      <c r="A173" s="37"/>
      <c r="B173" s="151"/>
      <c r="C173" s="122"/>
      <c r="D173" s="122"/>
      <c r="E173" s="84"/>
      <c r="F173" s="77"/>
      <c r="G173" s="77"/>
      <c r="H173" s="37"/>
      <c r="I173" s="37"/>
      <c r="J173" s="37"/>
      <c r="K173" s="122"/>
      <c r="L173" s="37"/>
      <c r="M173" s="37"/>
      <c r="N173" s="139"/>
      <c r="O173" s="37"/>
      <c r="P173" s="37"/>
      <c r="Q173" s="37"/>
      <c r="R173" s="37"/>
      <c r="S173" s="37"/>
      <c r="T173" s="37"/>
      <c r="U173" s="37"/>
      <c r="V173" s="37"/>
      <c r="W173" s="37"/>
      <c r="X173" s="37"/>
      <c r="Y173" s="37"/>
      <c r="Z173" s="37"/>
    </row>
    <row r="174" spans="1:26" ht="12.5">
      <c r="A174" s="37"/>
      <c r="B174" s="151"/>
      <c r="C174" s="122"/>
      <c r="D174" s="122"/>
      <c r="E174" s="84"/>
      <c r="F174" s="77"/>
      <c r="G174" s="77"/>
      <c r="H174" s="37"/>
      <c r="I174" s="37"/>
      <c r="J174" s="37"/>
      <c r="K174" s="122"/>
      <c r="L174" s="37"/>
      <c r="M174" s="37"/>
      <c r="N174" s="139"/>
      <c r="O174" s="37"/>
      <c r="P174" s="37"/>
      <c r="Q174" s="37"/>
      <c r="R174" s="37"/>
      <c r="S174" s="37"/>
      <c r="T174" s="37"/>
      <c r="U174" s="37"/>
      <c r="V174" s="37"/>
      <c r="W174" s="37"/>
      <c r="X174" s="37"/>
      <c r="Y174" s="37"/>
      <c r="Z174" s="37"/>
    </row>
    <row r="175" spans="1:26" ht="12.5">
      <c r="A175" s="37"/>
      <c r="B175" s="151"/>
      <c r="C175" s="122"/>
      <c r="D175" s="122"/>
      <c r="E175" s="84"/>
      <c r="F175" s="77"/>
      <c r="G175" s="77"/>
      <c r="H175" s="37"/>
      <c r="I175" s="37"/>
      <c r="J175" s="37"/>
      <c r="K175" s="122"/>
      <c r="L175" s="37"/>
      <c r="M175" s="37"/>
      <c r="N175" s="139"/>
      <c r="O175" s="37"/>
      <c r="P175" s="37"/>
      <c r="Q175" s="37"/>
      <c r="R175" s="37"/>
      <c r="S175" s="37"/>
      <c r="T175" s="37"/>
      <c r="U175" s="37"/>
      <c r="V175" s="37"/>
      <c r="W175" s="37"/>
      <c r="X175" s="37"/>
      <c r="Y175" s="37"/>
      <c r="Z175" s="37"/>
    </row>
    <row r="176" spans="1:26" ht="12.5">
      <c r="A176" s="37"/>
      <c r="B176" s="151"/>
      <c r="C176" s="122"/>
      <c r="D176" s="122"/>
      <c r="E176" s="84"/>
      <c r="F176" s="77"/>
      <c r="G176" s="77"/>
      <c r="H176" s="37"/>
      <c r="I176" s="37"/>
      <c r="J176" s="37"/>
      <c r="K176" s="122"/>
      <c r="L176" s="37"/>
      <c r="M176" s="37"/>
      <c r="N176" s="139"/>
      <c r="O176" s="37"/>
      <c r="P176" s="37"/>
      <c r="Q176" s="37"/>
      <c r="R176" s="37"/>
      <c r="S176" s="37"/>
      <c r="T176" s="37"/>
      <c r="U176" s="37"/>
      <c r="V176" s="37"/>
      <c r="W176" s="37"/>
      <c r="X176" s="37"/>
      <c r="Y176" s="37"/>
      <c r="Z176" s="37"/>
    </row>
    <row r="177" spans="1:26" ht="12.5">
      <c r="A177" s="37"/>
      <c r="B177" s="151"/>
      <c r="C177" s="122"/>
      <c r="D177" s="122"/>
      <c r="E177" s="84"/>
      <c r="F177" s="77"/>
      <c r="G177" s="77"/>
      <c r="H177" s="37"/>
      <c r="I177" s="37"/>
      <c r="J177" s="37"/>
      <c r="K177" s="122"/>
      <c r="L177" s="37"/>
      <c r="M177" s="37"/>
      <c r="N177" s="139"/>
      <c r="O177" s="37"/>
      <c r="P177" s="37"/>
      <c r="Q177" s="37"/>
      <c r="R177" s="37"/>
      <c r="S177" s="37"/>
      <c r="T177" s="37"/>
      <c r="U177" s="37"/>
      <c r="V177" s="37"/>
      <c r="W177" s="37"/>
      <c r="X177" s="37"/>
      <c r="Y177" s="37"/>
      <c r="Z177" s="37"/>
    </row>
    <row r="178" spans="1:26" ht="12.5">
      <c r="A178" s="37"/>
      <c r="B178" s="151"/>
      <c r="C178" s="122"/>
      <c r="D178" s="122"/>
      <c r="E178" s="84"/>
      <c r="F178" s="77"/>
      <c r="G178" s="77"/>
      <c r="H178" s="37"/>
      <c r="I178" s="37"/>
      <c r="J178" s="37"/>
      <c r="K178" s="122"/>
      <c r="L178" s="37"/>
      <c r="M178" s="37"/>
      <c r="N178" s="139"/>
      <c r="O178" s="37"/>
      <c r="P178" s="37"/>
      <c r="Q178" s="37"/>
      <c r="R178" s="37"/>
      <c r="S178" s="37"/>
      <c r="T178" s="37"/>
      <c r="U178" s="37"/>
      <c r="V178" s="37"/>
      <c r="W178" s="37"/>
      <c r="X178" s="37"/>
      <c r="Y178" s="37"/>
      <c r="Z178" s="37"/>
    </row>
    <row r="179" spans="1:26" ht="12.5">
      <c r="A179" s="37"/>
      <c r="B179" s="151"/>
      <c r="C179" s="122"/>
      <c r="D179" s="122"/>
      <c r="E179" s="84"/>
      <c r="F179" s="77"/>
      <c r="G179" s="77"/>
      <c r="H179" s="37"/>
      <c r="I179" s="37"/>
      <c r="J179" s="37"/>
      <c r="K179" s="122"/>
      <c r="L179" s="37"/>
      <c r="M179" s="37"/>
      <c r="N179" s="139"/>
      <c r="O179" s="37"/>
      <c r="P179" s="37"/>
      <c r="Q179" s="37"/>
      <c r="R179" s="37"/>
      <c r="S179" s="37"/>
      <c r="T179" s="37"/>
      <c r="U179" s="37"/>
      <c r="V179" s="37"/>
      <c r="W179" s="37"/>
      <c r="X179" s="37"/>
      <c r="Y179" s="37"/>
      <c r="Z179" s="37"/>
    </row>
    <row r="180" spans="1:26" ht="12.5">
      <c r="A180" s="37"/>
      <c r="B180" s="151"/>
      <c r="C180" s="122"/>
      <c r="D180" s="122"/>
      <c r="E180" s="84"/>
      <c r="F180" s="77"/>
      <c r="G180" s="77"/>
      <c r="H180" s="37"/>
      <c r="I180" s="37"/>
      <c r="J180" s="37"/>
      <c r="K180" s="122"/>
      <c r="L180" s="37"/>
      <c r="M180" s="37"/>
      <c r="N180" s="139"/>
      <c r="O180" s="37"/>
      <c r="P180" s="37"/>
      <c r="Q180" s="37"/>
      <c r="R180" s="37"/>
      <c r="S180" s="37"/>
      <c r="T180" s="37"/>
      <c r="U180" s="37"/>
      <c r="V180" s="37"/>
      <c r="W180" s="37"/>
      <c r="X180" s="37"/>
      <c r="Y180" s="37"/>
      <c r="Z180" s="37"/>
    </row>
    <row r="181" spans="1:26" ht="12.5">
      <c r="A181" s="37"/>
      <c r="B181" s="151"/>
      <c r="C181" s="122"/>
      <c r="D181" s="122"/>
      <c r="E181" s="84"/>
      <c r="F181" s="77"/>
      <c r="G181" s="77"/>
      <c r="H181" s="37"/>
      <c r="I181" s="37"/>
      <c r="J181" s="37"/>
      <c r="K181" s="122"/>
      <c r="L181" s="37"/>
      <c r="M181" s="37"/>
      <c r="N181" s="139"/>
      <c r="O181" s="37"/>
      <c r="P181" s="37"/>
      <c r="Q181" s="37"/>
      <c r="R181" s="37"/>
      <c r="S181" s="37"/>
      <c r="T181" s="37"/>
      <c r="U181" s="37"/>
      <c r="V181" s="37"/>
      <c r="W181" s="37"/>
      <c r="X181" s="37"/>
      <c r="Y181" s="37"/>
      <c r="Z181" s="37"/>
    </row>
    <row r="182" spans="1:26" ht="12.5">
      <c r="A182" s="37"/>
      <c r="B182" s="151"/>
      <c r="C182" s="122"/>
      <c r="D182" s="122"/>
      <c r="E182" s="84"/>
      <c r="F182" s="77"/>
      <c r="G182" s="77"/>
      <c r="H182" s="37"/>
      <c r="I182" s="37"/>
      <c r="J182" s="37"/>
      <c r="K182" s="122"/>
      <c r="L182" s="37"/>
      <c r="M182" s="37"/>
      <c r="N182" s="139"/>
      <c r="O182" s="37"/>
      <c r="P182" s="37"/>
      <c r="Q182" s="37"/>
      <c r="R182" s="37"/>
      <c r="S182" s="37"/>
      <c r="T182" s="37"/>
      <c r="U182" s="37"/>
      <c r="V182" s="37"/>
      <c r="W182" s="37"/>
      <c r="X182" s="37"/>
      <c r="Y182" s="37"/>
      <c r="Z182" s="37"/>
    </row>
    <row r="183" spans="1:26" ht="12.5">
      <c r="A183" s="37"/>
      <c r="B183" s="151"/>
      <c r="C183" s="122"/>
      <c r="D183" s="122"/>
      <c r="E183" s="84"/>
      <c r="F183" s="77"/>
      <c r="G183" s="77"/>
      <c r="H183" s="37"/>
      <c r="I183" s="37"/>
      <c r="J183" s="37"/>
      <c r="K183" s="122"/>
      <c r="L183" s="37"/>
      <c r="M183" s="37"/>
      <c r="N183" s="139"/>
      <c r="O183" s="37"/>
      <c r="P183" s="37"/>
      <c r="Q183" s="37"/>
      <c r="R183" s="37"/>
      <c r="S183" s="37"/>
      <c r="T183" s="37"/>
      <c r="U183" s="37"/>
      <c r="V183" s="37"/>
      <c r="W183" s="37"/>
      <c r="X183" s="37"/>
      <c r="Y183" s="37"/>
      <c r="Z183" s="37"/>
    </row>
    <row r="184" spans="1:26" ht="12.5">
      <c r="A184" s="37"/>
      <c r="B184" s="151"/>
      <c r="C184" s="122"/>
      <c r="D184" s="122"/>
      <c r="E184" s="84"/>
      <c r="F184" s="77"/>
      <c r="G184" s="77"/>
      <c r="H184" s="37"/>
      <c r="I184" s="37"/>
      <c r="J184" s="37"/>
      <c r="K184" s="122"/>
      <c r="L184" s="37"/>
      <c r="M184" s="37"/>
      <c r="N184" s="139"/>
      <c r="O184" s="37"/>
      <c r="P184" s="37"/>
      <c r="Q184" s="37"/>
      <c r="R184" s="37"/>
      <c r="S184" s="37"/>
      <c r="T184" s="37"/>
      <c r="U184" s="37"/>
      <c r="V184" s="37"/>
      <c r="W184" s="37"/>
      <c r="X184" s="37"/>
      <c r="Y184" s="37"/>
      <c r="Z184" s="37"/>
    </row>
    <row r="185" spans="1:26" ht="12.5">
      <c r="A185" s="37"/>
      <c r="B185" s="151"/>
      <c r="C185" s="122"/>
      <c r="D185" s="122"/>
      <c r="E185" s="84"/>
      <c r="F185" s="77"/>
      <c r="G185" s="77"/>
      <c r="H185" s="37"/>
      <c r="I185" s="37"/>
      <c r="J185" s="37"/>
      <c r="K185" s="122"/>
      <c r="L185" s="37"/>
      <c r="M185" s="37"/>
      <c r="N185" s="139"/>
      <c r="O185" s="37"/>
      <c r="P185" s="37"/>
      <c r="Q185" s="37"/>
      <c r="R185" s="37"/>
      <c r="S185" s="37"/>
      <c r="T185" s="37"/>
      <c r="U185" s="37"/>
      <c r="V185" s="37"/>
      <c r="W185" s="37"/>
      <c r="X185" s="37"/>
      <c r="Y185" s="37"/>
      <c r="Z185" s="37"/>
    </row>
    <row r="186" spans="1:26" ht="12.5">
      <c r="A186" s="37"/>
      <c r="B186" s="151"/>
      <c r="C186" s="122"/>
      <c r="D186" s="122"/>
      <c r="E186" s="84"/>
      <c r="F186" s="77"/>
      <c r="G186" s="77"/>
      <c r="H186" s="37"/>
      <c r="I186" s="37"/>
      <c r="J186" s="37"/>
      <c r="K186" s="122"/>
      <c r="L186" s="37"/>
      <c r="M186" s="37"/>
      <c r="N186" s="139"/>
      <c r="O186" s="37"/>
      <c r="P186" s="37"/>
      <c r="Q186" s="37"/>
      <c r="R186" s="37"/>
      <c r="S186" s="37"/>
      <c r="T186" s="37"/>
      <c r="U186" s="37"/>
      <c r="V186" s="37"/>
      <c r="W186" s="37"/>
      <c r="X186" s="37"/>
      <c r="Y186" s="37"/>
      <c r="Z186" s="37"/>
    </row>
    <row r="187" spans="1:26" ht="12.5">
      <c r="A187" s="37"/>
      <c r="B187" s="151"/>
      <c r="C187" s="122"/>
      <c r="D187" s="122"/>
      <c r="E187" s="84"/>
      <c r="F187" s="77"/>
      <c r="G187" s="77"/>
      <c r="H187" s="37"/>
      <c r="I187" s="37"/>
      <c r="J187" s="37"/>
      <c r="K187" s="122"/>
      <c r="L187" s="37"/>
      <c r="M187" s="37"/>
      <c r="N187" s="139"/>
      <c r="O187" s="37"/>
      <c r="P187" s="37"/>
      <c r="Q187" s="37"/>
      <c r="R187" s="37"/>
      <c r="S187" s="37"/>
      <c r="T187" s="37"/>
      <c r="U187" s="37"/>
      <c r="V187" s="37"/>
      <c r="W187" s="37"/>
      <c r="X187" s="37"/>
      <c r="Y187" s="37"/>
      <c r="Z187" s="37"/>
    </row>
    <row r="188" spans="1:26" ht="12.5">
      <c r="A188" s="37"/>
      <c r="B188" s="151"/>
      <c r="C188" s="122"/>
      <c r="D188" s="122"/>
      <c r="E188" s="84"/>
      <c r="F188" s="77"/>
      <c r="G188" s="77"/>
      <c r="H188" s="37"/>
      <c r="I188" s="37"/>
      <c r="J188" s="37"/>
      <c r="K188" s="122"/>
      <c r="L188" s="37"/>
      <c r="M188" s="37"/>
      <c r="N188" s="139"/>
      <c r="O188" s="37"/>
      <c r="P188" s="37"/>
      <c r="Q188" s="37"/>
      <c r="R188" s="37"/>
      <c r="S188" s="37"/>
      <c r="T188" s="37"/>
      <c r="U188" s="37"/>
      <c r="V188" s="37"/>
      <c r="W188" s="37"/>
      <c r="X188" s="37"/>
      <c r="Y188" s="37"/>
      <c r="Z188" s="37"/>
    </row>
    <row r="189" spans="1:26" ht="12.5">
      <c r="A189" s="37"/>
      <c r="B189" s="151"/>
      <c r="C189" s="122"/>
      <c r="D189" s="122"/>
      <c r="E189" s="84"/>
      <c r="F189" s="77"/>
      <c r="G189" s="77"/>
      <c r="H189" s="37"/>
      <c r="I189" s="37"/>
      <c r="J189" s="37"/>
      <c r="K189" s="122"/>
      <c r="L189" s="37"/>
      <c r="M189" s="37"/>
      <c r="N189" s="139"/>
      <c r="O189" s="37"/>
      <c r="P189" s="37"/>
      <c r="Q189" s="37"/>
      <c r="R189" s="37"/>
      <c r="S189" s="37"/>
      <c r="T189" s="37"/>
      <c r="U189" s="37"/>
      <c r="V189" s="37"/>
      <c r="W189" s="37"/>
      <c r="X189" s="37"/>
      <c r="Y189" s="37"/>
      <c r="Z189" s="37"/>
    </row>
    <row r="190" spans="1:26" ht="12.5">
      <c r="A190" s="37"/>
      <c r="B190" s="151"/>
      <c r="C190" s="122"/>
      <c r="D190" s="122"/>
      <c r="E190" s="84"/>
      <c r="F190" s="77"/>
      <c r="G190" s="77"/>
      <c r="H190" s="37"/>
      <c r="I190" s="37"/>
      <c r="J190" s="37"/>
      <c r="K190" s="122"/>
      <c r="L190" s="37"/>
      <c r="M190" s="37"/>
      <c r="N190" s="139"/>
      <c r="O190" s="37"/>
      <c r="P190" s="37"/>
      <c r="Q190" s="37"/>
      <c r="R190" s="37"/>
      <c r="S190" s="37"/>
      <c r="T190" s="37"/>
      <c r="U190" s="37"/>
      <c r="V190" s="37"/>
      <c r="W190" s="37"/>
      <c r="X190" s="37"/>
      <c r="Y190" s="37"/>
      <c r="Z190" s="37"/>
    </row>
    <row r="191" spans="1:26" ht="12.5">
      <c r="A191" s="37"/>
      <c r="B191" s="151"/>
      <c r="C191" s="122"/>
      <c r="D191" s="122"/>
      <c r="E191" s="84"/>
      <c r="F191" s="77"/>
      <c r="G191" s="77"/>
      <c r="H191" s="37"/>
      <c r="I191" s="37"/>
      <c r="J191" s="37"/>
      <c r="K191" s="122"/>
      <c r="L191" s="37"/>
      <c r="M191" s="37"/>
      <c r="N191" s="139"/>
      <c r="O191" s="37"/>
      <c r="P191" s="37"/>
      <c r="Q191" s="37"/>
      <c r="R191" s="37"/>
      <c r="S191" s="37"/>
      <c r="T191" s="37"/>
      <c r="U191" s="37"/>
      <c r="V191" s="37"/>
      <c r="W191" s="37"/>
      <c r="X191" s="37"/>
      <c r="Y191" s="37"/>
      <c r="Z191" s="37"/>
    </row>
    <row r="192" spans="1:26" ht="12.5">
      <c r="A192" s="37"/>
      <c r="B192" s="151"/>
      <c r="C192" s="122"/>
      <c r="D192" s="122"/>
      <c r="E192" s="84"/>
      <c r="F192" s="77"/>
      <c r="G192" s="77"/>
      <c r="H192" s="37"/>
      <c r="I192" s="37"/>
      <c r="J192" s="37"/>
      <c r="K192" s="122"/>
      <c r="L192" s="37"/>
      <c r="M192" s="37"/>
      <c r="N192" s="139"/>
      <c r="O192" s="37"/>
      <c r="P192" s="37"/>
      <c r="Q192" s="37"/>
      <c r="R192" s="37"/>
      <c r="S192" s="37"/>
      <c r="T192" s="37"/>
      <c r="U192" s="37"/>
      <c r="V192" s="37"/>
      <c r="W192" s="37"/>
      <c r="X192" s="37"/>
      <c r="Y192" s="37"/>
      <c r="Z192" s="37"/>
    </row>
    <row r="193" spans="1:26" ht="12.5">
      <c r="A193" s="37"/>
      <c r="B193" s="151"/>
      <c r="C193" s="122"/>
      <c r="D193" s="122"/>
      <c r="E193" s="84"/>
      <c r="F193" s="77"/>
      <c r="G193" s="77"/>
      <c r="H193" s="37"/>
      <c r="I193" s="37"/>
      <c r="J193" s="37"/>
      <c r="K193" s="122"/>
      <c r="L193" s="37"/>
      <c r="M193" s="37"/>
      <c r="N193" s="139"/>
      <c r="O193" s="37"/>
      <c r="P193" s="37"/>
      <c r="Q193" s="37"/>
      <c r="R193" s="37"/>
      <c r="S193" s="37"/>
      <c r="T193" s="37"/>
      <c r="U193" s="37"/>
      <c r="V193" s="37"/>
      <c r="W193" s="37"/>
      <c r="X193" s="37"/>
      <c r="Y193" s="37"/>
      <c r="Z193" s="37"/>
    </row>
    <row r="194" spans="1:26" ht="12.5">
      <c r="A194" s="37"/>
      <c r="B194" s="151"/>
      <c r="C194" s="122"/>
      <c r="D194" s="122"/>
      <c r="E194" s="84"/>
      <c r="F194" s="77"/>
      <c r="G194" s="77"/>
      <c r="H194" s="37"/>
      <c r="I194" s="37"/>
      <c r="J194" s="37"/>
      <c r="K194" s="122"/>
      <c r="L194" s="37"/>
      <c r="M194" s="37"/>
      <c r="N194" s="139"/>
      <c r="O194" s="37"/>
      <c r="P194" s="37"/>
      <c r="Q194" s="37"/>
      <c r="R194" s="37"/>
      <c r="S194" s="37"/>
      <c r="T194" s="37"/>
      <c r="U194" s="37"/>
      <c r="V194" s="37"/>
      <c r="W194" s="37"/>
      <c r="X194" s="37"/>
      <c r="Y194" s="37"/>
      <c r="Z194" s="37"/>
    </row>
    <row r="195" spans="1:26" ht="12.5">
      <c r="A195" s="37"/>
      <c r="B195" s="151"/>
      <c r="C195" s="122"/>
      <c r="D195" s="122"/>
      <c r="E195" s="84"/>
      <c r="F195" s="77"/>
      <c r="G195" s="77"/>
      <c r="H195" s="37"/>
      <c r="I195" s="37"/>
      <c r="J195" s="37"/>
      <c r="K195" s="122"/>
      <c r="L195" s="37"/>
      <c r="M195" s="37"/>
      <c r="N195" s="139"/>
      <c r="O195" s="37"/>
      <c r="P195" s="37"/>
      <c r="Q195" s="37"/>
      <c r="R195" s="37"/>
      <c r="S195" s="37"/>
      <c r="T195" s="37"/>
      <c r="U195" s="37"/>
      <c r="V195" s="37"/>
      <c r="W195" s="37"/>
      <c r="X195" s="37"/>
      <c r="Y195" s="37"/>
      <c r="Z195" s="37"/>
    </row>
    <row r="196" spans="1:26" ht="12.5">
      <c r="A196" s="37"/>
      <c r="B196" s="151"/>
      <c r="C196" s="122"/>
      <c r="D196" s="122"/>
      <c r="E196" s="84"/>
      <c r="F196" s="77"/>
      <c r="G196" s="77"/>
      <c r="H196" s="37"/>
      <c r="I196" s="37"/>
      <c r="J196" s="37"/>
      <c r="K196" s="122"/>
      <c r="L196" s="37"/>
      <c r="M196" s="37"/>
      <c r="N196" s="139"/>
      <c r="O196" s="37"/>
      <c r="P196" s="37"/>
      <c r="Q196" s="37"/>
      <c r="R196" s="37"/>
      <c r="S196" s="37"/>
      <c r="T196" s="37"/>
      <c r="U196" s="37"/>
      <c r="V196" s="37"/>
      <c r="W196" s="37"/>
      <c r="X196" s="37"/>
      <c r="Y196" s="37"/>
      <c r="Z196" s="37"/>
    </row>
    <row r="197" spans="1:26" ht="12.5">
      <c r="A197" s="37"/>
      <c r="B197" s="151"/>
      <c r="C197" s="122"/>
      <c r="D197" s="122"/>
      <c r="E197" s="84"/>
      <c r="F197" s="77"/>
      <c r="G197" s="77"/>
      <c r="H197" s="37"/>
      <c r="I197" s="37"/>
      <c r="J197" s="37"/>
      <c r="K197" s="122"/>
      <c r="L197" s="37"/>
      <c r="M197" s="37"/>
      <c r="N197" s="139"/>
      <c r="O197" s="37"/>
      <c r="P197" s="37"/>
      <c r="Q197" s="37"/>
      <c r="R197" s="37"/>
      <c r="S197" s="37"/>
      <c r="T197" s="37"/>
      <c r="U197" s="37"/>
      <c r="V197" s="37"/>
      <c r="W197" s="37"/>
      <c r="X197" s="37"/>
      <c r="Y197" s="37"/>
      <c r="Z197" s="37"/>
    </row>
    <row r="198" spans="1:26" ht="12.5">
      <c r="A198" s="37"/>
      <c r="B198" s="151"/>
      <c r="C198" s="122"/>
      <c r="D198" s="122"/>
      <c r="E198" s="84"/>
      <c r="F198" s="77"/>
      <c r="G198" s="77"/>
      <c r="H198" s="37"/>
      <c r="I198" s="37"/>
      <c r="J198" s="37"/>
      <c r="K198" s="122"/>
      <c r="L198" s="37"/>
      <c r="M198" s="37"/>
      <c r="N198" s="139"/>
      <c r="O198" s="37"/>
      <c r="P198" s="37"/>
      <c r="Q198" s="37"/>
      <c r="R198" s="37"/>
      <c r="S198" s="37"/>
      <c r="T198" s="37"/>
      <c r="U198" s="37"/>
      <c r="V198" s="37"/>
      <c r="W198" s="37"/>
      <c r="X198" s="37"/>
      <c r="Y198" s="37"/>
      <c r="Z198" s="37"/>
    </row>
    <row r="199" spans="1:26" ht="12.5">
      <c r="A199" s="37"/>
      <c r="B199" s="151"/>
      <c r="C199" s="122"/>
      <c r="D199" s="122"/>
      <c r="E199" s="84"/>
      <c r="F199" s="77"/>
      <c r="G199" s="77"/>
      <c r="H199" s="37"/>
      <c r="I199" s="37"/>
      <c r="J199" s="37"/>
      <c r="K199" s="122"/>
      <c r="L199" s="37"/>
      <c r="M199" s="37"/>
      <c r="N199" s="139"/>
      <c r="O199" s="37"/>
      <c r="P199" s="37"/>
      <c r="Q199" s="37"/>
      <c r="R199" s="37"/>
      <c r="S199" s="37"/>
      <c r="T199" s="37"/>
      <c r="U199" s="37"/>
      <c r="V199" s="37"/>
      <c r="W199" s="37"/>
      <c r="X199" s="37"/>
      <c r="Y199" s="37"/>
      <c r="Z199" s="37"/>
    </row>
    <row r="200" spans="1:26" ht="12.5">
      <c r="A200" s="37"/>
      <c r="B200" s="151"/>
      <c r="C200" s="122"/>
      <c r="D200" s="122"/>
      <c r="E200" s="84"/>
      <c r="F200" s="77"/>
      <c r="G200" s="77"/>
      <c r="H200" s="37"/>
      <c r="I200" s="37"/>
      <c r="J200" s="37"/>
      <c r="K200" s="122"/>
      <c r="L200" s="37"/>
      <c r="M200" s="37"/>
      <c r="N200" s="139"/>
      <c r="O200" s="37"/>
      <c r="P200" s="37"/>
      <c r="Q200" s="37"/>
      <c r="R200" s="37"/>
      <c r="S200" s="37"/>
      <c r="T200" s="37"/>
      <c r="U200" s="37"/>
      <c r="V200" s="37"/>
      <c r="W200" s="37"/>
      <c r="X200" s="37"/>
      <c r="Y200" s="37"/>
      <c r="Z200" s="37"/>
    </row>
    <row r="201" spans="1:26" ht="12.5">
      <c r="A201" s="37"/>
      <c r="B201" s="151"/>
      <c r="C201" s="122"/>
      <c r="D201" s="122"/>
      <c r="E201" s="84"/>
      <c r="F201" s="77"/>
      <c r="G201" s="77"/>
      <c r="H201" s="37"/>
      <c r="I201" s="37"/>
      <c r="J201" s="37"/>
      <c r="K201" s="122"/>
      <c r="L201" s="37"/>
      <c r="M201" s="37"/>
      <c r="N201" s="139"/>
      <c r="O201" s="37"/>
      <c r="P201" s="37"/>
      <c r="Q201" s="37"/>
      <c r="R201" s="37"/>
      <c r="S201" s="37"/>
      <c r="T201" s="37"/>
      <c r="U201" s="37"/>
      <c r="V201" s="37"/>
      <c r="W201" s="37"/>
      <c r="X201" s="37"/>
      <c r="Y201" s="37"/>
      <c r="Z201" s="37"/>
    </row>
    <row r="202" spans="1:26" ht="12.5">
      <c r="A202" s="37"/>
      <c r="B202" s="151"/>
      <c r="C202" s="122"/>
      <c r="D202" s="122"/>
      <c r="E202" s="84"/>
      <c r="F202" s="77"/>
      <c r="G202" s="77"/>
      <c r="H202" s="37"/>
      <c r="I202" s="37"/>
      <c r="J202" s="37"/>
      <c r="K202" s="122"/>
      <c r="L202" s="37"/>
      <c r="M202" s="37"/>
      <c r="N202" s="139"/>
      <c r="O202" s="37"/>
      <c r="P202" s="37"/>
      <c r="Q202" s="37"/>
      <c r="R202" s="37"/>
      <c r="S202" s="37"/>
      <c r="T202" s="37"/>
      <c r="U202" s="37"/>
      <c r="V202" s="37"/>
      <c r="W202" s="37"/>
      <c r="X202" s="37"/>
      <c r="Y202" s="37"/>
      <c r="Z202" s="37"/>
    </row>
    <row r="203" spans="1:26" ht="12.5">
      <c r="A203" s="37"/>
      <c r="B203" s="151"/>
      <c r="C203" s="122"/>
      <c r="D203" s="122"/>
      <c r="E203" s="84"/>
      <c r="F203" s="77"/>
      <c r="G203" s="77"/>
      <c r="H203" s="37"/>
      <c r="I203" s="37"/>
      <c r="J203" s="37"/>
      <c r="K203" s="122"/>
      <c r="L203" s="37"/>
      <c r="M203" s="37"/>
      <c r="N203" s="139"/>
      <c r="O203" s="37"/>
      <c r="P203" s="37"/>
      <c r="Q203" s="37"/>
      <c r="R203" s="37"/>
      <c r="S203" s="37"/>
      <c r="T203" s="37"/>
      <c r="U203" s="37"/>
      <c r="V203" s="37"/>
      <c r="W203" s="37"/>
      <c r="X203" s="37"/>
      <c r="Y203" s="37"/>
      <c r="Z203" s="37"/>
    </row>
    <row r="204" spans="1:26" ht="12.5">
      <c r="A204" s="37"/>
      <c r="B204" s="151"/>
      <c r="C204" s="122"/>
      <c r="D204" s="122"/>
      <c r="E204" s="84"/>
      <c r="F204" s="77"/>
      <c r="G204" s="77"/>
      <c r="H204" s="37"/>
      <c r="I204" s="37"/>
      <c r="J204" s="37"/>
      <c r="K204" s="122"/>
      <c r="L204" s="37"/>
      <c r="M204" s="37"/>
      <c r="N204" s="139"/>
      <c r="O204" s="37"/>
      <c r="P204" s="37"/>
      <c r="Q204" s="37"/>
      <c r="R204" s="37"/>
      <c r="S204" s="37"/>
      <c r="T204" s="37"/>
      <c r="U204" s="37"/>
      <c r="V204" s="37"/>
      <c r="W204" s="37"/>
      <c r="X204" s="37"/>
      <c r="Y204" s="37"/>
      <c r="Z204" s="37"/>
    </row>
    <row r="205" spans="1:26" ht="12.5">
      <c r="A205" s="37"/>
      <c r="B205" s="151"/>
      <c r="C205" s="122"/>
      <c r="D205" s="122"/>
      <c r="E205" s="84"/>
      <c r="F205" s="77"/>
      <c r="G205" s="77"/>
      <c r="H205" s="37"/>
      <c r="I205" s="37"/>
      <c r="J205" s="37"/>
      <c r="K205" s="122"/>
      <c r="L205" s="37"/>
      <c r="M205" s="37"/>
      <c r="N205" s="139"/>
      <c r="O205" s="37"/>
      <c r="P205" s="37"/>
      <c r="Q205" s="37"/>
      <c r="R205" s="37"/>
      <c r="S205" s="37"/>
      <c r="T205" s="37"/>
      <c r="U205" s="37"/>
      <c r="V205" s="37"/>
      <c r="W205" s="37"/>
      <c r="X205" s="37"/>
      <c r="Y205" s="37"/>
      <c r="Z205" s="37"/>
    </row>
    <row r="206" spans="1:26" ht="12.5">
      <c r="A206" s="37"/>
      <c r="B206" s="151"/>
      <c r="C206" s="122"/>
      <c r="D206" s="122"/>
      <c r="E206" s="84"/>
      <c r="F206" s="77"/>
      <c r="G206" s="77"/>
      <c r="H206" s="37"/>
      <c r="I206" s="37"/>
      <c r="J206" s="37"/>
      <c r="K206" s="122"/>
      <c r="L206" s="37"/>
      <c r="M206" s="37"/>
      <c r="N206" s="139"/>
      <c r="O206" s="37"/>
      <c r="P206" s="37"/>
      <c r="Q206" s="37"/>
      <c r="R206" s="37"/>
      <c r="S206" s="37"/>
      <c r="T206" s="37"/>
      <c r="U206" s="37"/>
      <c r="V206" s="37"/>
      <c r="W206" s="37"/>
      <c r="X206" s="37"/>
      <c r="Y206" s="37"/>
      <c r="Z206" s="37"/>
    </row>
    <row r="207" spans="1:26" ht="12.5">
      <c r="A207" s="37"/>
      <c r="B207" s="151"/>
      <c r="C207" s="122"/>
      <c r="D207" s="122"/>
      <c r="E207" s="84"/>
      <c r="F207" s="77"/>
      <c r="G207" s="77"/>
      <c r="H207" s="37"/>
      <c r="I207" s="37"/>
      <c r="J207" s="37"/>
      <c r="K207" s="122"/>
      <c r="L207" s="37"/>
      <c r="M207" s="37"/>
      <c r="N207" s="139"/>
      <c r="O207" s="37"/>
      <c r="P207" s="37"/>
      <c r="Q207" s="37"/>
      <c r="R207" s="37"/>
      <c r="S207" s="37"/>
      <c r="T207" s="37"/>
      <c r="U207" s="37"/>
      <c r="V207" s="37"/>
      <c r="W207" s="37"/>
      <c r="X207" s="37"/>
      <c r="Y207" s="37"/>
      <c r="Z207" s="37"/>
    </row>
    <row r="208" spans="1:26" ht="12.5">
      <c r="A208" s="37"/>
      <c r="B208" s="151"/>
      <c r="C208" s="122"/>
      <c r="D208" s="122"/>
      <c r="E208" s="84"/>
      <c r="F208" s="77"/>
      <c r="G208" s="77"/>
      <c r="H208" s="37"/>
      <c r="I208" s="37"/>
      <c r="J208" s="37"/>
      <c r="K208" s="122"/>
      <c r="L208" s="37"/>
      <c r="M208" s="37"/>
      <c r="N208" s="139"/>
      <c r="O208" s="37"/>
      <c r="P208" s="37"/>
      <c r="Q208" s="37"/>
      <c r="R208" s="37"/>
      <c r="S208" s="37"/>
      <c r="T208" s="37"/>
      <c r="U208" s="37"/>
      <c r="V208" s="37"/>
      <c r="W208" s="37"/>
      <c r="X208" s="37"/>
      <c r="Y208" s="37"/>
      <c r="Z208" s="37"/>
    </row>
    <row r="209" spans="1:26" ht="12.5">
      <c r="A209" s="37"/>
      <c r="B209" s="151"/>
      <c r="C209" s="122"/>
      <c r="D209" s="122"/>
      <c r="E209" s="84"/>
      <c r="F209" s="77"/>
      <c r="G209" s="77"/>
      <c r="H209" s="37"/>
      <c r="I209" s="37"/>
      <c r="J209" s="37"/>
      <c r="K209" s="122"/>
      <c r="L209" s="37"/>
      <c r="M209" s="37"/>
      <c r="N209" s="139"/>
      <c r="O209" s="37"/>
      <c r="P209" s="37"/>
      <c r="Q209" s="37"/>
      <c r="R209" s="37"/>
      <c r="S209" s="37"/>
      <c r="T209" s="37"/>
      <c r="U209" s="37"/>
      <c r="V209" s="37"/>
      <c r="W209" s="37"/>
      <c r="X209" s="37"/>
      <c r="Y209" s="37"/>
      <c r="Z209" s="37"/>
    </row>
    <row r="210" spans="1:26" ht="12.5">
      <c r="A210" s="37"/>
      <c r="B210" s="151"/>
      <c r="C210" s="122"/>
      <c r="D210" s="122"/>
      <c r="E210" s="84"/>
      <c r="F210" s="77"/>
      <c r="G210" s="77"/>
      <c r="H210" s="37"/>
      <c r="I210" s="37"/>
      <c r="J210" s="37"/>
      <c r="K210" s="122"/>
      <c r="L210" s="37"/>
      <c r="M210" s="37"/>
      <c r="N210" s="139"/>
      <c r="O210" s="37"/>
      <c r="P210" s="37"/>
      <c r="Q210" s="37"/>
      <c r="R210" s="37"/>
      <c r="S210" s="37"/>
      <c r="T210" s="37"/>
      <c r="U210" s="37"/>
      <c r="V210" s="37"/>
      <c r="W210" s="37"/>
      <c r="X210" s="37"/>
      <c r="Y210" s="37"/>
      <c r="Z210" s="37"/>
    </row>
    <row r="211" spans="1:26" ht="12.5">
      <c r="A211" s="37"/>
      <c r="B211" s="151"/>
      <c r="C211" s="122"/>
      <c r="D211" s="122"/>
      <c r="E211" s="84"/>
      <c r="F211" s="77"/>
      <c r="G211" s="77"/>
      <c r="H211" s="37"/>
      <c r="I211" s="37"/>
      <c r="J211" s="37"/>
      <c r="K211" s="122"/>
      <c r="L211" s="37"/>
      <c r="M211" s="37"/>
      <c r="N211" s="139"/>
      <c r="O211" s="37"/>
      <c r="P211" s="37"/>
      <c r="Q211" s="37"/>
      <c r="R211" s="37"/>
      <c r="S211" s="37"/>
      <c r="T211" s="37"/>
      <c r="U211" s="37"/>
      <c r="V211" s="37"/>
      <c r="W211" s="37"/>
      <c r="X211" s="37"/>
      <c r="Y211" s="37"/>
      <c r="Z211" s="37"/>
    </row>
    <row r="212" spans="1:26" ht="12.5">
      <c r="A212" s="37"/>
      <c r="B212" s="151"/>
      <c r="C212" s="122"/>
      <c r="D212" s="122"/>
      <c r="E212" s="84"/>
      <c r="F212" s="77"/>
      <c r="G212" s="77"/>
      <c r="H212" s="37"/>
      <c r="I212" s="37"/>
      <c r="J212" s="37"/>
      <c r="K212" s="122"/>
      <c r="L212" s="37"/>
      <c r="M212" s="37"/>
      <c r="N212" s="139"/>
      <c r="O212" s="37"/>
      <c r="P212" s="37"/>
      <c r="Q212" s="37"/>
      <c r="R212" s="37"/>
      <c r="S212" s="37"/>
      <c r="T212" s="37"/>
      <c r="U212" s="37"/>
      <c r="V212" s="37"/>
      <c r="W212" s="37"/>
      <c r="X212" s="37"/>
      <c r="Y212" s="37"/>
      <c r="Z212" s="37"/>
    </row>
    <row r="213" spans="1:26" ht="12.5">
      <c r="A213" s="37"/>
      <c r="B213" s="151"/>
      <c r="C213" s="122"/>
      <c r="D213" s="122"/>
      <c r="E213" s="84"/>
      <c r="F213" s="77"/>
      <c r="G213" s="77"/>
      <c r="H213" s="37"/>
      <c r="I213" s="37"/>
      <c r="J213" s="37"/>
      <c r="K213" s="122"/>
      <c r="L213" s="37"/>
      <c r="M213" s="37"/>
      <c r="N213" s="139"/>
      <c r="O213" s="37"/>
      <c r="P213" s="37"/>
      <c r="Q213" s="37"/>
      <c r="R213" s="37"/>
      <c r="S213" s="37"/>
      <c r="T213" s="37"/>
      <c r="U213" s="37"/>
      <c r="V213" s="37"/>
      <c r="W213" s="37"/>
      <c r="X213" s="37"/>
      <c r="Y213" s="37"/>
      <c r="Z213" s="37"/>
    </row>
    <row r="214" spans="1:26" ht="12.5">
      <c r="A214" s="37"/>
      <c r="B214" s="151"/>
      <c r="C214" s="122"/>
      <c r="D214" s="122"/>
      <c r="E214" s="84"/>
      <c r="F214" s="77"/>
      <c r="G214" s="77"/>
      <c r="H214" s="37"/>
      <c r="I214" s="37"/>
      <c r="J214" s="37"/>
      <c r="K214" s="122"/>
      <c r="L214" s="37"/>
      <c r="M214" s="37"/>
      <c r="N214" s="139"/>
      <c r="O214" s="37"/>
      <c r="P214" s="37"/>
      <c r="Q214" s="37"/>
      <c r="R214" s="37"/>
      <c r="S214" s="37"/>
      <c r="T214" s="37"/>
      <c r="U214" s="37"/>
      <c r="V214" s="37"/>
      <c r="W214" s="37"/>
      <c r="X214" s="37"/>
      <c r="Y214" s="37"/>
      <c r="Z214" s="37"/>
    </row>
    <row r="215" spans="1:26" ht="12.5">
      <c r="A215" s="37"/>
      <c r="B215" s="151"/>
      <c r="C215" s="122"/>
      <c r="D215" s="122"/>
      <c r="E215" s="84"/>
      <c r="F215" s="77"/>
      <c r="G215" s="77"/>
      <c r="H215" s="37"/>
      <c r="I215" s="37"/>
      <c r="J215" s="37"/>
      <c r="K215" s="122"/>
      <c r="L215" s="37"/>
      <c r="M215" s="37"/>
      <c r="N215" s="139"/>
      <c r="O215" s="37"/>
      <c r="P215" s="37"/>
      <c r="Q215" s="37"/>
      <c r="R215" s="37"/>
      <c r="S215" s="37"/>
      <c r="T215" s="37"/>
      <c r="U215" s="37"/>
      <c r="V215" s="37"/>
      <c r="W215" s="37"/>
      <c r="X215" s="37"/>
      <c r="Y215" s="37"/>
      <c r="Z215" s="37"/>
    </row>
    <row r="216" spans="1:26" ht="12.5">
      <c r="A216" s="37"/>
      <c r="B216" s="151"/>
      <c r="C216" s="122"/>
      <c r="D216" s="122"/>
      <c r="E216" s="84"/>
      <c r="F216" s="77"/>
      <c r="G216" s="77"/>
      <c r="H216" s="37"/>
      <c r="I216" s="37"/>
      <c r="J216" s="37"/>
      <c r="K216" s="122"/>
      <c r="L216" s="37"/>
      <c r="M216" s="37"/>
      <c r="N216" s="139"/>
      <c r="O216" s="37"/>
      <c r="P216" s="37"/>
      <c r="Q216" s="37"/>
      <c r="R216" s="37"/>
      <c r="S216" s="37"/>
      <c r="T216" s="37"/>
      <c r="U216" s="37"/>
      <c r="V216" s="37"/>
      <c r="W216" s="37"/>
      <c r="X216" s="37"/>
      <c r="Y216" s="37"/>
      <c r="Z216" s="37"/>
    </row>
    <row r="217" spans="1:26" ht="12.5">
      <c r="A217" s="37"/>
      <c r="B217" s="151"/>
      <c r="C217" s="122"/>
      <c r="D217" s="122"/>
      <c r="E217" s="84"/>
      <c r="F217" s="77"/>
      <c r="G217" s="77"/>
      <c r="H217" s="37"/>
      <c r="I217" s="37"/>
      <c r="J217" s="37"/>
      <c r="K217" s="122"/>
      <c r="L217" s="37"/>
      <c r="M217" s="37"/>
      <c r="N217" s="139"/>
      <c r="O217" s="37"/>
      <c r="P217" s="37"/>
      <c r="Q217" s="37"/>
      <c r="R217" s="37"/>
      <c r="S217" s="37"/>
      <c r="T217" s="37"/>
      <c r="U217" s="37"/>
      <c r="V217" s="37"/>
      <c r="W217" s="37"/>
      <c r="X217" s="37"/>
      <c r="Y217" s="37"/>
      <c r="Z217" s="37"/>
    </row>
    <row r="218" spans="1:26" ht="12.5">
      <c r="A218" s="37"/>
      <c r="B218" s="151"/>
      <c r="C218" s="122"/>
      <c r="D218" s="122"/>
      <c r="E218" s="84"/>
      <c r="F218" s="77"/>
      <c r="G218" s="77"/>
      <c r="H218" s="37"/>
      <c r="I218" s="37"/>
      <c r="J218" s="37"/>
      <c r="K218" s="122"/>
      <c r="L218" s="37"/>
      <c r="M218" s="37"/>
      <c r="N218" s="139"/>
      <c r="O218" s="37"/>
      <c r="P218" s="37"/>
      <c r="Q218" s="37"/>
      <c r="R218" s="37"/>
      <c r="S218" s="37"/>
      <c r="T218" s="37"/>
      <c r="U218" s="37"/>
      <c r="V218" s="37"/>
      <c r="W218" s="37"/>
      <c r="X218" s="37"/>
      <c r="Y218" s="37"/>
      <c r="Z218" s="37"/>
    </row>
    <row r="219" spans="1:26" ht="12.5">
      <c r="A219" s="37"/>
      <c r="B219" s="151"/>
      <c r="C219" s="122"/>
      <c r="D219" s="122"/>
      <c r="E219" s="84"/>
      <c r="F219" s="77"/>
      <c r="G219" s="77"/>
      <c r="H219" s="37"/>
      <c r="I219" s="37"/>
      <c r="J219" s="37"/>
      <c r="K219" s="122"/>
      <c r="L219" s="37"/>
      <c r="M219" s="37"/>
      <c r="N219" s="139"/>
      <c r="O219" s="37"/>
      <c r="P219" s="37"/>
      <c r="Q219" s="37"/>
      <c r="R219" s="37"/>
      <c r="S219" s="37"/>
      <c r="T219" s="37"/>
      <c r="U219" s="37"/>
      <c r="V219" s="37"/>
      <c r="W219" s="37"/>
      <c r="X219" s="37"/>
      <c r="Y219" s="37"/>
      <c r="Z219" s="37"/>
    </row>
    <row r="220" spans="1:26" ht="12.5">
      <c r="A220" s="37"/>
      <c r="B220" s="151"/>
      <c r="C220" s="122"/>
      <c r="D220" s="122"/>
      <c r="E220" s="84"/>
      <c r="F220" s="77"/>
      <c r="G220" s="77"/>
      <c r="H220" s="37"/>
      <c r="I220" s="37"/>
      <c r="J220" s="37"/>
      <c r="K220" s="122"/>
      <c r="L220" s="37"/>
      <c r="M220" s="37"/>
      <c r="N220" s="139"/>
      <c r="O220" s="37"/>
      <c r="P220" s="37"/>
      <c r="Q220" s="37"/>
      <c r="R220" s="37"/>
      <c r="S220" s="37"/>
      <c r="T220" s="37"/>
      <c r="U220" s="37"/>
      <c r="V220" s="37"/>
      <c r="W220" s="37"/>
      <c r="X220" s="37"/>
      <c r="Y220" s="37"/>
      <c r="Z220" s="37"/>
    </row>
    <row r="221" spans="1:26" ht="12.5">
      <c r="A221" s="37"/>
      <c r="B221" s="151"/>
      <c r="C221" s="122"/>
      <c r="D221" s="122"/>
      <c r="E221" s="84"/>
      <c r="F221" s="77"/>
      <c r="G221" s="77"/>
      <c r="H221" s="37"/>
      <c r="I221" s="37"/>
      <c r="J221" s="37"/>
      <c r="K221" s="122"/>
      <c r="L221" s="37"/>
      <c r="M221" s="37"/>
      <c r="N221" s="139"/>
      <c r="O221" s="37"/>
      <c r="P221" s="37"/>
      <c r="Q221" s="37"/>
      <c r="R221" s="37"/>
      <c r="S221" s="37"/>
      <c r="T221" s="37"/>
      <c r="U221" s="37"/>
      <c r="V221" s="37"/>
      <c r="W221" s="37"/>
      <c r="X221" s="37"/>
      <c r="Y221" s="37"/>
      <c r="Z221" s="37"/>
    </row>
    <row r="222" spans="1:26" ht="12.5">
      <c r="A222" s="37"/>
      <c r="B222" s="151"/>
      <c r="C222" s="122"/>
      <c r="D222" s="122"/>
      <c r="E222" s="84"/>
      <c r="F222" s="77"/>
      <c r="G222" s="77"/>
      <c r="H222" s="37"/>
      <c r="I222" s="37"/>
      <c r="J222" s="37"/>
      <c r="K222" s="122"/>
      <c r="L222" s="37"/>
      <c r="M222" s="37"/>
      <c r="N222" s="139"/>
      <c r="O222" s="37"/>
      <c r="P222" s="37"/>
      <c r="Q222" s="37"/>
      <c r="R222" s="37"/>
      <c r="S222" s="37"/>
      <c r="T222" s="37"/>
      <c r="U222" s="37"/>
      <c r="V222" s="37"/>
      <c r="W222" s="37"/>
      <c r="X222" s="37"/>
      <c r="Y222" s="37"/>
      <c r="Z222" s="37"/>
    </row>
    <row r="223" spans="1:26" ht="12.5">
      <c r="A223" s="37"/>
      <c r="B223" s="151"/>
      <c r="C223" s="122"/>
      <c r="D223" s="122"/>
      <c r="E223" s="84"/>
      <c r="F223" s="77"/>
      <c r="G223" s="77"/>
      <c r="H223" s="37"/>
      <c r="I223" s="37"/>
      <c r="J223" s="37"/>
      <c r="K223" s="122"/>
      <c r="L223" s="37"/>
      <c r="M223" s="37"/>
      <c r="N223" s="139"/>
      <c r="O223" s="37"/>
      <c r="P223" s="37"/>
      <c r="Q223" s="37"/>
      <c r="R223" s="37"/>
      <c r="S223" s="37"/>
      <c r="T223" s="37"/>
      <c r="U223" s="37"/>
      <c r="V223" s="37"/>
      <c r="W223" s="37"/>
      <c r="X223" s="37"/>
      <c r="Y223" s="37"/>
      <c r="Z223" s="37"/>
    </row>
    <row r="224" spans="1:26" ht="12.5">
      <c r="A224" s="37"/>
      <c r="B224" s="151"/>
      <c r="C224" s="122"/>
      <c r="D224" s="122"/>
      <c r="E224" s="84"/>
      <c r="F224" s="77"/>
      <c r="G224" s="77"/>
      <c r="H224" s="37"/>
      <c r="I224" s="37"/>
      <c r="J224" s="37"/>
      <c r="K224" s="122"/>
      <c r="L224" s="37"/>
      <c r="M224" s="37"/>
      <c r="N224" s="139"/>
      <c r="O224" s="37"/>
      <c r="P224" s="37"/>
      <c r="Q224" s="37"/>
      <c r="R224" s="37"/>
      <c r="S224" s="37"/>
      <c r="T224" s="37"/>
      <c r="U224" s="37"/>
      <c r="V224" s="37"/>
      <c r="W224" s="37"/>
      <c r="X224" s="37"/>
      <c r="Y224" s="37"/>
      <c r="Z224" s="37"/>
    </row>
    <row r="225" spans="1:26" ht="12.5">
      <c r="A225" s="37"/>
      <c r="B225" s="151"/>
      <c r="C225" s="122"/>
      <c r="D225" s="122"/>
      <c r="E225" s="84"/>
      <c r="F225" s="77"/>
      <c r="G225" s="77"/>
      <c r="H225" s="37"/>
      <c r="I225" s="37"/>
      <c r="J225" s="37"/>
      <c r="K225" s="122"/>
      <c r="L225" s="37"/>
      <c r="M225" s="37"/>
      <c r="N225" s="139"/>
      <c r="O225" s="37"/>
      <c r="P225" s="37"/>
      <c r="Q225" s="37"/>
      <c r="R225" s="37"/>
      <c r="S225" s="37"/>
      <c r="T225" s="37"/>
      <c r="U225" s="37"/>
      <c r="V225" s="37"/>
      <c r="W225" s="37"/>
      <c r="X225" s="37"/>
      <c r="Y225" s="37"/>
      <c r="Z225" s="37"/>
    </row>
    <row r="226" spans="1:26" ht="12.5">
      <c r="A226" s="37"/>
      <c r="B226" s="151"/>
      <c r="C226" s="122"/>
      <c r="D226" s="122"/>
      <c r="E226" s="84"/>
      <c r="F226" s="77"/>
      <c r="G226" s="77"/>
      <c r="H226" s="37"/>
      <c r="I226" s="37"/>
      <c r="J226" s="37"/>
      <c r="K226" s="122"/>
      <c r="L226" s="37"/>
      <c r="M226" s="37"/>
      <c r="N226" s="139"/>
      <c r="O226" s="37"/>
      <c r="P226" s="37"/>
      <c r="Q226" s="37"/>
      <c r="R226" s="37"/>
      <c r="S226" s="37"/>
      <c r="T226" s="37"/>
      <c r="U226" s="37"/>
      <c r="V226" s="37"/>
      <c r="W226" s="37"/>
      <c r="X226" s="37"/>
      <c r="Y226" s="37"/>
      <c r="Z226" s="37"/>
    </row>
    <row r="227" spans="1:26" ht="12.5">
      <c r="A227" s="37"/>
      <c r="B227" s="151"/>
      <c r="C227" s="122"/>
      <c r="D227" s="122"/>
      <c r="E227" s="84"/>
      <c r="F227" s="77"/>
      <c r="G227" s="77"/>
      <c r="H227" s="37"/>
      <c r="I227" s="37"/>
      <c r="J227" s="37"/>
      <c r="K227" s="122"/>
      <c r="L227" s="37"/>
      <c r="M227" s="37"/>
      <c r="N227" s="139"/>
      <c r="O227" s="37"/>
      <c r="P227" s="37"/>
      <c r="Q227" s="37"/>
      <c r="R227" s="37"/>
      <c r="S227" s="37"/>
      <c r="T227" s="37"/>
      <c r="U227" s="37"/>
      <c r="V227" s="37"/>
      <c r="W227" s="37"/>
      <c r="X227" s="37"/>
      <c r="Y227" s="37"/>
      <c r="Z227" s="37"/>
    </row>
    <row r="228" spans="1:26" ht="12.5">
      <c r="A228" s="37"/>
      <c r="B228" s="151"/>
      <c r="C228" s="122"/>
      <c r="D228" s="122"/>
      <c r="E228" s="84"/>
      <c r="F228" s="77"/>
      <c r="G228" s="77"/>
      <c r="H228" s="37"/>
      <c r="I228" s="37"/>
      <c r="J228" s="37"/>
      <c r="K228" s="122"/>
      <c r="L228" s="37"/>
      <c r="M228" s="37"/>
      <c r="N228" s="139"/>
      <c r="O228" s="37"/>
      <c r="P228" s="37"/>
      <c r="Q228" s="37"/>
      <c r="R228" s="37"/>
      <c r="S228" s="37"/>
      <c r="T228" s="37"/>
      <c r="U228" s="37"/>
      <c r="V228" s="37"/>
      <c r="W228" s="37"/>
      <c r="X228" s="37"/>
      <c r="Y228" s="37"/>
      <c r="Z228" s="37"/>
    </row>
    <row r="229" spans="1:26" ht="12.5">
      <c r="A229" s="37"/>
      <c r="B229" s="151"/>
      <c r="C229" s="122"/>
      <c r="D229" s="122"/>
      <c r="E229" s="84"/>
      <c r="F229" s="77"/>
      <c r="G229" s="77"/>
      <c r="H229" s="37"/>
      <c r="I229" s="37"/>
      <c r="J229" s="37"/>
      <c r="K229" s="122"/>
      <c r="L229" s="37"/>
      <c r="M229" s="37"/>
      <c r="N229" s="139"/>
      <c r="O229" s="37"/>
      <c r="P229" s="37"/>
      <c r="Q229" s="37"/>
      <c r="R229" s="37"/>
      <c r="S229" s="37"/>
      <c r="T229" s="37"/>
      <c r="U229" s="37"/>
      <c r="V229" s="37"/>
      <c r="W229" s="37"/>
      <c r="X229" s="37"/>
      <c r="Y229" s="37"/>
      <c r="Z229" s="37"/>
    </row>
    <row r="230" spans="1:26" ht="12.5">
      <c r="A230" s="37"/>
      <c r="B230" s="151"/>
      <c r="C230" s="122"/>
      <c r="D230" s="122"/>
      <c r="E230" s="84"/>
      <c r="F230" s="77"/>
      <c r="G230" s="77"/>
      <c r="H230" s="37"/>
      <c r="I230" s="37"/>
      <c r="J230" s="37"/>
      <c r="K230" s="122"/>
      <c r="L230" s="37"/>
      <c r="M230" s="37"/>
      <c r="N230" s="139"/>
      <c r="O230" s="37"/>
      <c r="P230" s="37"/>
      <c r="Q230" s="37"/>
      <c r="R230" s="37"/>
      <c r="S230" s="37"/>
      <c r="T230" s="37"/>
      <c r="U230" s="37"/>
      <c r="V230" s="37"/>
      <c r="W230" s="37"/>
      <c r="X230" s="37"/>
      <c r="Y230" s="37"/>
      <c r="Z230" s="37"/>
    </row>
    <row r="231" spans="1:26" ht="12.5">
      <c r="A231" s="37"/>
      <c r="B231" s="151"/>
      <c r="C231" s="122"/>
      <c r="D231" s="122"/>
      <c r="E231" s="84"/>
      <c r="F231" s="77"/>
      <c r="G231" s="77"/>
      <c r="H231" s="37"/>
      <c r="I231" s="37"/>
      <c r="J231" s="37"/>
      <c r="K231" s="122"/>
      <c r="L231" s="37"/>
      <c r="M231" s="37"/>
      <c r="N231" s="139"/>
      <c r="O231" s="37"/>
      <c r="P231" s="37"/>
      <c r="Q231" s="37"/>
      <c r="R231" s="37"/>
      <c r="S231" s="37"/>
      <c r="T231" s="37"/>
      <c r="U231" s="37"/>
      <c r="V231" s="37"/>
      <c r="W231" s="37"/>
      <c r="X231" s="37"/>
      <c r="Y231" s="37"/>
      <c r="Z231" s="37"/>
    </row>
    <row r="232" spans="1:26" ht="12.5">
      <c r="A232" s="37"/>
      <c r="B232" s="151"/>
      <c r="C232" s="122"/>
      <c r="D232" s="122"/>
      <c r="E232" s="84"/>
      <c r="F232" s="77"/>
      <c r="G232" s="77"/>
      <c r="H232" s="37"/>
      <c r="I232" s="37"/>
      <c r="J232" s="37"/>
      <c r="K232" s="122"/>
      <c r="L232" s="37"/>
      <c r="M232" s="37"/>
      <c r="N232" s="139"/>
      <c r="O232" s="37"/>
      <c r="P232" s="37"/>
      <c r="Q232" s="37"/>
      <c r="R232" s="37"/>
      <c r="S232" s="37"/>
      <c r="T232" s="37"/>
      <c r="U232" s="37"/>
      <c r="V232" s="37"/>
      <c r="W232" s="37"/>
      <c r="X232" s="37"/>
      <c r="Y232" s="37"/>
      <c r="Z232" s="37"/>
    </row>
    <row r="233" spans="1:26" ht="12.5">
      <c r="A233" s="37"/>
      <c r="B233" s="151"/>
      <c r="C233" s="122"/>
      <c r="D233" s="122"/>
      <c r="E233" s="84"/>
      <c r="F233" s="77"/>
      <c r="G233" s="77"/>
      <c r="H233" s="37"/>
      <c r="I233" s="37"/>
      <c r="J233" s="37"/>
      <c r="K233" s="122"/>
      <c r="L233" s="37"/>
      <c r="M233" s="37"/>
      <c r="N233" s="139"/>
      <c r="O233" s="37"/>
      <c r="P233" s="37"/>
      <c r="Q233" s="37"/>
      <c r="R233" s="37"/>
      <c r="S233" s="37"/>
      <c r="T233" s="37"/>
      <c r="U233" s="37"/>
      <c r="V233" s="37"/>
      <c r="W233" s="37"/>
      <c r="X233" s="37"/>
      <c r="Y233" s="37"/>
      <c r="Z233" s="37"/>
    </row>
    <row r="234" spans="1:26" ht="12.5">
      <c r="A234" s="37"/>
      <c r="B234" s="151"/>
      <c r="C234" s="122"/>
      <c r="D234" s="122"/>
      <c r="E234" s="84"/>
      <c r="F234" s="77"/>
      <c r="G234" s="77"/>
      <c r="H234" s="37"/>
      <c r="I234" s="37"/>
      <c r="J234" s="37"/>
      <c r="K234" s="122"/>
      <c r="L234" s="37"/>
      <c r="M234" s="37"/>
      <c r="N234" s="139"/>
      <c r="O234" s="37"/>
      <c r="P234" s="37"/>
      <c r="Q234" s="37"/>
      <c r="R234" s="37"/>
      <c r="S234" s="37"/>
      <c r="T234" s="37"/>
      <c r="U234" s="37"/>
      <c r="V234" s="37"/>
      <c r="W234" s="37"/>
      <c r="X234" s="37"/>
      <c r="Y234" s="37"/>
      <c r="Z234" s="37"/>
    </row>
    <row r="235" spans="1:26" ht="12.5">
      <c r="A235" s="37"/>
      <c r="B235" s="151"/>
      <c r="C235" s="122"/>
      <c r="D235" s="122"/>
      <c r="E235" s="84"/>
      <c r="F235" s="77"/>
      <c r="G235" s="77"/>
      <c r="H235" s="37"/>
      <c r="I235" s="37"/>
      <c r="J235" s="37"/>
      <c r="K235" s="122"/>
      <c r="L235" s="37"/>
      <c r="M235" s="37"/>
      <c r="N235" s="139"/>
      <c r="O235" s="37"/>
      <c r="P235" s="37"/>
      <c r="Q235" s="37"/>
      <c r="R235" s="37"/>
      <c r="S235" s="37"/>
      <c r="T235" s="37"/>
      <c r="U235" s="37"/>
      <c r="V235" s="37"/>
      <c r="W235" s="37"/>
      <c r="X235" s="37"/>
      <c r="Y235" s="37"/>
      <c r="Z235" s="37"/>
    </row>
    <row r="236" spans="1:26" ht="12.5">
      <c r="A236" s="37"/>
      <c r="B236" s="151"/>
      <c r="C236" s="122"/>
      <c r="D236" s="122"/>
      <c r="E236" s="84"/>
      <c r="F236" s="77"/>
      <c r="G236" s="77"/>
      <c r="H236" s="37"/>
      <c r="I236" s="37"/>
      <c r="J236" s="37"/>
      <c r="K236" s="122"/>
      <c r="L236" s="37"/>
      <c r="M236" s="37"/>
      <c r="N236" s="139"/>
      <c r="O236" s="37"/>
      <c r="P236" s="37"/>
      <c r="Q236" s="37"/>
      <c r="R236" s="37"/>
      <c r="S236" s="37"/>
      <c r="T236" s="37"/>
      <c r="U236" s="37"/>
      <c r="V236" s="37"/>
      <c r="W236" s="37"/>
      <c r="X236" s="37"/>
      <c r="Y236" s="37"/>
      <c r="Z236" s="37"/>
    </row>
    <row r="237" spans="1:26" ht="12.5">
      <c r="A237" s="37"/>
      <c r="B237" s="151"/>
      <c r="C237" s="122"/>
      <c r="D237" s="122"/>
      <c r="E237" s="84"/>
      <c r="F237" s="77"/>
      <c r="G237" s="77"/>
      <c r="H237" s="37"/>
      <c r="I237" s="37"/>
      <c r="J237" s="37"/>
      <c r="K237" s="122"/>
      <c r="L237" s="37"/>
      <c r="M237" s="37"/>
      <c r="N237" s="139"/>
      <c r="O237" s="37"/>
      <c r="P237" s="37"/>
      <c r="Q237" s="37"/>
      <c r="R237" s="37"/>
      <c r="S237" s="37"/>
      <c r="T237" s="37"/>
      <c r="U237" s="37"/>
      <c r="V237" s="37"/>
      <c r="W237" s="37"/>
      <c r="X237" s="37"/>
      <c r="Y237" s="37"/>
      <c r="Z237" s="37"/>
    </row>
    <row r="238" spans="1:26" ht="12.5">
      <c r="A238" s="37"/>
      <c r="B238" s="151"/>
      <c r="C238" s="122"/>
      <c r="D238" s="122"/>
      <c r="E238" s="84"/>
      <c r="F238" s="77"/>
      <c r="G238" s="77"/>
      <c r="H238" s="37"/>
      <c r="I238" s="37"/>
      <c r="J238" s="37"/>
      <c r="K238" s="122"/>
      <c r="L238" s="37"/>
      <c r="M238" s="37"/>
      <c r="N238" s="139"/>
      <c r="O238" s="37"/>
      <c r="P238" s="37"/>
      <c r="Q238" s="37"/>
      <c r="R238" s="37"/>
      <c r="S238" s="37"/>
      <c r="T238" s="37"/>
      <c r="U238" s="37"/>
      <c r="V238" s="37"/>
      <c r="W238" s="37"/>
      <c r="X238" s="37"/>
      <c r="Y238" s="37"/>
      <c r="Z238" s="37"/>
    </row>
    <row r="239" spans="1:26" ht="12.5">
      <c r="A239" s="37"/>
      <c r="B239" s="151"/>
      <c r="C239" s="122"/>
      <c r="D239" s="122"/>
      <c r="E239" s="84"/>
      <c r="F239" s="77"/>
      <c r="G239" s="77"/>
      <c r="H239" s="37"/>
      <c r="I239" s="37"/>
      <c r="J239" s="37"/>
      <c r="K239" s="122"/>
      <c r="L239" s="37"/>
      <c r="M239" s="37"/>
      <c r="N239" s="139"/>
      <c r="O239" s="37"/>
      <c r="P239" s="37"/>
      <c r="Q239" s="37"/>
      <c r="R239" s="37"/>
      <c r="S239" s="37"/>
      <c r="T239" s="37"/>
      <c r="U239" s="37"/>
      <c r="V239" s="37"/>
      <c r="W239" s="37"/>
      <c r="X239" s="37"/>
      <c r="Y239" s="37"/>
      <c r="Z239" s="37"/>
    </row>
    <row r="240" spans="1:26" ht="12.5">
      <c r="A240" s="37"/>
      <c r="B240" s="151"/>
      <c r="C240" s="122"/>
      <c r="D240" s="122"/>
      <c r="E240" s="84"/>
      <c r="F240" s="77"/>
      <c r="G240" s="77"/>
      <c r="H240" s="37"/>
      <c r="I240" s="37"/>
      <c r="J240" s="37"/>
      <c r="K240" s="122"/>
      <c r="L240" s="37"/>
      <c r="M240" s="37"/>
      <c r="N240" s="139"/>
      <c r="O240" s="37"/>
      <c r="P240" s="37"/>
      <c r="Q240" s="37"/>
      <c r="R240" s="37"/>
      <c r="S240" s="37"/>
      <c r="T240" s="37"/>
      <c r="U240" s="37"/>
      <c r="V240" s="37"/>
      <c r="W240" s="37"/>
      <c r="X240" s="37"/>
      <c r="Y240" s="37"/>
      <c r="Z240" s="37"/>
    </row>
    <row r="241" spans="1:26" ht="12.5">
      <c r="A241" s="37"/>
      <c r="B241" s="151"/>
      <c r="C241" s="122"/>
      <c r="D241" s="122"/>
      <c r="E241" s="84"/>
      <c r="F241" s="77"/>
      <c r="G241" s="77"/>
      <c r="H241" s="37"/>
      <c r="I241" s="37"/>
      <c r="J241" s="37"/>
      <c r="K241" s="122"/>
      <c r="L241" s="37"/>
      <c r="M241" s="37"/>
      <c r="N241" s="139"/>
      <c r="O241" s="37"/>
      <c r="P241" s="37"/>
      <c r="Q241" s="37"/>
      <c r="R241" s="37"/>
      <c r="S241" s="37"/>
      <c r="T241" s="37"/>
      <c r="U241" s="37"/>
      <c r="V241" s="37"/>
      <c r="W241" s="37"/>
      <c r="X241" s="37"/>
      <c r="Y241" s="37"/>
      <c r="Z241" s="37"/>
    </row>
    <row r="242" spans="1:26" ht="12.5">
      <c r="A242" s="37"/>
      <c r="B242" s="151"/>
      <c r="C242" s="122"/>
      <c r="D242" s="122"/>
      <c r="E242" s="84"/>
      <c r="F242" s="77"/>
      <c r="G242" s="77"/>
      <c r="H242" s="37"/>
      <c r="I242" s="37"/>
      <c r="J242" s="37"/>
      <c r="K242" s="122"/>
      <c r="L242" s="37"/>
      <c r="M242" s="37"/>
      <c r="N242" s="139"/>
      <c r="O242" s="37"/>
      <c r="P242" s="37"/>
      <c r="Q242" s="37"/>
      <c r="R242" s="37"/>
      <c r="S242" s="37"/>
      <c r="T242" s="37"/>
      <c r="U242" s="37"/>
      <c r="V242" s="37"/>
      <c r="W242" s="37"/>
      <c r="X242" s="37"/>
      <c r="Y242" s="37"/>
      <c r="Z242" s="37"/>
    </row>
    <row r="243" spans="1:26" ht="12.5">
      <c r="A243" s="37"/>
      <c r="B243" s="151"/>
      <c r="C243" s="122"/>
      <c r="D243" s="122"/>
      <c r="E243" s="84"/>
      <c r="F243" s="77"/>
      <c r="G243" s="77"/>
      <c r="H243" s="37"/>
      <c r="I243" s="37"/>
      <c r="J243" s="37"/>
      <c r="K243" s="122"/>
      <c r="L243" s="37"/>
      <c r="M243" s="37"/>
      <c r="N243" s="139"/>
      <c r="O243" s="37"/>
      <c r="P243" s="37"/>
      <c r="Q243" s="37"/>
      <c r="R243" s="37"/>
      <c r="S243" s="37"/>
      <c r="T243" s="37"/>
      <c r="U243" s="37"/>
      <c r="V243" s="37"/>
      <c r="W243" s="37"/>
      <c r="X243" s="37"/>
      <c r="Y243" s="37"/>
      <c r="Z243" s="37"/>
    </row>
    <row r="244" spans="1:26" ht="12.5">
      <c r="A244" s="37"/>
      <c r="B244" s="151"/>
      <c r="C244" s="122"/>
      <c r="D244" s="122"/>
      <c r="E244" s="84"/>
      <c r="F244" s="77"/>
      <c r="G244" s="77"/>
      <c r="H244" s="37"/>
      <c r="I244" s="37"/>
      <c r="J244" s="37"/>
      <c r="K244" s="122"/>
      <c r="L244" s="37"/>
      <c r="M244" s="37"/>
      <c r="N244" s="139"/>
      <c r="O244" s="37"/>
      <c r="P244" s="37"/>
      <c r="Q244" s="37"/>
      <c r="R244" s="37"/>
      <c r="S244" s="37"/>
      <c r="T244" s="37"/>
      <c r="U244" s="37"/>
      <c r="V244" s="37"/>
      <c r="W244" s="37"/>
      <c r="X244" s="37"/>
      <c r="Y244" s="37"/>
      <c r="Z244" s="37"/>
    </row>
    <row r="245" spans="1:26" ht="12.5">
      <c r="A245" s="37"/>
      <c r="B245" s="151"/>
      <c r="C245" s="122"/>
      <c r="D245" s="122"/>
      <c r="E245" s="84"/>
      <c r="F245" s="77"/>
      <c r="G245" s="77"/>
      <c r="H245" s="37"/>
      <c r="I245" s="37"/>
      <c r="J245" s="37"/>
      <c r="K245" s="122"/>
      <c r="L245" s="37"/>
      <c r="M245" s="37"/>
      <c r="N245" s="139"/>
      <c r="O245" s="37"/>
      <c r="P245" s="37"/>
      <c r="Q245" s="37"/>
      <c r="R245" s="37"/>
      <c r="S245" s="37"/>
      <c r="T245" s="37"/>
      <c r="U245" s="37"/>
      <c r="V245" s="37"/>
      <c r="W245" s="37"/>
      <c r="X245" s="37"/>
      <c r="Y245" s="37"/>
      <c r="Z245" s="37"/>
    </row>
    <row r="246" spans="1:26" ht="12.5">
      <c r="A246" s="37"/>
      <c r="B246" s="151"/>
      <c r="C246" s="122"/>
      <c r="D246" s="122"/>
      <c r="E246" s="84"/>
      <c r="F246" s="77"/>
      <c r="G246" s="77"/>
      <c r="H246" s="37"/>
      <c r="I246" s="37"/>
      <c r="J246" s="37"/>
      <c r="K246" s="122"/>
      <c r="L246" s="37"/>
      <c r="M246" s="37"/>
      <c r="N246" s="139"/>
      <c r="O246" s="37"/>
      <c r="P246" s="37"/>
      <c r="Q246" s="37"/>
      <c r="R246" s="37"/>
      <c r="S246" s="37"/>
      <c r="T246" s="37"/>
      <c r="U246" s="37"/>
      <c r="V246" s="37"/>
      <c r="W246" s="37"/>
      <c r="X246" s="37"/>
      <c r="Y246" s="37"/>
      <c r="Z246" s="37"/>
    </row>
    <row r="247" spans="1:26" ht="12.5">
      <c r="A247" s="37"/>
      <c r="B247" s="151"/>
      <c r="C247" s="122"/>
      <c r="D247" s="122"/>
      <c r="E247" s="84"/>
      <c r="F247" s="77"/>
      <c r="G247" s="77"/>
      <c r="H247" s="37"/>
      <c r="I247" s="37"/>
      <c r="J247" s="37"/>
      <c r="K247" s="122"/>
      <c r="L247" s="37"/>
      <c r="M247" s="37"/>
      <c r="N247" s="139"/>
      <c r="O247" s="37"/>
      <c r="P247" s="37"/>
      <c r="Q247" s="37"/>
      <c r="R247" s="37"/>
      <c r="S247" s="37"/>
      <c r="T247" s="37"/>
      <c r="U247" s="37"/>
      <c r="V247" s="37"/>
      <c r="W247" s="37"/>
      <c r="X247" s="37"/>
      <c r="Y247" s="37"/>
      <c r="Z247" s="37"/>
    </row>
    <row r="248" spans="1:26" ht="12.5">
      <c r="A248" s="37"/>
      <c r="B248" s="151"/>
      <c r="C248" s="122"/>
      <c r="D248" s="122"/>
      <c r="E248" s="84"/>
      <c r="F248" s="77"/>
      <c r="G248" s="77"/>
      <c r="H248" s="37"/>
      <c r="I248" s="37"/>
      <c r="J248" s="37"/>
      <c r="K248" s="122"/>
      <c r="L248" s="37"/>
      <c r="M248" s="37"/>
      <c r="N248" s="139"/>
      <c r="O248" s="37"/>
      <c r="P248" s="37"/>
      <c r="Q248" s="37"/>
      <c r="R248" s="37"/>
      <c r="S248" s="37"/>
      <c r="T248" s="37"/>
      <c r="U248" s="37"/>
      <c r="V248" s="37"/>
      <c r="W248" s="37"/>
      <c r="X248" s="37"/>
      <c r="Y248" s="37"/>
      <c r="Z248" s="37"/>
    </row>
    <row r="249" spans="1:26" ht="12.5">
      <c r="A249" s="37"/>
      <c r="B249" s="151"/>
      <c r="C249" s="122"/>
      <c r="D249" s="122"/>
      <c r="E249" s="84"/>
      <c r="F249" s="77"/>
      <c r="G249" s="77"/>
      <c r="H249" s="37"/>
      <c r="I249" s="37"/>
      <c r="J249" s="37"/>
      <c r="K249" s="122"/>
      <c r="L249" s="37"/>
      <c r="M249" s="37"/>
      <c r="N249" s="139"/>
      <c r="O249" s="37"/>
      <c r="P249" s="37"/>
      <c r="Q249" s="37"/>
      <c r="R249" s="37"/>
      <c r="S249" s="37"/>
      <c r="T249" s="37"/>
      <c r="U249" s="37"/>
      <c r="V249" s="37"/>
      <c r="W249" s="37"/>
      <c r="X249" s="37"/>
      <c r="Y249" s="37"/>
      <c r="Z249" s="37"/>
    </row>
    <row r="250" spans="1:26" ht="12.5">
      <c r="A250" s="37"/>
      <c r="B250" s="151"/>
      <c r="C250" s="122"/>
      <c r="D250" s="122"/>
      <c r="E250" s="84"/>
      <c r="F250" s="77"/>
      <c r="G250" s="77"/>
      <c r="H250" s="37"/>
      <c r="I250" s="37"/>
      <c r="J250" s="37"/>
      <c r="K250" s="122"/>
      <c r="L250" s="37"/>
      <c r="M250" s="37"/>
      <c r="N250" s="139"/>
      <c r="O250" s="37"/>
      <c r="P250" s="37"/>
      <c r="Q250" s="37"/>
      <c r="R250" s="37"/>
      <c r="S250" s="37"/>
      <c r="T250" s="37"/>
      <c r="U250" s="37"/>
      <c r="V250" s="37"/>
      <c r="W250" s="37"/>
      <c r="X250" s="37"/>
      <c r="Y250" s="37"/>
      <c r="Z250" s="37"/>
    </row>
    <row r="251" spans="1:26" ht="12.5">
      <c r="A251" s="37"/>
      <c r="B251" s="151"/>
      <c r="C251" s="122"/>
      <c r="D251" s="122"/>
      <c r="E251" s="84"/>
      <c r="F251" s="77"/>
      <c r="G251" s="77"/>
      <c r="H251" s="37"/>
      <c r="I251" s="37"/>
      <c r="J251" s="37"/>
      <c r="K251" s="122"/>
      <c r="L251" s="37"/>
      <c r="M251" s="37"/>
      <c r="N251" s="139"/>
      <c r="O251" s="37"/>
      <c r="P251" s="37"/>
      <c r="Q251" s="37"/>
      <c r="R251" s="37"/>
      <c r="S251" s="37"/>
      <c r="T251" s="37"/>
      <c r="U251" s="37"/>
      <c r="V251" s="37"/>
      <c r="W251" s="37"/>
      <c r="X251" s="37"/>
      <c r="Y251" s="37"/>
      <c r="Z251" s="37"/>
    </row>
    <row r="252" spans="1:26" ht="12.5">
      <c r="A252" s="37"/>
      <c r="B252" s="151"/>
      <c r="C252" s="122"/>
      <c r="D252" s="122"/>
      <c r="E252" s="84"/>
      <c r="F252" s="77"/>
      <c r="G252" s="77"/>
      <c r="H252" s="37"/>
      <c r="I252" s="37"/>
      <c r="J252" s="37"/>
      <c r="K252" s="122"/>
      <c r="L252" s="37"/>
      <c r="M252" s="37"/>
      <c r="N252" s="139"/>
      <c r="O252" s="37"/>
      <c r="P252" s="37"/>
      <c r="Q252" s="37"/>
      <c r="R252" s="37"/>
      <c r="S252" s="37"/>
      <c r="T252" s="37"/>
      <c r="U252" s="37"/>
      <c r="V252" s="37"/>
      <c r="W252" s="37"/>
      <c r="X252" s="37"/>
      <c r="Y252" s="37"/>
      <c r="Z252" s="37"/>
    </row>
    <row r="253" spans="1:26" ht="12.5">
      <c r="A253" s="37"/>
      <c r="B253" s="151"/>
      <c r="C253" s="122"/>
      <c r="D253" s="122"/>
      <c r="E253" s="84"/>
      <c r="F253" s="77"/>
      <c r="G253" s="77"/>
      <c r="H253" s="37"/>
      <c r="I253" s="37"/>
      <c r="J253" s="37"/>
      <c r="K253" s="122"/>
      <c r="L253" s="37"/>
      <c r="M253" s="37"/>
      <c r="N253" s="139"/>
      <c r="O253" s="37"/>
      <c r="P253" s="37"/>
      <c r="Q253" s="37"/>
      <c r="R253" s="37"/>
      <c r="S253" s="37"/>
      <c r="T253" s="37"/>
      <c r="U253" s="37"/>
      <c r="V253" s="37"/>
      <c r="W253" s="37"/>
      <c r="X253" s="37"/>
      <c r="Y253" s="37"/>
      <c r="Z253" s="37"/>
    </row>
    <row r="254" spans="1:26" ht="12.5">
      <c r="A254" s="37"/>
      <c r="B254" s="151"/>
      <c r="C254" s="122"/>
      <c r="D254" s="122"/>
      <c r="E254" s="84"/>
      <c r="F254" s="77"/>
      <c r="G254" s="77"/>
      <c r="H254" s="37"/>
      <c r="I254" s="37"/>
      <c r="J254" s="37"/>
      <c r="K254" s="122"/>
      <c r="L254" s="37"/>
      <c r="M254" s="37"/>
      <c r="N254" s="139"/>
      <c r="O254" s="37"/>
      <c r="P254" s="37"/>
      <c r="Q254" s="37"/>
      <c r="R254" s="37"/>
      <c r="S254" s="37"/>
      <c r="T254" s="37"/>
      <c r="U254" s="37"/>
      <c r="V254" s="37"/>
      <c r="W254" s="37"/>
      <c r="X254" s="37"/>
      <c r="Y254" s="37"/>
      <c r="Z254" s="37"/>
    </row>
    <row r="255" spans="1:26" ht="12.5">
      <c r="A255" s="37"/>
      <c r="B255" s="151"/>
      <c r="C255" s="122"/>
      <c r="D255" s="122"/>
      <c r="E255" s="84"/>
      <c r="F255" s="77"/>
      <c r="G255" s="77"/>
      <c r="H255" s="37"/>
      <c r="I255" s="37"/>
      <c r="J255" s="37"/>
      <c r="K255" s="122"/>
      <c r="L255" s="37"/>
      <c r="M255" s="37"/>
      <c r="N255" s="139"/>
      <c r="O255" s="37"/>
      <c r="P255" s="37"/>
      <c r="Q255" s="37"/>
      <c r="R255" s="37"/>
      <c r="S255" s="37"/>
      <c r="T255" s="37"/>
      <c r="U255" s="37"/>
      <c r="V255" s="37"/>
      <c r="W255" s="37"/>
      <c r="X255" s="37"/>
      <c r="Y255" s="37"/>
      <c r="Z255" s="37"/>
    </row>
    <row r="256" spans="1:26" ht="12.5">
      <c r="A256" s="37"/>
      <c r="B256" s="151"/>
      <c r="C256" s="122"/>
      <c r="D256" s="122"/>
      <c r="E256" s="84"/>
      <c r="F256" s="77"/>
      <c r="G256" s="77"/>
      <c r="H256" s="37"/>
      <c r="I256" s="37"/>
      <c r="J256" s="37"/>
      <c r="K256" s="122"/>
      <c r="L256" s="37"/>
      <c r="M256" s="37"/>
      <c r="N256" s="139"/>
      <c r="O256" s="37"/>
      <c r="P256" s="37"/>
      <c r="Q256" s="37"/>
      <c r="R256" s="37"/>
      <c r="S256" s="37"/>
      <c r="T256" s="37"/>
      <c r="U256" s="37"/>
      <c r="V256" s="37"/>
      <c r="W256" s="37"/>
      <c r="X256" s="37"/>
      <c r="Y256" s="37"/>
      <c r="Z256" s="37"/>
    </row>
    <row r="257" spans="1:26" ht="12.5">
      <c r="A257" s="37"/>
      <c r="B257" s="151"/>
      <c r="C257" s="122"/>
      <c r="D257" s="122"/>
      <c r="E257" s="84"/>
      <c r="F257" s="77"/>
      <c r="G257" s="77"/>
      <c r="H257" s="37"/>
      <c r="I257" s="37"/>
      <c r="J257" s="37"/>
      <c r="K257" s="122"/>
      <c r="L257" s="37"/>
      <c r="M257" s="37"/>
      <c r="N257" s="139"/>
      <c r="O257" s="37"/>
      <c r="P257" s="37"/>
      <c r="Q257" s="37"/>
      <c r="R257" s="37"/>
      <c r="S257" s="37"/>
      <c r="T257" s="37"/>
      <c r="U257" s="37"/>
      <c r="V257" s="37"/>
      <c r="W257" s="37"/>
      <c r="X257" s="37"/>
      <c r="Y257" s="37"/>
      <c r="Z257" s="37"/>
    </row>
    <row r="258" spans="1:26" ht="12.5">
      <c r="A258" s="37"/>
      <c r="B258" s="151"/>
      <c r="C258" s="122"/>
      <c r="D258" s="122"/>
      <c r="E258" s="84"/>
      <c r="F258" s="77"/>
      <c r="G258" s="77"/>
      <c r="H258" s="37"/>
      <c r="I258" s="37"/>
      <c r="J258" s="37"/>
      <c r="K258" s="122"/>
      <c r="L258" s="37"/>
      <c r="M258" s="37"/>
      <c r="N258" s="139"/>
      <c r="O258" s="37"/>
      <c r="P258" s="37"/>
      <c r="Q258" s="37"/>
      <c r="R258" s="37"/>
      <c r="S258" s="37"/>
      <c r="T258" s="37"/>
      <c r="U258" s="37"/>
      <c r="V258" s="37"/>
      <c r="W258" s="37"/>
      <c r="X258" s="37"/>
      <c r="Y258" s="37"/>
      <c r="Z258" s="37"/>
    </row>
    <row r="259" spans="1:26" ht="12.5">
      <c r="A259" s="37"/>
      <c r="B259" s="151"/>
      <c r="C259" s="122"/>
      <c r="D259" s="122"/>
      <c r="E259" s="84"/>
      <c r="F259" s="77"/>
      <c r="G259" s="77"/>
      <c r="H259" s="37"/>
      <c r="I259" s="37"/>
      <c r="J259" s="37"/>
      <c r="K259" s="122"/>
      <c r="L259" s="37"/>
      <c r="M259" s="37"/>
      <c r="N259" s="139"/>
      <c r="O259" s="37"/>
      <c r="P259" s="37"/>
      <c r="Q259" s="37"/>
      <c r="R259" s="37"/>
      <c r="S259" s="37"/>
      <c r="T259" s="37"/>
      <c r="U259" s="37"/>
      <c r="V259" s="37"/>
      <c r="W259" s="37"/>
      <c r="X259" s="37"/>
      <c r="Y259" s="37"/>
      <c r="Z259" s="37"/>
    </row>
    <row r="260" spans="1:26" ht="12.5">
      <c r="A260" s="37"/>
      <c r="B260" s="151"/>
      <c r="C260" s="122"/>
      <c r="D260" s="122"/>
      <c r="E260" s="84"/>
      <c r="F260" s="77"/>
      <c r="G260" s="77"/>
      <c r="H260" s="37"/>
      <c r="I260" s="37"/>
      <c r="J260" s="37"/>
      <c r="K260" s="122"/>
      <c r="L260" s="37"/>
      <c r="M260" s="37"/>
      <c r="N260" s="139"/>
      <c r="O260" s="37"/>
      <c r="P260" s="37"/>
      <c r="Q260" s="37"/>
      <c r="R260" s="37"/>
      <c r="S260" s="37"/>
      <c r="T260" s="37"/>
      <c r="U260" s="37"/>
      <c r="V260" s="37"/>
      <c r="W260" s="37"/>
      <c r="X260" s="37"/>
      <c r="Y260" s="37"/>
      <c r="Z260" s="37"/>
    </row>
    <row r="261" spans="1:26" ht="12.5">
      <c r="A261" s="37"/>
      <c r="B261" s="151"/>
      <c r="C261" s="122"/>
      <c r="D261" s="122"/>
      <c r="E261" s="84"/>
      <c r="F261" s="77"/>
      <c r="G261" s="77"/>
      <c r="H261" s="37"/>
      <c r="I261" s="37"/>
      <c r="J261" s="37"/>
      <c r="K261" s="122"/>
      <c r="L261" s="37"/>
      <c r="M261" s="37"/>
      <c r="N261" s="139"/>
      <c r="O261" s="37"/>
      <c r="P261" s="37"/>
      <c r="Q261" s="37"/>
      <c r="R261" s="37"/>
      <c r="S261" s="37"/>
      <c r="T261" s="37"/>
      <c r="U261" s="37"/>
      <c r="V261" s="37"/>
      <c r="W261" s="37"/>
      <c r="X261" s="37"/>
      <c r="Y261" s="37"/>
      <c r="Z261" s="37"/>
    </row>
    <row r="262" spans="1:26" ht="12.5">
      <c r="A262" s="37"/>
      <c r="B262" s="151"/>
      <c r="C262" s="122"/>
      <c r="D262" s="122"/>
      <c r="E262" s="84"/>
      <c r="F262" s="77"/>
      <c r="G262" s="77"/>
      <c r="H262" s="37"/>
      <c r="I262" s="37"/>
      <c r="J262" s="37"/>
      <c r="K262" s="122"/>
      <c r="L262" s="37"/>
      <c r="M262" s="37"/>
      <c r="N262" s="139"/>
      <c r="O262" s="37"/>
      <c r="P262" s="37"/>
      <c r="Q262" s="37"/>
      <c r="R262" s="37"/>
      <c r="S262" s="37"/>
      <c r="T262" s="37"/>
      <c r="U262" s="37"/>
      <c r="V262" s="37"/>
      <c r="W262" s="37"/>
      <c r="X262" s="37"/>
      <c r="Y262" s="37"/>
      <c r="Z262" s="37"/>
    </row>
    <row r="263" spans="1:26" ht="12.5">
      <c r="A263" s="37"/>
      <c r="B263" s="151"/>
      <c r="C263" s="122"/>
      <c r="D263" s="122"/>
      <c r="E263" s="84"/>
      <c r="F263" s="77"/>
      <c r="G263" s="77"/>
      <c r="H263" s="37"/>
      <c r="I263" s="37"/>
      <c r="J263" s="37"/>
      <c r="K263" s="122"/>
      <c r="L263" s="37"/>
      <c r="M263" s="37"/>
      <c r="N263" s="139"/>
      <c r="O263" s="37"/>
      <c r="P263" s="37"/>
      <c r="Q263" s="37"/>
      <c r="R263" s="37"/>
      <c r="S263" s="37"/>
      <c r="T263" s="37"/>
      <c r="U263" s="37"/>
      <c r="V263" s="37"/>
      <c r="W263" s="37"/>
      <c r="X263" s="37"/>
      <c r="Y263" s="37"/>
      <c r="Z263" s="37"/>
    </row>
    <row r="264" spans="1:26" ht="12.5">
      <c r="A264" s="37"/>
      <c r="B264" s="151"/>
      <c r="C264" s="122"/>
      <c r="D264" s="122"/>
      <c r="E264" s="84"/>
      <c r="F264" s="77"/>
      <c r="G264" s="77"/>
      <c r="H264" s="37"/>
      <c r="I264" s="37"/>
      <c r="J264" s="37"/>
      <c r="K264" s="122"/>
      <c r="L264" s="37"/>
      <c r="M264" s="37"/>
      <c r="N264" s="139"/>
      <c r="O264" s="37"/>
      <c r="P264" s="37"/>
      <c r="Q264" s="37"/>
      <c r="R264" s="37"/>
      <c r="S264" s="37"/>
      <c r="T264" s="37"/>
      <c r="U264" s="37"/>
      <c r="V264" s="37"/>
      <c r="W264" s="37"/>
      <c r="X264" s="37"/>
      <c r="Y264" s="37"/>
      <c r="Z264" s="37"/>
    </row>
    <row r="265" spans="1:26" ht="12.5">
      <c r="A265" s="37"/>
      <c r="B265" s="151"/>
      <c r="C265" s="122"/>
      <c r="D265" s="122"/>
      <c r="E265" s="84"/>
      <c r="F265" s="77"/>
      <c r="G265" s="77"/>
      <c r="H265" s="37"/>
      <c r="I265" s="37"/>
      <c r="J265" s="37"/>
      <c r="K265" s="122"/>
      <c r="L265" s="37"/>
      <c r="M265" s="37"/>
      <c r="N265" s="139"/>
      <c r="O265" s="37"/>
      <c r="P265" s="37"/>
      <c r="Q265" s="37"/>
      <c r="R265" s="37"/>
      <c r="S265" s="37"/>
      <c r="T265" s="37"/>
      <c r="U265" s="37"/>
      <c r="V265" s="37"/>
      <c r="W265" s="37"/>
      <c r="X265" s="37"/>
      <c r="Y265" s="37"/>
      <c r="Z265" s="37"/>
    </row>
    <row r="266" spans="1:26" ht="12.5">
      <c r="A266" s="37"/>
      <c r="B266" s="151"/>
      <c r="C266" s="122"/>
      <c r="D266" s="122"/>
      <c r="E266" s="84"/>
      <c r="F266" s="77"/>
      <c r="G266" s="77"/>
      <c r="H266" s="37"/>
      <c r="I266" s="37"/>
      <c r="J266" s="37"/>
      <c r="K266" s="122"/>
      <c r="L266" s="37"/>
      <c r="M266" s="37"/>
      <c r="N266" s="139"/>
      <c r="O266" s="37"/>
      <c r="P266" s="37"/>
      <c r="Q266" s="37"/>
      <c r="R266" s="37"/>
      <c r="S266" s="37"/>
      <c r="T266" s="37"/>
      <c r="U266" s="37"/>
      <c r="V266" s="37"/>
      <c r="W266" s="37"/>
      <c r="X266" s="37"/>
      <c r="Y266" s="37"/>
      <c r="Z266" s="37"/>
    </row>
    <row r="267" spans="1:26" ht="12.5">
      <c r="A267" s="37"/>
      <c r="B267" s="151"/>
      <c r="C267" s="122"/>
      <c r="D267" s="122"/>
      <c r="E267" s="84"/>
      <c r="F267" s="77"/>
      <c r="G267" s="77"/>
      <c r="H267" s="37"/>
      <c r="I267" s="37"/>
      <c r="J267" s="37"/>
      <c r="K267" s="122"/>
      <c r="L267" s="37"/>
      <c r="M267" s="37"/>
      <c r="N267" s="139"/>
      <c r="O267" s="37"/>
      <c r="P267" s="37"/>
      <c r="Q267" s="37"/>
      <c r="R267" s="37"/>
      <c r="S267" s="37"/>
      <c r="T267" s="37"/>
      <c r="U267" s="37"/>
      <c r="V267" s="37"/>
      <c r="W267" s="37"/>
      <c r="X267" s="37"/>
      <c r="Y267" s="37"/>
      <c r="Z267" s="37"/>
    </row>
    <row r="268" spans="1:26" ht="12.5">
      <c r="A268" s="37"/>
      <c r="B268" s="151"/>
      <c r="C268" s="122"/>
      <c r="D268" s="122"/>
      <c r="E268" s="84"/>
      <c r="F268" s="77"/>
      <c r="G268" s="77"/>
      <c r="H268" s="37"/>
      <c r="I268" s="37"/>
      <c r="J268" s="37"/>
      <c r="K268" s="122"/>
      <c r="L268" s="37"/>
      <c r="M268" s="37"/>
      <c r="N268" s="139"/>
      <c r="O268" s="37"/>
      <c r="P268" s="37"/>
      <c r="Q268" s="37"/>
      <c r="R268" s="37"/>
      <c r="S268" s="37"/>
      <c r="T268" s="37"/>
      <c r="U268" s="37"/>
      <c r="V268" s="37"/>
      <c r="W268" s="37"/>
      <c r="X268" s="37"/>
      <c r="Y268" s="37"/>
      <c r="Z268" s="37"/>
    </row>
    <row r="269" spans="1:26" ht="12.5">
      <c r="A269" s="37"/>
      <c r="B269" s="151"/>
      <c r="C269" s="122"/>
      <c r="D269" s="122"/>
      <c r="E269" s="84"/>
      <c r="F269" s="77"/>
      <c r="G269" s="77"/>
      <c r="H269" s="37"/>
      <c r="I269" s="37"/>
      <c r="J269" s="37"/>
      <c r="K269" s="122"/>
      <c r="L269" s="37"/>
      <c r="M269" s="37"/>
      <c r="N269" s="139"/>
      <c r="O269" s="37"/>
      <c r="P269" s="37"/>
      <c r="Q269" s="37"/>
      <c r="R269" s="37"/>
      <c r="S269" s="37"/>
      <c r="T269" s="37"/>
      <c r="U269" s="37"/>
      <c r="V269" s="37"/>
      <c r="W269" s="37"/>
      <c r="X269" s="37"/>
      <c r="Y269" s="37"/>
      <c r="Z269" s="37"/>
    </row>
    <row r="270" spans="1:26" ht="12.5">
      <c r="A270" s="37"/>
      <c r="B270" s="151"/>
      <c r="C270" s="122"/>
      <c r="D270" s="122"/>
      <c r="E270" s="84"/>
      <c r="F270" s="77"/>
      <c r="G270" s="77"/>
      <c r="H270" s="37"/>
      <c r="I270" s="37"/>
      <c r="J270" s="37"/>
      <c r="K270" s="122"/>
      <c r="L270" s="37"/>
      <c r="M270" s="37"/>
      <c r="N270" s="139"/>
      <c r="O270" s="37"/>
      <c r="P270" s="37"/>
      <c r="Q270" s="37"/>
      <c r="R270" s="37"/>
      <c r="S270" s="37"/>
      <c r="T270" s="37"/>
      <c r="U270" s="37"/>
      <c r="V270" s="37"/>
      <c r="W270" s="37"/>
      <c r="X270" s="37"/>
      <c r="Y270" s="37"/>
      <c r="Z270" s="37"/>
    </row>
    <row r="271" spans="1:26" ht="12.5">
      <c r="A271" s="37"/>
      <c r="B271" s="151"/>
      <c r="C271" s="122"/>
      <c r="D271" s="122"/>
      <c r="E271" s="84"/>
      <c r="F271" s="77"/>
      <c r="G271" s="77"/>
      <c r="H271" s="37"/>
      <c r="I271" s="37"/>
      <c r="J271" s="37"/>
      <c r="K271" s="122"/>
      <c r="L271" s="37"/>
      <c r="M271" s="37"/>
      <c r="N271" s="139"/>
      <c r="O271" s="37"/>
      <c r="P271" s="37"/>
      <c r="Q271" s="37"/>
      <c r="R271" s="37"/>
      <c r="S271" s="37"/>
      <c r="T271" s="37"/>
      <c r="U271" s="37"/>
      <c r="V271" s="37"/>
      <c r="W271" s="37"/>
      <c r="X271" s="37"/>
      <c r="Y271" s="37"/>
      <c r="Z271" s="37"/>
    </row>
    <row r="272" spans="1:26" ht="12.5">
      <c r="A272" s="37"/>
      <c r="B272" s="151"/>
      <c r="C272" s="122"/>
      <c r="D272" s="122"/>
      <c r="E272" s="84"/>
      <c r="F272" s="77"/>
      <c r="G272" s="77"/>
      <c r="H272" s="37"/>
      <c r="I272" s="37"/>
      <c r="J272" s="37"/>
      <c r="K272" s="122"/>
      <c r="L272" s="37"/>
      <c r="M272" s="37"/>
      <c r="N272" s="139"/>
      <c r="O272" s="37"/>
      <c r="P272" s="37"/>
      <c r="Q272" s="37"/>
      <c r="R272" s="37"/>
      <c r="S272" s="37"/>
      <c r="T272" s="37"/>
      <c r="U272" s="37"/>
      <c r="V272" s="37"/>
      <c r="W272" s="37"/>
      <c r="X272" s="37"/>
      <c r="Y272" s="37"/>
      <c r="Z272" s="37"/>
    </row>
    <row r="273" spans="1:26" ht="12.5">
      <c r="A273" s="37"/>
      <c r="B273" s="151"/>
      <c r="C273" s="122"/>
      <c r="D273" s="122"/>
      <c r="E273" s="84"/>
      <c r="F273" s="77"/>
      <c r="G273" s="77"/>
      <c r="H273" s="37"/>
      <c r="I273" s="37"/>
      <c r="J273" s="37"/>
      <c r="K273" s="122"/>
      <c r="L273" s="37"/>
      <c r="M273" s="37"/>
      <c r="N273" s="139"/>
      <c r="O273" s="37"/>
      <c r="P273" s="37"/>
      <c r="Q273" s="37"/>
      <c r="R273" s="37"/>
      <c r="S273" s="37"/>
      <c r="T273" s="37"/>
      <c r="U273" s="37"/>
      <c r="V273" s="37"/>
      <c r="W273" s="37"/>
      <c r="X273" s="37"/>
      <c r="Y273" s="37"/>
      <c r="Z273" s="37"/>
    </row>
    <row r="274" spans="1:26" ht="12.5">
      <c r="A274" s="37"/>
      <c r="B274" s="151"/>
      <c r="C274" s="122"/>
      <c r="D274" s="122"/>
      <c r="E274" s="84"/>
      <c r="F274" s="77"/>
      <c r="G274" s="77"/>
      <c r="H274" s="37"/>
      <c r="I274" s="37"/>
      <c r="J274" s="37"/>
      <c r="K274" s="122"/>
      <c r="L274" s="37"/>
      <c r="M274" s="37"/>
      <c r="N274" s="139"/>
      <c r="O274" s="37"/>
      <c r="P274" s="37"/>
      <c r="Q274" s="37"/>
      <c r="R274" s="37"/>
      <c r="S274" s="37"/>
      <c r="T274" s="37"/>
      <c r="U274" s="37"/>
      <c r="V274" s="37"/>
      <c r="W274" s="37"/>
      <c r="X274" s="37"/>
      <c r="Y274" s="37"/>
      <c r="Z274" s="37"/>
    </row>
    <row r="275" spans="1:26" ht="12.5">
      <c r="A275" s="37"/>
      <c r="B275" s="151"/>
      <c r="C275" s="122"/>
      <c r="D275" s="122"/>
      <c r="E275" s="84"/>
      <c r="F275" s="77"/>
      <c r="G275" s="77"/>
      <c r="H275" s="37"/>
      <c r="I275" s="37"/>
      <c r="J275" s="37"/>
      <c r="K275" s="122"/>
      <c r="L275" s="37"/>
      <c r="M275" s="37"/>
      <c r="N275" s="139"/>
      <c r="O275" s="37"/>
      <c r="P275" s="37"/>
      <c r="Q275" s="37"/>
      <c r="R275" s="37"/>
      <c r="S275" s="37"/>
      <c r="T275" s="37"/>
      <c r="U275" s="37"/>
      <c r="V275" s="37"/>
      <c r="W275" s="37"/>
      <c r="X275" s="37"/>
      <c r="Y275" s="37"/>
      <c r="Z275" s="37"/>
    </row>
    <row r="276" spans="1:26" ht="12.5">
      <c r="A276" s="37"/>
      <c r="B276" s="151"/>
      <c r="C276" s="122"/>
      <c r="D276" s="122"/>
      <c r="E276" s="84"/>
      <c r="F276" s="77"/>
      <c r="G276" s="77"/>
      <c r="H276" s="37"/>
      <c r="I276" s="37"/>
      <c r="J276" s="37"/>
      <c r="K276" s="122"/>
      <c r="L276" s="37"/>
      <c r="M276" s="37"/>
      <c r="N276" s="139"/>
      <c r="O276" s="37"/>
      <c r="P276" s="37"/>
      <c r="Q276" s="37"/>
      <c r="R276" s="37"/>
      <c r="S276" s="37"/>
      <c r="T276" s="37"/>
      <c r="U276" s="37"/>
      <c r="V276" s="37"/>
      <c r="W276" s="37"/>
      <c r="X276" s="37"/>
      <c r="Y276" s="37"/>
      <c r="Z276" s="37"/>
    </row>
    <row r="277" spans="1:26" ht="12.5">
      <c r="A277" s="37"/>
      <c r="B277" s="151"/>
      <c r="C277" s="122"/>
      <c r="D277" s="122"/>
      <c r="E277" s="84"/>
      <c r="F277" s="77"/>
      <c r="G277" s="77"/>
      <c r="H277" s="37"/>
      <c r="I277" s="37"/>
      <c r="J277" s="37"/>
      <c r="K277" s="122"/>
      <c r="L277" s="37"/>
      <c r="M277" s="37"/>
      <c r="N277" s="139"/>
      <c r="O277" s="37"/>
      <c r="P277" s="37"/>
      <c r="Q277" s="37"/>
      <c r="R277" s="37"/>
      <c r="S277" s="37"/>
      <c r="T277" s="37"/>
      <c r="U277" s="37"/>
      <c r="V277" s="37"/>
      <c r="W277" s="37"/>
      <c r="X277" s="37"/>
      <c r="Y277" s="37"/>
      <c r="Z277" s="37"/>
    </row>
    <row r="278" spans="1:26" ht="12.5">
      <c r="A278" s="37"/>
      <c r="B278" s="151"/>
      <c r="C278" s="122"/>
      <c r="D278" s="122"/>
      <c r="E278" s="84"/>
      <c r="F278" s="77"/>
      <c r="G278" s="77"/>
      <c r="H278" s="37"/>
      <c r="I278" s="37"/>
      <c r="J278" s="37"/>
      <c r="K278" s="122"/>
      <c r="L278" s="37"/>
      <c r="M278" s="37"/>
      <c r="N278" s="139"/>
      <c r="O278" s="37"/>
      <c r="P278" s="37"/>
      <c r="Q278" s="37"/>
      <c r="R278" s="37"/>
      <c r="S278" s="37"/>
      <c r="T278" s="37"/>
      <c r="U278" s="37"/>
      <c r="V278" s="37"/>
      <c r="W278" s="37"/>
      <c r="X278" s="37"/>
      <c r="Y278" s="37"/>
      <c r="Z278" s="37"/>
    </row>
    <row r="279" spans="1:26" ht="12.5">
      <c r="A279" s="37"/>
      <c r="B279" s="151"/>
      <c r="C279" s="122"/>
      <c r="D279" s="122"/>
      <c r="E279" s="84"/>
      <c r="F279" s="77"/>
      <c r="G279" s="77"/>
      <c r="H279" s="37"/>
      <c r="I279" s="37"/>
      <c r="J279" s="37"/>
      <c r="K279" s="122"/>
      <c r="L279" s="37"/>
      <c r="M279" s="37"/>
      <c r="N279" s="139"/>
      <c r="O279" s="37"/>
      <c r="P279" s="37"/>
      <c r="Q279" s="37"/>
      <c r="R279" s="37"/>
      <c r="S279" s="37"/>
      <c r="T279" s="37"/>
      <c r="U279" s="37"/>
      <c r="V279" s="37"/>
      <c r="W279" s="37"/>
      <c r="X279" s="37"/>
      <c r="Y279" s="37"/>
      <c r="Z279" s="37"/>
    </row>
    <row r="280" spans="1:26" ht="12.5">
      <c r="A280" s="37"/>
      <c r="B280" s="151"/>
      <c r="C280" s="122"/>
      <c r="D280" s="122"/>
      <c r="E280" s="84"/>
      <c r="F280" s="77"/>
      <c r="G280" s="77"/>
      <c r="H280" s="37"/>
      <c r="I280" s="37"/>
      <c r="J280" s="37"/>
      <c r="K280" s="122"/>
      <c r="L280" s="37"/>
      <c r="M280" s="37"/>
      <c r="N280" s="139"/>
      <c r="O280" s="37"/>
      <c r="P280" s="37"/>
      <c r="Q280" s="37"/>
      <c r="R280" s="37"/>
      <c r="S280" s="37"/>
      <c r="T280" s="37"/>
      <c r="U280" s="37"/>
      <c r="V280" s="37"/>
      <c r="W280" s="37"/>
      <c r="X280" s="37"/>
      <c r="Y280" s="37"/>
      <c r="Z280" s="37"/>
    </row>
    <row r="281" spans="1:26" ht="12.5">
      <c r="A281" s="37"/>
      <c r="B281" s="151"/>
      <c r="C281" s="122"/>
      <c r="D281" s="122"/>
      <c r="E281" s="84"/>
      <c r="F281" s="77"/>
      <c r="G281" s="77"/>
      <c r="H281" s="37"/>
      <c r="I281" s="37"/>
      <c r="J281" s="37"/>
      <c r="K281" s="122"/>
      <c r="L281" s="37"/>
      <c r="M281" s="37"/>
      <c r="N281" s="139"/>
      <c r="O281" s="37"/>
      <c r="P281" s="37"/>
      <c r="Q281" s="37"/>
      <c r="R281" s="37"/>
      <c r="S281" s="37"/>
      <c r="T281" s="37"/>
      <c r="U281" s="37"/>
      <c r="V281" s="37"/>
      <c r="W281" s="37"/>
      <c r="X281" s="37"/>
      <c r="Y281" s="37"/>
      <c r="Z281" s="37"/>
    </row>
    <row r="282" spans="1:26" ht="12.5">
      <c r="A282" s="37"/>
      <c r="B282" s="151"/>
      <c r="C282" s="122"/>
      <c r="D282" s="122"/>
      <c r="E282" s="84"/>
      <c r="F282" s="77"/>
      <c r="G282" s="77"/>
      <c r="H282" s="37"/>
      <c r="I282" s="37"/>
      <c r="J282" s="37"/>
      <c r="K282" s="122"/>
      <c r="L282" s="37"/>
      <c r="M282" s="37"/>
      <c r="N282" s="139"/>
      <c r="O282" s="37"/>
      <c r="P282" s="37"/>
      <c r="Q282" s="37"/>
      <c r="R282" s="37"/>
      <c r="S282" s="37"/>
      <c r="T282" s="37"/>
      <c r="U282" s="37"/>
      <c r="V282" s="37"/>
      <c r="W282" s="37"/>
      <c r="X282" s="37"/>
      <c r="Y282" s="37"/>
      <c r="Z282" s="37"/>
    </row>
    <row r="283" spans="1:26" ht="12.5">
      <c r="A283" s="37"/>
      <c r="B283" s="151"/>
      <c r="C283" s="122"/>
      <c r="D283" s="122"/>
      <c r="E283" s="84"/>
      <c r="F283" s="77"/>
      <c r="G283" s="77"/>
      <c r="H283" s="37"/>
      <c r="I283" s="37"/>
      <c r="J283" s="37"/>
      <c r="K283" s="122"/>
      <c r="L283" s="37"/>
      <c r="M283" s="37"/>
      <c r="N283" s="139"/>
      <c r="O283" s="37"/>
      <c r="P283" s="37"/>
      <c r="Q283" s="37"/>
      <c r="R283" s="37"/>
      <c r="S283" s="37"/>
      <c r="T283" s="37"/>
      <c r="U283" s="37"/>
      <c r="V283" s="37"/>
      <c r="W283" s="37"/>
      <c r="X283" s="37"/>
      <c r="Y283" s="37"/>
      <c r="Z283" s="37"/>
    </row>
    <row r="284" spans="1:26" ht="12.5">
      <c r="A284" s="37"/>
      <c r="B284" s="151"/>
      <c r="C284" s="122"/>
      <c r="D284" s="122"/>
      <c r="E284" s="84"/>
      <c r="F284" s="77"/>
      <c r="G284" s="77"/>
      <c r="H284" s="37"/>
      <c r="I284" s="37"/>
      <c r="J284" s="37"/>
      <c r="K284" s="122"/>
      <c r="L284" s="37"/>
      <c r="M284" s="37"/>
      <c r="N284" s="139"/>
      <c r="O284" s="37"/>
      <c r="P284" s="37"/>
      <c r="Q284" s="37"/>
      <c r="R284" s="37"/>
      <c r="S284" s="37"/>
      <c r="T284" s="37"/>
      <c r="U284" s="37"/>
      <c r="V284" s="37"/>
      <c r="W284" s="37"/>
      <c r="X284" s="37"/>
      <c r="Y284" s="37"/>
      <c r="Z284" s="37"/>
    </row>
    <row r="285" spans="1:26" ht="12.5">
      <c r="A285" s="37"/>
      <c r="B285" s="151"/>
      <c r="C285" s="122"/>
      <c r="D285" s="122"/>
      <c r="E285" s="84"/>
      <c r="F285" s="77"/>
      <c r="G285" s="77"/>
      <c r="H285" s="37"/>
      <c r="I285" s="37"/>
      <c r="J285" s="37"/>
      <c r="K285" s="122"/>
      <c r="L285" s="37"/>
      <c r="M285" s="37"/>
      <c r="N285" s="139"/>
      <c r="O285" s="37"/>
      <c r="P285" s="37"/>
      <c r="Q285" s="37"/>
      <c r="R285" s="37"/>
      <c r="S285" s="37"/>
      <c r="T285" s="37"/>
      <c r="U285" s="37"/>
      <c r="V285" s="37"/>
      <c r="W285" s="37"/>
      <c r="X285" s="37"/>
      <c r="Y285" s="37"/>
      <c r="Z285" s="37"/>
    </row>
    <row r="286" spans="1:26" ht="12.5">
      <c r="A286" s="37"/>
      <c r="B286" s="151"/>
      <c r="C286" s="122"/>
      <c r="D286" s="122"/>
      <c r="E286" s="84"/>
      <c r="F286" s="77"/>
      <c r="G286" s="77"/>
      <c r="H286" s="37"/>
      <c r="I286" s="37"/>
      <c r="J286" s="37"/>
      <c r="K286" s="122"/>
      <c r="L286" s="37"/>
      <c r="M286" s="37"/>
      <c r="N286" s="139"/>
      <c r="O286" s="37"/>
      <c r="P286" s="37"/>
      <c r="Q286" s="37"/>
      <c r="R286" s="37"/>
      <c r="S286" s="37"/>
      <c r="T286" s="37"/>
      <c r="U286" s="37"/>
      <c r="V286" s="37"/>
      <c r="W286" s="37"/>
      <c r="X286" s="37"/>
      <c r="Y286" s="37"/>
      <c r="Z286" s="37"/>
    </row>
    <row r="287" spans="1:26" ht="12.5">
      <c r="A287" s="37"/>
      <c r="B287" s="151"/>
      <c r="C287" s="122"/>
      <c r="D287" s="122"/>
      <c r="E287" s="84"/>
      <c r="F287" s="77"/>
      <c r="G287" s="77"/>
      <c r="H287" s="37"/>
      <c r="I287" s="37"/>
      <c r="J287" s="37"/>
      <c r="K287" s="122"/>
      <c r="L287" s="37"/>
      <c r="M287" s="37"/>
      <c r="N287" s="139"/>
      <c r="O287" s="37"/>
      <c r="P287" s="37"/>
      <c r="Q287" s="37"/>
      <c r="R287" s="37"/>
      <c r="S287" s="37"/>
      <c r="T287" s="37"/>
      <c r="U287" s="37"/>
      <c r="V287" s="37"/>
      <c r="W287" s="37"/>
      <c r="X287" s="37"/>
      <c r="Y287" s="37"/>
      <c r="Z287" s="37"/>
    </row>
    <row r="288" spans="1:26" ht="12.5">
      <c r="A288" s="37"/>
      <c r="B288" s="151"/>
      <c r="C288" s="122"/>
      <c r="D288" s="122"/>
      <c r="E288" s="84"/>
      <c r="F288" s="77"/>
      <c r="G288" s="77"/>
      <c r="H288" s="37"/>
      <c r="I288" s="37"/>
      <c r="J288" s="37"/>
      <c r="K288" s="122"/>
      <c r="L288" s="37"/>
      <c r="M288" s="37"/>
      <c r="N288" s="139"/>
      <c r="O288" s="37"/>
      <c r="P288" s="37"/>
      <c r="Q288" s="37"/>
      <c r="R288" s="37"/>
      <c r="S288" s="37"/>
      <c r="T288" s="37"/>
      <c r="U288" s="37"/>
      <c r="V288" s="37"/>
      <c r="W288" s="37"/>
      <c r="X288" s="37"/>
      <c r="Y288" s="37"/>
      <c r="Z288" s="37"/>
    </row>
    <row r="289" spans="1:26" ht="12.5">
      <c r="A289" s="37"/>
      <c r="B289" s="151"/>
      <c r="C289" s="122"/>
      <c r="D289" s="122"/>
      <c r="E289" s="84"/>
      <c r="F289" s="77"/>
      <c r="G289" s="77"/>
      <c r="H289" s="37"/>
      <c r="I289" s="37"/>
      <c r="J289" s="37"/>
      <c r="K289" s="122"/>
      <c r="L289" s="37"/>
      <c r="M289" s="37"/>
      <c r="N289" s="139"/>
      <c r="O289" s="37"/>
      <c r="P289" s="37"/>
      <c r="Q289" s="37"/>
      <c r="R289" s="37"/>
      <c r="S289" s="37"/>
      <c r="T289" s="37"/>
      <c r="U289" s="37"/>
      <c r="V289" s="37"/>
      <c r="W289" s="37"/>
      <c r="X289" s="37"/>
      <c r="Y289" s="37"/>
      <c r="Z289" s="37"/>
    </row>
    <row r="290" spans="1:26" ht="12.5">
      <c r="A290" s="37"/>
      <c r="B290" s="151"/>
      <c r="C290" s="122"/>
      <c r="D290" s="122"/>
      <c r="E290" s="84"/>
      <c r="F290" s="77"/>
      <c r="G290" s="77"/>
      <c r="H290" s="37"/>
      <c r="I290" s="37"/>
      <c r="J290" s="37"/>
      <c r="K290" s="122"/>
      <c r="L290" s="37"/>
      <c r="M290" s="37"/>
      <c r="N290" s="139"/>
      <c r="O290" s="37"/>
      <c r="P290" s="37"/>
      <c r="Q290" s="37"/>
      <c r="R290" s="37"/>
      <c r="S290" s="37"/>
      <c r="T290" s="37"/>
      <c r="U290" s="37"/>
      <c r="V290" s="37"/>
      <c r="W290" s="37"/>
      <c r="X290" s="37"/>
      <c r="Y290" s="37"/>
      <c r="Z290" s="37"/>
    </row>
    <row r="291" spans="1:26" ht="12.5">
      <c r="A291" s="37"/>
      <c r="B291" s="151"/>
      <c r="C291" s="122"/>
      <c r="D291" s="122"/>
      <c r="E291" s="84"/>
      <c r="F291" s="77"/>
      <c r="G291" s="77"/>
      <c r="H291" s="37"/>
      <c r="I291" s="37"/>
      <c r="J291" s="37"/>
      <c r="K291" s="122"/>
      <c r="L291" s="37"/>
      <c r="M291" s="37"/>
      <c r="N291" s="139"/>
      <c r="O291" s="37"/>
      <c r="P291" s="37"/>
      <c r="Q291" s="37"/>
      <c r="R291" s="37"/>
      <c r="S291" s="37"/>
      <c r="T291" s="37"/>
      <c r="U291" s="37"/>
      <c r="V291" s="37"/>
      <c r="W291" s="37"/>
      <c r="X291" s="37"/>
      <c r="Y291" s="37"/>
      <c r="Z291" s="37"/>
    </row>
    <row r="292" spans="1:26" ht="12.5">
      <c r="A292" s="37"/>
      <c r="B292" s="151"/>
      <c r="C292" s="122"/>
      <c r="D292" s="122"/>
      <c r="E292" s="84"/>
      <c r="F292" s="77"/>
      <c r="G292" s="77"/>
      <c r="H292" s="37"/>
      <c r="I292" s="37"/>
      <c r="J292" s="37"/>
      <c r="K292" s="122"/>
      <c r="L292" s="37"/>
      <c r="M292" s="37"/>
      <c r="N292" s="139"/>
      <c r="O292" s="37"/>
      <c r="P292" s="37"/>
      <c r="Q292" s="37"/>
      <c r="R292" s="37"/>
      <c r="S292" s="37"/>
      <c r="T292" s="37"/>
      <c r="U292" s="37"/>
      <c r="V292" s="37"/>
      <c r="W292" s="37"/>
      <c r="X292" s="37"/>
      <c r="Y292" s="37"/>
      <c r="Z292" s="37"/>
    </row>
    <row r="293" spans="1:26" ht="12.5">
      <c r="A293" s="37"/>
      <c r="B293" s="151"/>
      <c r="C293" s="122"/>
      <c r="D293" s="122"/>
      <c r="E293" s="84"/>
      <c r="F293" s="77"/>
      <c r="G293" s="77"/>
      <c r="H293" s="37"/>
      <c r="I293" s="37"/>
      <c r="J293" s="37"/>
      <c r="K293" s="122"/>
      <c r="L293" s="37"/>
      <c r="M293" s="37"/>
      <c r="N293" s="139"/>
      <c r="O293" s="37"/>
      <c r="P293" s="37"/>
      <c r="Q293" s="37"/>
      <c r="R293" s="37"/>
      <c r="S293" s="37"/>
      <c r="T293" s="37"/>
      <c r="U293" s="37"/>
      <c r="V293" s="37"/>
      <c r="W293" s="37"/>
      <c r="X293" s="37"/>
      <c r="Y293" s="37"/>
      <c r="Z293" s="37"/>
    </row>
    <row r="294" spans="1:26" ht="12.5">
      <c r="A294" s="37"/>
      <c r="B294" s="151"/>
      <c r="C294" s="122"/>
      <c r="D294" s="122"/>
      <c r="E294" s="84"/>
      <c r="F294" s="77"/>
      <c r="G294" s="77"/>
      <c r="H294" s="37"/>
      <c r="I294" s="37"/>
      <c r="J294" s="37"/>
      <c r="K294" s="122"/>
      <c r="L294" s="37"/>
      <c r="M294" s="37"/>
      <c r="N294" s="139"/>
      <c r="O294" s="37"/>
      <c r="P294" s="37"/>
      <c r="Q294" s="37"/>
      <c r="R294" s="37"/>
      <c r="S294" s="37"/>
      <c r="T294" s="37"/>
      <c r="U294" s="37"/>
      <c r="V294" s="37"/>
      <c r="W294" s="37"/>
      <c r="X294" s="37"/>
      <c r="Y294" s="37"/>
      <c r="Z294" s="37"/>
    </row>
    <row r="295" spans="1:26" ht="12.5">
      <c r="A295" s="37"/>
      <c r="B295" s="151"/>
      <c r="C295" s="122"/>
      <c r="D295" s="122"/>
      <c r="E295" s="84"/>
      <c r="F295" s="77"/>
      <c r="G295" s="77"/>
      <c r="H295" s="37"/>
      <c r="I295" s="37"/>
      <c r="J295" s="37"/>
      <c r="K295" s="122"/>
      <c r="L295" s="37"/>
      <c r="M295" s="37"/>
      <c r="N295" s="139"/>
      <c r="O295" s="37"/>
      <c r="P295" s="37"/>
      <c r="Q295" s="37"/>
      <c r="R295" s="37"/>
      <c r="S295" s="37"/>
      <c r="T295" s="37"/>
      <c r="U295" s="37"/>
      <c r="V295" s="37"/>
      <c r="W295" s="37"/>
      <c r="X295" s="37"/>
      <c r="Y295" s="37"/>
      <c r="Z295" s="37"/>
    </row>
    <row r="296" spans="1:26" ht="12.5">
      <c r="A296" s="37"/>
      <c r="B296" s="151"/>
      <c r="C296" s="122"/>
      <c r="D296" s="122"/>
      <c r="E296" s="84"/>
      <c r="F296" s="77"/>
      <c r="G296" s="77"/>
      <c r="H296" s="37"/>
      <c r="I296" s="37"/>
      <c r="J296" s="37"/>
      <c r="K296" s="122"/>
      <c r="L296" s="37"/>
      <c r="M296" s="37"/>
      <c r="N296" s="139"/>
      <c r="O296" s="37"/>
      <c r="P296" s="37"/>
      <c r="Q296" s="37"/>
      <c r="R296" s="37"/>
      <c r="S296" s="37"/>
      <c r="T296" s="37"/>
      <c r="U296" s="37"/>
      <c r="V296" s="37"/>
      <c r="W296" s="37"/>
      <c r="X296" s="37"/>
      <c r="Y296" s="37"/>
      <c r="Z296" s="37"/>
    </row>
    <row r="297" spans="1:26" ht="12.5">
      <c r="A297" s="37"/>
      <c r="B297" s="151"/>
      <c r="C297" s="122"/>
      <c r="D297" s="122"/>
      <c r="E297" s="84"/>
      <c r="F297" s="77"/>
      <c r="G297" s="77"/>
      <c r="H297" s="37"/>
      <c r="I297" s="37"/>
      <c r="J297" s="37"/>
      <c r="K297" s="122"/>
      <c r="L297" s="37"/>
      <c r="M297" s="37"/>
      <c r="N297" s="139"/>
      <c r="O297" s="37"/>
      <c r="P297" s="37"/>
      <c r="Q297" s="37"/>
      <c r="R297" s="37"/>
      <c r="S297" s="37"/>
      <c r="T297" s="37"/>
      <c r="U297" s="37"/>
      <c r="V297" s="37"/>
      <c r="W297" s="37"/>
      <c r="X297" s="37"/>
      <c r="Y297" s="37"/>
      <c r="Z297" s="37"/>
    </row>
    <row r="298" spans="1:26" ht="12.5">
      <c r="A298" s="37"/>
      <c r="B298" s="151"/>
      <c r="C298" s="122"/>
      <c r="D298" s="122"/>
      <c r="E298" s="84"/>
      <c r="F298" s="77"/>
      <c r="G298" s="77"/>
      <c r="H298" s="37"/>
      <c r="I298" s="37"/>
      <c r="J298" s="37"/>
      <c r="K298" s="122"/>
      <c r="L298" s="37"/>
      <c r="M298" s="37"/>
      <c r="N298" s="139"/>
      <c r="O298" s="37"/>
      <c r="P298" s="37"/>
      <c r="Q298" s="37"/>
      <c r="R298" s="37"/>
      <c r="S298" s="37"/>
      <c r="T298" s="37"/>
      <c r="U298" s="37"/>
      <c r="V298" s="37"/>
      <c r="W298" s="37"/>
      <c r="X298" s="37"/>
      <c r="Y298" s="37"/>
      <c r="Z298" s="37"/>
    </row>
    <row r="299" spans="1:26" ht="12.5">
      <c r="A299" s="37"/>
      <c r="B299" s="151"/>
      <c r="C299" s="122"/>
      <c r="D299" s="122"/>
      <c r="E299" s="84"/>
      <c r="F299" s="77"/>
      <c r="G299" s="77"/>
      <c r="H299" s="37"/>
      <c r="I299" s="37"/>
      <c r="J299" s="37"/>
      <c r="K299" s="122"/>
      <c r="L299" s="37"/>
      <c r="M299" s="37"/>
      <c r="N299" s="139"/>
      <c r="O299" s="37"/>
      <c r="P299" s="37"/>
      <c r="Q299" s="37"/>
      <c r="R299" s="37"/>
      <c r="S299" s="37"/>
      <c r="T299" s="37"/>
      <c r="U299" s="37"/>
      <c r="V299" s="37"/>
      <c r="W299" s="37"/>
      <c r="X299" s="37"/>
      <c r="Y299" s="37"/>
      <c r="Z299" s="37"/>
    </row>
    <row r="300" spans="1:26" ht="12.5">
      <c r="A300" s="37"/>
      <c r="B300" s="151"/>
      <c r="C300" s="122"/>
      <c r="D300" s="122"/>
      <c r="E300" s="84"/>
      <c r="F300" s="77"/>
      <c r="G300" s="77"/>
      <c r="H300" s="37"/>
      <c r="I300" s="37"/>
      <c r="J300" s="37"/>
      <c r="K300" s="122"/>
      <c r="L300" s="37"/>
      <c r="M300" s="37"/>
      <c r="N300" s="139"/>
      <c r="O300" s="37"/>
      <c r="P300" s="37"/>
      <c r="Q300" s="37"/>
      <c r="R300" s="37"/>
      <c r="S300" s="37"/>
      <c r="T300" s="37"/>
      <c r="U300" s="37"/>
      <c r="V300" s="37"/>
      <c r="W300" s="37"/>
      <c r="X300" s="37"/>
      <c r="Y300" s="37"/>
      <c r="Z300" s="37"/>
    </row>
    <row r="301" spans="1:26" ht="12.5">
      <c r="A301" s="37"/>
      <c r="B301" s="151"/>
      <c r="C301" s="122"/>
      <c r="D301" s="122"/>
      <c r="E301" s="84"/>
      <c r="F301" s="77"/>
      <c r="G301" s="77"/>
      <c r="H301" s="37"/>
      <c r="I301" s="37"/>
      <c r="J301" s="37"/>
      <c r="K301" s="122"/>
      <c r="L301" s="37"/>
      <c r="M301" s="37"/>
      <c r="N301" s="139"/>
      <c r="O301" s="37"/>
      <c r="P301" s="37"/>
      <c r="Q301" s="37"/>
      <c r="R301" s="37"/>
      <c r="S301" s="37"/>
      <c r="T301" s="37"/>
      <c r="U301" s="37"/>
      <c r="V301" s="37"/>
      <c r="W301" s="37"/>
      <c r="X301" s="37"/>
      <c r="Y301" s="37"/>
      <c r="Z301" s="37"/>
    </row>
    <row r="302" spans="1:26" ht="12.5">
      <c r="A302" s="37"/>
      <c r="B302" s="151"/>
      <c r="C302" s="122"/>
      <c r="D302" s="122"/>
      <c r="E302" s="84"/>
      <c r="F302" s="77"/>
      <c r="G302" s="77"/>
      <c r="H302" s="37"/>
      <c r="I302" s="37"/>
      <c r="J302" s="37"/>
      <c r="K302" s="122"/>
      <c r="L302" s="37"/>
      <c r="M302" s="37"/>
      <c r="N302" s="139"/>
      <c r="O302" s="37"/>
      <c r="P302" s="37"/>
      <c r="Q302" s="37"/>
      <c r="R302" s="37"/>
      <c r="S302" s="37"/>
      <c r="T302" s="37"/>
      <c r="U302" s="37"/>
      <c r="V302" s="37"/>
      <c r="W302" s="37"/>
      <c r="X302" s="37"/>
      <c r="Y302" s="37"/>
      <c r="Z302" s="37"/>
    </row>
    <row r="303" spans="1:26" ht="12.5">
      <c r="A303" s="37"/>
      <c r="B303" s="151"/>
      <c r="C303" s="122"/>
      <c r="D303" s="122"/>
      <c r="E303" s="84"/>
      <c r="F303" s="77"/>
      <c r="G303" s="77"/>
      <c r="H303" s="37"/>
      <c r="I303" s="37"/>
      <c r="J303" s="37"/>
      <c r="K303" s="122"/>
      <c r="L303" s="37"/>
      <c r="M303" s="37"/>
      <c r="N303" s="139"/>
      <c r="O303" s="37"/>
      <c r="P303" s="37"/>
      <c r="Q303" s="37"/>
      <c r="R303" s="37"/>
      <c r="S303" s="37"/>
      <c r="T303" s="37"/>
      <c r="U303" s="37"/>
      <c r="V303" s="37"/>
      <c r="W303" s="37"/>
      <c r="X303" s="37"/>
      <c r="Y303" s="37"/>
      <c r="Z303" s="37"/>
    </row>
    <row r="304" spans="1:26" ht="12.5">
      <c r="A304" s="37"/>
      <c r="B304" s="151"/>
      <c r="C304" s="122"/>
      <c r="D304" s="122"/>
      <c r="E304" s="84"/>
      <c r="F304" s="77"/>
      <c r="G304" s="77"/>
      <c r="H304" s="37"/>
      <c r="I304" s="37"/>
      <c r="J304" s="37"/>
      <c r="K304" s="122"/>
      <c r="L304" s="37"/>
      <c r="M304" s="37"/>
      <c r="N304" s="139"/>
      <c r="O304" s="37"/>
      <c r="P304" s="37"/>
      <c r="Q304" s="37"/>
      <c r="R304" s="37"/>
      <c r="S304" s="37"/>
      <c r="T304" s="37"/>
      <c r="U304" s="37"/>
      <c r="V304" s="37"/>
      <c r="W304" s="37"/>
      <c r="X304" s="37"/>
      <c r="Y304" s="37"/>
      <c r="Z304" s="37"/>
    </row>
    <row r="305" spans="1:26" ht="12.5">
      <c r="A305" s="37"/>
      <c r="B305" s="151"/>
      <c r="C305" s="122"/>
      <c r="D305" s="122"/>
      <c r="E305" s="84"/>
      <c r="F305" s="77"/>
      <c r="G305" s="77"/>
      <c r="H305" s="37"/>
      <c r="I305" s="37"/>
      <c r="J305" s="37"/>
      <c r="K305" s="122"/>
      <c r="L305" s="37"/>
      <c r="M305" s="37"/>
      <c r="N305" s="139"/>
      <c r="O305" s="37"/>
      <c r="P305" s="37"/>
      <c r="Q305" s="37"/>
      <c r="R305" s="37"/>
      <c r="S305" s="37"/>
      <c r="T305" s="37"/>
      <c r="U305" s="37"/>
      <c r="V305" s="37"/>
      <c r="W305" s="37"/>
      <c r="X305" s="37"/>
      <c r="Y305" s="37"/>
      <c r="Z305" s="37"/>
    </row>
    <row r="306" spans="1:26" ht="12.5">
      <c r="A306" s="37"/>
      <c r="B306" s="151"/>
      <c r="C306" s="122"/>
      <c r="D306" s="122"/>
      <c r="E306" s="84"/>
      <c r="F306" s="77"/>
      <c r="G306" s="77"/>
      <c r="H306" s="37"/>
      <c r="I306" s="37"/>
      <c r="J306" s="37"/>
      <c r="K306" s="122"/>
      <c r="L306" s="37"/>
      <c r="M306" s="37"/>
      <c r="N306" s="139"/>
      <c r="O306" s="37"/>
      <c r="P306" s="37"/>
      <c r="Q306" s="37"/>
      <c r="R306" s="37"/>
      <c r="S306" s="37"/>
      <c r="T306" s="37"/>
      <c r="U306" s="37"/>
      <c r="V306" s="37"/>
      <c r="W306" s="37"/>
      <c r="X306" s="37"/>
      <c r="Y306" s="37"/>
      <c r="Z306" s="37"/>
    </row>
    <row r="307" spans="1:26" ht="12.5">
      <c r="A307" s="37"/>
      <c r="B307" s="151"/>
      <c r="C307" s="122"/>
      <c r="D307" s="122"/>
      <c r="E307" s="84"/>
      <c r="F307" s="77"/>
      <c r="G307" s="77"/>
      <c r="H307" s="37"/>
      <c r="I307" s="37"/>
      <c r="J307" s="37"/>
      <c r="K307" s="122"/>
      <c r="L307" s="37"/>
      <c r="M307" s="37"/>
      <c r="N307" s="139"/>
      <c r="O307" s="37"/>
      <c r="P307" s="37"/>
      <c r="Q307" s="37"/>
      <c r="R307" s="37"/>
      <c r="S307" s="37"/>
      <c r="T307" s="37"/>
      <c r="U307" s="37"/>
      <c r="V307" s="37"/>
      <c r="W307" s="37"/>
      <c r="X307" s="37"/>
      <c r="Y307" s="37"/>
      <c r="Z307" s="37"/>
    </row>
    <row r="308" spans="1:26" ht="12.5">
      <c r="A308" s="37"/>
      <c r="B308" s="151"/>
      <c r="C308" s="122"/>
      <c r="D308" s="122"/>
      <c r="E308" s="84"/>
      <c r="F308" s="77"/>
      <c r="G308" s="77"/>
      <c r="H308" s="37"/>
      <c r="I308" s="37"/>
      <c r="J308" s="37"/>
      <c r="K308" s="122"/>
      <c r="L308" s="37"/>
      <c r="M308" s="37"/>
      <c r="N308" s="139"/>
      <c r="O308" s="37"/>
      <c r="P308" s="37"/>
      <c r="Q308" s="37"/>
      <c r="R308" s="37"/>
      <c r="S308" s="37"/>
      <c r="T308" s="37"/>
      <c r="U308" s="37"/>
      <c r="V308" s="37"/>
      <c r="W308" s="37"/>
      <c r="X308" s="37"/>
      <c r="Y308" s="37"/>
      <c r="Z308" s="37"/>
    </row>
    <row r="309" spans="1:26" ht="12.5">
      <c r="A309" s="37"/>
      <c r="B309" s="151"/>
      <c r="C309" s="122"/>
      <c r="D309" s="122"/>
      <c r="E309" s="84"/>
      <c r="F309" s="77"/>
      <c r="G309" s="77"/>
      <c r="H309" s="37"/>
      <c r="I309" s="37"/>
      <c r="J309" s="37"/>
      <c r="K309" s="122"/>
      <c r="L309" s="37"/>
      <c r="M309" s="37"/>
      <c r="N309" s="139"/>
      <c r="O309" s="37"/>
      <c r="P309" s="37"/>
      <c r="Q309" s="37"/>
      <c r="R309" s="37"/>
      <c r="S309" s="37"/>
      <c r="T309" s="37"/>
      <c r="U309" s="37"/>
      <c r="V309" s="37"/>
      <c r="W309" s="37"/>
      <c r="X309" s="37"/>
      <c r="Y309" s="37"/>
      <c r="Z309" s="37"/>
    </row>
    <row r="310" spans="1:26" ht="12.5">
      <c r="A310" s="37"/>
      <c r="B310" s="151"/>
      <c r="C310" s="122"/>
      <c r="D310" s="122"/>
      <c r="E310" s="84"/>
      <c r="F310" s="77"/>
      <c r="G310" s="77"/>
      <c r="H310" s="37"/>
      <c r="I310" s="37"/>
      <c r="J310" s="37"/>
      <c r="K310" s="122"/>
      <c r="L310" s="37"/>
      <c r="M310" s="37"/>
      <c r="N310" s="139"/>
      <c r="O310" s="37"/>
      <c r="P310" s="37"/>
      <c r="Q310" s="37"/>
      <c r="R310" s="37"/>
      <c r="S310" s="37"/>
      <c r="T310" s="37"/>
      <c r="U310" s="37"/>
      <c r="V310" s="37"/>
      <c r="W310" s="37"/>
      <c r="X310" s="37"/>
      <c r="Y310" s="37"/>
      <c r="Z310" s="37"/>
    </row>
    <row r="311" spans="1:26" ht="12.5">
      <c r="A311" s="37"/>
      <c r="B311" s="151"/>
      <c r="C311" s="122"/>
      <c r="D311" s="122"/>
      <c r="E311" s="84"/>
      <c r="F311" s="77"/>
      <c r="G311" s="77"/>
      <c r="H311" s="37"/>
      <c r="I311" s="37"/>
      <c r="J311" s="37"/>
      <c r="K311" s="122"/>
      <c r="L311" s="37"/>
      <c r="M311" s="37"/>
      <c r="N311" s="139"/>
      <c r="O311" s="37"/>
      <c r="P311" s="37"/>
      <c r="Q311" s="37"/>
      <c r="R311" s="37"/>
      <c r="S311" s="37"/>
      <c r="T311" s="37"/>
      <c r="U311" s="37"/>
      <c r="V311" s="37"/>
      <c r="W311" s="37"/>
      <c r="X311" s="37"/>
      <c r="Y311" s="37"/>
      <c r="Z311" s="37"/>
    </row>
    <row r="312" spans="1:26" ht="12.5">
      <c r="A312" s="37"/>
      <c r="B312" s="151"/>
      <c r="C312" s="122"/>
      <c r="D312" s="122"/>
      <c r="E312" s="84"/>
      <c r="F312" s="77"/>
      <c r="G312" s="77"/>
      <c r="H312" s="37"/>
      <c r="I312" s="37"/>
      <c r="J312" s="37"/>
      <c r="K312" s="122"/>
      <c r="L312" s="37"/>
      <c r="M312" s="37"/>
      <c r="N312" s="139"/>
      <c r="O312" s="37"/>
      <c r="P312" s="37"/>
      <c r="Q312" s="37"/>
      <c r="R312" s="37"/>
      <c r="S312" s="37"/>
      <c r="T312" s="37"/>
      <c r="U312" s="37"/>
      <c r="V312" s="37"/>
      <c r="W312" s="37"/>
      <c r="X312" s="37"/>
      <c r="Y312" s="37"/>
      <c r="Z312" s="37"/>
    </row>
    <row r="313" spans="1:26" ht="12.5">
      <c r="A313" s="37"/>
      <c r="B313" s="151"/>
      <c r="C313" s="122"/>
      <c r="D313" s="122"/>
      <c r="E313" s="84"/>
      <c r="F313" s="77"/>
      <c r="G313" s="77"/>
      <c r="H313" s="37"/>
      <c r="I313" s="37"/>
      <c r="J313" s="37"/>
      <c r="K313" s="122"/>
      <c r="L313" s="37"/>
      <c r="M313" s="37"/>
      <c r="N313" s="139"/>
      <c r="O313" s="37"/>
      <c r="P313" s="37"/>
      <c r="Q313" s="37"/>
      <c r="R313" s="37"/>
      <c r="S313" s="37"/>
      <c r="T313" s="37"/>
      <c r="U313" s="37"/>
      <c r="V313" s="37"/>
      <c r="W313" s="37"/>
      <c r="X313" s="37"/>
      <c r="Y313" s="37"/>
      <c r="Z313" s="37"/>
    </row>
    <row r="314" spans="1:26" ht="12.5">
      <c r="A314" s="37"/>
      <c r="B314" s="151"/>
      <c r="C314" s="122"/>
      <c r="D314" s="122"/>
      <c r="E314" s="84"/>
      <c r="F314" s="77"/>
      <c r="G314" s="77"/>
      <c r="H314" s="37"/>
      <c r="I314" s="37"/>
      <c r="J314" s="37"/>
      <c r="K314" s="122"/>
      <c r="L314" s="37"/>
      <c r="M314" s="37"/>
      <c r="N314" s="139"/>
      <c r="O314" s="37"/>
      <c r="P314" s="37"/>
      <c r="Q314" s="37"/>
      <c r="R314" s="37"/>
      <c r="S314" s="37"/>
      <c r="T314" s="37"/>
      <c r="U314" s="37"/>
      <c r="V314" s="37"/>
      <c r="W314" s="37"/>
      <c r="X314" s="37"/>
      <c r="Y314" s="37"/>
      <c r="Z314" s="37"/>
    </row>
    <row r="315" spans="1:26" ht="12.5">
      <c r="A315" s="37"/>
      <c r="B315" s="151"/>
      <c r="C315" s="122"/>
      <c r="D315" s="122"/>
      <c r="E315" s="84"/>
      <c r="F315" s="77"/>
      <c r="G315" s="77"/>
      <c r="H315" s="37"/>
      <c r="I315" s="37"/>
      <c r="J315" s="37"/>
      <c r="K315" s="122"/>
      <c r="L315" s="37"/>
      <c r="M315" s="37"/>
      <c r="N315" s="139"/>
      <c r="O315" s="37"/>
      <c r="P315" s="37"/>
      <c r="Q315" s="37"/>
      <c r="R315" s="37"/>
      <c r="S315" s="37"/>
      <c r="T315" s="37"/>
      <c r="U315" s="37"/>
      <c r="V315" s="37"/>
      <c r="W315" s="37"/>
      <c r="X315" s="37"/>
      <c r="Y315" s="37"/>
      <c r="Z315" s="37"/>
    </row>
    <row r="316" spans="1:26" ht="12.5">
      <c r="A316" s="37"/>
      <c r="B316" s="151"/>
      <c r="C316" s="122"/>
      <c r="D316" s="122"/>
      <c r="E316" s="84"/>
      <c r="F316" s="77"/>
      <c r="G316" s="77"/>
      <c r="H316" s="37"/>
      <c r="I316" s="37"/>
      <c r="J316" s="37"/>
      <c r="K316" s="122"/>
      <c r="L316" s="37"/>
      <c r="M316" s="37"/>
      <c r="N316" s="139"/>
      <c r="O316" s="37"/>
      <c r="P316" s="37"/>
      <c r="Q316" s="37"/>
      <c r="R316" s="37"/>
      <c r="S316" s="37"/>
      <c r="T316" s="37"/>
      <c r="U316" s="37"/>
      <c r="V316" s="37"/>
      <c r="W316" s="37"/>
      <c r="X316" s="37"/>
      <c r="Y316" s="37"/>
      <c r="Z316" s="37"/>
    </row>
    <row r="317" spans="1:26" ht="12.5">
      <c r="A317" s="37"/>
      <c r="B317" s="151"/>
      <c r="C317" s="122"/>
      <c r="D317" s="122"/>
      <c r="E317" s="84"/>
      <c r="F317" s="77"/>
      <c r="G317" s="77"/>
      <c r="H317" s="37"/>
      <c r="I317" s="37"/>
      <c r="J317" s="37"/>
      <c r="K317" s="122"/>
      <c r="L317" s="37"/>
      <c r="M317" s="37"/>
      <c r="N317" s="139"/>
      <c r="O317" s="37"/>
      <c r="P317" s="37"/>
      <c r="Q317" s="37"/>
      <c r="R317" s="37"/>
      <c r="S317" s="37"/>
      <c r="T317" s="37"/>
      <c r="U317" s="37"/>
      <c r="V317" s="37"/>
      <c r="W317" s="37"/>
      <c r="X317" s="37"/>
      <c r="Y317" s="37"/>
      <c r="Z317" s="37"/>
    </row>
    <row r="318" spans="1:26" ht="12.5">
      <c r="A318" s="37"/>
      <c r="B318" s="151"/>
      <c r="C318" s="122"/>
      <c r="D318" s="122"/>
      <c r="E318" s="84"/>
      <c r="F318" s="77"/>
      <c r="G318" s="77"/>
      <c r="H318" s="37"/>
      <c r="I318" s="37"/>
      <c r="J318" s="37"/>
      <c r="K318" s="122"/>
      <c r="L318" s="37"/>
      <c r="M318" s="37"/>
      <c r="N318" s="139"/>
      <c r="O318" s="37"/>
      <c r="P318" s="37"/>
      <c r="Q318" s="37"/>
      <c r="R318" s="37"/>
      <c r="S318" s="37"/>
      <c r="T318" s="37"/>
      <c r="U318" s="37"/>
      <c r="V318" s="37"/>
      <c r="W318" s="37"/>
      <c r="X318" s="37"/>
      <c r="Y318" s="37"/>
      <c r="Z318" s="37"/>
    </row>
    <row r="319" spans="1:26" ht="12.5">
      <c r="A319" s="37"/>
      <c r="B319" s="151"/>
      <c r="C319" s="122"/>
      <c r="D319" s="122"/>
      <c r="E319" s="84"/>
      <c r="F319" s="77"/>
      <c r="G319" s="77"/>
      <c r="H319" s="37"/>
      <c r="I319" s="37"/>
      <c r="J319" s="37"/>
      <c r="K319" s="122"/>
      <c r="L319" s="37"/>
      <c r="M319" s="37"/>
      <c r="N319" s="139"/>
      <c r="O319" s="37"/>
      <c r="P319" s="37"/>
      <c r="Q319" s="37"/>
      <c r="R319" s="37"/>
      <c r="S319" s="37"/>
      <c r="T319" s="37"/>
      <c r="U319" s="37"/>
      <c r="V319" s="37"/>
      <c r="W319" s="37"/>
      <c r="X319" s="37"/>
      <c r="Y319" s="37"/>
      <c r="Z319" s="37"/>
    </row>
    <row r="320" spans="1:26" ht="12.5">
      <c r="A320" s="37"/>
      <c r="B320" s="151"/>
      <c r="C320" s="122"/>
      <c r="D320" s="122"/>
      <c r="E320" s="84"/>
      <c r="F320" s="77"/>
      <c r="G320" s="77"/>
      <c r="H320" s="37"/>
      <c r="I320" s="37"/>
      <c r="J320" s="37"/>
      <c r="K320" s="122"/>
      <c r="L320" s="37"/>
      <c r="M320" s="37"/>
      <c r="N320" s="139"/>
      <c r="O320" s="37"/>
      <c r="P320" s="37"/>
      <c r="Q320" s="37"/>
      <c r="R320" s="37"/>
      <c r="S320" s="37"/>
      <c r="T320" s="37"/>
      <c r="U320" s="37"/>
      <c r="V320" s="37"/>
      <c r="W320" s="37"/>
      <c r="X320" s="37"/>
      <c r="Y320" s="37"/>
      <c r="Z320" s="37"/>
    </row>
    <row r="321" spans="1:26" ht="12.5">
      <c r="A321" s="37"/>
      <c r="B321" s="151"/>
      <c r="C321" s="122"/>
      <c r="D321" s="122"/>
      <c r="E321" s="84"/>
      <c r="F321" s="77"/>
      <c r="G321" s="77"/>
      <c r="H321" s="37"/>
      <c r="I321" s="37"/>
      <c r="J321" s="37"/>
      <c r="K321" s="122"/>
      <c r="L321" s="37"/>
      <c r="M321" s="37"/>
      <c r="N321" s="139"/>
      <c r="O321" s="37"/>
      <c r="P321" s="37"/>
      <c r="Q321" s="37"/>
      <c r="R321" s="37"/>
      <c r="S321" s="37"/>
      <c r="T321" s="37"/>
      <c r="U321" s="37"/>
      <c r="V321" s="37"/>
      <c r="W321" s="37"/>
      <c r="X321" s="37"/>
      <c r="Y321" s="37"/>
      <c r="Z321" s="37"/>
    </row>
    <row r="322" spans="1:26" ht="12.5">
      <c r="A322" s="37"/>
      <c r="B322" s="151"/>
      <c r="C322" s="122"/>
      <c r="D322" s="122"/>
      <c r="E322" s="84"/>
      <c r="F322" s="77"/>
      <c r="G322" s="77"/>
      <c r="H322" s="37"/>
      <c r="I322" s="37"/>
      <c r="J322" s="37"/>
      <c r="K322" s="122"/>
      <c r="L322" s="37"/>
      <c r="M322" s="37"/>
      <c r="N322" s="139"/>
      <c r="O322" s="37"/>
      <c r="P322" s="37"/>
      <c r="Q322" s="37"/>
      <c r="R322" s="37"/>
      <c r="S322" s="37"/>
      <c r="T322" s="37"/>
      <c r="U322" s="37"/>
      <c r="V322" s="37"/>
      <c r="W322" s="37"/>
      <c r="X322" s="37"/>
      <c r="Y322" s="37"/>
      <c r="Z322" s="37"/>
    </row>
    <row r="323" spans="1:26" ht="12.5">
      <c r="A323" s="37"/>
      <c r="B323" s="151"/>
      <c r="C323" s="122"/>
      <c r="D323" s="122"/>
      <c r="E323" s="84"/>
      <c r="F323" s="77"/>
      <c r="G323" s="77"/>
      <c r="H323" s="37"/>
      <c r="I323" s="37"/>
      <c r="J323" s="37"/>
      <c r="K323" s="122"/>
      <c r="L323" s="37"/>
      <c r="M323" s="37"/>
      <c r="N323" s="139"/>
      <c r="O323" s="37"/>
      <c r="P323" s="37"/>
      <c r="Q323" s="37"/>
      <c r="R323" s="37"/>
      <c r="S323" s="37"/>
      <c r="T323" s="37"/>
      <c r="U323" s="37"/>
      <c r="V323" s="37"/>
      <c r="W323" s="37"/>
      <c r="X323" s="37"/>
      <c r="Y323" s="37"/>
      <c r="Z323" s="37"/>
    </row>
    <row r="324" spans="1:26" ht="12.5">
      <c r="A324" s="37"/>
      <c r="B324" s="151"/>
      <c r="C324" s="122"/>
      <c r="D324" s="122"/>
      <c r="E324" s="84"/>
      <c r="F324" s="77"/>
      <c r="G324" s="77"/>
      <c r="H324" s="37"/>
      <c r="I324" s="37"/>
      <c r="J324" s="37"/>
      <c r="K324" s="122"/>
      <c r="L324" s="37"/>
      <c r="M324" s="37"/>
      <c r="N324" s="139"/>
      <c r="O324" s="37"/>
      <c r="P324" s="37"/>
      <c r="Q324" s="37"/>
      <c r="R324" s="37"/>
      <c r="S324" s="37"/>
      <c r="T324" s="37"/>
      <c r="U324" s="37"/>
      <c r="V324" s="37"/>
      <c r="W324" s="37"/>
      <c r="X324" s="37"/>
      <c r="Y324" s="37"/>
      <c r="Z324" s="37"/>
    </row>
    <row r="325" spans="1:26" ht="12.5">
      <c r="A325" s="37"/>
      <c r="B325" s="151"/>
      <c r="C325" s="122"/>
      <c r="D325" s="122"/>
      <c r="E325" s="84"/>
      <c r="F325" s="77"/>
      <c r="G325" s="77"/>
      <c r="H325" s="37"/>
      <c r="I325" s="37"/>
      <c r="J325" s="37"/>
      <c r="K325" s="122"/>
      <c r="L325" s="37"/>
      <c r="M325" s="37"/>
      <c r="N325" s="139"/>
      <c r="O325" s="37"/>
      <c r="P325" s="37"/>
      <c r="Q325" s="37"/>
      <c r="R325" s="37"/>
      <c r="S325" s="37"/>
      <c r="T325" s="37"/>
      <c r="U325" s="37"/>
      <c r="V325" s="37"/>
      <c r="W325" s="37"/>
      <c r="X325" s="37"/>
      <c r="Y325" s="37"/>
      <c r="Z325" s="37"/>
    </row>
    <row r="326" spans="1:26" ht="12.5">
      <c r="A326" s="37"/>
      <c r="B326" s="151"/>
      <c r="C326" s="122"/>
      <c r="D326" s="122"/>
      <c r="E326" s="84"/>
      <c r="F326" s="77"/>
      <c r="G326" s="77"/>
      <c r="H326" s="37"/>
      <c r="I326" s="37"/>
      <c r="J326" s="37"/>
      <c r="K326" s="122"/>
      <c r="L326" s="37"/>
      <c r="M326" s="37"/>
      <c r="N326" s="139"/>
      <c r="O326" s="37"/>
      <c r="P326" s="37"/>
      <c r="Q326" s="37"/>
      <c r="R326" s="37"/>
      <c r="S326" s="37"/>
      <c r="T326" s="37"/>
      <c r="U326" s="37"/>
      <c r="V326" s="37"/>
      <c r="W326" s="37"/>
      <c r="X326" s="37"/>
      <c r="Y326" s="37"/>
      <c r="Z326" s="37"/>
    </row>
    <row r="327" spans="1:26" ht="12.5">
      <c r="A327" s="37"/>
      <c r="B327" s="151"/>
      <c r="C327" s="122"/>
      <c r="D327" s="122"/>
      <c r="E327" s="84"/>
      <c r="F327" s="77"/>
      <c r="G327" s="77"/>
      <c r="H327" s="37"/>
      <c r="I327" s="37"/>
      <c r="J327" s="37"/>
      <c r="K327" s="122"/>
      <c r="L327" s="37"/>
      <c r="M327" s="37"/>
      <c r="N327" s="139"/>
      <c r="O327" s="37"/>
      <c r="P327" s="37"/>
      <c r="Q327" s="37"/>
      <c r="R327" s="37"/>
      <c r="S327" s="37"/>
      <c r="T327" s="37"/>
      <c r="U327" s="37"/>
      <c r="V327" s="37"/>
      <c r="W327" s="37"/>
      <c r="X327" s="37"/>
      <c r="Y327" s="37"/>
      <c r="Z327" s="37"/>
    </row>
    <row r="328" spans="1:26" ht="12.5">
      <c r="A328" s="37"/>
      <c r="B328" s="151"/>
      <c r="C328" s="122"/>
      <c r="D328" s="122"/>
      <c r="E328" s="84"/>
      <c r="F328" s="77"/>
      <c r="G328" s="77"/>
      <c r="H328" s="37"/>
      <c r="I328" s="37"/>
      <c r="J328" s="37"/>
      <c r="K328" s="122"/>
      <c r="L328" s="37"/>
      <c r="M328" s="37"/>
      <c r="N328" s="139"/>
      <c r="O328" s="37"/>
      <c r="P328" s="37"/>
      <c r="Q328" s="37"/>
      <c r="R328" s="37"/>
      <c r="S328" s="37"/>
      <c r="T328" s="37"/>
      <c r="U328" s="37"/>
      <c r="V328" s="37"/>
      <c r="W328" s="37"/>
      <c r="X328" s="37"/>
      <c r="Y328" s="37"/>
      <c r="Z328" s="37"/>
    </row>
    <row r="329" spans="1:26" ht="12.5">
      <c r="A329" s="37"/>
      <c r="B329" s="151"/>
      <c r="C329" s="122"/>
      <c r="D329" s="122"/>
      <c r="E329" s="84"/>
      <c r="F329" s="77"/>
      <c r="G329" s="77"/>
      <c r="H329" s="37"/>
      <c r="I329" s="37"/>
      <c r="J329" s="37"/>
      <c r="K329" s="122"/>
      <c r="L329" s="37"/>
      <c r="M329" s="37"/>
      <c r="N329" s="139"/>
      <c r="O329" s="37"/>
      <c r="P329" s="37"/>
      <c r="Q329" s="37"/>
      <c r="R329" s="37"/>
      <c r="S329" s="37"/>
      <c r="T329" s="37"/>
      <c r="U329" s="37"/>
      <c r="V329" s="37"/>
      <c r="W329" s="37"/>
      <c r="X329" s="37"/>
      <c r="Y329" s="37"/>
      <c r="Z329" s="37"/>
    </row>
    <row r="330" spans="1:26" ht="12.5">
      <c r="A330" s="37"/>
      <c r="B330" s="151"/>
      <c r="C330" s="122"/>
      <c r="D330" s="122"/>
      <c r="E330" s="84"/>
      <c r="F330" s="77"/>
      <c r="G330" s="77"/>
      <c r="H330" s="37"/>
      <c r="I330" s="37"/>
      <c r="J330" s="37"/>
      <c r="K330" s="122"/>
      <c r="L330" s="37"/>
      <c r="M330" s="37"/>
      <c r="N330" s="139"/>
      <c r="O330" s="37"/>
      <c r="P330" s="37"/>
      <c r="Q330" s="37"/>
      <c r="R330" s="37"/>
      <c r="S330" s="37"/>
      <c r="T330" s="37"/>
      <c r="U330" s="37"/>
      <c r="V330" s="37"/>
      <c r="W330" s="37"/>
      <c r="X330" s="37"/>
      <c r="Y330" s="37"/>
      <c r="Z330" s="37"/>
    </row>
    <row r="331" spans="1:26" ht="12.5">
      <c r="A331" s="37"/>
      <c r="B331" s="151"/>
      <c r="C331" s="122"/>
      <c r="D331" s="122"/>
      <c r="E331" s="84"/>
      <c r="F331" s="77"/>
      <c r="G331" s="77"/>
      <c r="H331" s="37"/>
      <c r="I331" s="37"/>
      <c r="J331" s="37"/>
      <c r="K331" s="122"/>
      <c r="L331" s="37"/>
      <c r="M331" s="37"/>
      <c r="N331" s="139"/>
      <c r="O331" s="37"/>
      <c r="P331" s="37"/>
      <c r="Q331" s="37"/>
      <c r="R331" s="37"/>
      <c r="S331" s="37"/>
      <c r="T331" s="37"/>
      <c r="U331" s="37"/>
      <c r="V331" s="37"/>
      <c r="W331" s="37"/>
      <c r="X331" s="37"/>
      <c r="Y331" s="37"/>
      <c r="Z331" s="37"/>
    </row>
    <row r="332" spans="1:26" ht="12.5">
      <c r="A332" s="37"/>
      <c r="B332" s="151"/>
      <c r="C332" s="122"/>
      <c r="D332" s="122"/>
      <c r="E332" s="84"/>
      <c r="F332" s="77"/>
      <c r="G332" s="77"/>
      <c r="H332" s="37"/>
      <c r="I332" s="37"/>
      <c r="J332" s="37"/>
      <c r="K332" s="122"/>
      <c r="L332" s="37"/>
      <c r="M332" s="37"/>
      <c r="N332" s="139"/>
      <c r="O332" s="37"/>
      <c r="P332" s="37"/>
      <c r="Q332" s="37"/>
      <c r="R332" s="37"/>
      <c r="S332" s="37"/>
      <c r="T332" s="37"/>
      <c r="U332" s="37"/>
      <c r="V332" s="37"/>
      <c r="W332" s="37"/>
      <c r="X332" s="37"/>
      <c r="Y332" s="37"/>
      <c r="Z332" s="37"/>
    </row>
    <row r="333" spans="1:26" ht="12.5">
      <c r="A333" s="37"/>
      <c r="B333" s="151"/>
      <c r="C333" s="122"/>
      <c r="D333" s="122"/>
      <c r="E333" s="84"/>
      <c r="F333" s="77"/>
      <c r="G333" s="77"/>
      <c r="H333" s="37"/>
      <c r="I333" s="37"/>
      <c r="J333" s="37"/>
      <c r="K333" s="122"/>
      <c r="L333" s="37"/>
      <c r="M333" s="37"/>
      <c r="N333" s="139"/>
      <c r="O333" s="37"/>
      <c r="P333" s="37"/>
      <c r="Q333" s="37"/>
      <c r="R333" s="37"/>
      <c r="S333" s="37"/>
      <c r="T333" s="37"/>
      <c r="U333" s="37"/>
      <c r="V333" s="37"/>
      <c r="W333" s="37"/>
      <c r="X333" s="37"/>
      <c r="Y333" s="37"/>
      <c r="Z333" s="37"/>
    </row>
    <row r="334" spans="1:26" ht="12.5">
      <c r="A334" s="37"/>
      <c r="B334" s="151"/>
      <c r="C334" s="122"/>
      <c r="D334" s="122"/>
      <c r="E334" s="84"/>
      <c r="F334" s="77"/>
      <c r="G334" s="77"/>
      <c r="H334" s="37"/>
      <c r="I334" s="37"/>
      <c r="J334" s="37"/>
      <c r="K334" s="122"/>
      <c r="L334" s="37"/>
      <c r="M334" s="37"/>
      <c r="N334" s="139"/>
      <c r="O334" s="37"/>
      <c r="P334" s="37"/>
      <c r="Q334" s="37"/>
      <c r="R334" s="37"/>
      <c r="S334" s="37"/>
      <c r="T334" s="37"/>
      <c r="U334" s="37"/>
      <c r="V334" s="37"/>
      <c r="W334" s="37"/>
      <c r="X334" s="37"/>
      <c r="Y334" s="37"/>
      <c r="Z334" s="37"/>
    </row>
    <row r="335" spans="1:26" ht="12.5">
      <c r="A335" s="37"/>
      <c r="B335" s="151"/>
      <c r="C335" s="122"/>
      <c r="D335" s="122"/>
      <c r="E335" s="84"/>
      <c r="F335" s="77"/>
      <c r="G335" s="77"/>
      <c r="H335" s="37"/>
      <c r="I335" s="37"/>
      <c r="J335" s="37"/>
      <c r="K335" s="122"/>
      <c r="L335" s="37"/>
      <c r="M335" s="37"/>
      <c r="N335" s="139"/>
      <c r="O335" s="37"/>
      <c r="P335" s="37"/>
      <c r="Q335" s="37"/>
      <c r="R335" s="37"/>
      <c r="S335" s="37"/>
      <c r="T335" s="37"/>
      <c r="U335" s="37"/>
      <c r="V335" s="37"/>
      <c r="W335" s="37"/>
      <c r="X335" s="37"/>
      <c r="Y335" s="37"/>
      <c r="Z335" s="37"/>
    </row>
    <row r="336" spans="1:26" ht="12.5">
      <c r="A336" s="37"/>
      <c r="B336" s="151"/>
      <c r="C336" s="122"/>
      <c r="D336" s="122"/>
      <c r="E336" s="84"/>
      <c r="F336" s="77"/>
      <c r="G336" s="77"/>
      <c r="H336" s="37"/>
      <c r="I336" s="37"/>
      <c r="J336" s="37"/>
      <c r="K336" s="122"/>
      <c r="L336" s="37"/>
      <c r="M336" s="37"/>
      <c r="N336" s="139"/>
      <c r="O336" s="37"/>
      <c r="P336" s="37"/>
      <c r="Q336" s="37"/>
      <c r="R336" s="37"/>
      <c r="S336" s="37"/>
      <c r="T336" s="37"/>
      <c r="U336" s="37"/>
      <c r="V336" s="37"/>
      <c r="W336" s="37"/>
      <c r="X336" s="37"/>
      <c r="Y336" s="37"/>
      <c r="Z336" s="37"/>
    </row>
    <row r="337" spans="1:26" ht="12.5">
      <c r="A337" s="37"/>
      <c r="B337" s="151"/>
      <c r="C337" s="122"/>
      <c r="D337" s="122"/>
      <c r="E337" s="84"/>
      <c r="F337" s="77"/>
      <c r="G337" s="77"/>
      <c r="H337" s="37"/>
      <c r="I337" s="37"/>
      <c r="J337" s="37"/>
      <c r="K337" s="122"/>
      <c r="L337" s="37"/>
      <c r="M337" s="37"/>
      <c r="N337" s="139"/>
      <c r="O337" s="37"/>
      <c r="P337" s="37"/>
      <c r="Q337" s="37"/>
      <c r="R337" s="37"/>
      <c r="S337" s="37"/>
      <c r="T337" s="37"/>
      <c r="U337" s="37"/>
      <c r="V337" s="37"/>
      <c r="W337" s="37"/>
      <c r="X337" s="37"/>
      <c r="Y337" s="37"/>
      <c r="Z337" s="37"/>
    </row>
    <row r="338" spans="1:26" ht="12.5">
      <c r="A338" s="37"/>
      <c r="B338" s="151"/>
      <c r="C338" s="122"/>
      <c r="D338" s="122"/>
      <c r="E338" s="84"/>
      <c r="F338" s="77"/>
      <c r="G338" s="77"/>
      <c r="H338" s="37"/>
      <c r="I338" s="37"/>
      <c r="J338" s="37"/>
      <c r="K338" s="122"/>
      <c r="L338" s="37"/>
      <c r="M338" s="37"/>
      <c r="N338" s="139"/>
      <c r="O338" s="37"/>
      <c r="P338" s="37"/>
      <c r="Q338" s="37"/>
      <c r="R338" s="37"/>
      <c r="S338" s="37"/>
      <c r="T338" s="37"/>
      <c r="U338" s="37"/>
      <c r="V338" s="37"/>
      <c r="W338" s="37"/>
      <c r="X338" s="37"/>
      <c r="Y338" s="37"/>
      <c r="Z338" s="37"/>
    </row>
    <row r="339" spans="1:26" ht="12.5">
      <c r="A339" s="37"/>
      <c r="B339" s="151"/>
      <c r="C339" s="122"/>
      <c r="D339" s="122"/>
      <c r="E339" s="84"/>
      <c r="F339" s="77"/>
      <c r="G339" s="77"/>
      <c r="H339" s="37"/>
      <c r="I339" s="37"/>
      <c r="J339" s="37"/>
      <c r="K339" s="122"/>
      <c r="L339" s="37"/>
      <c r="M339" s="37"/>
      <c r="N339" s="139"/>
      <c r="O339" s="37"/>
      <c r="P339" s="37"/>
      <c r="Q339" s="37"/>
      <c r="R339" s="37"/>
      <c r="S339" s="37"/>
      <c r="T339" s="37"/>
      <c r="U339" s="37"/>
      <c r="V339" s="37"/>
      <c r="W339" s="37"/>
      <c r="X339" s="37"/>
      <c r="Y339" s="37"/>
      <c r="Z339" s="37"/>
    </row>
    <row r="340" spans="1:26" ht="12.5">
      <c r="A340" s="37"/>
      <c r="B340" s="151"/>
      <c r="C340" s="122"/>
      <c r="D340" s="122"/>
      <c r="E340" s="84"/>
      <c r="F340" s="77"/>
      <c r="G340" s="77"/>
      <c r="H340" s="37"/>
      <c r="I340" s="37"/>
      <c r="J340" s="37"/>
      <c r="K340" s="122"/>
      <c r="L340" s="37"/>
      <c r="M340" s="37"/>
      <c r="N340" s="139"/>
      <c r="O340" s="37"/>
      <c r="P340" s="37"/>
      <c r="Q340" s="37"/>
      <c r="R340" s="37"/>
      <c r="S340" s="37"/>
      <c r="T340" s="37"/>
      <c r="U340" s="37"/>
      <c r="V340" s="37"/>
      <c r="W340" s="37"/>
      <c r="X340" s="37"/>
      <c r="Y340" s="37"/>
      <c r="Z340" s="37"/>
    </row>
    <row r="341" spans="1:26" ht="12.5">
      <c r="A341" s="37"/>
      <c r="B341" s="151"/>
      <c r="C341" s="122"/>
      <c r="D341" s="122"/>
      <c r="E341" s="84"/>
      <c r="F341" s="77"/>
      <c r="G341" s="77"/>
      <c r="H341" s="37"/>
      <c r="I341" s="37"/>
      <c r="J341" s="37"/>
      <c r="K341" s="122"/>
      <c r="L341" s="37"/>
      <c r="M341" s="37"/>
      <c r="N341" s="139"/>
      <c r="O341" s="37"/>
      <c r="P341" s="37"/>
      <c r="Q341" s="37"/>
      <c r="R341" s="37"/>
      <c r="S341" s="37"/>
      <c r="T341" s="37"/>
      <c r="U341" s="37"/>
      <c r="V341" s="37"/>
      <c r="W341" s="37"/>
      <c r="X341" s="37"/>
      <c r="Y341" s="37"/>
      <c r="Z341" s="37"/>
    </row>
    <row r="342" spans="1:26" ht="12.5">
      <c r="A342" s="37"/>
      <c r="B342" s="151"/>
      <c r="C342" s="122"/>
      <c r="D342" s="122"/>
      <c r="E342" s="84"/>
      <c r="F342" s="77"/>
      <c r="G342" s="77"/>
      <c r="H342" s="37"/>
      <c r="I342" s="37"/>
      <c r="J342" s="37"/>
      <c r="K342" s="122"/>
      <c r="L342" s="37"/>
      <c r="M342" s="37"/>
      <c r="N342" s="139"/>
      <c r="O342" s="37"/>
      <c r="P342" s="37"/>
      <c r="Q342" s="37"/>
      <c r="R342" s="37"/>
      <c r="S342" s="37"/>
      <c r="T342" s="37"/>
      <c r="U342" s="37"/>
      <c r="V342" s="37"/>
      <c r="W342" s="37"/>
      <c r="X342" s="37"/>
      <c r="Y342" s="37"/>
      <c r="Z342" s="37"/>
    </row>
    <row r="343" spans="1:26" ht="12.5">
      <c r="A343" s="37"/>
      <c r="B343" s="151"/>
      <c r="C343" s="122"/>
      <c r="D343" s="122"/>
      <c r="E343" s="84"/>
      <c r="F343" s="77"/>
      <c r="G343" s="77"/>
      <c r="H343" s="37"/>
      <c r="I343" s="37"/>
      <c r="J343" s="37"/>
      <c r="K343" s="122"/>
      <c r="L343" s="37"/>
      <c r="M343" s="37"/>
      <c r="N343" s="139"/>
      <c r="O343" s="37"/>
      <c r="P343" s="37"/>
      <c r="Q343" s="37"/>
      <c r="R343" s="37"/>
      <c r="S343" s="37"/>
      <c r="T343" s="37"/>
      <c r="U343" s="37"/>
      <c r="V343" s="37"/>
      <c r="W343" s="37"/>
      <c r="X343" s="37"/>
      <c r="Y343" s="37"/>
      <c r="Z343" s="37"/>
    </row>
    <row r="344" spans="1:26" ht="12.5">
      <c r="A344" s="37"/>
      <c r="B344" s="151"/>
      <c r="C344" s="122"/>
      <c r="D344" s="122"/>
      <c r="E344" s="84"/>
      <c r="F344" s="77"/>
      <c r="G344" s="77"/>
      <c r="H344" s="37"/>
      <c r="I344" s="37"/>
      <c r="J344" s="37"/>
      <c r="K344" s="122"/>
      <c r="L344" s="37"/>
      <c r="M344" s="37"/>
      <c r="N344" s="139"/>
      <c r="O344" s="37"/>
      <c r="P344" s="37"/>
      <c r="Q344" s="37"/>
      <c r="R344" s="37"/>
      <c r="S344" s="37"/>
      <c r="T344" s="37"/>
      <c r="U344" s="37"/>
      <c r="V344" s="37"/>
      <c r="W344" s="37"/>
      <c r="X344" s="37"/>
      <c r="Y344" s="37"/>
      <c r="Z344" s="37"/>
    </row>
    <row r="345" spans="1:26" ht="12.5">
      <c r="A345" s="37"/>
      <c r="B345" s="151"/>
      <c r="C345" s="122"/>
      <c r="D345" s="122"/>
      <c r="E345" s="84"/>
      <c r="F345" s="77"/>
      <c r="G345" s="77"/>
      <c r="H345" s="37"/>
      <c r="I345" s="37"/>
      <c r="J345" s="37"/>
      <c r="K345" s="122"/>
      <c r="L345" s="37"/>
      <c r="M345" s="37"/>
      <c r="N345" s="139"/>
      <c r="O345" s="37"/>
      <c r="P345" s="37"/>
      <c r="Q345" s="37"/>
      <c r="R345" s="37"/>
      <c r="S345" s="37"/>
      <c r="T345" s="37"/>
      <c r="U345" s="37"/>
      <c r="V345" s="37"/>
      <c r="W345" s="37"/>
      <c r="X345" s="37"/>
      <c r="Y345" s="37"/>
      <c r="Z345" s="37"/>
    </row>
    <row r="346" spans="1:26" ht="12.5">
      <c r="A346" s="37"/>
      <c r="B346" s="151"/>
      <c r="C346" s="122"/>
      <c r="D346" s="122"/>
      <c r="E346" s="84"/>
      <c r="F346" s="77"/>
      <c r="G346" s="77"/>
      <c r="H346" s="37"/>
      <c r="I346" s="37"/>
      <c r="J346" s="37"/>
      <c r="K346" s="122"/>
      <c r="L346" s="37"/>
      <c r="M346" s="37"/>
      <c r="N346" s="139"/>
      <c r="O346" s="37"/>
      <c r="P346" s="37"/>
      <c r="Q346" s="37"/>
      <c r="R346" s="37"/>
      <c r="S346" s="37"/>
      <c r="T346" s="37"/>
      <c r="U346" s="37"/>
      <c r="V346" s="37"/>
      <c r="W346" s="37"/>
      <c r="X346" s="37"/>
      <c r="Y346" s="37"/>
      <c r="Z346" s="37"/>
    </row>
    <row r="347" spans="1:26" ht="12.5">
      <c r="A347" s="37"/>
      <c r="B347" s="151"/>
      <c r="C347" s="122"/>
      <c r="D347" s="122"/>
      <c r="E347" s="84"/>
      <c r="F347" s="77"/>
      <c r="G347" s="77"/>
      <c r="H347" s="37"/>
      <c r="I347" s="37"/>
      <c r="J347" s="37"/>
      <c r="K347" s="122"/>
      <c r="L347" s="37"/>
      <c r="M347" s="37"/>
      <c r="N347" s="139"/>
      <c r="O347" s="37"/>
      <c r="P347" s="37"/>
      <c r="Q347" s="37"/>
      <c r="R347" s="37"/>
      <c r="S347" s="37"/>
      <c r="T347" s="37"/>
      <c r="U347" s="37"/>
      <c r="V347" s="37"/>
      <c r="W347" s="37"/>
      <c r="X347" s="37"/>
      <c r="Y347" s="37"/>
      <c r="Z347" s="37"/>
    </row>
    <row r="348" spans="1:26" ht="12.5">
      <c r="A348" s="37"/>
      <c r="B348" s="151"/>
      <c r="C348" s="122"/>
      <c r="D348" s="122"/>
      <c r="E348" s="84"/>
      <c r="F348" s="77"/>
      <c r="G348" s="77"/>
      <c r="H348" s="37"/>
      <c r="I348" s="37"/>
      <c r="J348" s="37"/>
      <c r="K348" s="122"/>
      <c r="L348" s="37"/>
      <c r="M348" s="37"/>
      <c r="N348" s="139"/>
      <c r="O348" s="37"/>
      <c r="P348" s="37"/>
      <c r="Q348" s="37"/>
      <c r="R348" s="37"/>
      <c r="S348" s="37"/>
      <c r="T348" s="37"/>
      <c r="U348" s="37"/>
      <c r="V348" s="37"/>
      <c r="W348" s="37"/>
      <c r="X348" s="37"/>
      <c r="Y348" s="37"/>
      <c r="Z348" s="37"/>
    </row>
    <row r="349" spans="1:26" ht="12.5">
      <c r="A349" s="37"/>
      <c r="B349" s="151"/>
      <c r="C349" s="122"/>
      <c r="D349" s="122"/>
      <c r="E349" s="84"/>
      <c r="F349" s="77"/>
      <c r="G349" s="77"/>
      <c r="H349" s="37"/>
      <c r="I349" s="37"/>
      <c r="J349" s="37"/>
      <c r="K349" s="122"/>
      <c r="L349" s="37"/>
      <c r="M349" s="37"/>
      <c r="N349" s="139"/>
      <c r="O349" s="37"/>
      <c r="P349" s="37"/>
      <c r="Q349" s="37"/>
      <c r="R349" s="37"/>
      <c r="S349" s="37"/>
      <c r="T349" s="37"/>
      <c r="U349" s="37"/>
      <c r="V349" s="37"/>
      <c r="W349" s="37"/>
      <c r="X349" s="37"/>
      <c r="Y349" s="37"/>
      <c r="Z349" s="37"/>
    </row>
    <row r="350" spans="1:26" ht="12.5">
      <c r="A350" s="37"/>
      <c r="B350" s="151"/>
      <c r="C350" s="122"/>
      <c r="D350" s="122"/>
      <c r="E350" s="84"/>
      <c r="F350" s="77"/>
      <c r="G350" s="77"/>
      <c r="H350" s="37"/>
      <c r="I350" s="37"/>
      <c r="J350" s="37"/>
      <c r="K350" s="122"/>
      <c r="L350" s="37"/>
      <c r="M350" s="37"/>
      <c r="N350" s="139"/>
      <c r="O350" s="37"/>
      <c r="P350" s="37"/>
      <c r="Q350" s="37"/>
      <c r="R350" s="37"/>
      <c r="S350" s="37"/>
      <c r="T350" s="37"/>
      <c r="U350" s="37"/>
      <c r="V350" s="37"/>
      <c r="W350" s="37"/>
      <c r="X350" s="37"/>
      <c r="Y350" s="37"/>
      <c r="Z350" s="37"/>
    </row>
    <row r="351" spans="1:26" ht="12.5">
      <c r="A351" s="37"/>
      <c r="B351" s="151"/>
      <c r="C351" s="122"/>
      <c r="D351" s="122"/>
      <c r="E351" s="84"/>
      <c r="F351" s="77"/>
      <c r="G351" s="77"/>
      <c r="H351" s="37"/>
      <c r="I351" s="37"/>
      <c r="J351" s="37"/>
      <c r="K351" s="122"/>
      <c r="L351" s="37"/>
      <c r="M351" s="37"/>
      <c r="N351" s="139"/>
      <c r="O351" s="37"/>
      <c r="P351" s="37"/>
      <c r="Q351" s="37"/>
      <c r="R351" s="37"/>
      <c r="S351" s="37"/>
      <c r="T351" s="37"/>
      <c r="U351" s="37"/>
      <c r="V351" s="37"/>
      <c r="W351" s="37"/>
      <c r="X351" s="37"/>
      <c r="Y351" s="37"/>
      <c r="Z351" s="37"/>
    </row>
    <row r="352" spans="1:26" ht="12.5">
      <c r="A352" s="37"/>
      <c r="B352" s="151"/>
      <c r="C352" s="122"/>
      <c r="D352" s="122"/>
      <c r="E352" s="84"/>
      <c r="F352" s="77"/>
      <c r="G352" s="77"/>
      <c r="H352" s="37"/>
      <c r="I352" s="37"/>
      <c r="J352" s="37"/>
      <c r="K352" s="122"/>
      <c r="L352" s="37"/>
      <c r="M352" s="37"/>
      <c r="N352" s="139"/>
      <c r="O352" s="37"/>
      <c r="P352" s="37"/>
      <c r="Q352" s="37"/>
      <c r="R352" s="37"/>
      <c r="S352" s="37"/>
      <c r="T352" s="37"/>
      <c r="U352" s="37"/>
      <c r="V352" s="37"/>
      <c r="W352" s="37"/>
      <c r="X352" s="37"/>
      <c r="Y352" s="37"/>
      <c r="Z352" s="37"/>
    </row>
    <row r="353" spans="1:26" ht="12.5">
      <c r="A353" s="37"/>
      <c r="B353" s="151"/>
      <c r="C353" s="122"/>
      <c r="D353" s="122"/>
      <c r="E353" s="84"/>
      <c r="F353" s="77"/>
      <c r="G353" s="77"/>
      <c r="H353" s="37"/>
      <c r="I353" s="37"/>
      <c r="J353" s="37"/>
      <c r="K353" s="122"/>
      <c r="L353" s="37"/>
      <c r="M353" s="37"/>
      <c r="N353" s="139"/>
      <c r="O353" s="37"/>
      <c r="P353" s="37"/>
      <c r="Q353" s="37"/>
      <c r="R353" s="37"/>
      <c r="S353" s="37"/>
      <c r="T353" s="37"/>
      <c r="U353" s="37"/>
      <c r="V353" s="37"/>
      <c r="W353" s="37"/>
      <c r="X353" s="37"/>
      <c r="Y353" s="37"/>
      <c r="Z353" s="37"/>
    </row>
    <row r="354" spans="1:26" ht="12.5">
      <c r="A354" s="37"/>
      <c r="B354" s="151"/>
      <c r="C354" s="122"/>
      <c r="D354" s="122"/>
      <c r="E354" s="84"/>
      <c r="F354" s="77"/>
      <c r="G354" s="77"/>
      <c r="H354" s="37"/>
      <c r="I354" s="37"/>
      <c r="J354" s="37"/>
      <c r="K354" s="122"/>
      <c r="L354" s="37"/>
      <c r="M354" s="37"/>
      <c r="N354" s="139"/>
      <c r="O354" s="37"/>
      <c r="P354" s="37"/>
      <c r="Q354" s="37"/>
      <c r="R354" s="37"/>
      <c r="S354" s="37"/>
      <c r="T354" s="37"/>
      <c r="U354" s="37"/>
      <c r="V354" s="37"/>
      <c r="W354" s="37"/>
      <c r="X354" s="37"/>
      <c r="Y354" s="37"/>
      <c r="Z354" s="37"/>
    </row>
    <row r="355" spans="1:26" ht="12.5">
      <c r="A355" s="37"/>
      <c r="B355" s="151"/>
      <c r="C355" s="122"/>
      <c r="D355" s="122"/>
      <c r="E355" s="84"/>
      <c r="F355" s="77"/>
      <c r="G355" s="77"/>
      <c r="H355" s="37"/>
      <c r="I355" s="37"/>
      <c r="J355" s="37"/>
      <c r="K355" s="122"/>
      <c r="L355" s="37"/>
      <c r="M355" s="37"/>
      <c r="N355" s="139"/>
      <c r="O355" s="37"/>
      <c r="P355" s="37"/>
      <c r="Q355" s="37"/>
      <c r="R355" s="37"/>
      <c r="S355" s="37"/>
      <c r="T355" s="37"/>
      <c r="U355" s="37"/>
      <c r="V355" s="37"/>
      <c r="W355" s="37"/>
      <c r="X355" s="37"/>
      <c r="Y355" s="37"/>
      <c r="Z355" s="37"/>
    </row>
    <row r="356" spans="1:26" ht="12.5">
      <c r="A356" s="37"/>
      <c r="B356" s="151"/>
      <c r="C356" s="122"/>
      <c r="D356" s="122"/>
      <c r="E356" s="84"/>
      <c r="F356" s="77"/>
      <c r="G356" s="77"/>
      <c r="H356" s="37"/>
      <c r="I356" s="37"/>
      <c r="J356" s="37"/>
      <c r="K356" s="122"/>
      <c r="L356" s="37"/>
      <c r="M356" s="37"/>
      <c r="N356" s="139"/>
      <c r="O356" s="37"/>
      <c r="P356" s="37"/>
      <c r="Q356" s="37"/>
      <c r="R356" s="37"/>
      <c r="S356" s="37"/>
      <c r="T356" s="37"/>
      <c r="U356" s="37"/>
      <c r="V356" s="37"/>
      <c r="W356" s="37"/>
      <c r="X356" s="37"/>
      <c r="Y356" s="37"/>
      <c r="Z356" s="37"/>
    </row>
    <row r="357" spans="1:26" ht="12.5">
      <c r="A357" s="37"/>
      <c r="B357" s="151"/>
      <c r="C357" s="122"/>
      <c r="D357" s="122"/>
      <c r="E357" s="84"/>
      <c r="F357" s="77"/>
      <c r="G357" s="77"/>
      <c r="H357" s="37"/>
      <c r="I357" s="37"/>
      <c r="J357" s="37"/>
      <c r="K357" s="122"/>
      <c r="L357" s="37"/>
      <c r="M357" s="37"/>
      <c r="N357" s="139"/>
      <c r="O357" s="37"/>
      <c r="P357" s="37"/>
      <c r="Q357" s="37"/>
      <c r="R357" s="37"/>
      <c r="S357" s="37"/>
      <c r="T357" s="37"/>
      <c r="U357" s="37"/>
      <c r="V357" s="37"/>
      <c r="W357" s="37"/>
      <c r="X357" s="37"/>
      <c r="Y357" s="37"/>
      <c r="Z357" s="37"/>
    </row>
    <row r="358" spans="1:26" ht="12.5">
      <c r="A358" s="37"/>
      <c r="B358" s="151"/>
      <c r="C358" s="122"/>
      <c r="D358" s="122"/>
      <c r="E358" s="84"/>
      <c r="F358" s="77"/>
      <c r="G358" s="77"/>
      <c r="H358" s="37"/>
      <c r="I358" s="37"/>
      <c r="J358" s="37"/>
      <c r="K358" s="122"/>
      <c r="L358" s="37"/>
      <c r="M358" s="37"/>
      <c r="N358" s="139"/>
      <c r="O358" s="37"/>
      <c r="P358" s="37"/>
      <c r="Q358" s="37"/>
      <c r="R358" s="37"/>
      <c r="S358" s="37"/>
      <c r="T358" s="37"/>
      <c r="U358" s="37"/>
      <c r="V358" s="37"/>
      <c r="W358" s="37"/>
      <c r="X358" s="37"/>
      <c r="Y358" s="37"/>
      <c r="Z358" s="37"/>
    </row>
    <row r="359" spans="1:26" ht="12.5">
      <c r="A359" s="37"/>
      <c r="B359" s="151"/>
      <c r="C359" s="122"/>
      <c r="D359" s="122"/>
      <c r="E359" s="84"/>
      <c r="F359" s="77"/>
      <c r="G359" s="77"/>
      <c r="H359" s="37"/>
      <c r="I359" s="37"/>
      <c r="J359" s="37"/>
      <c r="K359" s="122"/>
      <c r="L359" s="37"/>
      <c r="M359" s="37"/>
      <c r="N359" s="139"/>
      <c r="O359" s="37"/>
      <c r="P359" s="37"/>
      <c r="Q359" s="37"/>
      <c r="R359" s="37"/>
      <c r="S359" s="37"/>
      <c r="T359" s="37"/>
      <c r="U359" s="37"/>
      <c r="V359" s="37"/>
      <c r="W359" s="37"/>
      <c r="X359" s="37"/>
      <c r="Y359" s="37"/>
      <c r="Z359" s="37"/>
    </row>
    <row r="360" spans="1:26" ht="12.5">
      <c r="A360" s="37"/>
      <c r="B360" s="151"/>
      <c r="C360" s="122"/>
      <c r="D360" s="122"/>
      <c r="E360" s="84"/>
      <c r="F360" s="77"/>
      <c r="G360" s="77"/>
      <c r="H360" s="37"/>
      <c r="I360" s="37"/>
      <c r="J360" s="37"/>
      <c r="K360" s="122"/>
      <c r="L360" s="37"/>
      <c r="M360" s="37"/>
      <c r="N360" s="139"/>
      <c r="O360" s="37"/>
      <c r="P360" s="37"/>
      <c r="Q360" s="37"/>
      <c r="R360" s="37"/>
      <c r="S360" s="37"/>
      <c r="T360" s="37"/>
      <c r="U360" s="37"/>
      <c r="V360" s="37"/>
      <c r="W360" s="37"/>
      <c r="X360" s="37"/>
      <c r="Y360" s="37"/>
      <c r="Z360" s="37"/>
    </row>
    <row r="361" spans="1:26" ht="12.5">
      <c r="A361" s="37"/>
      <c r="B361" s="151"/>
      <c r="C361" s="122"/>
      <c r="D361" s="122"/>
      <c r="E361" s="84"/>
      <c r="F361" s="77"/>
      <c r="G361" s="77"/>
      <c r="H361" s="37"/>
      <c r="I361" s="37"/>
      <c r="J361" s="37"/>
      <c r="K361" s="122"/>
      <c r="L361" s="37"/>
      <c r="M361" s="37"/>
      <c r="N361" s="139"/>
      <c r="O361" s="37"/>
      <c r="P361" s="37"/>
      <c r="Q361" s="37"/>
      <c r="R361" s="37"/>
      <c r="S361" s="37"/>
      <c r="T361" s="37"/>
      <c r="U361" s="37"/>
      <c r="V361" s="37"/>
      <c r="W361" s="37"/>
      <c r="X361" s="37"/>
      <c r="Y361" s="37"/>
      <c r="Z361" s="37"/>
    </row>
    <row r="362" spans="1:26" ht="12.5">
      <c r="A362" s="37"/>
      <c r="B362" s="151"/>
      <c r="C362" s="122"/>
      <c r="D362" s="122"/>
      <c r="E362" s="84"/>
      <c r="F362" s="77"/>
      <c r="G362" s="77"/>
      <c r="H362" s="37"/>
      <c r="I362" s="37"/>
      <c r="J362" s="37"/>
      <c r="K362" s="122"/>
      <c r="L362" s="37"/>
      <c r="M362" s="37"/>
      <c r="N362" s="139"/>
      <c r="O362" s="37"/>
      <c r="P362" s="37"/>
      <c r="Q362" s="37"/>
      <c r="R362" s="37"/>
      <c r="S362" s="37"/>
      <c r="T362" s="37"/>
      <c r="U362" s="37"/>
      <c r="V362" s="37"/>
      <c r="W362" s="37"/>
      <c r="X362" s="37"/>
      <c r="Y362" s="37"/>
      <c r="Z362" s="37"/>
    </row>
    <row r="363" spans="1:26" ht="12.5">
      <c r="A363" s="37"/>
      <c r="B363" s="151"/>
      <c r="C363" s="122"/>
      <c r="D363" s="122"/>
      <c r="E363" s="84"/>
      <c r="F363" s="77"/>
      <c r="G363" s="77"/>
      <c r="H363" s="37"/>
      <c r="I363" s="37"/>
      <c r="J363" s="37"/>
      <c r="K363" s="122"/>
      <c r="L363" s="37"/>
      <c r="M363" s="37"/>
      <c r="N363" s="139"/>
      <c r="O363" s="37"/>
      <c r="P363" s="37"/>
      <c r="Q363" s="37"/>
      <c r="R363" s="37"/>
      <c r="S363" s="37"/>
      <c r="T363" s="37"/>
      <c r="U363" s="37"/>
      <c r="V363" s="37"/>
      <c r="W363" s="37"/>
      <c r="X363" s="37"/>
      <c r="Y363" s="37"/>
      <c r="Z363" s="37"/>
    </row>
    <row r="364" spans="1:26" ht="12.5">
      <c r="A364" s="37"/>
      <c r="B364" s="151"/>
      <c r="C364" s="122"/>
      <c r="D364" s="122"/>
      <c r="E364" s="84"/>
      <c r="F364" s="77"/>
      <c r="G364" s="77"/>
      <c r="H364" s="37"/>
      <c r="I364" s="37"/>
      <c r="J364" s="37"/>
      <c r="K364" s="122"/>
      <c r="L364" s="37"/>
      <c r="M364" s="37"/>
      <c r="N364" s="139"/>
      <c r="O364" s="37"/>
      <c r="P364" s="37"/>
      <c r="Q364" s="37"/>
      <c r="R364" s="37"/>
      <c r="S364" s="37"/>
      <c r="T364" s="37"/>
      <c r="U364" s="37"/>
      <c r="V364" s="37"/>
      <c r="W364" s="37"/>
      <c r="X364" s="37"/>
      <c r="Y364" s="37"/>
      <c r="Z364" s="37"/>
    </row>
    <row r="365" spans="1:26" ht="12.5">
      <c r="A365" s="37"/>
      <c r="B365" s="151"/>
      <c r="C365" s="122"/>
      <c r="D365" s="122"/>
      <c r="E365" s="84"/>
      <c r="F365" s="77"/>
      <c r="G365" s="77"/>
      <c r="H365" s="37"/>
      <c r="I365" s="37"/>
      <c r="J365" s="37"/>
      <c r="K365" s="122"/>
      <c r="L365" s="37"/>
      <c r="M365" s="37"/>
      <c r="N365" s="139"/>
      <c r="O365" s="37"/>
      <c r="P365" s="37"/>
      <c r="Q365" s="37"/>
      <c r="R365" s="37"/>
      <c r="S365" s="37"/>
      <c r="T365" s="37"/>
      <c r="U365" s="37"/>
      <c r="V365" s="37"/>
      <c r="W365" s="37"/>
      <c r="X365" s="37"/>
      <c r="Y365" s="37"/>
      <c r="Z365" s="37"/>
    </row>
    <row r="366" spans="1:26" ht="12.5">
      <c r="A366" s="37"/>
      <c r="B366" s="151"/>
      <c r="C366" s="122"/>
      <c r="D366" s="122"/>
      <c r="E366" s="84"/>
      <c r="F366" s="77"/>
      <c r="G366" s="77"/>
      <c r="H366" s="37"/>
      <c r="I366" s="37"/>
      <c r="J366" s="37"/>
      <c r="K366" s="122"/>
      <c r="L366" s="37"/>
      <c r="M366" s="37"/>
      <c r="N366" s="139"/>
      <c r="O366" s="37"/>
      <c r="P366" s="37"/>
      <c r="Q366" s="37"/>
      <c r="R366" s="37"/>
      <c r="S366" s="37"/>
      <c r="T366" s="37"/>
      <c r="U366" s="37"/>
      <c r="V366" s="37"/>
      <c r="W366" s="37"/>
      <c r="X366" s="37"/>
      <c r="Y366" s="37"/>
      <c r="Z366" s="37"/>
    </row>
    <row r="367" spans="1:26" ht="12.5">
      <c r="A367" s="37"/>
      <c r="B367" s="151"/>
      <c r="C367" s="122"/>
      <c r="D367" s="122"/>
      <c r="E367" s="84"/>
      <c r="F367" s="77"/>
      <c r="G367" s="77"/>
      <c r="H367" s="37"/>
      <c r="I367" s="37"/>
      <c r="J367" s="37"/>
      <c r="K367" s="122"/>
      <c r="L367" s="37"/>
      <c r="M367" s="37"/>
      <c r="N367" s="139"/>
      <c r="O367" s="37"/>
      <c r="P367" s="37"/>
      <c r="Q367" s="37"/>
      <c r="R367" s="37"/>
      <c r="S367" s="37"/>
      <c r="T367" s="37"/>
      <c r="U367" s="37"/>
      <c r="V367" s="37"/>
      <c r="W367" s="37"/>
      <c r="X367" s="37"/>
      <c r="Y367" s="37"/>
      <c r="Z367" s="37"/>
    </row>
    <row r="368" spans="1:26" ht="12.5">
      <c r="A368" s="37"/>
      <c r="B368" s="151"/>
      <c r="C368" s="122"/>
      <c r="D368" s="122"/>
      <c r="E368" s="84"/>
      <c r="F368" s="77"/>
      <c r="G368" s="77"/>
      <c r="H368" s="37"/>
      <c r="I368" s="37"/>
      <c r="J368" s="37"/>
      <c r="K368" s="122"/>
      <c r="L368" s="37"/>
      <c r="M368" s="37"/>
      <c r="N368" s="139"/>
      <c r="O368" s="37"/>
      <c r="P368" s="37"/>
      <c r="Q368" s="37"/>
      <c r="R368" s="37"/>
      <c r="S368" s="37"/>
      <c r="T368" s="37"/>
      <c r="U368" s="37"/>
      <c r="V368" s="37"/>
      <c r="W368" s="37"/>
      <c r="X368" s="37"/>
      <c r="Y368" s="37"/>
      <c r="Z368" s="37"/>
    </row>
    <row r="369" spans="1:26" ht="12.5">
      <c r="A369" s="37"/>
      <c r="B369" s="151"/>
      <c r="C369" s="122"/>
      <c r="D369" s="122"/>
      <c r="E369" s="84"/>
      <c r="F369" s="77"/>
      <c r="G369" s="77"/>
      <c r="H369" s="37"/>
      <c r="I369" s="37"/>
      <c r="J369" s="37"/>
      <c r="K369" s="122"/>
      <c r="L369" s="37"/>
      <c r="M369" s="37"/>
      <c r="N369" s="139"/>
      <c r="O369" s="37"/>
      <c r="P369" s="37"/>
      <c r="Q369" s="37"/>
      <c r="R369" s="37"/>
      <c r="S369" s="37"/>
      <c r="T369" s="37"/>
      <c r="U369" s="37"/>
      <c r="V369" s="37"/>
      <c r="W369" s="37"/>
      <c r="X369" s="37"/>
      <c r="Y369" s="37"/>
      <c r="Z369" s="37"/>
    </row>
    <row r="370" spans="1:26" ht="12.5">
      <c r="A370" s="37"/>
      <c r="B370" s="151"/>
      <c r="C370" s="122"/>
      <c r="D370" s="122"/>
      <c r="E370" s="84"/>
      <c r="F370" s="77"/>
      <c r="G370" s="77"/>
      <c r="H370" s="37"/>
      <c r="I370" s="37"/>
      <c r="J370" s="37"/>
      <c r="K370" s="122"/>
      <c r="L370" s="37"/>
      <c r="M370" s="37"/>
      <c r="N370" s="139"/>
      <c r="O370" s="37"/>
      <c r="P370" s="37"/>
      <c r="Q370" s="37"/>
      <c r="R370" s="37"/>
      <c r="S370" s="37"/>
      <c r="T370" s="37"/>
      <c r="U370" s="37"/>
      <c r="V370" s="37"/>
      <c r="W370" s="37"/>
      <c r="X370" s="37"/>
      <c r="Y370" s="37"/>
      <c r="Z370" s="37"/>
    </row>
    <row r="371" spans="1:26" ht="12.5">
      <c r="A371" s="37"/>
      <c r="B371" s="151"/>
      <c r="C371" s="122"/>
      <c r="D371" s="122"/>
      <c r="E371" s="84"/>
      <c r="F371" s="77"/>
      <c r="G371" s="77"/>
      <c r="H371" s="37"/>
      <c r="I371" s="37"/>
      <c r="J371" s="37"/>
      <c r="K371" s="122"/>
      <c r="L371" s="37"/>
      <c r="M371" s="37"/>
      <c r="N371" s="139"/>
      <c r="O371" s="37"/>
      <c r="P371" s="37"/>
      <c r="Q371" s="37"/>
      <c r="R371" s="37"/>
      <c r="S371" s="37"/>
      <c r="T371" s="37"/>
      <c r="U371" s="37"/>
      <c r="V371" s="37"/>
      <c r="W371" s="37"/>
      <c r="X371" s="37"/>
      <c r="Y371" s="37"/>
      <c r="Z371" s="37"/>
    </row>
    <row r="372" spans="1:26" ht="12.5">
      <c r="A372" s="37"/>
      <c r="B372" s="151"/>
      <c r="C372" s="122"/>
      <c r="D372" s="122"/>
      <c r="E372" s="84"/>
      <c r="F372" s="77"/>
      <c r="G372" s="77"/>
      <c r="H372" s="37"/>
      <c r="I372" s="37"/>
      <c r="J372" s="37"/>
      <c r="K372" s="122"/>
      <c r="L372" s="37"/>
      <c r="M372" s="37"/>
      <c r="N372" s="139"/>
      <c r="O372" s="37"/>
      <c r="P372" s="37"/>
      <c r="Q372" s="37"/>
      <c r="R372" s="37"/>
      <c r="S372" s="37"/>
      <c r="T372" s="37"/>
      <c r="U372" s="37"/>
      <c r="V372" s="37"/>
      <c r="W372" s="37"/>
      <c r="X372" s="37"/>
      <c r="Y372" s="37"/>
      <c r="Z372" s="37"/>
    </row>
    <row r="373" spans="1:26" ht="12.5">
      <c r="A373" s="37"/>
      <c r="B373" s="151"/>
      <c r="C373" s="122"/>
      <c r="D373" s="122"/>
      <c r="E373" s="84"/>
      <c r="F373" s="77"/>
      <c r="G373" s="77"/>
      <c r="H373" s="37"/>
      <c r="I373" s="37"/>
      <c r="J373" s="37"/>
      <c r="K373" s="122"/>
      <c r="L373" s="37"/>
      <c r="M373" s="37"/>
      <c r="N373" s="139"/>
      <c r="O373" s="37"/>
      <c r="P373" s="37"/>
      <c r="Q373" s="37"/>
      <c r="R373" s="37"/>
      <c r="S373" s="37"/>
      <c r="T373" s="37"/>
      <c r="U373" s="37"/>
      <c r="V373" s="37"/>
      <c r="W373" s="37"/>
      <c r="X373" s="37"/>
      <c r="Y373" s="37"/>
      <c r="Z373" s="37"/>
    </row>
    <row r="374" spans="1:26" ht="12.5">
      <c r="A374" s="37"/>
      <c r="B374" s="151"/>
      <c r="C374" s="122"/>
      <c r="D374" s="122"/>
      <c r="E374" s="84"/>
      <c r="F374" s="77"/>
      <c r="G374" s="77"/>
      <c r="H374" s="37"/>
      <c r="I374" s="37"/>
      <c r="J374" s="37"/>
      <c r="K374" s="122"/>
      <c r="L374" s="37"/>
      <c r="M374" s="37"/>
      <c r="N374" s="139"/>
      <c r="O374" s="37"/>
      <c r="P374" s="37"/>
      <c r="Q374" s="37"/>
      <c r="R374" s="37"/>
      <c r="S374" s="37"/>
      <c r="T374" s="37"/>
      <c r="U374" s="37"/>
      <c r="V374" s="37"/>
      <c r="W374" s="37"/>
      <c r="X374" s="37"/>
      <c r="Y374" s="37"/>
      <c r="Z374" s="37"/>
    </row>
    <row r="375" spans="1:26" ht="12.5">
      <c r="A375" s="37"/>
      <c r="B375" s="151"/>
      <c r="C375" s="122"/>
      <c r="D375" s="122"/>
      <c r="E375" s="84"/>
      <c r="F375" s="77"/>
      <c r="G375" s="77"/>
      <c r="H375" s="37"/>
      <c r="I375" s="37"/>
      <c r="J375" s="37"/>
      <c r="K375" s="122"/>
      <c r="L375" s="37"/>
      <c r="M375" s="37"/>
      <c r="N375" s="139"/>
      <c r="O375" s="37"/>
      <c r="P375" s="37"/>
      <c r="Q375" s="37"/>
      <c r="R375" s="37"/>
      <c r="S375" s="37"/>
      <c r="T375" s="37"/>
      <c r="U375" s="37"/>
      <c r="V375" s="37"/>
      <c r="W375" s="37"/>
      <c r="X375" s="37"/>
      <c r="Y375" s="37"/>
      <c r="Z375" s="37"/>
    </row>
    <row r="376" spans="1:26" ht="12.5">
      <c r="A376" s="37"/>
      <c r="B376" s="151"/>
      <c r="C376" s="122"/>
      <c r="D376" s="122"/>
      <c r="E376" s="84"/>
      <c r="F376" s="77"/>
      <c r="G376" s="77"/>
      <c r="H376" s="37"/>
      <c r="I376" s="37"/>
      <c r="J376" s="37"/>
      <c r="K376" s="122"/>
      <c r="L376" s="37"/>
      <c r="M376" s="37"/>
      <c r="N376" s="139"/>
      <c r="O376" s="37"/>
      <c r="P376" s="37"/>
      <c r="Q376" s="37"/>
      <c r="R376" s="37"/>
      <c r="S376" s="37"/>
      <c r="T376" s="37"/>
      <c r="U376" s="37"/>
      <c r="V376" s="37"/>
      <c r="W376" s="37"/>
      <c r="X376" s="37"/>
      <c r="Y376" s="37"/>
      <c r="Z376" s="37"/>
    </row>
    <row r="377" spans="1:26" ht="12.5">
      <c r="A377" s="37"/>
      <c r="B377" s="151"/>
      <c r="C377" s="122"/>
      <c r="D377" s="122"/>
      <c r="E377" s="84"/>
      <c r="F377" s="77"/>
      <c r="G377" s="77"/>
      <c r="H377" s="37"/>
      <c r="I377" s="37"/>
      <c r="J377" s="37"/>
      <c r="K377" s="122"/>
      <c r="L377" s="37"/>
      <c r="M377" s="37"/>
      <c r="N377" s="139"/>
      <c r="O377" s="37"/>
      <c r="P377" s="37"/>
      <c r="Q377" s="37"/>
      <c r="R377" s="37"/>
      <c r="S377" s="37"/>
      <c r="T377" s="37"/>
      <c r="U377" s="37"/>
      <c r="V377" s="37"/>
      <c r="W377" s="37"/>
      <c r="X377" s="37"/>
      <c r="Y377" s="37"/>
      <c r="Z377" s="37"/>
    </row>
    <row r="378" spans="1:26" ht="12.5">
      <c r="A378" s="37"/>
      <c r="B378" s="151"/>
      <c r="C378" s="122"/>
      <c r="D378" s="122"/>
      <c r="E378" s="84"/>
      <c r="F378" s="77"/>
      <c r="G378" s="77"/>
      <c r="H378" s="37"/>
      <c r="I378" s="37"/>
      <c r="J378" s="37"/>
      <c r="K378" s="122"/>
      <c r="L378" s="37"/>
      <c r="M378" s="37"/>
      <c r="N378" s="139"/>
      <c r="O378" s="37"/>
      <c r="P378" s="37"/>
      <c r="Q378" s="37"/>
      <c r="R378" s="37"/>
      <c r="S378" s="37"/>
      <c r="T378" s="37"/>
      <c r="U378" s="37"/>
      <c r="V378" s="37"/>
      <c r="W378" s="37"/>
      <c r="X378" s="37"/>
      <c r="Y378" s="37"/>
      <c r="Z378" s="37"/>
    </row>
    <row r="379" spans="1:26" ht="12.5">
      <c r="A379" s="37"/>
      <c r="B379" s="151"/>
      <c r="C379" s="122"/>
      <c r="D379" s="122"/>
      <c r="E379" s="84"/>
      <c r="F379" s="77"/>
      <c r="G379" s="77"/>
      <c r="H379" s="37"/>
      <c r="I379" s="37"/>
      <c r="J379" s="37"/>
      <c r="K379" s="122"/>
      <c r="L379" s="37"/>
      <c r="M379" s="37"/>
      <c r="N379" s="139"/>
      <c r="O379" s="37"/>
      <c r="P379" s="37"/>
      <c r="Q379" s="37"/>
      <c r="R379" s="37"/>
      <c r="S379" s="37"/>
      <c r="T379" s="37"/>
      <c r="U379" s="37"/>
      <c r="V379" s="37"/>
      <c r="W379" s="37"/>
      <c r="X379" s="37"/>
      <c r="Y379" s="37"/>
      <c r="Z379" s="37"/>
    </row>
    <row r="380" spans="1:26" ht="12.5">
      <c r="A380" s="37"/>
      <c r="B380" s="151"/>
      <c r="C380" s="122"/>
      <c r="D380" s="122"/>
      <c r="E380" s="84"/>
      <c r="F380" s="77"/>
      <c r="G380" s="77"/>
      <c r="H380" s="37"/>
      <c r="I380" s="37"/>
      <c r="J380" s="37"/>
      <c r="K380" s="122"/>
      <c r="L380" s="37"/>
      <c r="M380" s="37"/>
      <c r="N380" s="139"/>
      <c r="O380" s="37"/>
      <c r="P380" s="37"/>
      <c r="Q380" s="37"/>
      <c r="R380" s="37"/>
      <c r="S380" s="37"/>
      <c r="T380" s="37"/>
      <c r="U380" s="37"/>
      <c r="V380" s="37"/>
      <c r="W380" s="37"/>
      <c r="X380" s="37"/>
      <c r="Y380" s="37"/>
      <c r="Z380" s="37"/>
    </row>
    <row r="381" spans="1:26" ht="12.5">
      <c r="A381" s="37"/>
      <c r="B381" s="151"/>
      <c r="C381" s="122"/>
      <c r="D381" s="122"/>
      <c r="E381" s="84"/>
      <c r="F381" s="77"/>
      <c r="G381" s="77"/>
      <c r="H381" s="37"/>
      <c r="I381" s="37"/>
      <c r="J381" s="37"/>
      <c r="K381" s="122"/>
      <c r="L381" s="37"/>
      <c r="M381" s="37"/>
      <c r="N381" s="139"/>
      <c r="O381" s="37"/>
      <c r="P381" s="37"/>
      <c r="Q381" s="37"/>
      <c r="R381" s="37"/>
      <c r="S381" s="37"/>
      <c r="T381" s="37"/>
      <c r="U381" s="37"/>
      <c r="V381" s="37"/>
      <c r="W381" s="37"/>
      <c r="X381" s="37"/>
      <c r="Y381" s="37"/>
      <c r="Z381" s="37"/>
    </row>
    <row r="382" spans="1:26" ht="12.5">
      <c r="A382" s="37"/>
      <c r="B382" s="151"/>
      <c r="C382" s="122"/>
      <c r="D382" s="122"/>
      <c r="E382" s="84"/>
      <c r="F382" s="77"/>
      <c r="G382" s="77"/>
      <c r="H382" s="37"/>
      <c r="I382" s="37"/>
      <c r="J382" s="37"/>
      <c r="K382" s="122"/>
      <c r="L382" s="37"/>
      <c r="M382" s="37"/>
      <c r="N382" s="139"/>
      <c r="O382" s="37"/>
      <c r="P382" s="37"/>
      <c r="Q382" s="37"/>
      <c r="R382" s="37"/>
      <c r="S382" s="37"/>
      <c r="T382" s="37"/>
      <c r="U382" s="37"/>
      <c r="V382" s="37"/>
      <c r="W382" s="37"/>
      <c r="X382" s="37"/>
      <c r="Y382" s="37"/>
      <c r="Z382" s="37"/>
    </row>
    <row r="383" spans="1:26" ht="12.5">
      <c r="A383" s="37"/>
      <c r="B383" s="151"/>
      <c r="C383" s="122"/>
      <c r="D383" s="122"/>
      <c r="E383" s="84"/>
      <c r="F383" s="77"/>
      <c r="G383" s="77"/>
      <c r="H383" s="37"/>
      <c r="I383" s="37"/>
      <c r="J383" s="37"/>
      <c r="K383" s="122"/>
      <c r="L383" s="37"/>
      <c r="M383" s="37"/>
      <c r="N383" s="139"/>
      <c r="O383" s="37"/>
      <c r="P383" s="37"/>
      <c r="Q383" s="37"/>
      <c r="R383" s="37"/>
      <c r="S383" s="37"/>
      <c r="T383" s="37"/>
      <c r="U383" s="37"/>
      <c r="V383" s="37"/>
      <c r="W383" s="37"/>
      <c r="X383" s="37"/>
      <c r="Y383" s="37"/>
      <c r="Z383" s="37"/>
    </row>
    <row r="384" spans="1:26" ht="12.5">
      <c r="A384" s="37"/>
      <c r="B384" s="151"/>
      <c r="C384" s="122"/>
      <c r="D384" s="122"/>
      <c r="E384" s="84"/>
      <c r="F384" s="77"/>
      <c r="G384" s="77"/>
      <c r="H384" s="37"/>
      <c r="I384" s="37"/>
      <c r="J384" s="37"/>
      <c r="K384" s="122"/>
      <c r="L384" s="37"/>
      <c r="M384" s="37"/>
      <c r="N384" s="139"/>
      <c r="O384" s="37"/>
      <c r="P384" s="37"/>
      <c r="Q384" s="37"/>
      <c r="R384" s="37"/>
      <c r="S384" s="37"/>
      <c r="T384" s="37"/>
      <c r="U384" s="37"/>
      <c r="V384" s="37"/>
      <c r="W384" s="37"/>
      <c r="X384" s="37"/>
      <c r="Y384" s="37"/>
      <c r="Z384" s="37"/>
    </row>
    <row r="385" spans="1:26" ht="12.5">
      <c r="A385" s="37"/>
      <c r="B385" s="151"/>
      <c r="C385" s="122"/>
      <c r="D385" s="122"/>
      <c r="E385" s="84"/>
      <c r="F385" s="77"/>
      <c r="G385" s="77"/>
      <c r="H385" s="37"/>
      <c r="I385" s="37"/>
      <c r="J385" s="37"/>
      <c r="K385" s="122"/>
      <c r="L385" s="37"/>
      <c r="M385" s="37"/>
      <c r="N385" s="139"/>
      <c r="O385" s="37"/>
      <c r="P385" s="37"/>
      <c r="Q385" s="37"/>
      <c r="R385" s="37"/>
      <c r="S385" s="37"/>
      <c r="T385" s="37"/>
      <c r="U385" s="37"/>
      <c r="V385" s="37"/>
      <c r="W385" s="37"/>
      <c r="X385" s="37"/>
      <c r="Y385" s="37"/>
      <c r="Z385" s="37"/>
    </row>
    <row r="386" spans="1:26" ht="12.5">
      <c r="A386" s="37"/>
      <c r="B386" s="151"/>
      <c r="C386" s="122"/>
      <c r="D386" s="122"/>
      <c r="E386" s="84"/>
      <c r="F386" s="77"/>
      <c r="G386" s="77"/>
      <c r="H386" s="37"/>
      <c r="I386" s="37"/>
      <c r="J386" s="37"/>
      <c r="K386" s="122"/>
      <c r="L386" s="37"/>
      <c r="M386" s="37"/>
      <c r="N386" s="139"/>
      <c r="O386" s="37"/>
      <c r="P386" s="37"/>
      <c r="Q386" s="37"/>
      <c r="R386" s="37"/>
      <c r="S386" s="37"/>
      <c r="T386" s="37"/>
      <c r="U386" s="37"/>
      <c r="V386" s="37"/>
      <c r="W386" s="37"/>
      <c r="X386" s="37"/>
      <c r="Y386" s="37"/>
      <c r="Z386" s="37"/>
    </row>
    <row r="387" spans="1:26" ht="12.5">
      <c r="A387" s="37"/>
      <c r="B387" s="151"/>
      <c r="C387" s="122"/>
      <c r="D387" s="122"/>
      <c r="E387" s="84"/>
      <c r="F387" s="77"/>
      <c r="G387" s="77"/>
      <c r="H387" s="37"/>
      <c r="I387" s="37"/>
      <c r="J387" s="37"/>
      <c r="K387" s="122"/>
      <c r="L387" s="37"/>
      <c r="M387" s="37"/>
      <c r="N387" s="139"/>
      <c r="O387" s="37"/>
      <c r="P387" s="37"/>
      <c r="Q387" s="37"/>
      <c r="R387" s="37"/>
      <c r="S387" s="37"/>
      <c r="T387" s="37"/>
      <c r="U387" s="37"/>
      <c r="V387" s="37"/>
      <c r="W387" s="37"/>
      <c r="X387" s="37"/>
      <c r="Y387" s="37"/>
      <c r="Z387" s="37"/>
    </row>
    <row r="388" spans="1:26" ht="12.5">
      <c r="A388" s="37"/>
      <c r="B388" s="151"/>
      <c r="C388" s="122"/>
      <c r="D388" s="122"/>
      <c r="E388" s="84"/>
      <c r="F388" s="77"/>
      <c r="G388" s="77"/>
      <c r="H388" s="37"/>
      <c r="I388" s="37"/>
      <c r="J388" s="37"/>
      <c r="K388" s="122"/>
      <c r="L388" s="37"/>
      <c r="M388" s="37"/>
      <c r="N388" s="139"/>
      <c r="O388" s="37"/>
      <c r="P388" s="37"/>
      <c r="Q388" s="37"/>
      <c r="R388" s="37"/>
      <c r="S388" s="37"/>
      <c r="T388" s="37"/>
      <c r="U388" s="37"/>
      <c r="V388" s="37"/>
      <c r="W388" s="37"/>
      <c r="X388" s="37"/>
      <c r="Y388" s="37"/>
      <c r="Z388" s="37"/>
    </row>
    <row r="389" spans="1:26" ht="12.5">
      <c r="A389" s="37"/>
      <c r="B389" s="151"/>
      <c r="C389" s="122"/>
      <c r="D389" s="122"/>
      <c r="E389" s="84"/>
      <c r="F389" s="77"/>
      <c r="G389" s="77"/>
      <c r="H389" s="37"/>
      <c r="I389" s="37"/>
      <c r="J389" s="37"/>
      <c r="K389" s="122"/>
      <c r="L389" s="37"/>
      <c r="M389" s="37"/>
      <c r="N389" s="139"/>
      <c r="O389" s="37"/>
      <c r="P389" s="37"/>
      <c r="Q389" s="37"/>
      <c r="R389" s="37"/>
      <c r="S389" s="37"/>
      <c r="T389" s="37"/>
      <c r="U389" s="37"/>
      <c r="V389" s="37"/>
      <c r="W389" s="37"/>
      <c r="X389" s="37"/>
      <c r="Y389" s="37"/>
      <c r="Z389" s="37"/>
    </row>
    <row r="390" spans="1:26" ht="12.5">
      <c r="A390" s="37"/>
      <c r="B390" s="151"/>
      <c r="C390" s="122"/>
      <c r="D390" s="122"/>
      <c r="E390" s="84"/>
      <c r="F390" s="77"/>
      <c r="G390" s="77"/>
      <c r="H390" s="37"/>
      <c r="I390" s="37"/>
      <c r="J390" s="37"/>
      <c r="K390" s="122"/>
      <c r="L390" s="37"/>
      <c r="M390" s="37"/>
      <c r="N390" s="139"/>
      <c r="O390" s="37"/>
      <c r="P390" s="37"/>
      <c r="Q390" s="37"/>
      <c r="R390" s="37"/>
      <c r="S390" s="37"/>
      <c r="T390" s="37"/>
      <c r="U390" s="37"/>
      <c r="V390" s="37"/>
      <c r="W390" s="37"/>
      <c r="X390" s="37"/>
      <c r="Y390" s="37"/>
      <c r="Z390" s="37"/>
    </row>
    <row r="391" spans="1:26" ht="12.5">
      <c r="A391" s="37"/>
      <c r="B391" s="151"/>
      <c r="C391" s="122"/>
      <c r="D391" s="122"/>
      <c r="E391" s="84"/>
      <c r="F391" s="77"/>
      <c r="G391" s="77"/>
      <c r="H391" s="37"/>
      <c r="I391" s="37"/>
      <c r="J391" s="37"/>
      <c r="K391" s="122"/>
      <c r="L391" s="37"/>
      <c r="M391" s="37"/>
      <c r="N391" s="139"/>
      <c r="O391" s="37"/>
      <c r="P391" s="37"/>
      <c r="Q391" s="37"/>
      <c r="R391" s="37"/>
      <c r="S391" s="37"/>
      <c r="T391" s="37"/>
      <c r="U391" s="37"/>
      <c r="V391" s="37"/>
      <c r="W391" s="37"/>
      <c r="X391" s="37"/>
      <c r="Y391" s="37"/>
      <c r="Z391" s="37"/>
    </row>
    <row r="392" spans="1:26" ht="12.5">
      <c r="A392" s="37"/>
      <c r="B392" s="151"/>
      <c r="C392" s="122"/>
      <c r="D392" s="122"/>
      <c r="E392" s="84"/>
      <c r="F392" s="77"/>
      <c r="G392" s="77"/>
      <c r="H392" s="37"/>
      <c r="I392" s="37"/>
      <c r="J392" s="37"/>
      <c r="K392" s="122"/>
      <c r="L392" s="37"/>
      <c r="M392" s="37"/>
      <c r="N392" s="139"/>
      <c r="O392" s="37"/>
      <c r="P392" s="37"/>
      <c r="Q392" s="37"/>
      <c r="R392" s="37"/>
      <c r="S392" s="37"/>
      <c r="T392" s="37"/>
      <c r="U392" s="37"/>
      <c r="V392" s="37"/>
      <c r="W392" s="37"/>
      <c r="X392" s="37"/>
      <c r="Y392" s="37"/>
      <c r="Z392" s="37"/>
    </row>
    <row r="393" spans="1:26" ht="12.5">
      <c r="A393" s="37"/>
      <c r="B393" s="151"/>
      <c r="C393" s="122"/>
      <c r="D393" s="122"/>
      <c r="E393" s="84"/>
      <c r="F393" s="77"/>
      <c r="G393" s="77"/>
      <c r="H393" s="37"/>
      <c r="I393" s="37"/>
      <c r="J393" s="37"/>
      <c r="K393" s="122"/>
      <c r="L393" s="37"/>
      <c r="M393" s="37"/>
      <c r="N393" s="139"/>
      <c r="O393" s="37"/>
      <c r="P393" s="37"/>
      <c r="Q393" s="37"/>
      <c r="R393" s="37"/>
      <c r="S393" s="37"/>
      <c r="T393" s="37"/>
      <c r="U393" s="37"/>
      <c r="V393" s="37"/>
      <c r="W393" s="37"/>
      <c r="X393" s="37"/>
      <c r="Y393" s="37"/>
      <c r="Z393" s="37"/>
    </row>
    <row r="394" spans="1:26" ht="12.5">
      <c r="A394" s="37"/>
      <c r="B394" s="151"/>
      <c r="C394" s="122"/>
      <c r="D394" s="122"/>
      <c r="E394" s="84"/>
      <c r="F394" s="77"/>
      <c r="G394" s="77"/>
      <c r="H394" s="37"/>
      <c r="I394" s="37"/>
      <c r="J394" s="37"/>
      <c r="K394" s="122"/>
      <c r="L394" s="37"/>
      <c r="M394" s="37"/>
      <c r="N394" s="139"/>
      <c r="O394" s="37"/>
      <c r="P394" s="37"/>
      <c r="Q394" s="37"/>
      <c r="R394" s="37"/>
      <c r="S394" s="37"/>
      <c r="T394" s="37"/>
      <c r="U394" s="37"/>
      <c r="V394" s="37"/>
      <c r="W394" s="37"/>
      <c r="X394" s="37"/>
      <c r="Y394" s="37"/>
      <c r="Z394" s="37"/>
    </row>
    <row r="395" spans="1:26" ht="12.5">
      <c r="A395" s="37"/>
      <c r="B395" s="151"/>
      <c r="C395" s="122"/>
      <c r="D395" s="122"/>
      <c r="E395" s="84"/>
      <c r="F395" s="77"/>
      <c r="G395" s="77"/>
      <c r="H395" s="37"/>
      <c r="I395" s="37"/>
      <c r="J395" s="37"/>
      <c r="K395" s="122"/>
      <c r="L395" s="37"/>
      <c r="M395" s="37"/>
      <c r="N395" s="139"/>
      <c r="O395" s="37"/>
      <c r="P395" s="37"/>
      <c r="Q395" s="37"/>
      <c r="R395" s="37"/>
      <c r="S395" s="37"/>
      <c r="T395" s="37"/>
      <c r="U395" s="37"/>
      <c r="V395" s="37"/>
      <c r="W395" s="37"/>
      <c r="X395" s="37"/>
      <c r="Y395" s="37"/>
      <c r="Z395" s="37"/>
    </row>
    <row r="396" spans="1:26" ht="12.5">
      <c r="A396" s="37"/>
      <c r="B396" s="151"/>
      <c r="C396" s="122"/>
      <c r="D396" s="122"/>
      <c r="E396" s="84"/>
      <c r="F396" s="77"/>
      <c r="G396" s="77"/>
      <c r="H396" s="37"/>
      <c r="I396" s="37"/>
      <c r="J396" s="37"/>
      <c r="K396" s="122"/>
      <c r="L396" s="37"/>
      <c r="M396" s="37"/>
      <c r="N396" s="139"/>
      <c r="O396" s="37"/>
      <c r="P396" s="37"/>
      <c r="Q396" s="37"/>
      <c r="R396" s="37"/>
      <c r="S396" s="37"/>
      <c r="T396" s="37"/>
      <c r="U396" s="37"/>
      <c r="V396" s="37"/>
      <c r="W396" s="37"/>
      <c r="X396" s="37"/>
      <c r="Y396" s="37"/>
      <c r="Z396" s="37"/>
    </row>
    <row r="397" spans="1:26" ht="12.5">
      <c r="A397" s="37"/>
      <c r="B397" s="151"/>
      <c r="C397" s="122"/>
      <c r="D397" s="122"/>
      <c r="E397" s="84"/>
      <c r="F397" s="77"/>
      <c r="G397" s="77"/>
      <c r="H397" s="37"/>
      <c r="I397" s="37"/>
      <c r="J397" s="37"/>
      <c r="K397" s="122"/>
      <c r="L397" s="37"/>
      <c r="M397" s="37"/>
      <c r="N397" s="139"/>
      <c r="O397" s="37"/>
      <c r="P397" s="37"/>
      <c r="Q397" s="37"/>
      <c r="R397" s="37"/>
      <c r="S397" s="37"/>
      <c r="T397" s="37"/>
      <c r="U397" s="37"/>
      <c r="V397" s="37"/>
      <c r="W397" s="37"/>
      <c r="X397" s="37"/>
      <c r="Y397" s="37"/>
      <c r="Z397" s="37"/>
    </row>
    <row r="398" spans="1:26" ht="12.5">
      <c r="A398" s="37"/>
      <c r="B398" s="151"/>
      <c r="C398" s="122"/>
      <c r="D398" s="122"/>
      <c r="E398" s="84"/>
      <c r="F398" s="77"/>
      <c r="G398" s="77"/>
      <c r="H398" s="37"/>
      <c r="I398" s="37"/>
      <c r="J398" s="37"/>
      <c r="K398" s="122"/>
      <c r="L398" s="37"/>
      <c r="M398" s="37"/>
      <c r="N398" s="139"/>
      <c r="O398" s="37"/>
      <c r="P398" s="37"/>
      <c r="Q398" s="37"/>
      <c r="R398" s="37"/>
      <c r="S398" s="37"/>
      <c r="T398" s="37"/>
      <c r="U398" s="37"/>
      <c r="V398" s="37"/>
      <c r="W398" s="37"/>
      <c r="X398" s="37"/>
      <c r="Y398" s="37"/>
      <c r="Z398" s="37"/>
    </row>
    <row r="399" spans="1:26" ht="12.5">
      <c r="A399" s="37"/>
      <c r="B399" s="151"/>
      <c r="C399" s="122"/>
      <c r="D399" s="122"/>
      <c r="E399" s="84"/>
      <c r="F399" s="77"/>
      <c r="G399" s="77"/>
      <c r="H399" s="37"/>
      <c r="I399" s="37"/>
      <c r="J399" s="37"/>
      <c r="K399" s="122"/>
      <c r="L399" s="37"/>
      <c r="M399" s="37"/>
      <c r="N399" s="139"/>
      <c r="O399" s="37"/>
      <c r="P399" s="37"/>
      <c r="Q399" s="37"/>
      <c r="R399" s="37"/>
      <c r="S399" s="37"/>
      <c r="T399" s="37"/>
      <c r="U399" s="37"/>
      <c r="V399" s="37"/>
      <c r="W399" s="37"/>
      <c r="X399" s="37"/>
      <c r="Y399" s="37"/>
      <c r="Z399" s="37"/>
    </row>
    <row r="400" spans="1:26" ht="12.5">
      <c r="A400" s="37"/>
      <c r="B400" s="151"/>
      <c r="C400" s="122"/>
      <c r="D400" s="122"/>
      <c r="E400" s="84"/>
      <c r="F400" s="77"/>
      <c r="G400" s="77"/>
      <c r="H400" s="37"/>
      <c r="I400" s="37"/>
      <c r="J400" s="37"/>
      <c r="K400" s="122"/>
      <c r="L400" s="37"/>
      <c r="M400" s="37"/>
      <c r="N400" s="139"/>
      <c r="O400" s="37"/>
      <c r="P400" s="37"/>
      <c r="Q400" s="37"/>
      <c r="R400" s="37"/>
      <c r="S400" s="37"/>
      <c r="T400" s="37"/>
      <c r="U400" s="37"/>
      <c r="V400" s="37"/>
      <c r="W400" s="37"/>
      <c r="X400" s="37"/>
      <c r="Y400" s="37"/>
      <c r="Z400" s="37"/>
    </row>
    <row r="401" spans="1:26" ht="12.5">
      <c r="A401" s="37"/>
      <c r="B401" s="151"/>
      <c r="C401" s="122"/>
      <c r="D401" s="122"/>
      <c r="E401" s="84"/>
      <c r="F401" s="77"/>
      <c r="G401" s="77"/>
      <c r="H401" s="37"/>
      <c r="I401" s="37"/>
      <c r="J401" s="37"/>
      <c r="K401" s="122"/>
      <c r="L401" s="37"/>
      <c r="M401" s="37"/>
      <c r="N401" s="139"/>
      <c r="O401" s="37"/>
      <c r="P401" s="37"/>
      <c r="Q401" s="37"/>
      <c r="R401" s="37"/>
      <c r="S401" s="37"/>
      <c r="T401" s="37"/>
      <c r="U401" s="37"/>
      <c r="V401" s="37"/>
      <c r="W401" s="37"/>
      <c r="X401" s="37"/>
      <c r="Y401" s="37"/>
      <c r="Z401" s="37"/>
    </row>
    <row r="402" spans="1:26" ht="12.5">
      <c r="A402" s="37"/>
      <c r="B402" s="151"/>
      <c r="C402" s="122"/>
      <c r="D402" s="122"/>
      <c r="E402" s="84"/>
      <c r="F402" s="77"/>
      <c r="G402" s="77"/>
      <c r="H402" s="37"/>
      <c r="I402" s="37"/>
      <c r="J402" s="37"/>
      <c r="K402" s="122"/>
      <c r="L402" s="37"/>
      <c r="M402" s="37"/>
      <c r="N402" s="139"/>
      <c r="O402" s="37"/>
      <c r="P402" s="37"/>
      <c r="Q402" s="37"/>
      <c r="R402" s="37"/>
      <c r="S402" s="37"/>
      <c r="T402" s="37"/>
      <c r="U402" s="37"/>
      <c r="V402" s="37"/>
      <c r="W402" s="37"/>
      <c r="X402" s="37"/>
      <c r="Y402" s="37"/>
      <c r="Z402" s="37"/>
    </row>
    <row r="403" spans="1:26" ht="12.5">
      <c r="A403" s="37"/>
      <c r="B403" s="151"/>
      <c r="C403" s="122"/>
      <c r="D403" s="122"/>
      <c r="E403" s="84"/>
      <c r="F403" s="77"/>
      <c r="G403" s="77"/>
      <c r="H403" s="37"/>
      <c r="I403" s="37"/>
      <c r="J403" s="37"/>
      <c r="K403" s="122"/>
      <c r="L403" s="37"/>
      <c r="M403" s="37"/>
      <c r="N403" s="139"/>
      <c r="O403" s="37"/>
      <c r="P403" s="37"/>
      <c r="Q403" s="37"/>
      <c r="R403" s="37"/>
      <c r="S403" s="37"/>
      <c r="T403" s="37"/>
      <c r="U403" s="37"/>
      <c r="V403" s="37"/>
      <c r="W403" s="37"/>
      <c r="X403" s="37"/>
      <c r="Y403" s="37"/>
      <c r="Z403" s="37"/>
    </row>
    <row r="404" spans="1:26" ht="12.5">
      <c r="A404" s="37"/>
      <c r="B404" s="151"/>
      <c r="C404" s="122"/>
      <c r="D404" s="122"/>
      <c r="E404" s="84"/>
      <c r="F404" s="77"/>
      <c r="G404" s="77"/>
      <c r="H404" s="37"/>
      <c r="I404" s="37"/>
      <c r="J404" s="37"/>
      <c r="K404" s="122"/>
      <c r="L404" s="37"/>
      <c r="M404" s="37"/>
      <c r="N404" s="139"/>
      <c r="O404" s="37"/>
      <c r="P404" s="37"/>
      <c r="Q404" s="37"/>
      <c r="R404" s="37"/>
      <c r="S404" s="37"/>
      <c r="T404" s="37"/>
      <c r="U404" s="37"/>
      <c r="V404" s="37"/>
      <c r="W404" s="37"/>
      <c r="X404" s="37"/>
      <c r="Y404" s="37"/>
      <c r="Z404" s="37"/>
    </row>
    <row r="405" spans="1:26" ht="12.5">
      <c r="A405" s="37"/>
      <c r="B405" s="151"/>
      <c r="C405" s="122"/>
      <c r="D405" s="122"/>
      <c r="E405" s="84"/>
      <c r="F405" s="77"/>
      <c r="G405" s="77"/>
      <c r="H405" s="37"/>
      <c r="I405" s="37"/>
      <c r="J405" s="37"/>
      <c r="K405" s="122"/>
      <c r="L405" s="37"/>
      <c r="M405" s="37"/>
      <c r="N405" s="139"/>
      <c r="O405" s="37"/>
      <c r="P405" s="37"/>
      <c r="Q405" s="37"/>
      <c r="R405" s="37"/>
      <c r="S405" s="37"/>
      <c r="T405" s="37"/>
      <c r="U405" s="37"/>
      <c r="V405" s="37"/>
      <c r="W405" s="37"/>
      <c r="X405" s="37"/>
      <c r="Y405" s="37"/>
      <c r="Z405" s="37"/>
    </row>
    <row r="406" spans="1:26" ht="12.5">
      <c r="A406" s="37"/>
      <c r="B406" s="151"/>
      <c r="C406" s="122"/>
      <c r="D406" s="122"/>
      <c r="E406" s="84"/>
      <c r="F406" s="77"/>
      <c r="G406" s="77"/>
      <c r="H406" s="37"/>
      <c r="I406" s="37"/>
      <c r="J406" s="37"/>
      <c r="K406" s="122"/>
      <c r="L406" s="37"/>
      <c r="M406" s="37"/>
      <c r="N406" s="139"/>
      <c r="O406" s="37"/>
      <c r="P406" s="37"/>
      <c r="Q406" s="37"/>
      <c r="R406" s="37"/>
      <c r="S406" s="37"/>
      <c r="T406" s="37"/>
      <c r="U406" s="37"/>
      <c r="V406" s="37"/>
      <c r="W406" s="37"/>
      <c r="X406" s="37"/>
      <c r="Y406" s="37"/>
      <c r="Z406" s="37"/>
    </row>
    <row r="407" spans="1:26" ht="12.5">
      <c r="A407" s="37"/>
      <c r="B407" s="151"/>
      <c r="C407" s="122"/>
      <c r="D407" s="122"/>
      <c r="E407" s="84"/>
      <c r="F407" s="77"/>
      <c r="G407" s="77"/>
      <c r="H407" s="37"/>
      <c r="I407" s="37"/>
      <c r="J407" s="37"/>
      <c r="K407" s="122"/>
      <c r="L407" s="37"/>
      <c r="M407" s="37"/>
      <c r="N407" s="139"/>
      <c r="O407" s="37"/>
      <c r="P407" s="37"/>
      <c r="Q407" s="37"/>
      <c r="R407" s="37"/>
      <c r="S407" s="37"/>
      <c r="T407" s="37"/>
      <c r="U407" s="37"/>
      <c r="V407" s="37"/>
      <c r="W407" s="37"/>
      <c r="X407" s="37"/>
      <c r="Y407" s="37"/>
      <c r="Z407" s="37"/>
    </row>
    <row r="408" spans="1:26" ht="12.5">
      <c r="A408" s="37"/>
      <c r="B408" s="151"/>
      <c r="C408" s="122"/>
      <c r="D408" s="122"/>
      <c r="E408" s="84"/>
      <c r="F408" s="77"/>
      <c r="G408" s="77"/>
      <c r="H408" s="37"/>
      <c r="I408" s="37"/>
      <c r="J408" s="37"/>
      <c r="K408" s="122"/>
      <c r="L408" s="37"/>
      <c r="M408" s="37"/>
      <c r="N408" s="139"/>
      <c r="O408" s="37"/>
      <c r="P408" s="37"/>
      <c r="Q408" s="37"/>
      <c r="R408" s="37"/>
      <c r="S408" s="37"/>
      <c r="T408" s="37"/>
      <c r="U408" s="37"/>
      <c r="V408" s="37"/>
      <c r="W408" s="37"/>
      <c r="X408" s="37"/>
      <c r="Y408" s="37"/>
      <c r="Z408" s="37"/>
    </row>
    <row r="409" spans="1:26" ht="12.5">
      <c r="A409" s="37"/>
      <c r="B409" s="151"/>
      <c r="C409" s="122"/>
      <c r="D409" s="122"/>
      <c r="E409" s="84"/>
      <c r="F409" s="77"/>
      <c r="G409" s="77"/>
      <c r="H409" s="37"/>
      <c r="I409" s="37"/>
      <c r="J409" s="37"/>
      <c r="K409" s="122"/>
      <c r="L409" s="37"/>
      <c r="M409" s="37"/>
      <c r="N409" s="139"/>
      <c r="O409" s="37"/>
      <c r="P409" s="37"/>
      <c r="Q409" s="37"/>
      <c r="R409" s="37"/>
      <c r="S409" s="37"/>
      <c r="T409" s="37"/>
      <c r="U409" s="37"/>
      <c r="V409" s="37"/>
      <c r="W409" s="37"/>
      <c r="X409" s="37"/>
      <c r="Y409" s="37"/>
      <c r="Z409" s="37"/>
    </row>
    <row r="410" spans="1:26" ht="12.5">
      <c r="A410" s="37"/>
      <c r="B410" s="151"/>
      <c r="C410" s="122"/>
      <c r="D410" s="122"/>
      <c r="E410" s="84"/>
      <c r="F410" s="77"/>
      <c r="G410" s="77"/>
      <c r="H410" s="37"/>
      <c r="I410" s="37"/>
      <c r="J410" s="37"/>
      <c r="K410" s="122"/>
      <c r="L410" s="37"/>
      <c r="M410" s="37"/>
      <c r="N410" s="139"/>
      <c r="O410" s="37"/>
      <c r="P410" s="37"/>
      <c r="Q410" s="37"/>
      <c r="R410" s="37"/>
      <c r="S410" s="37"/>
      <c r="T410" s="37"/>
      <c r="U410" s="37"/>
      <c r="V410" s="37"/>
      <c r="W410" s="37"/>
      <c r="X410" s="37"/>
      <c r="Y410" s="37"/>
      <c r="Z410" s="37"/>
    </row>
    <row r="411" spans="1:26" ht="12.5">
      <c r="A411" s="37"/>
      <c r="B411" s="151"/>
      <c r="C411" s="122"/>
      <c r="D411" s="122"/>
      <c r="E411" s="84"/>
      <c r="F411" s="77"/>
      <c r="G411" s="77"/>
      <c r="H411" s="37"/>
      <c r="I411" s="37"/>
      <c r="J411" s="37"/>
      <c r="K411" s="122"/>
      <c r="L411" s="37"/>
      <c r="M411" s="37"/>
      <c r="N411" s="139"/>
      <c r="O411" s="37"/>
      <c r="P411" s="37"/>
      <c r="Q411" s="37"/>
      <c r="R411" s="37"/>
      <c r="S411" s="37"/>
      <c r="T411" s="37"/>
      <c r="U411" s="37"/>
      <c r="V411" s="37"/>
      <c r="W411" s="37"/>
      <c r="X411" s="37"/>
      <c r="Y411" s="37"/>
      <c r="Z411" s="37"/>
    </row>
    <row r="412" spans="1:26" ht="12.5">
      <c r="A412" s="37"/>
      <c r="B412" s="151"/>
      <c r="C412" s="122"/>
      <c r="D412" s="122"/>
      <c r="E412" s="84"/>
      <c r="F412" s="77"/>
      <c r="G412" s="77"/>
      <c r="H412" s="37"/>
      <c r="I412" s="37"/>
      <c r="J412" s="37"/>
      <c r="K412" s="122"/>
      <c r="L412" s="37"/>
      <c r="M412" s="37"/>
      <c r="N412" s="139"/>
      <c r="O412" s="37"/>
      <c r="P412" s="37"/>
      <c r="Q412" s="37"/>
      <c r="R412" s="37"/>
      <c r="S412" s="37"/>
      <c r="T412" s="37"/>
      <c r="U412" s="37"/>
      <c r="V412" s="37"/>
      <c r="W412" s="37"/>
      <c r="X412" s="37"/>
      <c r="Y412" s="37"/>
      <c r="Z412" s="37"/>
    </row>
    <row r="413" spans="1:26" ht="12.5">
      <c r="A413" s="37"/>
      <c r="B413" s="151"/>
      <c r="C413" s="122"/>
      <c r="D413" s="122"/>
      <c r="E413" s="84"/>
      <c r="F413" s="77"/>
      <c r="G413" s="77"/>
      <c r="H413" s="37"/>
      <c r="I413" s="37"/>
      <c r="J413" s="37"/>
      <c r="K413" s="122"/>
      <c r="L413" s="37"/>
      <c r="M413" s="37"/>
      <c r="N413" s="139"/>
      <c r="O413" s="37"/>
      <c r="P413" s="37"/>
      <c r="Q413" s="37"/>
      <c r="R413" s="37"/>
      <c r="S413" s="37"/>
      <c r="T413" s="37"/>
      <c r="U413" s="37"/>
      <c r="V413" s="37"/>
      <c r="W413" s="37"/>
      <c r="X413" s="37"/>
      <c r="Y413" s="37"/>
      <c r="Z413" s="37"/>
    </row>
    <row r="414" spans="1:26" ht="12.5">
      <c r="A414" s="37"/>
      <c r="B414" s="151"/>
      <c r="C414" s="122"/>
      <c r="D414" s="122"/>
      <c r="E414" s="84"/>
      <c r="F414" s="77"/>
      <c r="G414" s="77"/>
      <c r="H414" s="37"/>
      <c r="I414" s="37"/>
      <c r="J414" s="37"/>
      <c r="K414" s="122"/>
      <c r="L414" s="37"/>
      <c r="M414" s="37"/>
      <c r="N414" s="139"/>
      <c r="O414" s="37"/>
      <c r="P414" s="37"/>
      <c r="Q414" s="37"/>
      <c r="R414" s="37"/>
      <c r="S414" s="37"/>
      <c r="T414" s="37"/>
      <c r="U414" s="37"/>
      <c r="V414" s="37"/>
      <c r="W414" s="37"/>
      <c r="X414" s="37"/>
      <c r="Y414" s="37"/>
      <c r="Z414" s="37"/>
    </row>
    <row r="415" spans="1:26" ht="12.5">
      <c r="A415" s="37"/>
      <c r="B415" s="151"/>
      <c r="C415" s="122"/>
      <c r="D415" s="122"/>
      <c r="E415" s="84"/>
      <c r="F415" s="77"/>
      <c r="G415" s="77"/>
      <c r="H415" s="37"/>
      <c r="I415" s="37"/>
      <c r="J415" s="37"/>
      <c r="K415" s="122"/>
      <c r="L415" s="37"/>
      <c r="M415" s="37"/>
      <c r="N415" s="139"/>
      <c r="O415" s="37"/>
      <c r="P415" s="37"/>
      <c r="Q415" s="37"/>
      <c r="R415" s="37"/>
      <c r="S415" s="37"/>
      <c r="T415" s="37"/>
      <c r="U415" s="37"/>
      <c r="V415" s="37"/>
      <c r="W415" s="37"/>
      <c r="X415" s="37"/>
      <c r="Y415" s="37"/>
      <c r="Z415" s="37"/>
    </row>
    <row r="416" spans="1:26" ht="12.5">
      <c r="A416" s="37"/>
      <c r="B416" s="151"/>
      <c r="C416" s="122"/>
      <c r="D416" s="122"/>
      <c r="E416" s="84"/>
      <c r="F416" s="77"/>
      <c r="G416" s="77"/>
      <c r="H416" s="37"/>
      <c r="I416" s="37"/>
      <c r="J416" s="37"/>
      <c r="K416" s="122"/>
      <c r="L416" s="37"/>
      <c r="M416" s="37"/>
      <c r="N416" s="139"/>
      <c r="O416" s="37"/>
      <c r="P416" s="37"/>
      <c r="Q416" s="37"/>
      <c r="R416" s="37"/>
      <c r="S416" s="37"/>
      <c r="T416" s="37"/>
      <c r="U416" s="37"/>
      <c r="V416" s="37"/>
      <c r="W416" s="37"/>
      <c r="X416" s="37"/>
      <c r="Y416" s="37"/>
      <c r="Z416" s="37"/>
    </row>
    <row r="417" spans="1:26" ht="12.5">
      <c r="A417" s="37"/>
      <c r="B417" s="151"/>
      <c r="C417" s="122"/>
      <c r="D417" s="122"/>
      <c r="E417" s="84"/>
      <c r="F417" s="77"/>
      <c r="G417" s="77"/>
      <c r="H417" s="37"/>
      <c r="I417" s="37"/>
      <c r="J417" s="37"/>
      <c r="K417" s="122"/>
      <c r="L417" s="37"/>
      <c r="M417" s="37"/>
      <c r="N417" s="139"/>
      <c r="O417" s="37"/>
      <c r="P417" s="37"/>
      <c r="Q417" s="37"/>
      <c r="R417" s="37"/>
      <c r="S417" s="37"/>
      <c r="T417" s="37"/>
      <c r="U417" s="37"/>
      <c r="V417" s="37"/>
      <c r="W417" s="37"/>
      <c r="X417" s="37"/>
      <c r="Y417" s="37"/>
      <c r="Z417" s="37"/>
    </row>
    <row r="418" spans="1:26" ht="12.5">
      <c r="A418" s="37"/>
      <c r="B418" s="151"/>
      <c r="C418" s="122"/>
      <c r="D418" s="122"/>
      <c r="E418" s="84"/>
      <c r="F418" s="77"/>
      <c r="G418" s="77"/>
      <c r="H418" s="37"/>
      <c r="I418" s="37"/>
      <c r="J418" s="37"/>
      <c r="K418" s="122"/>
      <c r="L418" s="37"/>
      <c r="M418" s="37"/>
      <c r="N418" s="139"/>
      <c r="O418" s="37"/>
      <c r="P418" s="37"/>
      <c r="Q418" s="37"/>
      <c r="R418" s="37"/>
      <c r="S418" s="37"/>
      <c r="T418" s="37"/>
      <c r="U418" s="37"/>
      <c r="V418" s="37"/>
      <c r="W418" s="37"/>
      <c r="X418" s="37"/>
      <c r="Y418" s="37"/>
      <c r="Z418" s="37"/>
    </row>
    <row r="419" spans="1:26" ht="12.5">
      <c r="A419" s="37"/>
      <c r="B419" s="151"/>
      <c r="C419" s="122"/>
      <c r="D419" s="122"/>
      <c r="E419" s="84"/>
      <c r="F419" s="77"/>
      <c r="G419" s="77"/>
      <c r="H419" s="37"/>
      <c r="I419" s="37"/>
      <c r="J419" s="37"/>
      <c r="K419" s="122"/>
      <c r="L419" s="37"/>
      <c r="M419" s="37"/>
      <c r="N419" s="139"/>
      <c r="O419" s="37"/>
      <c r="P419" s="37"/>
      <c r="Q419" s="37"/>
      <c r="R419" s="37"/>
      <c r="S419" s="37"/>
      <c r="T419" s="37"/>
      <c r="U419" s="37"/>
      <c r="V419" s="37"/>
      <c r="W419" s="37"/>
      <c r="X419" s="37"/>
      <c r="Y419" s="37"/>
      <c r="Z419" s="37"/>
    </row>
    <row r="420" spans="1:26" ht="12.5">
      <c r="A420" s="37"/>
      <c r="B420" s="151"/>
      <c r="C420" s="122"/>
      <c r="D420" s="122"/>
      <c r="E420" s="84"/>
      <c r="F420" s="77"/>
      <c r="G420" s="77"/>
      <c r="H420" s="37"/>
      <c r="I420" s="37"/>
      <c r="J420" s="37"/>
      <c r="K420" s="122"/>
      <c r="L420" s="37"/>
      <c r="M420" s="37"/>
      <c r="N420" s="139"/>
      <c r="O420" s="37"/>
      <c r="P420" s="37"/>
      <c r="Q420" s="37"/>
      <c r="R420" s="37"/>
      <c r="S420" s="37"/>
      <c r="T420" s="37"/>
      <c r="U420" s="37"/>
      <c r="V420" s="37"/>
      <c r="W420" s="37"/>
      <c r="X420" s="37"/>
      <c r="Y420" s="37"/>
      <c r="Z420" s="37"/>
    </row>
    <row r="421" spans="1:26" ht="12.5">
      <c r="A421" s="37"/>
      <c r="B421" s="151"/>
      <c r="C421" s="122"/>
      <c r="D421" s="122"/>
      <c r="E421" s="84"/>
      <c r="F421" s="77"/>
      <c r="G421" s="77"/>
      <c r="H421" s="37"/>
      <c r="I421" s="37"/>
      <c r="J421" s="37"/>
      <c r="K421" s="122"/>
      <c r="L421" s="37"/>
      <c r="M421" s="37"/>
      <c r="N421" s="139"/>
      <c r="O421" s="37"/>
      <c r="P421" s="37"/>
      <c r="Q421" s="37"/>
      <c r="R421" s="37"/>
      <c r="S421" s="37"/>
      <c r="T421" s="37"/>
      <c r="U421" s="37"/>
      <c r="V421" s="37"/>
      <c r="W421" s="37"/>
      <c r="X421" s="37"/>
      <c r="Y421" s="37"/>
      <c r="Z421" s="37"/>
    </row>
    <row r="422" spans="1:26" ht="12.5">
      <c r="A422" s="37"/>
      <c r="B422" s="151"/>
      <c r="C422" s="122"/>
      <c r="D422" s="122"/>
      <c r="E422" s="84"/>
      <c r="F422" s="77"/>
      <c r="G422" s="77"/>
      <c r="H422" s="37"/>
      <c r="I422" s="37"/>
      <c r="J422" s="37"/>
      <c r="K422" s="122"/>
      <c r="L422" s="37"/>
      <c r="M422" s="37"/>
      <c r="N422" s="139"/>
      <c r="O422" s="37"/>
      <c r="P422" s="37"/>
      <c r="Q422" s="37"/>
      <c r="R422" s="37"/>
      <c r="S422" s="37"/>
      <c r="T422" s="37"/>
      <c r="U422" s="37"/>
      <c r="V422" s="37"/>
      <c r="W422" s="37"/>
      <c r="X422" s="37"/>
      <c r="Y422" s="37"/>
      <c r="Z422" s="37"/>
    </row>
    <row r="423" spans="1:26" ht="12.5">
      <c r="A423" s="37"/>
      <c r="B423" s="151"/>
      <c r="C423" s="122"/>
      <c r="D423" s="122"/>
      <c r="E423" s="84"/>
      <c r="F423" s="77"/>
      <c r="G423" s="77"/>
      <c r="H423" s="37"/>
      <c r="I423" s="37"/>
      <c r="J423" s="37"/>
      <c r="K423" s="122"/>
      <c r="L423" s="37"/>
      <c r="M423" s="37"/>
      <c r="N423" s="139"/>
      <c r="O423" s="37"/>
      <c r="P423" s="37"/>
      <c r="Q423" s="37"/>
      <c r="R423" s="37"/>
      <c r="S423" s="37"/>
      <c r="T423" s="37"/>
      <c r="U423" s="37"/>
      <c r="V423" s="37"/>
      <c r="W423" s="37"/>
      <c r="X423" s="37"/>
      <c r="Y423" s="37"/>
      <c r="Z423" s="37"/>
    </row>
    <row r="424" spans="1:26" ht="12.5">
      <c r="A424" s="37"/>
      <c r="B424" s="151"/>
      <c r="C424" s="122"/>
      <c r="D424" s="122"/>
      <c r="E424" s="84"/>
      <c r="F424" s="77"/>
      <c r="G424" s="77"/>
      <c r="H424" s="37"/>
      <c r="I424" s="37"/>
      <c r="J424" s="37"/>
      <c r="K424" s="122"/>
      <c r="L424" s="37"/>
      <c r="M424" s="37"/>
      <c r="N424" s="139"/>
      <c r="O424" s="37"/>
      <c r="P424" s="37"/>
      <c r="Q424" s="37"/>
      <c r="R424" s="37"/>
      <c r="S424" s="37"/>
      <c r="T424" s="37"/>
      <c r="U424" s="37"/>
      <c r="V424" s="37"/>
      <c r="W424" s="37"/>
      <c r="X424" s="37"/>
      <c r="Y424" s="37"/>
      <c r="Z424" s="37"/>
    </row>
    <row r="425" spans="1:26" ht="12.5">
      <c r="A425" s="37"/>
      <c r="B425" s="151"/>
      <c r="C425" s="122"/>
      <c r="D425" s="122"/>
      <c r="E425" s="84"/>
      <c r="F425" s="77"/>
      <c r="G425" s="77"/>
      <c r="H425" s="37"/>
      <c r="I425" s="37"/>
      <c r="J425" s="37"/>
      <c r="K425" s="122"/>
      <c r="L425" s="37"/>
      <c r="M425" s="37"/>
      <c r="N425" s="139"/>
      <c r="O425" s="37"/>
      <c r="P425" s="37"/>
      <c r="Q425" s="37"/>
      <c r="R425" s="37"/>
      <c r="S425" s="37"/>
      <c r="T425" s="37"/>
      <c r="U425" s="37"/>
      <c r="V425" s="37"/>
      <c r="W425" s="37"/>
      <c r="X425" s="37"/>
      <c r="Y425" s="37"/>
      <c r="Z425" s="37"/>
    </row>
    <row r="426" spans="1:26" ht="12.5">
      <c r="A426" s="37"/>
      <c r="B426" s="151"/>
      <c r="C426" s="122"/>
      <c r="D426" s="122"/>
      <c r="E426" s="84"/>
      <c r="F426" s="77"/>
      <c r="G426" s="77"/>
      <c r="H426" s="37"/>
      <c r="I426" s="37"/>
      <c r="J426" s="37"/>
      <c r="K426" s="122"/>
      <c r="L426" s="37"/>
      <c r="M426" s="37"/>
      <c r="N426" s="139"/>
      <c r="O426" s="37"/>
      <c r="P426" s="37"/>
      <c r="Q426" s="37"/>
      <c r="R426" s="37"/>
      <c r="S426" s="37"/>
      <c r="T426" s="37"/>
      <c r="U426" s="37"/>
      <c r="V426" s="37"/>
      <c r="W426" s="37"/>
      <c r="X426" s="37"/>
      <c r="Y426" s="37"/>
      <c r="Z426" s="37"/>
    </row>
    <row r="427" spans="1:26" ht="12.5">
      <c r="A427" s="37"/>
      <c r="B427" s="151"/>
      <c r="C427" s="122"/>
      <c r="D427" s="122"/>
      <c r="E427" s="84"/>
      <c r="F427" s="77"/>
      <c r="G427" s="77"/>
      <c r="H427" s="37"/>
      <c r="I427" s="37"/>
      <c r="J427" s="37"/>
      <c r="K427" s="122"/>
      <c r="L427" s="37"/>
      <c r="M427" s="37"/>
      <c r="N427" s="139"/>
      <c r="O427" s="37"/>
      <c r="P427" s="37"/>
      <c r="Q427" s="37"/>
      <c r="R427" s="37"/>
      <c r="S427" s="37"/>
      <c r="T427" s="37"/>
      <c r="U427" s="37"/>
      <c r="V427" s="37"/>
      <c r="W427" s="37"/>
      <c r="X427" s="37"/>
      <c r="Y427" s="37"/>
      <c r="Z427" s="37"/>
    </row>
    <row r="428" spans="1:26" ht="12.5">
      <c r="A428" s="37"/>
      <c r="B428" s="151"/>
      <c r="C428" s="122"/>
      <c r="D428" s="122"/>
      <c r="E428" s="84"/>
      <c r="F428" s="77"/>
      <c r="G428" s="77"/>
      <c r="H428" s="37"/>
      <c r="I428" s="37"/>
      <c r="J428" s="37"/>
      <c r="K428" s="122"/>
      <c r="L428" s="37"/>
      <c r="M428" s="37"/>
      <c r="N428" s="139"/>
      <c r="O428" s="37"/>
      <c r="P428" s="37"/>
      <c r="Q428" s="37"/>
      <c r="R428" s="37"/>
      <c r="S428" s="37"/>
      <c r="T428" s="37"/>
      <c r="U428" s="37"/>
      <c r="V428" s="37"/>
      <c r="W428" s="37"/>
      <c r="X428" s="37"/>
      <c r="Y428" s="37"/>
      <c r="Z428" s="37"/>
    </row>
    <row r="429" spans="1:26" ht="12.5">
      <c r="A429" s="37"/>
      <c r="B429" s="151"/>
      <c r="C429" s="122"/>
      <c r="D429" s="122"/>
      <c r="E429" s="84"/>
      <c r="F429" s="77"/>
      <c r="G429" s="77"/>
      <c r="H429" s="37"/>
      <c r="I429" s="37"/>
      <c r="J429" s="37"/>
      <c r="K429" s="122"/>
      <c r="L429" s="37"/>
      <c r="M429" s="37"/>
      <c r="N429" s="139"/>
      <c r="O429" s="37"/>
      <c r="P429" s="37"/>
      <c r="Q429" s="37"/>
      <c r="R429" s="37"/>
      <c r="S429" s="37"/>
      <c r="T429" s="37"/>
      <c r="U429" s="37"/>
      <c r="V429" s="37"/>
      <c r="W429" s="37"/>
      <c r="X429" s="37"/>
      <c r="Y429" s="37"/>
      <c r="Z429" s="37"/>
    </row>
    <row r="430" spans="1:26" ht="12.5">
      <c r="A430" s="37"/>
      <c r="B430" s="151"/>
      <c r="C430" s="122"/>
      <c r="D430" s="122"/>
      <c r="E430" s="84"/>
      <c r="F430" s="77"/>
      <c r="G430" s="77"/>
      <c r="H430" s="37"/>
      <c r="I430" s="37"/>
      <c r="J430" s="37"/>
      <c r="K430" s="122"/>
      <c r="L430" s="37"/>
      <c r="M430" s="37"/>
      <c r="N430" s="139"/>
      <c r="O430" s="37"/>
      <c r="P430" s="37"/>
      <c r="Q430" s="37"/>
      <c r="R430" s="37"/>
      <c r="S430" s="37"/>
      <c r="T430" s="37"/>
      <c r="U430" s="37"/>
      <c r="V430" s="37"/>
      <c r="W430" s="37"/>
      <c r="X430" s="37"/>
      <c r="Y430" s="37"/>
      <c r="Z430" s="37"/>
    </row>
    <row r="431" spans="1:26" ht="12.5">
      <c r="A431" s="37"/>
      <c r="B431" s="151"/>
      <c r="C431" s="122"/>
      <c r="D431" s="122"/>
      <c r="E431" s="84"/>
      <c r="F431" s="77"/>
      <c r="G431" s="77"/>
      <c r="H431" s="37"/>
      <c r="I431" s="37"/>
      <c r="J431" s="37"/>
      <c r="K431" s="122"/>
      <c r="L431" s="37"/>
      <c r="M431" s="37"/>
      <c r="N431" s="139"/>
      <c r="O431" s="37"/>
      <c r="P431" s="37"/>
      <c r="Q431" s="37"/>
      <c r="R431" s="37"/>
      <c r="S431" s="37"/>
      <c r="T431" s="37"/>
      <c r="U431" s="37"/>
      <c r="V431" s="37"/>
      <c r="W431" s="37"/>
      <c r="X431" s="37"/>
      <c r="Y431" s="37"/>
      <c r="Z431" s="37"/>
    </row>
    <row r="432" spans="1:26" ht="12.5">
      <c r="A432" s="37"/>
      <c r="B432" s="151"/>
      <c r="C432" s="122"/>
      <c r="D432" s="122"/>
      <c r="E432" s="84"/>
      <c r="F432" s="77"/>
      <c r="G432" s="77"/>
      <c r="H432" s="37"/>
      <c r="I432" s="37"/>
      <c r="J432" s="37"/>
      <c r="K432" s="122"/>
      <c r="L432" s="37"/>
      <c r="M432" s="37"/>
      <c r="N432" s="139"/>
      <c r="O432" s="37"/>
      <c r="P432" s="37"/>
      <c r="Q432" s="37"/>
      <c r="R432" s="37"/>
      <c r="S432" s="37"/>
      <c r="T432" s="37"/>
      <c r="U432" s="37"/>
      <c r="V432" s="37"/>
      <c r="W432" s="37"/>
      <c r="X432" s="37"/>
      <c r="Y432" s="37"/>
      <c r="Z432" s="37"/>
    </row>
    <row r="433" spans="1:26" ht="12.5">
      <c r="A433" s="37"/>
      <c r="B433" s="151"/>
      <c r="C433" s="122"/>
      <c r="D433" s="122"/>
      <c r="E433" s="84"/>
      <c r="F433" s="77"/>
      <c r="G433" s="77"/>
      <c r="H433" s="37"/>
      <c r="I433" s="37"/>
      <c r="J433" s="37"/>
      <c r="K433" s="122"/>
      <c r="L433" s="37"/>
      <c r="M433" s="37"/>
      <c r="N433" s="139"/>
      <c r="O433" s="37"/>
      <c r="P433" s="37"/>
      <c r="Q433" s="37"/>
      <c r="R433" s="37"/>
      <c r="S433" s="37"/>
      <c r="T433" s="37"/>
      <c r="U433" s="37"/>
      <c r="V433" s="37"/>
      <c r="W433" s="37"/>
      <c r="X433" s="37"/>
      <c r="Y433" s="37"/>
      <c r="Z433" s="37"/>
    </row>
    <row r="434" spans="1:26" ht="12.5">
      <c r="A434" s="37"/>
      <c r="B434" s="151"/>
      <c r="C434" s="122"/>
      <c r="D434" s="122"/>
      <c r="E434" s="84"/>
      <c r="F434" s="77"/>
      <c r="G434" s="77"/>
      <c r="H434" s="37"/>
      <c r="I434" s="37"/>
      <c r="J434" s="37"/>
      <c r="K434" s="122"/>
      <c r="L434" s="37"/>
      <c r="M434" s="37"/>
      <c r="N434" s="139"/>
      <c r="O434" s="37"/>
      <c r="P434" s="37"/>
      <c r="Q434" s="37"/>
      <c r="R434" s="37"/>
      <c r="S434" s="37"/>
      <c r="T434" s="37"/>
      <c r="U434" s="37"/>
      <c r="V434" s="37"/>
      <c r="W434" s="37"/>
      <c r="X434" s="37"/>
      <c r="Y434" s="37"/>
      <c r="Z434" s="37"/>
    </row>
    <row r="435" spans="1:26" ht="12.5">
      <c r="A435" s="37"/>
      <c r="B435" s="151"/>
      <c r="C435" s="122"/>
      <c r="D435" s="122"/>
      <c r="E435" s="84"/>
      <c r="F435" s="77"/>
      <c r="G435" s="77"/>
      <c r="H435" s="37"/>
      <c r="I435" s="37"/>
      <c r="J435" s="37"/>
      <c r="K435" s="122"/>
      <c r="L435" s="37"/>
      <c r="M435" s="37"/>
      <c r="N435" s="139"/>
      <c r="O435" s="37"/>
      <c r="P435" s="37"/>
      <c r="Q435" s="37"/>
      <c r="R435" s="37"/>
      <c r="S435" s="37"/>
      <c r="T435" s="37"/>
      <c r="U435" s="37"/>
      <c r="V435" s="37"/>
      <c r="W435" s="37"/>
      <c r="X435" s="37"/>
      <c r="Y435" s="37"/>
      <c r="Z435" s="37"/>
    </row>
    <row r="436" spans="1:26" ht="12.5">
      <c r="A436" s="37"/>
      <c r="B436" s="151"/>
      <c r="C436" s="122"/>
      <c r="D436" s="122"/>
      <c r="E436" s="84"/>
      <c r="F436" s="77"/>
      <c r="G436" s="77"/>
      <c r="H436" s="37"/>
      <c r="I436" s="37"/>
      <c r="J436" s="37"/>
      <c r="K436" s="122"/>
      <c r="L436" s="37"/>
      <c r="M436" s="37"/>
      <c r="N436" s="139"/>
      <c r="O436" s="37"/>
      <c r="P436" s="37"/>
      <c r="Q436" s="37"/>
      <c r="R436" s="37"/>
      <c r="S436" s="37"/>
      <c r="T436" s="37"/>
      <c r="U436" s="37"/>
      <c r="V436" s="37"/>
      <c r="W436" s="37"/>
      <c r="X436" s="37"/>
      <c r="Y436" s="37"/>
      <c r="Z436" s="37"/>
    </row>
    <row r="437" spans="1:26" ht="12.5">
      <c r="A437" s="37"/>
      <c r="B437" s="151"/>
      <c r="C437" s="122"/>
      <c r="D437" s="122"/>
      <c r="E437" s="84"/>
      <c r="F437" s="77"/>
      <c r="G437" s="77"/>
      <c r="H437" s="37"/>
      <c r="I437" s="37"/>
      <c r="J437" s="37"/>
      <c r="K437" s="122"/>
      <c r="L437" s="37"/>
      <c r="M437" s="37"/>
      <c r="N437" s="139"/>
      <c r="O437" s="37"/>
      <c r="P437" s="37"/>
      <c r="Q437" s="37"/>
      <c r="R437" s="37"/>
      <c r="S437" s="37"/>
      <c r="T437" s="37"/>
      <c r="U437" s="37"/>
      <c r="V437" s="37"/>
      <c r="W437" s="37"/>
      <c r="X437" s="37"/>
      <c r="Y437" s="37"/>
      <c r="Z437" s="37"/>
    </row>
    <row r="438" spans="1:26" ht="12.5">
      <c r="A438" s="37"/>
      <c r="B438" s="151"/>
      <c r="C438" s="122"/>
      <c r="D438" s="122"/>
      <c r="E438" s="84"/>
      <c r="F438" s="77"/>
      <c r="G438" s="77"/>
      <c r="H438" s="37"/>
      <c r="I438" s="37"/>
      <c r="J438" s="37"/>
      <c r="K438" s="122"/>
      <c r="L438" s="37"/>
      <c r="M438" s="37"/>
      <c r="N438" s="139"/>
      <c r="O438" s="37"/>
      <c r="P438" s="37"/>
      <c r="Q438" s="37"/>
      <c r="R438" s="37"/>
      <c r="S438" s="37"/>
      <c r="T438" s="37"/>
      <c r="U438" s="37"/>
      <c r="V438" s="37"/>
      <c r="W438" s="37"/>
      <c r="X438" s="37"/>
      <c r="Y438" s="37"/>
      <c r="Z438" s="37"/>
    </row>
    <row r="439" spans="1:26" ht="12.5">
      <c r="A439" s="37"/>
      <c r="B439" s="151"/>
      <c r="C439" s="122"/>
      <c r="D439" s="122"/>
      <c r="E439" s="84"/>
      <c r="F439" s="77"/>
      <c r="G439" s="77"/>
      <c r="H439" s="37"/>
      <c r="I439" s="37"/>
      <c r="J439" s="37"/>
      <c r="K439" s="122"/>
      <c r="L439" s="37"/>
      <c r="M439" s="37"/>
      <c r="N439" s="139"/>
      <c r="O439" s="37"/>
      <c r="P439" s="37"/>
      <c r="Q439" s="37"/>
      <c r="R439" s="37"/>
      <c r="S439" s="37"/>
      <c r="T439" s="37"/>
      <c r="U439" s="37"/>
      <c r="V439" s="37"/>
      <c r="W439" s="37"/>
      <c r="X439" s="37"/>
      <c r="Y439" s="37"/>
      <c r="Z439" s="37"/>
    </row>
    <row r="440" spans="1:26" ht="12.5">
      <c r="A440" s="37"/>
      <c r="B440" s="151"/>
      <c r="C440" s="122"/>
      <c r="D440" s="122"/>
      <c r="E440" s="84"/>
      <c r="F440" s="77"/>
      <c r="G440" s="77"/>
      <c r="H440" s="37"/>
      <c r="I440" s="37"/>
      <c r="J440" s="37"/>
      <c r="K440" s="122"/>
      <c r="L440" s="37"/>
      <c r="M440" s="37"/>
      <c r="N440" s="139"/>
      <c r="O440" s="37"/>
      <c r="P440" s="37"/>
      <c r="Q440" s="37"/>
      <c r="R440" s="37"/>
      <c r="S440" s="37"/>
      <c r="T440" s="37"/>
      <c r="U440" s="37"/>
      <c r="V440" s="37"/>
      <c r="W440" s="37"/>
      <c r="X440" s="37"/>
      <c r="Y440" s="37"/>
      <c r="Z440" s="37"/>
    </row>
    <row r="441" spans="1:26" ht="12.5">
      <c r="A441" s="37"/>
      <c r="B441" s="151"/>
      <c r="C441" s="122"/>
      <c r="D441" s="122"/>
      <c r="E441" s="84"/>
      <c r="F441" s="77"/>
      <c r="G441" s="77"/>
      <c r="H441" s="37"/>
      <c r="I441" s="37"/>
      <c r="J441" s="37"/>
      <c r="K441" s="122"/>
      <c r="L441" s="37"/>
      <c r="M441" s="37"/>
      <c r="N441" s="139"/>
      <c r="O441" s="37"/>
      <c r="P441" s="37"/>
      <c r="Q441" s="37"/>
      <c r="R441" s="37"/>
      <c r="S441" s="37"/>
      <c r="T441" s="37"/>
      <c r="U441" s="37"/>
      <c r="V441" s="37"/>
      <c r="W441" s="37"/>
      <c r="X441" s="37"/>
      <c r="Y441" s="37"/>
      <c r="Z441" s="37"/>
    </row>
    <row r="442" spans="1:26" ht="12.5">
      <c r="A442" s="37"/>
      <c r="B442" s="151"/>
      <c r="C442" s="122"/>
      <c r="D442" s="122"/>
      <c r="E442" s="84"/>
      <c r="F442" s="77"/>
      <c r="G442" s="77"/>
      <c r="H442" s="37"/>
      <c r="I442" s="37"/>
      <c r="J442" s="37"/>
      <c r="K442" s="122"/>
      <c r="L442" s="37"/>
      <c r="M442" s="37"/>
      <c r="N442" s="139"/>
      <c r="O442" s="37"/>
      <c r="P442" s="37"/>
      <c r="Q442" s="37"/>
      <c r="R442" s="37"/>
      <c r="S442" s="37"/>
      <c r="T442" s="37"/>
      <c r="U442" s="37"/>
      <c r="V442" s="37"/>
      <c r="W442" s="37"/>
      <c r="X442" s="37"/>
      <c r="Y442" s="37"/>
      <c r="Z442" s="37"/>
    </row>
    <row r="443" spans="1:26" ht="12.5">
      <c r="A443" s="37"/>
      <c r="B443" s="151"/>
      <c r="C443" s="122"/>
      <c r="D443" s="122"/>
      <c r="E443" s="84"/>
      <c r="F443" s="77"/>
      <c r="G443" s="77"/>
      <c r="H443" s="37"/>
      <c r="I443" s="37"/>
      <c r="J443" s="37"/>
      <c r="K443" s="122"/>
      <c r="L443" s="37"/>
      <c r="M443" s="37"/>
      <c r="N443" s="139"/>
      <c r="O443" s="37"/>
      <c r="P443" s="37"/>
      <c r="Q443" s="37"/>
      <c r="R443" s="37"/>
      <c r="S443" s="37"/>
      <c r="T443" s="37"/>
      <c r="U443" s="37"/>
      <c r="V443" s="37"/>
      <c r="W443" s="37"/>
      <c r="X443" s="37"/>
      <c r="Y443" s="37"/>
      <c r="Z443" s="37"/>
    </row>
    <row r="444" spans="1:26" ht="12.5">
      <c r="A444" s="37"/>
      <c r="B444" s="151"/>
      <c r="C444" s="122"/>
      <c r="D444" s="122"/>
      <c r="E444" s="84"/>
      <c r="F444" s="77"/>
      <c r="G444" s="77"/>
      <c r="H444" s="37"/>
      <c r="I444" s="37"/>
      <c r="J444" s="37"/>
      <c r="K444" s="122"/>
      <c r="L444" s="37"/>
      <c r="M444" s="37"/>
      <c r="N444" s="139"/>
      <c r="O444" s="37"/>
      <c r="P444" s="37"/>
      <c r="Q444" s="37"/>
      <c r="R444" s="37"/>
      <c r="S444" s="37"/>
      <c r="T444" s="37"/>
      <c r="U444" s="37"/>
      <c r="V444" s="37"/>
      <c r="W444" s="37"/>
      <c r="X444" s="37"/>
      <c r="Y444" s="37"/>
      <c r="Z444" s="37"/>
    </row>
    <row r="445" spans="1:26" ht="12.5">
      <c r="A445" s="37"/>
      <c r="B445" s="151"/>
      <c r="C445" s="122"/>
      <c r="D445" s="122"/>
      <c r="E445" s="84"/>
      <c r="F445" s="77"/>
      <c r="G445" s="77"/>
      <c r="H445" s="37"/>
      <c r="I445" s="37"/>
      <c r="J445" s="37"/>
      <c r="K445" s="122"/>
      <c r="L445" s="37"/>
      <c r="M445" s="37"/>
      <c r="N445" s="139"/>
      <c r="O445" s="37"/>
      <c r="P445" s="37"/>
      <c r="Q445" s="37"/>
      <c r="R445" s="37"/>
      <c r="S445" s="37"/>
      <c r="T445" s="37"/>
      <c r="U445" s="37"/>
      <c r="V445" s="37"/>
      <c r="W445" s="37"/>
      <c r="X445" s="37"/>
      <c r="Y445" s="37"/>
      <c r="Z445" s="37"/>
    </row>
    <row r="446" spans="1:26" ht="12.5">
      <c r="A446" s="37"/>
      <c r="B446" s="151"/>
      <c r="C446" s="122"/>
      <c r="D446" s="122"/>
      <c r="E446" s="84"/>
      <c r="F446" s="77"/>
      <c r="G446" s="77"/>
      <c r="H446" s="37"/>
      <c r="I446" s="37"/>
      <c r="J446" s="37"/>
      <c r="K446" s="122"/>
      <c r="L446" s="37"/>
      <c r="M446" s="37"/>
      <c r="N446" s="139"/>
      <c r="O446" s="37"/>
      <c r="P446" s="37"/>
      <c r="Q446" s="37"/>
      <c r="R446" s="37"/>
      <c r="S446" s="37"/>
      <c r="T446" s="37"/>
      <c r="U446" s="37"/>
      <c r="V446" s="37"/>
      <c r="W446" s="37"/>
      <c r="X446" s="37"/>
      <c r="Y446" s="37"/>
      <c r="Z446" s="37"/>
    </row>
    <row r="447" spans="1:26" ht="12.5">
      <c r="A447" s="37"/>
      <c r="B447" s="151"/>
      <c r="C447" s="122"/>
      <c r="D447" s="122"/>
      <c r="E447" s="84"/>
      <c r="F447" s="77"/>
      <c r="G447" s="77"/>
      <c r="H447" s="37"/>
      <c r="I447" s="37"/>
      <c r="J447" s="37"/>
      <c r="K447" s="122"/>
      <c r="L447" s="37"/>
      <c r="M447" s="37"/>
      <c r="N447" s="139"/>
      <c r="O447" s="37"/>
      <c r="P447" s="37"/>
      <c r="Q447" s="37"/>
      <c r="R447" s="37"/>
      <c r="S447" s="37"/>
      <c r="T447" s="37"/>
      <c r="U447" s="37"/>
      <c r="V447" s="37"/>
      <c r="W447" s="37"/>
      <c r="X447" s="37"/>
      <c r="Y447" s="37"/>
      <c r="Z447" s="37"/>
    </row>
    <row r="448" spans="1:26" ht="12.5">
      <c r="A448" s="37"/>
      <c r="B448" s="151"/>
      <c r="C448" s="122"/>
      <c r="D448" s="122"/>
      <c r="E448" s="84"/>
      <c r="F448" s="77"/>
      <c r="G448" s="77"/>
      <c r="H448" s="37"/>
      <c r="I448" s="37"/>
      <c r="J448" s="37"/>
      <c r="K448" s="122"/>
      <c r="L448" s="37"/>
      <c r="M448" s="37"/>
      <c r="N448" s="139"/>
      <c r="O448" s="37"/>
      <c r="P448" s="37"/>
      <c r="Q448" s="37"/>
      <c r="R448" s="37"/>
      <c r="S448" s="37"/>
      <c r="T448" s="37"/>
      <c r="U448" s="37"/>
      <c r="V448" s="37"/>
      <c r="W448" s="37"/>
      <c r="X448" s="37"/>
      <c r="Y448" s="37"/>
      <c r="Z448" s="37"/>
    </row>
    <row r="449" spans="1:26" ht="12.5">
      <c r="A449" s="37"/>
      <c r="B449" s="151"/>
      <c r="C449" s="122"/>
      <c r="D449" s="122"/>
      <c r="E449" s="84"/>
      <c r="F449" s="77"/>
      <c r="G449" s="77"/>
      <c r="H449" s="37"/>
      <c r="I449" s="37"/>
      <c r="J449" s="37"/>
      <c r="K449" s="122"/>
      <c r="L449" s="37"/>
      <c r="M449" s="37"/>
      <c r="N449" s="139"/>
      <c r="O449" s="37"/>
      <c r="P449" s="37"/>
      <c r="Q449" s="37"/>
      <c r="R449" s="37"/>
      <c r="S449" s="37"/>
      <c r="T449" s="37"/>
      <c r="U449" s="37"/>
      <c r="V449" s="37"/>
      <c r="W449" s="37"/>
      <c r="X449" s="37"/>
      <c r="Y449" s="37"/>
      <c r="Z449" s="37"/>
    </row>
    <row r="450" spans="1:26" ht="12.5">
      <c r="A450" s="37"/>
      <c r="B450" s="151"/>
      <c r="C450" s="122"/>
      <c r="D450" s="122"/>
      <c r="E450" s="84"/>
      <c r="F450" s="77"/>
      <c r="G450" s="77"/>
      <c r="H450" s="37"/>
      <c r="I450" s="37"/>
      <c r="J450" s="37"/>
      <c r="K450" s="122"/>
      <c r="L450" s="37"/>
      <c r="M450" s="37"/>
      <c r="N450" s="139"/>
      <c r="O450" s="37"/>
      <c r="P450" s="37"/>
      <c r="Q450" s="37"/>
      <c r="R450" s="37"/>
      <c r="S450" s="37"/>
      <c r="T450" s="37"/>
      <c r="U450" s="37"/>
      <c r="V450" s="37"/>
      <c r="W450" s="37"/>
      <c r="X450" s="37"/>
      <c r="Y450" s="37"/>
      <c r="Z450" s="37"/>
    </row>
    <row r="451" spans="1:26" ht="12.5">
      <c r="A451" s="37"/>
      <c r="B451" s="151"/>
      <c r="C451" s="122"/>
      <c r="D451" s="122"/>
      <c r="E451" s="84"/>
      <c r="F451" s="77"/>
      <c r="G451" s="77"/>
      <c r="H451" s="37"/>
      <c r="I451" s="37"/>
      <c r="J451" s="37"/>
      <c r="K451" s="122"/>
      <c r="L451" s="37"/>
      <c r="M451" s="37"/>
      <c r="N451" s="139"/>
      <c r="O451" s="37"/>
      <c r="P451" s="37"/>
      <c r="Q451" s="37"/>
      <c r="R451" s="37"/>
      <c r="S451" s="37"/>
      <c r="T451" s="37"/>
      <c r="U451" s="37"/>
      <c r="V451" s="37"/>
      <c r="W451" s="37"/>
      <c r="X451" s="37"/>
      <c r="Y451" s="37"/>
      <c r="Z451" s="37"/>
    </row>
    <row r="452" spans="1:26" ht="12.5">
      <c r="A452" s="37"/>
      <c r="B452" s="151"/>
      <c r="C452" s="122"/>
      <c r="D452" s="122"/>
      <c r="E452" s="84"/>
      <c r="F452" s="77"/>
      <c r="G452" s="77"/>
      <c r="H452" s="37"/>
      <c r="I452" s="37"/>
      <c r="J452" s="37"/>
      <c r="K452" s="122"/>
      <c r="L452" s="37"/>
      <c r="M452" s="37"/>
      <c r="N452" s="139"/>
      <c r="O452" s="37"/>
      <c r="P452" s="37"/>
      <c r="Q452" s="37"/>
      <c r="R452" s="37"/>
      <c r="S452" s="37"/>
      <c r="T452" s="37"/>
      <c r="U452" s="37"/>
      <c r="V452" s="37"/>
      <c r="W452" s="37"/>
      <c r="X452" s="37"/>
      <c r="Y452" s="37"/>
      <c r="Z452" s="37"/>
    </row>
    <row r="453" spans="1:26" ht="12.5">
      <c r="A453" s="37"/>
      <c r="B453" s="151"/>
      <c r="C453" s="122"/>
      <c r="D453" s="122"/>
      <c r="E453" s="84"/>
      <c r="F453" s="77"/>
      <c r="G453" s="77"/>
      <c r="H453" s="37"/>
      <c r="I453" s="37"/>
      <c r="J453" s="37"/>
      <c r="K453" s="122"/>
      <c r="L453" s="37"/>
      <c r="M453" s="37"/>
      <c r="N453" s="139"/>
      <c r="O453" s="37"/>
      <c r="P453" s="37"/>
      <c r="Q453" s="37"/>
      <c r="R453" s="37"/>
      <c r="S453" s="37"/>
      <c r="T453" s="37"/>
      <c r="U453" s="37"/>
      <c r="V453" s="37"/>
      <c r="W453" s="37"/>
      <c r="X453" s="37"/>
      <c r="Y453" s="37"/>
      <c r="Z453" s="37"/>
    </row>
    <row r="454" spans="1:26" ht="12.5">
      <c r="A454" s="37"/>
      <c r="B454" s="151"/>
      <c r="C454" s="122"/>
      <c r="D454" s="122"/>
      <c r="E454" s="84"/>
      <c r="F454" s="77"/>
      <c r="G454" s="77"/>
      <c r="H454" s="37"/>
      <c r="I454" s="37"/>
      <c r="J454" s="37"/>
      <c r="K454" s="122"/>
      <c r="L454" s="37"/>
      <c r="M454" s="37"/>
      <c r="N454" s="139"/>
      <c r="O454" s="37"/>
      <c r="P454" s="37"/>
      <c r="Q454" s="37"/>
      <c r="R454" s="37"/>
      <c r="S454" s="37"/>
      <c r="T454" s="37"/>
      <c r="U454" s="37"/>
      <c r="V454" s="37"/>
      <c r="W454" s="37"/>
      <c r="X454" s="37"/>
      <c r="Y454" s="37"/>
      <c r="Z454" s="37"/>
    </row>
    <row r="455" spans="1:26" ht="12.5">
      <c r="A455" s="37"/>
      <c r="B455" s="151"/>
      <c r="C455" s="122"/>
      <c r="D455" s="122"/>
      <c r="E455" s="84"/>
      <c r="F455" s="77"/>
      <c r="G455" s="77"/>
      <c r="H455" s="37"/>
      <c r="I455" s="37"/>
      <c r="J455" s="37"/>
      <c r="K455" s="122"/>
      <c r="L455" s="37"/>
      <c r="M455" s="37"/>
      <c r="N455" s="139"/>
      <c r="O455" s="37"/>
      <c r="P455" s="37"/>
      <c r="Q455" s="37"/>
      <c r="R455" s="37"/>
      <c r="S455" s="37"/>
      <c r="T455" s="37"/>
      <c r="U455" s="37"/>
      <c r="V455" s="37"/>
      <c r="W455" s="37"/>
      <c r="X455" s="37"/>
      <c r="Y455" s="37"/>
      <c r="Z455" s="37"/>
    </row>
    <row r="456" spans="1:26" ht="12.5">
      <c r="A456" s="37"/>
      <c r="B456" s="151"/>
      <c r="C456" s="122"/>
      <c r="D456" s="122"/>
      <c r="E456" s="84"/>
      <c r="F456" s="77"/>
      <c r="G456" s="77"/>
      <c r="H456" s="37"/>
      <c r="I456" s="37"/>
      <c r="J456" s="37"/>
      <c r="K456" s="122"/>
      <c r="L456" s="37"/>
      <c r="M456" s="37"/>
      <c r="N456" s="139"/>
      <c r="O456" s="37"/>
      <c r="P456" s="37"/>
      <c r="Q456" s="37"/>
      <c r="R456" s="37"/>
      <c r="S456" s="37"/>
      <c r="T456" s="37"/>
      <c r="U456" s="37"/>
      <c r="V456" s="37"/>
      <c r="W456" s="37"/>
      <c r="X456" s="37"/>
      <c r="Y456" s="37"/>
      <c r="Z456" s="37"/>
    </row>
    <row r="457" spans="1:26" ht="12.5">
      <c r="A457" s="37"/>
      <c r="B457" s="151"/>
      <c r="C457" s="122"/>
      <c r="D457" s="122"/>
      <c r="E457" s="84"/>
      <c r="F457" s="77"/>
      <c r="G457" s="77"/>
      <c r="H457" s="37"/>
      <c r="I457" s="37"/>
      <c r="J457" s="37"/>
      <c r="K457" s="122"/>
      <c r="L457" s="37"/>
      <c r="M457" s="37"/>
      <c r="N457" s="139"/>
      <c r="O457" s="37"/>
      <c r="P457" s="37"/>
      <c r="Q457" s="37"/>
      <c r="R457" s="37"/>
      <c r="S457" s="37"/>
      <c r="T457" s="37"/>
      <c r="U457" s="37"/>
      <c r="V457" s="37"/>
      <c r="W457" s="37"/>
      <c r="X457" s="37"/>
      <c r="Y457" s="37"/>
      <c r="Z457" s="37"/>
    </row>
    <row r="458" spans="1:26" ht="12.5">
      <c r="A458" s="37"/>
      <c r="B458" s="151"/>
      <c r="C458" s="122"/>
      <c r="D458" s="122"/>
      <c r="E458" s="84"/>
      <c r="F458" s="77"/>
      <c r="G458" s="77"/>
      <c r="H458" s="37"/>
      <c r="I458" s="37"/>
      <c r="J458" s="37"/>
      <c r="K458" s="122"/>
      <c r="L458" s="37"/>
      <c r="M458" s="37"/>
      <c r="N458" s="139"/>
      <c r="O458" s="37"/>
      <c r="P458" s="37"/>
      <c r="Q458" s="37"/>
      <c r="R458" s="37"/>
      <c r="S458" s="37"/>
      <c r="T458" s="37"/>
      <c r="U458" s="37"/>
      <c r="V458" s="37"/>
      <c r="W458" s="37"/>
      <c r="X458" s="37"/>
      <c r="Y458" s="37"/>
      <c r="Z458" s="37"/>
    </row>
    <row r="459" spans="1:26" ht="12.5">
      <c r="A459" s="37"/>
      <c r="B459" s="151"/>
      <c r="C459" s="122"/>
      <c r="D459" s="122"/>
      <c r="E459" s="84"/>
      <c r="F459" s="77"/>
      <c r="G459" s="77"/>
      <c r="H459" s="37"/>
      <c r="I459" s="37"/>
      <c r="J459" s="37"/>
      <c r="K459" s="122"/>
      <c r="L459" s="37"/>
      <c r="M459" s="37"/>
      <c r="N459" s="139"/>
      <c r="O459" s="37"/>
      <c r="P459" s="37"/>
      <c r="Q459" s="37"/>
      <c r="R459" s="37"/>
      <c r="S459" s="37"/>
      <c r="T459" s="37"/>
      <c r="U459" s="37"/>
      <c r="V459" s="37"/>
      <c r="W459" s="37"/>
      <c r="X459" s="37"/>
      <c r="Y459" s="37"/>
      <c r="Z459" s="37"/>
    </row>
    <row r="460" spans="1:26" ht="12.5">
      <c r="A460" s="37"/>
      <c r="B460" s="151"/>
      <c r="C460" s="122"/>
      <c r="D460" s="122"/>
      <c r="E460" s="84"/>
      <c r="F460" s="77"/>
      <c r="G460" s="77"/>
      <c r="H460" s="37"/>
      <c r="I460" s="37"/>
      <c r="J460" s="37"/>
      <c r="K460" s="122"/>
      <c r="L460" s="37"/>
      <c r="M460" s="37"/>
      <c r="N460" s="139"/>
      <c r="O460" s="37"/>
      <c r="P460" s="37"/>
      <c r="Q460" s="37"/>
      <c r="R460" s="37"/>
      <c r="S460" s="37"/>
      <c r="T460" s="37"/>
      <c r="U460" s="37"/>
      <c r="V460" s="37"/>
      <c r="W460" s="37"/>
      <c r="X460" s="37"/>
      <c r="Y460" s="37"/>
      <c r="Z460" s="37"/>
    </row>
    <row r="461" spans="1:26" ht="12.5">
      <c r="A461" s="37"/>
      <c r="B461" s="151"/>
      <c r="C461" s="122"/>
      <c r="D461" s="122"/>
      <c r="E461" s="84"/>
      <c r="F461" s="77"/>
      <c r="G461" s="77"/>
      <c r="H461" s="37"/>
      <c r="I461" s="37"/>
      <c r="J461" s="37"/>
      <c r="K461" s="122"/>
      <c r="L461" s="37"/>
      <c r="M461" s="37"/>
      <c r="N461" s="139"/>
      <c r="O461" s="37"/>
      <c r="P461" s="37"/>
      <c r="Q461" s="37"/>
      <c r="R461" s="37"/>
      <c r="S461" s="37"/>
      <c r="T461" s="37"/>
      <c r="U461" s="37"/>
      <c r="V461" s="37"/>
      <c r="W461" s="37"/>
      <c r="X461" s="37"/>
      <c r="Y461" s="37"/>
      <c r="Z461" s="37"/>
    </row>
    <row r="462" spans="1:26" ht="12.5">
      <c r="A462" s="37"/>
      <c r="B462" s="151"/>
      <c r="C462" s="122"/>
      <c r="D462" s="122"/>
      <c r="E462" s="84"/>
      <c r="F462" s="77"/>
      <c r="G462" s="77"/>
      <c r="H462" s="37"/>
      <c r="I462" s="37"/>
      <c r="J462" s="37"/>
      <c r="K462" s="122"/>
      <c r="L462" s="37"/>
      <c r="M462" s="37"/>
      <c r="N462" s="139"/>
      <c r="O462" s="37"/>
      <c r="P462" s="37"/>
      <c r="Q462" s="37"/>
      <c r="R462" s="37"/>
      <c r="S462" s="37"/>
      <c r="T462" s="37"/>
      <c r="U462" s="37"/>
      <c r="V462" s="37"/>
      <c r="W462" s="37"/>
      <c r="X462" s="37"/>
      <c r="Y462" s="37"/>
      <c r="Z462" s="37"/>
    </row>
    <row r="463" spans="1:26" ht="12.5">
      <c r="A463" s="37"/>
      <c r="B463" s="151"/>
      <c r="C463" s="122"/>
      <c r="D463" s="122"/>
      <c r="E463" s="84"/>
      <c r="F463" s="77"/>
      <c r="G463" s="77"/>
      <c r="H463" s="37"/>
      <c r="I463" s="37"/>
      <c r="J463" s="37"/>
      <c r="K463" s="122"/>
      <c r="L463" s="37"/>
      <c r="M463" s="37"/>
      <c r="N463" s="139"/>
      <c r="O463" s="37"/>
      <c r="P463" s="37"/>
      <c r="Q463" s="37"/>
      <c r="R463" s="37"/>
      <c r="S463" s="37"/>
      <c r="T463" s="37"/>
      <c r="U463" s="37"/>
      <c r="V463" s="37"/>
      <c r="W463" s="37"/>
      <c r="X463" s="37"/>
      <c r="Y463" s="37"/>
      <c r="Z463" s="37"/>
    </row>
    <row r="464" spans="1:26" ht="12.5">
      <c r="A464" s="37"/>
      <c r="B464" s="151"/>
      <c r="C464" s="122"/>
      <c r="D464" s="122"/>
      <c r="E464" s="84"/>
      <c r="F464" s="77"/>
      <c r="G464" s="77"/>
      <c r="H464" s="37"/>
      <c r="I464" s="37"/>
      <c r="J464" s="37"/>
      <c r="K464" s="122"/>
      <c r="L464" s="37"/>
      <c r="M464" s="37"/>
      <c r="N464" s="139"/>
      <c r="O464" s="37"/>
      <c r="P464" s="37"/>
      <c r="Q464" s="37"/>
      <c r="R464" s="37"/>
      <c r="S464" s="37"/>
      <c r="T464" s="37"/>
      <c r="U464" s="37"/>
      <c r="V464" s="37"/>
      <c r="W464" s="37"/>
      <c r="X464" s="37"/>
      <c r="Y464" s="37"/>
      <c r="Z464" s="37"/>
    </row>
    <row r="465" spans="1:26" ht="12.5">
      <c r="A465" s="37"/>
      <c r="B465" s="151"/>
      <c r="C465" s="122"/>
      <c r="D465" s="122"/>
      <c r="E465" s="84"/>
      <c r="F465" s="77"/>
      <c r="G465" s="77"/>
      <c r="H465" s="37"/>
      <c r="I465" s="37"/>
      <c r="J465" s="37"/>
      <c r="K465" s="122"/>
      <c r="L465" s="37"/>
      <c r="M465" s="37"/>
      <c r="N465" s="139"/>
      <c r="O465" s="37"/>
      <c r="P465" s="37"/>
      <c r="Q465" s="37"/>
      <c r="R465" s="37"/>
      <c r="S465" s="37"/>
      <c r="T465" s="37"/>
      <c r="U465" s="37"/>
      <c r="V465" s="37"/>
      <c r="W465" s="37"/>
      <c r="X465" s="37"/>
      <c r="Y465" s="37"/>
      <c r="Z465" s="37"/>
    </row>
    <row r="466" spans="1:26" ht="12.5">
      <c r="A466" s="37"/>
      <c r="B466" s="151"/>
      <c r="C466" s="122"/>
      <c r="D466" s="122"/>
      <c r="E466" s="84"/>
      <c r="F466" s="77"/>
      <c r="G466" s="77"/>
      <c r="H466" s="37"/>
      <c r="I466" s="37"/>
      <c r="J466" s="37"/>
      <c r="K466" s="122"/>
      <c r="L466" s="37"/>
      <c r="M466" s="37"/>
      <c r="N466" s="139"/>
      <c r="O466" s="37"/>
      <c r="P466" s="37"/>
      <c r="Q466" s="37"/>
      <c r="R466" s="37"/>
      <c r="S466" s="37"/>
      <c r="T466" s="37"/>
      <c r="U466" s="37"/>
      <c r="V466" s="37"/>
      <c r="W466" s="37"/>
      <c r="X466" s="37"/>
      <c r="Y466" s="37"/>
      <c r="Z466" s="37"/>
    </row>
    <row r="467" spans="1:26" ht="12.5">
      <c r="A467" s="37"/>
      <c r="B467" s="151"/>
      <c r="C467" s="122"/>
      <c r="D467" s="122"/>
      <c r="E467" s="84"/>
      <c r="F467" s="77"/>
      <c r="G467" s="77"/>
      <c r="H467" s="37"/>
      <c r="I467" s="37"/>
      <c r="J467" s="37"/>
      <c r="K467" s="122"/>
      <c r="L467" s="37"/>
      <c r="M467" s="37"/>
      <c r="N467" s="139"/>
      <c r="O467" s="37"/>
      <c r="P467" s="37"/>
      <c r="Q467" s="37"/>
      <c r="R467" s="37"/>
      <c r="S467" s="37"/>
      <c r="T467" s="37"/>
      <c r="U467" s="37"/>
      <c r="V467" s="37"/>
      <c r="W467" s="37"/>
      <c r="X467" s="37"/>
      <c r="Y467" s="37"/>
      <c r="Z467" s="37"/>
    </row>
    <row r="468" spans="1:26" ht="12.5">
      <c r="A468" s="37"/>
      <c r="B468" s="151"/>
      <c r="C468" s="122"/>
      <c r="D468" s="122"/>
      <c r="E468" s="84"/>
      <c r="F468" s="77"/>
      <c r="G468" s="77"/>
      <c r="H468" s="37"/>
      <c r="I468" s="37"/>
      <c r="J468" s="37"/>
      <c r="K468" s="122"/>
      <c r="L468" s="37"/>
      <c r="M468" s="37"/>
      <c r="N468" s="139"/>
      <c r="O468" s="37"/>
      <c r="P468" s="37"/>
      <c r="Q468" s="37"/>
      <c r="R468" s="37"/>
      <c r="S468" s="37"/>
      <c r="T468" s="37"/>
      <c r="U468" s="37"/>
      <c r="V468" s="37"/>
      <c r="W468" s="37"/>
      <c r="X468" s="37"/>
      <c r="Y468" s="37"/>
      <c r="Z468" s="37"/>
    </row>
    <row r="469" spans="1:26" ht="12.5">
      <c r="A469" s="37"/>
      <c r="B469" s="151"/>
      <c r="C469" s="122"/>
      <c r="D469" s="122"/>
      <c r="E469" s="84"/>
      <c r="F469" s="77"/>
      <c r="G469" s="77"/>
      <c r="H469" s="37"/>
      <c r="I469" s="37"/>
      <c r="J469" s="37"/>
      <c r="K469" s="122"/>
      <c r="L469" s="37"/>
      <c r="M469" s="37"/>
      <c r="N469" s="139"/>
      <c r="O469" s="37"/>
      <c r="P469" s="37"/>
      <c r="Q469" s="37"/>
      <c r="R469" s="37"/>
      <c r="S469" s="37"/>
      <c r="T469" s="37"/>
      <c r="U469" s="37"/>
      <c r="V469" s="37"/>
      <c r="W469" s="37"/>
      <c r="X469" s="37"/>
      <c r="Y469" s="37"/>
      <c r="Z469" s="37"/>
    </row>
    <row r="470" spans="1:26" ht="12.5">
      <c r="A470" s="37"/>
      <c r="B470" s="151"/>
      <c r="C470" s="122"/>
      <c r="D470" s="122"/>
      <c r="E470" s="84"/>
      <c r="F470" s="77"/>
      <c r="G470" s="77"/>
      <c r="H470" s="37"/>
      <c r="I470" s="37"/>
      <c r="J470" s="37"/>
      <c r="K470" s="122"/>
      <c r="L470" s="37"/>
      <c r="M470" s="37"/>
      <c r="N470" s="139"/>
      <c r="O470" s="37"/>
      <c r="P470" s="37"/>
      <c r="Q470" s="37"/>
      <c r="R470" s="37"/>
      <c r="S470" s="37"/>
      <c r="T470" s="37"/>
      <c r="U470" s="37"/>
      <c r="V470" s="37"/>
      <c r="W470" s="37"/>
      <c r="X470" s="37"/>
      <c r="Y470" s="37"/>
      <c r="Z470" s="37"/>
    </row>
    <row r="471" spans="1:26" ht="12.5">
      <c r="A471" s="37"/>
      <c r="B471" s="151"/>
      <c r="C471" s="122"/>
      <c r="D471" s="122"/>
      <c r="E471" s="84"/>
      <c r="F471" s="77"/>
      <c r="G471" s="77"/>
      <c r="H471" s="37"/>
      <c r="I471" s="37"/>
      <c r="J471" s="37"/>
      <c r="K471" s="122"/>
      <c r="L471" s="37"/>
      <c r="M471" s="37"/>
      <c r="N471" s="139"/>
      <c r="O471" s="37"/>
      <c r="P471" s="37"/>
      <c r="Q471" s="37"/>
      <c r="R471" s="37"/>
      <c r="S471" s="37"/>
      <c r="T471" s="37"/>
      <c r="U471" s="37"/>
      <c r="V471" s="37"/>
      <c r="W471" s="37"/>
      <c r="X471" s="37"/>
      <c r="Y471" s="37"/>
      <c r="Z471" s="37"/>
    </row>
    <row r="472" spans="1:26" ht="12.5">
      <c r="A472" s="37"/>
      <c r="B472" s="151"/>
      <c r="C472" s="122"/>
      <c r="D472" s="122"/>
      <c r="E472" s="84"/>
      <c r="F472" s="77"/>
      <c r="G472" s="77"/>
      <c r="H472" s="37"/>
      <c r="I472" s="37"/>
      <c r="J472" s="37"/>
      <c r="K472" s="122"/>
      <c r="L472" s="37"/>
      <c r="M472" s="37"/>
      <c r="N472" s="139"/>
      <c r="O472" s="37"/>
      <c r="P472" s="37"/>
      <c r="Q472" s="37"/>
      <c r="R472" s="37"/>
      <c r="S472" s="37"/>
      <c r="T472" s="37"/>
      <c r="U472" s="37"/>
      <c r="V472" s="37"/>
      <c r="W472" s="37"/>
      <c r="X472" s="37"/>
      <c r="Y472" s="37"/>
      <c r="Z472" s="37"/>
    </row>
    <row r="473" spans="1:26" ht="12.5">
      <c r="A473" s="37"/>
      <c r="B473" s="151"/>
      <c r="C473" s="122"/>
      <c r="D473" s="122"/>
      <c r="E473" s="84"/>
      <c r="F473" s="77"/>
      <c r="G473" s="77"/>
      <c r="H473" s="37"/>
      <c r="I473" s="37"/>
      <c r="J473" s="37"/>
      <c r="K473" s="122"/>
      <c r="L473" s="37"/>
      <c r="M473" s="37"/>
      <c r="N473" s="139"/>
      <c r="O473" s="37"/>
      <c r="P473" s="37"/>
      <c r="Q473" s="37"/>
      <c r="R473" s="37"/>
      <c r="S473" s="37"/>
      <c r="T473" s="37"/>
      <c r="U473" s="37"/>
      <c r="V473" s="37"/>
      <c r="W473" s="37"/>
      <c r="X473" s="37"/>
      <c r="Y473" s="37"/>
      <c r="Z473" s="37"/>
    </row>
    <row r="474" spans="1:26" ht="12.5">
      <c r="A474" s="37"/>
      <c r="B474" s="151"/>
      <c r="C474" s="122"/>
      <c r="D474" s="122"/>
      <c r="E474" s="84"/>
      <c r="F474" s="77"/>
      <c r="G474" s="77"/>
      <c r="H474" s="37"/>
      <c r="I474" s="37"/>
      <c r="J474" s="37"/>
      <c r="K474" s="122"/>
      <c r="L474" s="37"/>
      <c r="M474" s="37"/>
      <c r="N474" s="139"/>
      <c r="O474" s="37"/>
      <c r="P474" s="37"/>
      <c r="Q474" s="37"/>
      <c r="R474" s="37"/>
      <c r="S474" s="37"/>
      <c r="T474" s="37"/>
      <c r="U474" s="37"/>
      <c r="V474" s="37"/>
      <c r="W474" s="37"/>
      <c r="X474" s="37"/>
      <c r="Y474" s="37"/>
      <c r="Z474" s="37"/>
    </row>
    <row r="475" spans="1:26" ht="12.5">
      <c r="A475" s="37"/>
      <c r="B475" s="151"/>
      <c r="C475" s="122"/>
      <c r="D475" s="122"/>
      <c r="E475" s="84"/>
      <c r="F475" s="77"/>
      <c r="G475" s="77"/>
      <c r="H475" s="37"/>
      <c r="I475" s="37"/>
      <c r="J475" s="37"/>
      <c r="K475" s="122"/>
      <c r="L475" s="37"/>
      <c r="M475" s="37"/>
      <c r="N475" s="139"/>
      <c r="O475" s="37"/>
      <c r="P475" s="37"/>
      <c r="Q475" s="37"/>
      <c r="R475" s="37"/>
      <c r="S475" s="37"/>
      <c r="T475" s="37"/>
      <c r="U475" s="37"/>
      <c r="V475" s="37"/>
      <c r="W475" s="37"/>
      <c r="X475" s="37"/>
      <c r="Y475" s="37"/>
      <c r="Z475" s="37"/>
    </row>
    <row r="476" spans="1:26" ht="12.5">
      <c r="A476" s="37"/>
      <c r="B476" s="151"/>
      <c r="C476" s="122"/>
      <c r="D476" s="122"/>
      <c r="E476" s="84"/>
      <c r="F476" s="77"/>
      <c r="G476" s="77"/>
      <c r="H476" s="37"/>
      <c r="I476" s="37"/>
      <c r="J476" s="37"/>
      <c r="K476" s="122"/>
      <c r="L476" s="37"/>
      <c r="M476" s="37"/>
      <c r="N476" s="139"/>
      <c r="O476" s="37"/>
      <c r="P476" s="37"/>
      <c r="Q476" s="37"/>
      <c r="R476" s="37"/>
      <c r="S476" s="37"/>
      <c r="T476" s="37"/>
      <c r="U476" s="37"/>
      <c r="V476" s="37"/>
      <c r="W476" s="37"/>
      <c r="X476" s="37"/>
      <c r="Y476" s="37"/>
      <c r="Z476" s="37"/>
    </row>
    <row r="477" spans="1:26" ht="12.5">
      <c r="A477" s="37"/>
      <c r="B477" s="151"/>
      <c r="C477" s="122"/>
      <c r="D477" s="122"/>
      <c r="E477" s="84"/>
      <c r="F477" s="77"/>
      <c r="G477" s="77"/>
      <c r="H477" s="37"/>
      <c r="I477" s="37"/>
      <c r="J477" s="37"/>
      <c r="K477" s="122"/>
      <c r="L477" s="37"/>
      <c r="M477" s="37"/>
      <c r="N477" s="139"/>
      <c r="O477" s="37"/>
      <c r="P477" s="37"/>
      <c r="Q477" s="37"/>
      <c r="R477" s="37"/>
      <c r="S477" s="37"/>
      <c r="T477" s="37"/>
      <c r="U477" s="37"/>
      <c r="V477" s="37"/>
      <c r="W477" s="37"/>
      <c r="X477" s="37"/>
      <c r="Y477" s="37"/>
      <c r="Z477" s="37"/>
    </row>
    <row r="478" spans="1:26" ht="12.5">
      <c r="A478" s="37"/>
      <c r="B478" s="151"/>
      <c r="C478" s="122"/>
      <c r="D478" s="122"/>
      <c r="E478" s="84"/>
      <c r="F478" s="77"/>
      <c r="G478" s="77"/>
      <c r="H478" s="37"/>
      <c r="I478" s="37"/>
      <c r="J478" s="37"/>
      <c r="K478" s="122"/>
      <c r="L478" s="37"/>
      <c r="M478" s="37"/>
      <c r="N478" s="139"/>
      <c r="O478" s="37"/>
      <c r="P478" s="37"/>
      <c r="Q478" s="37"/>
      <c r="R478" s="37"/>
      <c r="S478" s="37"/>
      <c r="T478" s="37"/>
      <c r="U478" s="37"/>
      <c r="V478" s="37"/>
      <c r="W478" s="37"/>
      <c r="X478" s="37"/>
      <c r="Y478" s="37"/>
      <c r="Z478" s="37"/>
    </row>
    <row r="479" spans="1:26" ht="12.5">
      <c r="A479" s="37"/>
      <c r="B479" s="151"/>
      <c r="C479" s="122"/>
      <c r="D479" s="122"/>
      <c r="E479" s="84"/>
      <c r="F479" s="77"/>
      <c r="G479" s="77"/>
      <c r="H479" s="37"/>
      <c r="I479" s="37"/>
      <c r="J479" s="37"/>
      <c r="K479" s="122"/>
      <c r="L479" s="37"/>
      <c r="M479" s="37"/>
      <c r="N479" s="139"/>
      <c r="O479" s="37"/>
      <c r="P479" s="37"/>
      <c r="Q479" s="37"/>
      <c r="R479" s="37"/>
      <c r="S479" s="37"/>
      <c r="T479" s="37"/>
      <c r="U479" s="37"/>
      <c r="V479" s="37"/>
      <c r="W479" s="37"/>
      <c r="X479" s="37"/>
      <c r="Y479" s="37"/>
      <c r="Z479" s="37"/>
    </row>
    <row r="480" spans="1:26" ht="12.5">
      <c r="A480" s="37"/>
      <c r="B480" s="151"/>
      <c r="C480" s="122"/>
      <c r="D480" s="122"/>
      <c r="E480" s="84"/>
      <c r="F480" s="77"/>
      <c r="G480" s="77"/>
      <c r="H480" s="37"/>
      <c r="I480" s="37"/>
      <c r="J480" s="37"/>
      <c r="K480" s="122"/>
      <c r="L480" s="37"/>
      <c r="M480" s="37"/>
      <c r="N480" s="139"/>
      <c r="O480" s="37"/>
      <c r="P480" s="37"/>
      <c r="Q480" s="37"/>
      <c r="R480" s="37"/>
      <c r="S480" s="37"/>
      <c r="T480" s="37"/>
      <c r="U480" s="37"/>
      <c r="V480" s="37"/>
      <c r="W480" s="37"/>
      <c r="X480" s="37"/>
      <c r="Y480" s="37"/>
      <c r="Z480" s="37"/>
    </row>
    <row r="481" spans="1:26" ht="12.5">
      <c r="A481" s="37"/>
      <c r="B481" s="151"/>
      <c r="C481" s="122"/>
      <c r="D481" s="122"/>
      <c r="E481" s="84"/>
      <c r="F481" s="77"/>
      <c r="G481" s="77"/>
      <c r="H481" s="37"/>
      <c r="I481" s="37"/>
      <c r="J481" s="37"/>
      <c r="K481" s="122"/>
      <c r="L481" s="37"/>
      <c r="M481" s="37"/>
      <c r="N481" s="139"/>
      <c r="O481" s="37"/>
      <c r="P481" s="37"/>
      <c r="Q481" s="37"/>
      <c r="R481" s="37"/>
      <c r="S481" s="37"/>
      <c r="T481" s="37"/>
      <c r="U481" s="37"/>
      <c r="V481" s="37"/>
      <c r="W481" s="37"/>
      <c r="X481" s="37"/>
      <c r="Y481" s="37"/>
      <c r="Z481" s="37"/>
    </row>
    <row r="482" spans="1:26" ht="12.5">
      <c r="A482" s="37"/>
      <c r="B482" s="151"/>
      <c r="C482" s="122"/>
      <c r="D482" s="122"/>
      <c r="E482" s="84"/>
      <c r="F482" s="77"/>
      <c r="G482" s="77"/>
      <c r="H482" s="37"/>
      <c r="I482" s="37"/>
      <c r="J482" s="37"/>
      <c r="K482" s="122"/>
      <c r="L482" s="37"/>
      <c r="M482" s="37"/>
      <c r="N482" s="139"/>
      <c r="O482" s="37"/>
      <c r="P482" s="37"/>
      <c r="Q482" s="37"/>
      <c r="R482" s="37"/>
      <c r="S482" s="37"/>
      <c r="T482" s="37"/>
      <c r="U482" s="37"/>
      <c r="V482" s="37"/>
      <c r="W482" s="37"/>
      <c r="X482" s="37"/>
      <c r="Y482" s="37"/>
      <c r="Z482" s="37"/>
    </row>
    <row r="483" spans="1:26" ht="12.5">
      <c r="A483" s="37"/>
      <c r="B483" s="151"/>
      <c r="C483" s="122"/>
      <c r="D483" s="122"/>
      <c r="E483" s="84"/>
      <c r="F483" s="77"/>
      <c r="G483" s="77"/>
      <c r="H483" s="37"/>
      <c r="I483" s="37"/>
      <c r="J483" s="37"/>
      <c r="K483" s="122"/>
      <c r="L483" s="37"/>
      <c r="M483" s="37"/>
      <c r="N483" s="139"/>
      <c r="O483" s="37"/>
      <c r="P483" s="37"/>
      <c r="Q483" s="37"/>
      <c r="R483" s="37"/>
      <c r="S483" s="37"/>
      <c r="T483" s="37"/>
      <c r="U483" s="37"/>
      <c r="V483" s="37"/>
      <c r="W483" s="37"/>
      <c r="X483" s="37"/>
      <c r="Y483" s="37"/>
      <c r="Z483" s="37"/>
    </row>
    <row r="484" spans="1:26" ht="12.5">
      <c r="A484" s="37"/>
      <c r="B484" s="151"/>
      <c r="C484" s="122"/>
      <c r="D484" s="122"/>
      <c r="E484" s="84"/>
      <c r="F484" s="77"/>
      <c r="G484" s="77"/>
      <c r="H484" s="37"/>
      <c r="I484" s="37"/>
      <c r="J484" s="37"/>
      <c r="K484" s="122"/>
      <c r="L484" s="37"/>
      <c r="M484" s="37"/>
      <c r="N484" s="139"/>
      <c r="O484" s="37"/>
      <c r="P484" s="37"/>
      <c r="Q484" s="37"/>
      <c r="R484" s="37"/>
      <c r="S484" s="37"/>
      <c r="T484" s="37"/>
      <c r="U484" s="37"/>
      <c r="V484" s="37"/>
      <c r="W484" s="37"/>
      <c r="X484" s="37"/>
      <c r="Y484" s="37"/>
      <c r="Z484" s="37"/>
    </row>
    <row r="485" spans="1:26" ht="12.5">
      <c r="A485" s="37"/>
      <c r="B485" s="151"/>
      <c r="C485" s="122"/>
      <c r="D485" s="122"/>
      <c r="E485" s="84"/>
      <c r="F485" s="77"/>
      <c r="G485" s="77"/>
      <c r="H485" s="37"/>
      <c r="I485" s="37"/>
      <c r="J485" s="37"/>
      <c r="K485" s="122"/>
      <c r="L485" s="37"/>
      <c r="M485" s="37"/>
      <c r="N485" s="139"/>
      <c r="O485" s="37"/>
      <c r="P485" s="37"/>
      <c r="Q485" s="37"/>
      <c r="R485" s="37"/>
      <c r="S485" s="37"/>
      <c r="T485" s="37"/>
      <c r="U485" s="37"/>
      <c r="V485" s="37"/>
      <c r="W485" s="37"/>
      <c r="X485" s="37"/>
      <c r="Y485" s="37"/>
      <c r="Z485" s="37"/>
    </row>
    <row r="486" spans="1:26" ht="12.5">
      <c r="A486" s="37"/>
      <c r="B486" s="151"/>
      <c r="C486" s="122"/>
      <c r="D486" s="122"/>
      <c r="E486" s="84"/>
      <c r="F486" s="77"/>
      <c r="G486" s="77"/>
      <c r="H486" s="37"/>
      <c r="I486" s="37"/>
      <c r="J486" s="37"/>
      <c r="K486" s="122"/>
      <c r="L486" s="37"/>
      <c r="M486" s="37"/>
      <c r="N486" s="139"/>
      <c r="O486" s="37"/>
      <c r="P486" s="37"/>
      <c r="Q486" s="37"/>
      <c r="R486" s="37"/>
      <c r="S486" s="37"/>
      <c r="T486" s="37"/>
      <c r="U486" s="37"/>
      <c r="V486" s="37"/>
      <c r="W486" s="37"/>
      <c r="X486" s="37"/>
      <c r="Y486" s="37"/>
      <c r="Z486" s="37"/>
    </row>
    <row r="487" spans="1:26" ht="12.5">
      <c r="A487" s="37"/>
      <c r="B487" s="151"/>
      <c r="C487" s="122"/>
      <c r="D487" s="122"/>
      <c r="E487" s="84"/>
      <c r="F487" s="77"/>
      <c r="G487" s="77"/>
      <c r="H487" s="37"/>
      <c r="I487" s="37"/>
      <c r="J487" s="37"/>
      <c r="K487" s="122"/>
      <c r="L487" s="37"/>
      <c r="M487" s="37"/>
      <c r="N487" s="139"/>
      <c r="O487" s="37"/>
      <c r="P487" s="37"/>
      <c r="Q487" s="37"/>
      <c r="R487" s="37"/>
      <c r="S487" s="37"/>
      <c r="T487" s="37"/>
      <c r="U487" s="37"/>
      <c r="V487" s="37"/>
      <c r="W487" s="37"/>
      <c r="X487" s="37"/>
      <c r="Y487" s="37"/>
      <c r="Z487" s="37"/>
    </row>
    <row r="488" spans="1:26" ht="12.5">
      <c r="A488" s="37"/>
      <c r="B488" s="151"/>
      <c r="C488" s="122"/>
      <c r="D488" s="122"/>
      <c r="E488" s="84"/>
      <c r="F488" s="77"/>
      <c r="G488" s="77"/>
      <c r="H488" s="37"/>
      <c r="I488" s="37"/>
      <c r="J488" s="37"/>
      <c r="K488" s="122"/>
      <c r="L488" s="37"/>
      <c r="M488" s="37"/>
      <c r="N488" s="139"/>
      <c r="O488" s="37"/>
      <c r="P488" s="37"/>
      <c r="Q488" s="37"/>
      <c r="R488" s="37"/>
      <c r="S488" s="37"/>
      <c r="T488" s="37"/>
      <c r="U488" s="37"/>
      <c r="V488" s="37"/>
      <c r="W488" s="37"/>
      <c r="X488" s="37"/>
      <c r="Y488" s="37"/>
      <c r="Z488" s="37"/>
    </row>
    <row r="489" spans="1:26" ht="12.5">
      <c r="A489" s="37"/>
      <c r="B489" s="151"/>
      <c r="C489" s="122"/>
      <c r="D489" s="122"/>
      <c r="E489" s="84"/>
      <c r="F489" s="77"/>
      <c r="G489" s="77"/>
      <c r="H489" s="37"/>
      <c r="I489" s="37"/>
      <c r="J489" s="37"/>
      <c r="K489" s="122"/>
      <c r="L489" s="37"/>
      <c r="M489" s="37"/>
      <c r="N489" s="139"/>
      <c r="O489" s="37"/>
      <c r="P489" s="37"/>
      <c r="Q489" s="37"/>
      <c r="R489" s="37"/>
      <c r="S489" s="37"/>
      <c r="T489" s="37"/>
      <c r="U489" s="37"/>
      <c r="V489" s="37"/>
      <c r="W489" s="37"/>
      <c r="X489" s="37"/>
      <c r="Y489" s="37"/>
      <c r="Z489" s="37"/>
    </row>
    <row r="490" spans="1:26" ht="12.5">
      <c r="A490" s="37"/>
      <c r="B490" s="151"/>
      <c r="C490" s="122"/>
      <c r="D490" s="122"/>
      <c r="E490" s="84"/>
      <c r="F490" s="77"/>
      <c r="G490" s="77"/>
      <c r="H490" s="37"/>
      <c r="I490" s="37"/>
      <c r="J490" s="37"/>
      <c r="K490" s="122"/>
      <c r="L490" s="37"/>
      <c r="M490" s="37"/>
      <c r="N490" s="139"/>
      <c r="O490" s="37"/>
      <c r="P490" s="37"/>
      <c r="Q490" s="37"/>
      <c r="R490" s="37"/>
      <c r="S490" s="37"/>
      <c r="T490" s="37"/>
      <c r="U490" s="37"/>
      <c r="V490" s="37"/>
      <c r="W490" s="37"/>
      <c r="X490" s="37"/>
      <c r="Y490" s="37"/>
      <c r="Z490" s="37"/>
    </row>
    <row r="491" spans="1:26" ht="12.5">
      <c r="A491" s="37"/>
      <c r="B491" s="151"/>
      <c r="C491" s="122"/>
      <c r="D491" s="122"/>
      <c r="E491" s="84"/>
      <c r="F491" s="77"/>
      <c r="G491" s="77"/>
      <c r="H491" s="37"/>
      <c r="I491" s="37"/>
      <c r="J491" s="37"/>
      <c r="K491" s="122"/>
      <c r="L491" s="37"/>
      <c r="M491" s="37"/>
      <c r="N491" s="139"/>
      <c r="O491" s="37"/>
      <c r="P491" s="37"/>
      <c r="Q491" s="37"/>
      <c r="R491" s="37"/>
      <c r="S491" s="37"/>
      <c r="T491" s="37"/>
      <c r="U491" s="37"/>
      <c r="V491" s="37"/>
      <c r="W491" s="37"/>
      <c r="X491" s="37"/>
      <c r="Y491" s="37"/>
      <c r="Z491" s="37"/>
    </row>
    <row r="492" spans="1:26" ht="12.5">
      <c r="A492" s="37"/>
      <c r="B492" s="151"/>
      <c r="C492" s="122"/>
      <c r="D492" s="122"/>
      <c r="E492" s="84"/>
      <c r="F492" s="77"/>
      <c r="G492" s="77"/>
      <c r="H492" s="37"/>
      <c r="I492" s="37"/>
      <c r="J492" s="37"/>
      <c r="K492" s="122"/>
      <c r="L492" s="37"/>
      <c r="M492" s="37"/>
      <c r="N492" s="139"/>
      <c r="O492" s="37"/>
      <c r="P492" s="37"/>
      <c r="Q492" s="37"/>
      <c r="R492" s="37"/>
      <c r="S492" s="37"/>
      <c r="T492" s="37"/>
      <c r="U492" s="37"/>
      <c r="V492" s="37"/>
      <c r="W492" s="37"/>
      <c r="X492" s="37"/>
      <c r="Y492" s="37"/>
      <c r="Z492" s="37"/>
    </row>
    <row r="493" spans="1:26" ht="12.5">
      <c r="A493" s="37"/>
      <c r="B493" s="151"/>
      <c r="C493" s="122"/>
      <c r="D493" s="122"/>
      <c r="E493" s="84"/>
      <c r="F493" s="77"/>
      <c r="G493" s="77"/>
      <c r="H493" s="37"/>
      <c r="I493" s="37"/>
      <c r="J493" s="37"/>
      <c r="K493" s="122"/>
      <c r="L493" s="37"/>
      <c r="M493" s="37"/>
      <c r="N493" s="139"/>
      <c r="O493" s="37"/>
      <c r="P493" s="37"/>
      <c r="Q493" s="37"/>
      <c r="R493" s="37"/>
      <c r="S493" s="37"/>
      <c r="T493" s="37"/>
      <c r="U493" s="37"/>
      <c r="V493" s="37"/>
      <c r="W493" s="37"/>
      <c r="X493" s="37"/>
      <c r="Y493" s="37"/>
      <c r="Z493" s="37"/>
    </row>
    <row r="494" spans="1:26" ht="12.5">
      <c r="A494" s="37"/>
      <c r="B494" s="151"/>
      <c r="C494" s="122"/>
      <c r="D494" s="122"/>
      <c r="E494" s="84"/>
      <c r="F494" s="77"/>
      <c r="G494" s="77"/>
      <c r="H494" s="37"/>
      <c r="I494" s="37"/>
      <c r="J494" s="37"/>
      <c r="K494" s="122"/>
      <c r="L494" s="37"/>
      <c r="M494" s="37"/>
      <c r="N494" s="139"/>
      <c r="O494" s="37"/>
      <c r="P494" s="37"/>
      <c r="Q494" s="37"/>
      <c r="R494" s="37"/>
      <c r="S494" s="37"/>
      <c r="T494" s="37"/>
      <c r="U494" s="37"/>
      <c r="V494" s="37"/>
      <c r="W494" s="37"/>
      <c r="X494" s="37"/>
      <c r="Y494" s="37"/>
      <c r="Z494" s="37"/>
    </row>
    <row r="495" spans="1:26" ht="12.5">
      <c r="A495" s="37"/>
      <c r="B495" s="151"/>
      <c r="C495" s="122"/>
      <c r="D495" s="122"/>
      <c r="E495" s="84"/>
      <c r="F495" s="77"/>
      <c r="G495" s="77"/>
      <c r="H495" s="37"/>
      <c r="I495" s="37"/>
      <c r="J495" s="37"/>
      <c r="K495" s="122"/>
      <c r="L495" s="37"/>
      <c r="M495" s="37"/>
      <c r="N495" s="139"/>
      <c r="O495" s="37"/>
      <c r="P495" s="37"/>
      <c r="Q495" s="37"/>
      <c r="R495" s="37"/>
      <c r="S495" s="37"/>
      <c r="T495" s="37"/>
      <c r="U495" s="37"/>
      <c r="V495" s="37"/>
      <c r="W495" s="37"/>
      <c r="X495" s="37"/>
      <c r="Y495" s="37"/>
      <c r="Z495" s="37"/>
    </row>
    <row r="496" spans="1:26" ht="12.5">
      <c r="A496" s="37"/>
      <c r="B496" s="151"/>
      <c r="C496" s="122"/>
      <c r="D496" s="122"/>
      <c r="E496" s="84"/>
      <c r="F496" s="77"/>
      <c r="G496" s="77"/>
      <c r="H496" s="37"/>
      <c r="I496" s="37"/>
      <c r="J496" s="37"/>
      <c r="K496" s="122"/>
      <c r="L496" s="37"/>
      <c r="M496" s="37"/>
      <c r="N496" s="139"/>
      <c r="O496" s="37"/>
      <c r="P496" s="37"/>
      <c r="Q496" s="37"/>
      <c r="R496" s="37"/>
      <c r="S496" s="37"/>
      <c r="T496" s="37"/>
      <c r="U496" s="37"/>
      <c r="V496" s="37"/>
      <c r="W496" s="37"/>
      <c r="X496" s="37"/>
      <c r="Y496" s="37"/>
      <c r="Z496" s="37"/>
    </row>
    <row r="497" spans="1:26" ht="12.5">
      <c r="A497" s="37"/>
      <c r="B497" s="151"/>
      <c r="C497" s="122"/>
      <c r="D497" s="122"/>
      <c r="E497" s="84"/>
      <c r="F497" s="77"/>
      <c r="G497" s="77"/>
      <c r="H497" s="37"/>
      <c r="I497" s="37"/>
      <c r="J497" s="37"/>
      <c r="K497" s="122"/>
      <c r="L497" s="37"/>
      <c r="M497" s="37"/>
      <c r="N497" s="139"/>
      <c r="O497" s="37"/>
      <c r="P497" s="37"/>
      <c r="Q497" s="37"/>
      <c r="R497" s="37"/>
      <c r="S497" s="37"/>
      <c r="T497" s="37"/>
      <c r="U497" s="37"/>
      <c r="V497" s="37"/>
      <c r="W497" s="37"/>
      <c r="X497" s="37"/>
      <c r="Y497" s="37"/>
      <c r="Z497" s="37"/>
    </row>
    <row r="498" spans="1:26" ht="12.5">
      <c r="A498" s="37"/>
      <c r="B498" s="151"/>
      <c r="C498" s="122"/>
      <c r="D498" s="122"/>
      <c r="E498" s="84"/>
      <c r="F498" s="77"/>
      <c r="G498" s="77"/>
      <c r="H498" s="37"/>
      <c r="I498" s="37"/>
      <c r="J498" s="37"/>
      <c r="K498" s="122"/>
      <c r="L498" s="37"/>
      <c r="M498" s="37"/>
      <c r="N498" s="139"/>
      <c r="O498" s="37"/>
      <c r="P498" s="37"/>
      <c r="Q498" s="37"/>
      <c r="R498" s="37"/>
      <c r="S498" s="37"/>
      <c r="T498" s="37"/>
      <c r="U498" s="37"/>
      <c r="V498" s="37"/>
      <c r="W498" s="37"/>
      <c r="X498" s="37"/>
      <c r="Y498" s="37"/>
      <c r="Z498" s="37"/>
    </row>
    <row r="499" spans="1:26" ht="12.5">
      <c r="A499" s="37"/>
      <c r="B499" s="151"/>
      <c r="C499" s="122"/>
      <c r="D499" s="122"/>
      <c r="E499" s="84"/>
      <c r="F499" s="77"/>
      <c r="G499" s="77"/>
      <c r="H499" s="37"/>
      <c r="I499" s="37"/>
      <c r="J499" s="37"/>
      <c r="K499" s="122"/>
      <c r="L499" s="37"/>
      <c r="M499" s="37"/>
      <c r="N499" s="139"/>
      <c r="O499" s="37"/>
      <c r="P499" s="37"/>
      <c r="Q499" s="37"/>
      <c r="R499" s="37"/>
      <c r="S499" s="37"/>
      <c r="T499" s="37"/>
      <c r="U499" s="37"/>
      <c r="V499" s="37"/>
      <c r="W499" s="37"/>
      <c r="X499" s="37"/>
      <c r="Y499" s="37"/>
      <c r="Z499" s="37"/>
    </row>
    <row r="500" spans="1:26" ht="12.5">
      <c r="A500" s="37"/>
      <c r="B500" s="151"/>
      <c r="C500" s="122"/>
      <c r="D500" s="122"/>
      <c r="E500" s="84"/>
      <c r="F500" s="77"/>
      <c r="G500" s="77"/>
      <c r="H500" s="37"/>
      <c r="I500" s="37"/>
      <c r="J500" s="37"/>
      <c r="K500" s="122"/>
      <c r="L500" s="37"/>
      <c r="M500" s="37"/>
      <c r="N500" s="139"/>
      <c r="O500" s="37"/>
      <c r="P500" s="37"/>
      <c r="Q500" s="37"/>
      <c r="R500" s="37"/>
      <c r="S500" s="37"/>
      <c r="T500" s="37"/>
      <c r="U500" s="37"/>
      <c r="V500" s="37"/>
      <c r="W500" s="37"/>
      <c r="X500" s="37"/>
      <c r="Y500" s="37"/>
      <c r="Z500" s="37"/>
    </row>
    <row r="501" spans="1:26" ht="12.5">
      <c r="A501" s="37"/>
      <c r="B501" s="151"/>
      <c r="C501" s="122"/>
      <c r="D501" s="122"/>
      <c r="E501" s="84"/>
      <c r="F501" s="77"/>
      <c r="G501" s="77"/>
      <c r="H501" s="37"/>
      <c r="I501" s="37"/>
      <c r="J501" s="37"/>
      <c r="K501" s="122"/>
      <c r="L501" s="37"/>
      <c r="M501" s="37"/>
      <c r="N501" s="139"/>
      <c r="O501" s="37"/>
      <c r="P501" s="37"/>
      <c r="Q501" s="37"/>
      <c r="R501" s="37"/>
      <c r="S501" s="37"/>
      <c r="T501" s="37"/>
      <c r="U501" s="37"/>
      <c r="V501" s="37"/>
      <c r="W501" s="37"/>
      <c r="X501" s="37"/>
      <c r="Y501" s="37"/>
      <c r="Z501" s="37"/>
    </row>
    <row r="502" spans="1:26" ht="12.5">
      <c r="A502" s="37"/>
      <c r="B502" s="151"/>
      <c r="C502" s="122"/>
      <c r="D502" s="122"/>
      <c r="E502" s="84"/>
      <c r="F502" s="77"/>
      <c r="G502" s="77"/>
      <c r="H502" s="37"/>
      <c r="I502" s="37"/>
      <c r="J502" s="37"/>
      <c r="K502" s="122"/>
      <c r="L502" s="37"/>
      <c r="M502" s="37"/>
      <c r="N502" s="139"/>
      <c r="O502" s="37"/>
      <c r="P502" s="37"/>
      <c r="Q502" s="37"/>
      <c r="R502" s="37"/>
      <c r="S502" s="37"/>
      <c r="T502" s="37"/>
      <c r="U502" s="37"/>
      <c r="V502" s="37"/>
      <c r="W502" s="37"/>
      <c r="X502" s="37"/>
      <c r="Y502" s="37"/>
      <c r="Z502" s="37"/>
    </row>
    <row r="503" spans="1:26" ht="12.5">
      <c r="A503" s="37"/>
      <c r="B503" s="151"/>
      <c r="C503" s="122"/>
      <c r="D503" s="122"/>
      <c r="E503" s="84"/>
      <c r="F503" s="77"/>
      <c r="G503" s="77"/>
      <c r="H503" s="37"/>
      <c r="I503" s="37"/>
      <c r="J503" s="37"/>
      <c r="K503" s="122"/>
      <c r="L503" s="37"/>
      <c r="M503" s="37"/>
      <c r="N503" s="139"/>
      <c r="O503" s="37"/>
      <c r="P503" s="37"/>
      <c r="Q503" s="37"/>
      <c r="R503" s="37"/>
      <c r="S503" s="37"/>
      <c r="T503" s="37"/>
      <c r="U503" s="37"/>
      <c r="V503" s="37"/>
      <c r="W503" s="37"/>
      <c r="X503" s="37"/>
      <c r="Y503" s="37"/>
      <c r="Z503" s="37"/>
    </row>
    <row r="504" spans="1:26" ht="12.5">
      <c r="A504" s="37"/>
      <c r="B504" s="151"/>
      <c r="C504" s="122"/>
      <c r="D504" s="122"/>
      <c r="E504" s="84"/>
      <c r="F504" s="77"/>
      <c r="G504" s="77"/>
      <c r="H504" s="37"/>
      <c r="I504" s="37"/>
      <c r="J504" s="37"/>
      <c r="K504" s="122"/>
      <c r="L504" s="37"/>
      <c r="M504" s="37"/>
      <c r="N504" s="139"/>
      <c r="O504" s="37"/>
      <c r="P504" s="37"/>
      <c r="Q504" s="37"/>
      <c r="R504" s="37"/>
      <c r="S504" s="37"/>
      <c r="T504" s="37"/>
      <c r="U504" s="37"/>
      <c r="V504" s="37"/>
      <c r="W504" s="37"/>
      <c r="X504" s="37"/>
      <c r="Y504" s="37"/>
      <c r="Z504" s="37"/>
    </row>
    <row r="505" spans="1:26" ht="12.5">
      <c r="A505" s="37"/>
      <c r="B505" s="151"/>
      <c r="C505" s="122"/>
      <c r="D505" s="122"/>
      <c r="E505" s="84"/>
      <c r="F505" s="77"/>
      <c r="G505" s="77"/>
      <c r="H505" s="37"/>
      <c r="I505" s="37"/>
      <c r="J505" s="37"/>
      <c r="K505" s="122"/>
      <c r="L505" s="37"/>
      <c r="M505" s="37"/>
      <c r="N505" s="139"/>
      <c r="O505" s="37"/>
      <c r="P505" s="37"/>
      <c r="Q505" s="37"/>
      <c r="R505" s="37"/>
      <c r="S505" s="37"/>
      <c r="T505" s="37"/>
      <c r="U505" s="37"/>
      <c r="V505" s="37"/>
      <c r="W505" s="37"/>
      <c r="X505" s="37"/>
      <c r="Y505" s="37"/>
      <c r="Z505" s="37"/>
    </row>
    <row r="506" spans="1:26" ht="12.5">
      <c r="A506" s="37"/>
      <c r="B506" s="151"/>
      <c r="C506" s="122"/>
      <c r="D506" s="122"/>
      <c r="E506" s="84"/>
      <c r="F506" s="77"/>
      <c r="G506" s="77"/>
      <c r="H506" s="37"/>
      <c r="I506" s="37"/>
      <c r="J506" s="37"/>
      <c r="K506" s="122"/>
      <c r="L506" s="37"/>
      <c r="M506" s="37"/>
      <c r="N506" s="139"/>
      <c r="O506" s="37"/>
      <c r="P506" s="37"/>
      <c r="Q506" s="37"/>
      <c r="R506" s="37"/>
      <c r="S506" s="37"/>
      <c r="T506" s="37"/>
      <c r="U506" s="37"/>
      <c r="V506" s="37"/>
      <c r="W506" s="37"/>
      <c r="X506" s="37"/>
      <c r="Y506" s="37"/>
      <c r="Z506" s="37"/>
    </row>
    <row r="507" spans="1:26" ht="12.5">
      <c r="A507" s="37"/>
      <c r="B507" s="151"/>
      <c r="C507" s="122"/>
      <c r="D507" s="122"/>
      <c r="E507" s="84"/>
      <c r="F507" s="77"/>
      <c r="G507" s="77"/>
      <c r="H507" s="37"/>
      <c r="I507" s="37"/>
      <c r="J507" s="37"/>
      <c r="K507" s="122"/>
      <c r="L507" s="37"/>
      <c r="M507" s="37"/>
      <c r="N507" s="139"/>
      <c r="O507" s="37"/>
      <c r="P507" s="37"/>
      <c r="Q507" s="37"/>
      <c r="R507" s="37"/>
      <c r="S507" s="37"/>
      <c r="T507" s="37"/>
      <c r="U507" s="37"/>
      <c r="V507" s="37"/>
      <c r="W507" s="37"/>
      <c r="X507" s="37"/>
      <c r="Y507" s="37"/>
      <c r="Z507" s="37"/>
    </row>
    <row r="508" spans="1:26" ht="12.5">
      <c r="A508" s="37"/>
      <c r="B508" s="151"/>
      <c r="C508" s="122"/>
      <c r="D508" s="122"/>
      <c r="E508" s="84"/>
      <c r="F508" s="77"/>
      <c r="G508" s="77"/>
      <c r="H508" s="37"/>
      <c r="I508" s="37"/>
      <c r="J508" s="37"/>
      <c r="K508" s="122"/>
      <c r="L508" s="37"/>
      <c r="M508" s="37"/>
      <c r="N508" s="139"/>
      <c r="O508" s="37"/>
      <c r="P508" s="37"/>
      <c r="Q508" s="37"/>
      <c r="R508" s="37"/>
      <c r="S508" s="37"/>
      <c r="T508" s="37"/>
      <c r="U508" s="37"/>
      <c r="V508" s="37"/>
      <c r="W508" s="37"/>
      <c r="X508" s="37"/>
      <c r="Y508" s="37"/>
      <c r="Z508" s="37"/>
    </row>
    <row r="509" spans="1:26" ht="12.5">
      <c r="A509" s="37"/>
      <c r="B509" s="151"/>
      <c r="C509" s="122"/>
      <c r="D509" s="122"/>
      <c r="E509" s="84"/>
      <c r="F509" s="77"/>
      <c r="G509" s="77"/>
      <c r="H509" s="37"/>
      <c r="I509" s="37"/>
      <c r="J509" s="37"/>
      <c r="K509" s="122"/>
      <c r="L509" s="37"/>
      <c r="M509" s="37"/>
      <c r="N509" s="139"/>
      <c r="O509" s="37"/>
      <c r="P509" s="37"/>
      <c r="Q509" s="37"/>
      <c r="R509" s="37"/>
      <c r="S509" s="37"/>
      <c r="T509" s="37"/>
      <c r="U509" s="37"/>
      <c r="V509" s="37"/>
      <c r="W509" s="37"/>
      <c r="X509" s="37"/>
      <c r="Y509" s="37"/>
      <c r="Z509" s="37"/>
    </row>
    <row r="510" spans="1:26" ht="12.5">
      <c r="A510" s="37"/>
      <c r="B510" s="151"/>
      <c r="C510" s="122"/>
      <c r="D510" s="122"/>
      <c r="E510" s="84"/>
      <c r="F510" s="77"/>
      <c r="G510" s="77"/>
      <c r="H510" s="37"/>
      <c r="I510" s="37"/>
      <c r="J510" s="37"/>
      <c r="K510" s="122"/>
      <c r="L510" s="37"/>
      <c r="M510" s="37"/>
      <c r="N510" s="139"/>
      <c r="O510" s="37"/>
      <c r="P510" s="37"/>
      <c r="Q510" s="37"/>
      <c r="R510" s="37"/>
      <c r="S510" s="37"/>
      <c r="T510" s="37"/>
      <c r="U510" s="37"/>
      <c r="V510" s="37"/>
      <c r="W510" s="37"/>
      <c r="X510" s="37"/>
      <c r="Y510" s="37"/>
      <c r="Z510" s="37"/>
    </row>
    <row r="511" spans="1:26" ht="12.5">
      <c r="A511" s="37"/>
      <c r="B511" s="151"/>
      <c r="C511" s="122"/>
      <c r="D511" s="122"/>
      <c r="E511" s="84"/>
      <c r="F511" s="77"/>
      <c r="G511" s="77"/>
      <c r="H511" s="37"/>
      <c r="I511" s="37"/>
      <c r="J511" s="37"/>
      <c r="K511" s="122"/>
      <c r="L511" s="37"/>
      <c r="M511" s="37"/>
      <c r="N511" s="139"/>
      <c r="O511" s="37"/>
      <c r="P511" s="37"/>
      <c r="Q511" s="37"/>
      <c r="R511" s="37"/>
      <c r="S511" s="37"/>
      <c r="T511" s="37"/>
      <c r="U511" s="37"/>
      <c r="V511" s="37"/>
      <c r="W511" s="37"/>
      <c r="X511" s="37"/>
      <c r="Y511" s="37"/>
      <c r="Z511" s="37"/>
    </row>
    <row r="512" spans="1:26" ht="12.5">
      <c r="A512" s="37"/>
      <c r="B512" s="151"/>
      <c r="C512" s="122"/>
      <c r="D512" s="122"/>
      <c r="E512" s="84"/>
      <c r="F512" s="77"/>
      <c r="G512" s="77"/>
      <c r="H512" s="37"/>
      <c r="I512" s="37"/>
      <c r="J512" s="37"/>
      <c r="K512" s="122"/>
      <c r="L512" s="37"/>
      <c r="M512" s="37"/>
      <c r="N512" s="139"/>
      <c r="O512" s="37"/>
      <c r="P512" s="37"/>
      <c r="Q512" s="37"/>
      <c r="R512" s="37"/>
      <c r="S512" s="37"/>
      <c r="T512" s="37"/>
      <c r="U512" s="37"/>
      <c r="V512" s="37"/>
      <c r="W512" s="37"/>
      <c r="X512" s="37"/>
      <c r="Y512" s="37"/>
      <c r="Z512" s="37"/>
    </row>
    <row r="513" spans="1:26" ht="12.5">
      <c r="A513" s="37"/>
      <c r="B513" s="151"/>
      <c r="C513" s="122"/>
      <c r="D513" s="122"/>
      <c r="E513" s="84"/>
      <c r="F513" s="77"/>
      <c r="G513" s="77"/>
      <c r="H513" s="37"/>
      <c r="I513" s="37"/>
      <c r="J513" s="37"/>
      <c r="K513" s="122"/>
      <c r="L513" s="37"/>
      <c r="M513" s="37"/>
      <c r="N513" s="139"/>
      <c r="O513" s="37"/>
      <c r="P513" s="37"/>
      <c r="Q513" s="37"/>
      <c r="R513" s="37"/>
      <c r="S513" s="37"/>
      <c r="T513" s="37"/>
      <c r="U513" s="37"/>
      <c r="V513" s="37"/>
      <c r="W513" s="37"/>
      <c r="X513" s="37"/>
      <c r="Y513" s="37"/>
      <c r="Z513" s="37"/>
    </row>
    <row r="514" spans="1:26" ht="12.5">
      <c r="A514" s="37"/>
      <c r="B514" s="151"/>
      <c r="C514" s="122"/>
      <c r="D514" s="122"/>
      <c r="E514" s="84"/>
      <c r="F514" s="77"/>
      <c r="G514" s="77"/>
      <c r="H514" s="37"/>
      <c r="I514" s="37"/>
      <c r="J514" s="37"/>
      <c r="K514" s="122"/>
      <c r="L514" s="37"/>
      <c r="M514" s="37"/>
      <c r="N514" s="139"/>
      <c r="O514" s="37"/>
      <c r="P514" s="37"/>
      <c r="Q514" s="37"/>
      <c r="R514" s="37"/>
      <c r="S514" s="37"/>
      <c r="T514" s="37"/>
      <c r="U514" s="37"/>
      <c r="V514" s="37"/>
      <c r="W514" s="37"/>
      <c r="X514" s="37"/>
      <c r="Y514" s="37"/>
      <c r="Z514" s="37"/>
    </row>
    <row r="515" spans="1:26" ht="12.5">
      <c r="A515" s="37"/>
      <c r="B515" s="151"/>
      <c r="C515" s="122"/>
      <c r="D515" s="122"/>
      <c r="E515" s="84"/>
      <c r="F515" s="77"/>
      <c r="G515" s="77"/>
      <c r="H515" s="37"/>
      <c r="I515" s="37"/>
      <c r="J515" s="37"/>
      <c r="K515" s="122"/>
      <c r="L515" s="37"/>
      <c r="M515" s="37"/>
      <c r="N515" s="139"/>
      <c r="O515" s="37"/>
      <c r="P515" s="37"/>
      <c r="Q515" s="37"/>
      <c r="R515" s="37"/>
      <c r="S515" s="37"/>
      <c r="T515" s="37"/>
      <c r="U515" s="37"/>
      <c r="V515" s="37"/>
      <c r="W515" s="37"/>
      <c r="X515" s="37"/>
      <c r="Y515" s="37"/>
      <c r="Z515" s="37"/>
    </row>
    <row r="516" spans="1:26" ht="12.5">
      <c r="A516" s="37"/>
      <c r="B516" s="151"/>
      <c r="C516" s="122"/>
      <c r="D516" s="122"/>
      <c r="E516" s="84"/>
      <c r="F516" s="77"/>
      <c r="G516" s="77"/>
      <c r="H516" s="37"/>
      <c r="I516" s="37"/>
      <c r="J516" s="37"/>
      <c r="K516" s="122"/>
      <c r="L516" s="37"/>
      <c r="M516" s="37"/>
      <c r="N516" s="139"/>
      <c r="O516" s="37"/>
      <c r="P516" s="37"/>
      <c r="Q516" s="37"/>
      <c r="R516" s="37"/>
      <c r="S516" s="37"/>
      <c r="T516" s="37"/>
      <c r="U516" s="37"/>
      <c r="V516" s="37"/>
      <c r="W516" s="37"/>
      <c r="X516" s="37"/>
      <c r="Y516" s="37"/>
      <c r="Z516" s="37"/>
    </row>
    <row r="517" spans="1:26" ht="12.5">
      <c r="A517" s="37"/>
      <c r="B517" s="151"/>
      <c r="C517" s="122"/>
      <c r="D517" s="122"/>
      <c r="E517" s="84"/>
      <c r="F517" s="77"/>
      <c r="G517" s="77"/>
      <c r="H517" s="37"/>
      <c r="I517" s="37"/>
      <c r="J517" s="37"/>
      <c r="K517" s="122"/>
      <c r="L517" s="37"/>
      <c r="M517" s="37"/>
      <c r="N517" s="139"/>
      <c r="O517" s="37"/>
      <c r="P517" s="37"/>
      <c r="Q517" s="37"/>
      <c r="R517" s="37"/>
      <c r="S517" s="37"/>
      <c r="T517" s="37"/>
      <c r="U517" s="37"/>
      <c r="V517" s="37"/>
      <c r="W517" s="37"/>
      <c r="X517" s="37"/>
      <c r="Y517" s="37"/>
      <c r="Z517" s="37"/>
    </row>
    <row r="518" spans="1:26" ht="12.5">
      <c r="A518" s="37"/>
      <c r="B518" s="151"/>
      <c r="C518" s="122"/>
      <c r="D518" s="122"/>
      <c r="E518" s="84"/>
      <c r="F518" s="77"/>
      <c r="G518" s="77"/>
      <c r="H518" s="37"/>
      <c r="I518" s="37"/>
      <c r="J518" s="37"/>
      <c r="K518" s="122"/>
      <c r="L518" s="37"/>
      <c r="M518" s="37"/>
      <c r="N518" s="139"/>
      <c r="O518" s="37"/>
      <c r="P518" s="37"/>
      <c r="Q518" s="37"/>
      <c r="R518" s="37"/>
      <c r="S518" s="37"/>
      <c r="T518" s="37"/>
      <c r="U518" s="37"/>
      <c r="V518" s="37"/>
      <c r="W518" s="37"/>
      <c r="X518" s="37"/>
      <c r="Y518" s="37"/>
      <c r="Z518" s="37"/>
    </row>
    <row r="519" spans="1:26" ht="12.5">
      <c r="A519" s="37"/>
      <c r="B519" s="151"/>
      <c r="C519" s="122"/>
      <c r="D519" s="122"/>
      <c r="E519" s="84"/>
      <c r="F519" s="77"/>
      <c r="G519" s="77"/>
      <c r="H519" s="37"/>
      <c r="I519" s="37"/>
      <c r="J519" s="37"/>
      <c r="K519" s="122"/>
      <c r="L519" s="37"/>
      <c r="M519" s="37"/>
      <c r="N519" s="139"/>
      <c r="O519" s="37"/>
      <c r="P519" s="37"/>
      <c r="Q519" s="37"/>
      <c r="R519" s="37"/>
      <c r="S519" s="37"/>
      <c r="T519" s="37"/>
      <c r="U519" s="37"/>
      <c r="V519" s="37"/>
      <c r="W519" s="37"/>
      <c r="X519" s="37"/>
      <c r="Y519" s="37"/>
      <c r="Z519" s="37"/>
    </row>
    <row r="520" spans="1:26" ht="12.5">
      <c r="A520" s="37"/>
      <c r="B520" s="151"/>
      <c r="C520" s="122"/>
      <c r="D520" s="122"/>
      <c r="E520" s="84"/>
      <c r="F520" s="77"/>
      <c r="G520" s="77"/>
      <c r="H520" s="37"/>
      <c r="I520" s="37"/>
      <c r="J520" s="37"/>
      <c r="K520" s="122"/>
      <c r="L520" s="37"/>
      <c r="M520" s="37"/>
      <c r="N520" s="139"/>
      <c r="O520" s="37"/>
      <c r="P520" s="37"/>
      <c r="Q520" s="37"/>
      <c r="R520" s="37"/>
      <c r="S520" s="37"/>
      <c r="T520" s="37"/>
      <c r="U520" s="37"/>
      <c r="V520" s="37"/>
      <c r="W520" s="37"/>
      <c r="X520" s="37"/>
      <c r="Y520" s="37"/>
      <c r="Z520" s="37"/>
    </row>
    <row r="521" spans="1:26" ht="12.5">
      <c r="A521" s="37"/>
      <c r="B521" s="151"/>
      <c r="C521" s="122"/>
      <c r="D521" s="122"/>
      <c r="E521" s="84"/>
      <c r="F521" s="77"/>
      <c r="G521" s="77"/>
      <c r="H521" s="37"/>
      <c r="I521" s="37"/>
      <c r="J521" s="37"/>
      <c r="K521" s="122"/>
      <c r="L521" s="37"/>
      <c r="M521" s="37"/>
      <c r="N521" s="139"/>
      <c r="O521" s="37"/>
      <c r="P521" s="37"/>
      <c r="Q521" s="37"/>
      <c r="R521" s="37"/>
      <c r="S521" s="37"/>
      <c r="T521" s="37"/>
      <c r="U521" s="37"/>
      <c r="V521" s="37"/>
      <c r="W521" s="37"/>
      <c r="X521" s="37"/>
      <c r="Y521" s="37"/>
      <c r="Z521" s="37"/>
    </row>
    <row r="522" spans="1:26" ht="12.5">
      <c r="A522" s="37"/>
      <c r="B522" s="151"/>
      <c r="C522" s="122"/>
      <c r="D522" s="122"/>
      <c r="E522" s="84"/>
      <c r="F522" s="77"/>
      <c r="G522" s="77"/>
      <c r="H522" s="37"/>
      <c r="I522" s="37"/>
      <c r="J522" s="37"/>
      <c r="K522" s="122"/>
      <c r="L522" s="37"/>
      <c r="M522" s="37"/>
      <c r="N522" s="139"/>
      <c r="O522" s="37"/>
      <c r="P522" s="37"/>
      <c r="Q522" s="37"/>
      <c r="R522" s="37"/>
      <c r="S522" s="37"/>
      <c r="T522" s="37"/>
      <c r="U522" s="37"/>
      <c r="V522" s="37"/>
      <c r="W522" s="37"/>
      <c r="X522" s="37"/>
      <c r="Y522" s="37"/>
      <c r="Z522" s="37"/>
    </row>
    <row r="523" spans="1:26" ht="12.5">
      <c r="A523" s="37"/>
      <c r="B523" s="151"/>
      <c r="C523" s="122"/>
      <c r="D523" s="122"/>
      <c r="E523" s="84"/>
      <c r="F523" s="77"/>
      <c r="G523" s="77"/>
      <c r="H523" s="37"/>
      <c r="I523" s="37"/>
      <c r="J523" s="37"/>
      <c r="K523" s="122"/>
      <c r="L523" s="37"/>
      <c r="M523" s="37"/>
      <c r="N523" s="139"/>
      <c r="O523" s="37"/>
      <c r="P523" s="37"/>
      <c r="Q523" s="37"/>
      <c r="R523" s="37"/>
      <c r="S523" s="37"/>
      <c r="T523" s="37"/>
      <c r="U523" s="37"/>
      <c r="V523" s="37"/>
      <c r="W523" s="37"/>
      <c r="X523" s="37"/>
      <c r="Y523" s="37"/>
      <c r="Z523" s="37"/>
    </row>
    <row r="524" spans="1:26" ht="12.5">
      <c r="A524" s="37"/>
      <c r="B524" s="151"/>
      <c r="C524" s="122"/>
      <c r="D524" s="122"/>
      <c r="E524" s="84"/>
      <c r="F524" s="77"/>
      <c r="G524" s="77"/>
      <c r="H524" s="37"/>
      <c r="I524" s="37"/>
      <c r="J524" s="37"/>
      <c r="K524" s="122"/>
      <c r="L524" s="37"/>
      <c r="M524" s="37"/>
      <c r="N524" s="139"/>
      <c r="O524" s="37"/>
      <c r="P524" s="37"/>
      <c r="Q524" s="37"/>
      <c r="R524" s="37"/>
      <c r="S524" s="37"/>
      <c r="T524" s="37"/>
      <c r="U524" s="37"/>
      <c r="V524" s="37"/>
      <c r="W524" s="37"/>
      <c r="X524" s="37"/>
      <c r="Y524" s="37"/>
      <c r="Z524" s="37"/>
    </row>
    <row r="525" spans="1:26" ht="12.5">
      <c r="A525" s="37"/>
      <c r="B525" s="151"/>
      <c r="C525" s="122"/>
      <c r="D525" s="122"/>
      <c r="E525" s="84"/>
      <c r="F525" s="77"/>
      <c r="G525" s="77"/>
      <c r="H525" s="37"/>
      <c r="I525" s="37"/>
      <c r="J525" s="37"/>
      <c r="K525" s="122"/>
      <c r="L525" s="37"/>
      <c r="M525" s="37"/>
      <c r="N525" s="139"/>
      <c r="O525" s="37"/>
      <c r="P525" s="37"/>
      <c r="Q525" s="37"/>
      <c r="R525" s="37"/>
      <c r="S525" s="37"/>
      <c r="T525" s="37"/>
      <c r="U525" s="37"/>
      <c r="V525" s="37"/>
      <c r="W525" s="37"/>
      <c r="X525" s="37"/>
      <c r="Y525" s="37"/>
      <c r="Z525" s="37"/>
    </row>
    <row r="526" spans="1:26" ht="12.5">
      <c r="A526" s="37"/>
      <c r="B526" s="151"/>
      <c r="C526" s="122"/>
      <c r="D526" s="122"/>
      <c r="E526" s="84"/>
      <c r="F526" s="77"/>
      <c r="G526" s="77"/>
      <c r="H526" s="37"/>
      <c r="I526" s="37"/>
      <c r="J526" s="37"/>
      <c r="K526" s="122"/>
      <c r="L526" s="37"/>
      <c r="M526" s="37"/>
      <c r="N526" s="139"/>
      <c r="O526" s="37"/>
      <c r="P526" s="37"/>
      <c r="Q526" s="37"/>
      <c r="R526" s="37"/>
      <c r="S526" s="37"/>
      <c r="T526" s="37"/>
      <c r="U526" s="37"/>
      <c r="V526" s="37"/>
      <c r="W526" s="37"/>
      <c r="X526" s="37"/>
      <c r="Y526" s="37"/>
      <c r="Z526" s="37"/>
    </row>
    <row r="527" spans="1:26" ht="12.5">
      <c r="A527" s="37"/>
      <c r="B527" s="151"/>
      <c r="C527" s="122"/>
      <c r="D527" s="122"/>
      <c r="E527" s="84"/>
      <c r="F527" s="77"/>
      <c r="G527" s="77"/>
      <c r="H527" s="37"/>
      <c r="I527" s="37"/>
      <c r="J527" s="37"/>
      <c r="K527" s="122"/>
      <c r="L527" s="37"/>
      <c r="M527" s="37"/>
      <c r="N527" s="139"/>
      <c r="O527" s="37"/>
      <c r="P527" s="37"/>
      <c r="Q527" s="37"/>
      <c r="R527" s="37"/>
      <c r="S527" s="37"/>
      <c r="T527" s="37"/>
      <c r="U527" s="37"/>
      <c r="V527" s="37"/>
      <c r="W527" s="37"/>
      <c r="X527" s="37"/>
      <c r="Y527" s="37"/>
      <c r="Z527" s="37"/>
    </row>
    <row r="528" spans="1:26" ht="12.5">
      <c r="A528" s="37"/>
      <c r="B528" s="151"/>
      <c r="C528" s="122"/>
      <c r="D528" s="122"/>
      <c r="E528" s="84"/>
      <c r="F528" s="77"/>
      <c r="G528" s="77"/>
      <c r="H528" s="37"/>
      <c r="I528" s="37"/>
      <c r="J528" s="37"/>
      <c r="K528" s="122"/>
      <c r="L528" s="37"/>
      <c r="M528" s="37"/>
      <c r="N528" s="139"/>
      <c r="O528" s="37"/>
      <c r="P528" s="37"/>
      <c r="Q528" s="37"/>
      <c r="R528" s="37"/>
      <c r="S528" s="37"/>
      <c r="T528" s="37"/>
      <c r="U528" s="37"/>
      <c r="V528" s="37"/>
      <c r="W528" s="37"/>
      <c r="X528" s="37"/>
      <c r="Y528" s="37"/>
      <c r="Z528" s="37"/>
    </row>
    <row r="529" spans="1:26" ht="12.5">
      <c r="A529" s="37"/>
      <c r="B529" s="151"/>
      <c r="C529" s="122"/>
      <c r="D529" s="122"/>
      <c r="E529" s="84"/>
      <c r="F529" s="77"/>
      <c r="G529" s="77"/>
      <c r="H529" s="37"/>
      <c r="I529" s="37"/>
      <c r="J529" s="37"/>
      <c r="K529" s="122"/>
      <c r="L529" s="37"/>
      <c r="M529" s="37"/>
      <c r="N529" s="139"/>
      <c r="O529" s="37"/>
      <c r="P529" s="37"/>
      <c r="Q529" s="37"/>
      <c r="R529" s="37"/>
      <c r="S529" s="37"/>
      <c r="T529" s="37"/>
      <c r="U529" s="37"/>
      <c r="V529" s="37"/>
      <c r="W529" s="37"/>
      <c r="X529" s="37"/>
      <c r="Y529" s="37"/>
      <c r="Z529" s="37"/>
    </row>
    <row r="530" spans="1:26" ht="12.5">
      <c r="A530" s="37"/>
      <c r="B530" s="151"/>
      <c r="C530" s="122"/>
      <c r="D530" s="122"/>
      <c r="E530" s="84"/>
      <c r="F530" s="77"/>
      <c r="G530" s="77"/>
      <c r="H530" s="37"/>
      <c r="I530" s="37"/>
      <c r="J530" s="37"/>
      <c r="K530" s="122"/>
      <c r="L530" s="37"/>
      <c r="M530" s="37"/>
      <c r="N530" s="139"/>
      <c r="O530" s="37"/>
      <c r="P530" s="37"/>
      <c r="Q530" s="37"/>
      <c r="R530" s="37"/>
      <c r="S530" s="37"/>
      <c r="T530" s="37"/>
      <c r="U530" s="37"/>
      <c r="V530" s="37"/>
      <c r="W530" s="37"/>
      <c r="X530" s="37"/>
      <c r="Y530" s="37"/>
      <c r="Z530" s="37"/>
    </row>
    <row r="531" spans="1:26" ht="12.5">
      <c r="A531" s="37"/>
      <c r="B531" s="151"/>
      <c r="C531" s="122"/>
      <c r="D531" s="122"/>
      <c r="E531" s="84"/>
      <c r="F531" s="77"/>
      <c r="G531" s="77"/>
      <c r="H531" s="37"/>
      <c r="I531" s="37"/>
      <c r="J531" s="37"/>
      <c r="K531" s="122"/>
      <c r="L531" s="37"/>
      <c r="M531" s="37"/>
      <c r="N531" s="139"/>
      <c r="O531" s="37"/>
      <c r="P531" s="37"/>
      <c r="Q531" s="37"/>
      <c r="R531" s="37"/>
      <c r="S531" s="37"/>
      <c r="T531" s="37"/>
      <c r="U531" s="37"/>
      <c r="V531" s="37"/>
      <c r="W531" s="37"/>
      <c r="X531" s="37"/>
      <c r="Y531" s="37"/>
      <c r="Z531" s="37"/>
    </row>
    <row r="532" spans="1:26" ht="12.5">
      <c r="A532" s="37"/>
      <c r="B532" s="151"/>
      <c r="C532" s="122"/>
      <c r="D532" s="122"/>
      <c r="E532" s="84"/>
      <c r="F532" s="77"/>
      <c r="G532" s="77"/>
      <c r="H532" s="37"/>
      <c r="I532" s="37"/>
      <c r="J532" s="37"/>
      <c r="K532" s="122"/>
      <c r="L532" s="37"/>
      <c r="M532" s="37"/>
      <c r="N532" s="139"/>
      <c r="O532" s="37"/>
      <c r="P532" s="37"/>
      <c r="Q532" s="37"/>
      <c r="R532" s="37"/>
      <c r="S532" s="37"/>
      <c r="T532" s="37"/>
      <c r="U532" s="37"/>
      <c r="V532" s="37"/>
      <c r="W532" s="37"/>
      <c r="X532" s="37"/>
      <c r="Y532" s="37"/>
      <c r="Z532" s="37"/>
    </row>
    <row r="533" spans="1:26" ht="12.5">
      <c r="A533" s="37"/>
      <c r="B533" s="151"/>
      <c r="C533" s="122"/>
      <c r="D533" s="122"/>
      <c r="E533" s="84"/>
      <c r="F533" s="77"/>
      <c r="G533" s="77"/>
      <c r="H533" s="37"/>
      <c r="I533" s="37"/>
      <c r="J533" s="37"/>
      <c r="K533" s="122"/>
      <c r="L533" s="37"/>
      <c r="M533" s="37"/>
      <c r="N533" s="139"/>
      <c r="O533" s="37"/>
      <c r="P533" s="37"/>
      <c r="Q533" s="37"/>
      <c r="R533" s="37"/>
      <c r="S533" s="37"/>
      <c r="T533" s="37"/>
      <c r="U533" s="37"/>
      <c r="V533" s="37"/>
      <c r="W533" s="37"/>
      <c r="X533" s="37"/>
      <c r="Y533" s="37"/>
      <c r="Z533" s="37"/>
    </row>
    <row r="534" spans="1:26" ht="12.5">
      <c r="A534" s="37"/>
      <c r="B534" s="151"/>
      <c r="C534" s="122"/>
      <c r="D534" s="122"/>
      <c r="E534" s="84"/>
      <c r="F534" s="77"/>
      <c r="G534" s="77"/>
      <c r="H534" s="37"/>
      <c r="I534" s="37"/>
      <c r="J534" s="37"/>
      <c r="K534" s="122"/>
      <c r="L534" s="37"/>
      <c r="M534" s="37"/>
      <c r="N534" s="139"/>
      <c r="O534" s="37"/>
      <c r="P534" s="37"/>
      <c r="Q534" s="37"/>
      <c r="R534" s="37"/>
      <c r="S534" s="37"/>
      <c r="T534" s="37"/>
      <c r="U534" s="37"/>
      <c r="V534" s="37"/>
      <c r="W534" s="37"/>
      <c r="X534" s="37"/>
      <c r="Y534" s="37"/>
      <c r="Z534" s="37"/>
    </row>
    <row r="535" spans="1:26" ht="12.5">
      <c r="A535" s="37"/>
      <c r="B535" s="151"/>
      <c r="C535" s="122"/>
      <c r="D535" s="122"/>
      <c r="E535" s="84"/>
      <c r="F535" s="77"/>
      <c r="G535" s="77"/>
      <c r="H535" s="37"/>
      <c r="I535" s="37"/>
      <c r="J535" s="37"/>
      <c r="K535" s="122"/>
      <c r="L535" s="37"/>
      <c r="M535" s="37"/>
      <c r="N535" s="139"/>
      <c r="O535" s="37"/>
      <c r="P535" s="37"/>
      <c r="Q535" s="37"/>
      <c r="R535" s="37"/>
      <c r="S535" s="37"/>
      <c r="T535" s="37"/>
      <c r="U535" s="37"/>
      <c r="V535" s="37"/>
      <c r="W535" s="37"/>
      <c r="X535" s="37"/>
      <c r="Y535" s="37"/>
      <c r="Z535" s="37"/>
    </row>
    <row r="536" spans="1:26" ht="12.5">
      <c r="A536" s="37"/>
      <c r="B536" s="151"/>
      <c r="C536" s="122"/>
      <c r="D536" s="122"/>
      <c r="E536" s="84"/>
      <c r="F536" s="77"/>
      <c r="G536" s="77"/>
      <c r="H536" s="37"/>
      <c r="I536" s="37"/>
      <c r="J536" s="37"/>
      <c r="K536" s="122"/>
      <c r="L536" s="37"/>
      <c r="M536" s="37"/>
      <c r="N536" s="139"/>
      <c r="O536" s="37"/>
      <c r="P536" s="37"/>
      <c r="Q536" s="37"/>
      <c r="R536" s="37"/>
      <c r="S536" s="37"/>
      <c r="T536" s="37"/>
      <c r="U536" s="37"/>
      <c r="V536" s="37"/>
      <c r="W536" s="37"/>
      <c r="X536" s="37"/>
      <c r="Y536" s="37"/>
      <c r="Z536" s="37"/>
    </row>
    <row r="537" spans="1:26" ht="12.5">
      <c r="A537" s="37"/>
      <c r="B537" s="151"/>
      <c r="C537" s="122"/>
      <c r="D537" s="122"/>
      <c r="E537" s="84"/>
      <c r="F537" s="77"/>
      <c r="G537" s="77"/>
      <c r="H537" s="37"/>
      <c r="I537" s="37"/>
      <c r="J537" s="37"/>
      <c r="K537" s="122"/>
      <c r="L537" s="37"/>
      <c r="M537" s="37"/>
      <c r="N537" s="139"/>
      <c r="O537" s="37"/>
      <c r="P537" s="37"/>
      <c r="Q537" s="37"/>
      <c r="R537" s="37"/>
      <c r="S537" s="37"/>
      <c r="T537" s="37"/>
      <c r="U537" s="37"/>
      <c r="V537" s="37"/>
      <c r="W537" s="37"/>
      <c r="X537" s="37"/>
      <c r="Y537" s="37"/>
      <c r="Z537" s="37"/>
    </row>
    <row r="538" spans="1:26" ht="12.5">
      <c r="A538" s="37"/>
      <c r="B538" s="151"/>
      <c r="C538" s="122"/>
      <c r="D538" s="122"/>
      <c r="E538" s="84"/>
      <c r="F538" s="77"/>
      <c r="G538" s="77"/>
      <c r="H538" s="37"/>
      <c r="I538" s="37"/>
      <c r="J538" s="37"/>
      <c r="K538" s="122"/>
      <c r="L538" s="37"/>
      <c r="M538" s="37"/>
      <c r="N538" s="139"/>
      <c r="O538" s="37"/>
      <c r="P538" s="37"/>
      <c r="Q538" s="37"/>
      <c r="R538" s="37"/>
      <c r="S538" s="37"/>
      <c r="T538" s="37"/>
      <c r="U538" s="37"/>
      <c r="V538" s="37"/>
      <c r="W538" s="37"/>
      <c r="X538" s="37"/>
      <c r="Y538" s="37"/>
      <c r="Z538" s="37"/>
    </row>
    <row r="539" spans="1:26" ht="12.5">
      <c r="A539" s="37"/>
      <c r="B539" s="151"/>
      <c r="C539" s="122"/>
      <c r="D539" s="122"/>
      <c r="E539" s="84"/>
      <c r="F539" s="77"/>
      <c r="G539" s="77"/>
      <c r="H539" s="37"/>
      <c r="I539" s="37"/>
      <c r="J539" s="37"/>
      <c r="K539" s="122"/>
      <c r="L539" s="37"/>
      <c r="M539" s="37"/>
      <c r="N539" s="139"/>
      <c r="O539" s="37"/>
      <c r="P539" s="37"/>
      <c r="Q539" s="37"/>
      <c r="R539" s="37"/>
      <c r="S539" s="37"/>
      <c r="T539" s="37"/>
      <c r="U539" s="37"/>
      <c r="V539" s="37"/>
      <c r="W539" s="37"/>
      <c r="X539" s="37"/>
      <c r="Y539" s="37"/>
      <c r="Z539" s="37"/>
    </row>
    <row r="540" spans="1:26" ht="12.5">
      <c r="A540" s="37"/>
      <c r="B540" s="151"/>
      <c r="C540" s="122"/>
      <c r="D540" s="122"/>
      <c r="E540" s="84"/>
      <c r="F540" s="77"/>
      <c r="G540" s="77"/>
      <c r="H540" s="37"/>
      <c r="I540" s="37"/>
      <c r="J540" s="37"/>
      <c r="K540" s="122"/>
      <c r="L540" s="37"/>
      <c r="M540" s="37"/>
      <c r="N540" s="139"/>
      <c r="O540" s="37"/>
      <c r="P540" s="37"/>
      <c r="Q540" s="37"/>
      <c r="R540" s="37"/>
      <c r="S540" s="37"/>
      <c r="T540" s="37"/>
      <c r="U540" s="37"/>
      <c r="V540" s="37"/>
      <c r="W540" s="37"/>
      <c r="X540" s="37"/>
      <c r="Y540" s="37"/>
      <c r="Z540" s="37"/>
    </row>
    <row r="541" spans="1:26" ht="12.5">
      <c r="A541" s="37"/>
      <c r="B541" s="151"/>
      <c r="C541" s="122"/>
      <c r="D541" s="122"/>
      <c r="E541" s="84"/>
      <c r="F541" s="77"/>
      <c r="G541" s="77"/>
      <c r="H541" s="37"/>
      <c r="I541" s="37"/>
      <c r="J541" s="37"/>
      <c r="K541" s="122"/>
      <c r="L541" s="37"/>
      <c r="M541" s="37"/>
      <c r="N541" s="139"/>
      <c r="O541" s="37"/>
      <c r="P541" s="37"/>
      <c r="Q541" s="37"/>
      <c r="R541" s="37"/>
      <c r="S541" s="37"/>
      <c r="T541" s="37"/>
      <c r="U541" s="37"/>
      <c r="V541" s="37"/>
      <c r="W541" s="37"/>
      <c r="X541" s="37"/>
      <c r="Y541" s="37"/>
      <c r="Z541" s="37"/>
    </row>
    <row r="542" spans="1:26" ht="12.5">
      <c r="A542" s="37"/>
      <c r="B542" s="151"/>
      <c r="C542" s="122"/>
      <c r="D542" s="122"/>
      <c r="E542" s="84"/>
      <c r="F542" s="77"/>
      <c r="G542" s="77"/>
      <c r="H542" s="37"/>
      <c r="I542" s="37"/>
      <c r="J542" s="37"/>
      <c r="K542" s="122"/>
      <c r="L542" s="37"/>
      <c r="M542" s="37"/>
      <c r="N542" s="139"/>
      <c r="O542" s="37"/>
      <c r="P542" s="37"/>
      <c r="Q542" s="37"/>
      <c r="R542" s="37"/>
      <c r="S542" s="37"/>
      <c r="T542" s="37"/>
      <c r="U542" s="37"/>
      <c r="V542" s="37"/>
      <c r="W542" s="37"/>
      <c r="X542" s="37"/>
      <c r="Y542" s="37"/>
      <c r="Z542" s="37"/>
    </row>
    <row r="543" spans="1:26" ht="12.5">
      <c r="A543" s="37"/>
      <c r="B543" s="151"/>
      <c r="C543" s="122"/>
      <c r="D543" s="122"/>
      <c r="E543" s="84"/>
      <c r="F543" s="77"/>
      <c r="G543" s="77"/>
      <c r="H543" s="37"/>
      <c r="I543" s="37"/>
      <c r="J543" s="37"/>
      <c r="K543" s="122"/>
      <c r="L543" s="37"/>
      <c r="M543" s="37"/>
      <c r="N543" s="139"/>
      <c r="O543" s="37"/>
      <c r="P543" s="37"/>
      <c r="Q543" s="37"/>
      <c r="R543" s="37"/>
      <c r="S543" s="37"/>
      <c r="T543" s="37"/>
      <c r="U543" s="37"/>
      <c r="V543" s="37"/>
      <c r="W543" s="37"/>
      <c r="X543" s="37"/>
      <c r="Y543" s="37"/>
      <c r="Z543" s="37"/>
    </row>
    <row r="544" spans="1:26" ht="12.5">
      <c r="A544" s="37"/>
      <c r="B544" s="151"/>
      <c r="C544" s="122"/>
      <c r="D544" s="122"/>
      <c r="E544" s="84"/>
      <c r="F544" s="77"/>
      <c r="G544" s="77"/>
      <c r="H544" s="37"/>
      <c r="I544" s="37"/>
      <c r="J544" s="37"/>
      <c r="K544" s="122"/>
      <c r="L544" s="37"/>
      <c r="M544" s="37"/>
      <c r="N544" s="139"/>
      <c r="O544" s="37"/>
      <c r="P544" s="37"/>
      <c r="Q544" s="37"/>
      <c r="R544" s="37"/>
      <c r="S544" s="37"/>
      <c r="T544" s="37"/>
      <c r="U544" s="37"/>
      <c r="V544" s="37"/>
      <c r="W544" s="37"/>
      <c r="X544" s="37"/>
      <c r="Y544" s="37"/>
      <c r="Z544" s="37"/>
    </row>
    <row r="545" spans="1:26" ht="12.5">
      <c r="A545" s="37"/>
      <c r="B545" s="151"/>
      <c r="C545" s="122"/>
      <c r="D545" s="122"/>
      <c r="E545" s="84"/>
      <c r="F545" s="77"/>
      <c r="G545" s="77"/>
      <c r="H545" s="37"/>
      <c r="I545" s="37"/>
      <c r="J545" s="37"/>
      <c r="K545" s="122"/>
      <c r="L545" s="37"/>
      <c r="M545" s="37"/>
      <c r="N545" s="139"/>
      <c r="O545" s="37"/>
      <c r="P545" s="37"/>
      <c r="Q545" s="37"/>
      <c r="R545" s="37"/>
      <c r="S545" s="37"/>
      <c r="T545" s="37"/>
      <c r="U545" s="37"/>
      <c r="V545" s="37"/>
      <c r="W545" s="37"/>
      <c r="X545" s="37"/>
      <c r="Y545" s="37"/>
      <c r="Z545" s="37"/>
    </row>
    <row r="546" spans="1:26" ht="12.5">
      <c r="A546" s="37"/>
      <c r="B546" s="151"/>
      <c r="C546" s="122"/>
      <c r="D546" s="122"/>
      <c r="E546" s="84"/>
      <c r="F546" s="77"/>
      <c r="G546" s="77"/>
      <c r="H546" s="37"/>
      <c r="I546" s="37"/>
      <c r="J546" s="37"/>
      <c r="K546" s="122"/>
      <c r="L546" s="37"/>
      <c r="M546" s="37"/>
      <c r="N546" s="139"/>
      <c r="O546" s="37"/>
      <c r="P546" s="37"/>
      <c r="Q546" s="37"/>
      <c r="R546" s="37"/>
      <c r="S546" s="37"/>
      <c r="T546" s="37"/>
      <c r="U546" s="37"/>
      <c r="V546" s="37"/>
      <c r="W546" s="37"/>
      <c r="X546" s="37"/>
      <c r="Y546" s="37"/>
      <c r="Z546" s="37"/>
    </row>
    <row r="547" spans="1:26" ht="12.5">
      <c r="A547" s="37"/>
      <c r="B547" s="151"/>
      <c r="C547" s="122"/>
      <c r="D547" s="122"/>
      <c r="E547" s="84"/>
      <c r="F547" s="77"/>
      <c r="G547" s="77"/>
      <c r="H547" s="37"/>
      <c r="I547" s="37"/>
      <c r="J547" s="37"/>
      <c r="K547" s="122"/>
      <c r="L547" s="37"/>
      <c r="M547" s="37"/>
      <c r="N547" s="139"/>
      <c r="O547" s="37"/>
      <c r="P547" s="37"/>
      <c r="Q547" s="37"/>
      <c r="R547" s="37"/>
      <c r="S547" s="37"/>
      <c r="T547" s="37"/>
      <c r="U547" s="37"/>
      <c r="V547" s="37"/>
      <c r="W547" s="37"/>
      <c r="X547" s="37"/>
      <c r="Y547" s="37"/>
      <c r="Z547" s="37"/>
    </row>
    <row r="548" spans="1:26" ht="12.5">
      <c r="A548" s="37"/>
      <c r="B548" s="151"/>
      <c r="C548" s="122"/>
      <c r="D548" s="122"/>
      <c r="E548" s="84"/>
      <c r="F548" s="77"/>
      <c r="G548" s="77"/>
      <c r="H548" s="37"/>
      <c r="I548" s="37"/>
      <c r="J548" s="37"/>
      <c r="K548" s="122"/>
      <c r="L548" s="37"/>
      <c r="M548" s="37"/>
      <c r="N548" s="139"/>
      <c r="O548" s="37"/>
      <c r="P548" s="37"/>
      <c r="Q548" s="37"/>
      <c r="R548" s="37"/>
      <c r="S548" s="37"/>
      <c r="T548" s="37"/>
      <c r="U548" s="37"/>
      <c r="V548" s="37"/>
      <c r="W548" s="37"/>
      <c r="X548" s="37"/>
      <c r="Y548" s="37"/>
      <c r="Z548" s="37"/>
    </row>
    <row r="549" spans="1:26" ht="12.5">
      <c r="A549" s="37"/>
      <c r="B549" s="151"/>
      <c r="C549" s="122"/>
      <c r="D549" s="122"/>
      <c r="E549" s="84"/>
      <c r="F549" s="77"/>
      <c r="G549" s="77"/>
      <c r="H549" s="37"/>
      <c r="I549" s="37"/>
      <c r="J549" s="37"/>
      <c r="K549" s="122"/>
      <c r="L549" s="37"/>
      <c r="M549" s="37"/>
      <c r="N549" s="139"/>
      <c r="O549" s="37"/>
      <c r="P549" s="37"/>
      <c r="Q549" s="37"/>
      <c r="R549" s="37"/>
      <c r="S549" s="37"/>
      <c r="T549" s="37"/>
      <c r="U549" s="37"/>
      <c r="V549" s="37"/>
      <c r="W549" s="37"/>
      <c r="X549" s="37"/>
      <c r="Y549" s="37"/>
      <c r="Z549" s="37"/>
    </row>
    <row r="550" spans="1:26" ht="12.5">
      <c r="A550" s="37"/>
      <c r="B550" s="151"/>
      <c r="C550" s="122"/>
      <c r="D550" s="122"/>
      <c r="E550" s="84"/>
      <c r="F550" s="77"/>
      <c r="G550" s="77"/>
      <c r="H550" s="37"/>
      <c r="I550" s="37"/>
      <c r="J550" s="37"/>
      <c r="K550" s="122"/>
      <c r="L550" s="37"/>
      <c r="M550" s="37"/>
      <c r="N550" s="139"/>
      <c r="O550" s="37"/>
      <c r="P550" s="37"/>
      <c r="Q550" s="37"/>
      <c r="R550" s="37"/>
      <c r="S550" s="37"/>
      <c r="T550" s="37"/>
      <c r="U550" s="37"/>
      <c r="V550" s="37"/>
      <c r="W550" s="37"/>
      <c r="X550" s="37"/>
      <c r="Y550" s="37"/>
      <c r="Z550" s="37"/>
    </row>
    <row r="551" spans="1:26" ht="12.5">
      <c r="A551" s="37"/>
      <c r="B551" s="151"/>
      <c r="C551" s="122"/>
      <c r="D551" s="122"/>
      <c r="E551" s="84"/>
      <c r="F551" s="77"/>
      <c r="G551" s="77"/>
      <c r="H551" s="37"/>
      <c r="I551" s="37"/>
      <c r="J551" s="37"/>
      <c r="K551" s="122"/>
      <c r="L551" s="37"/>
      <c r="M551" s="37"/>
      <c r="N551" s="139"/>
      <c r="O551" s="37"/>
      <c r="P551" s="37"/>
      <c r="Q551" s="37"/>
      <c r="R551" s="37"/>
      <c r="S551" s="37"/>
      <c r="T551" s="37"/>
      <c r="U551" s="37"/>
      <c r="V551" s="37"/>
      <c r="W551" s="37"/>
      <c r="X551" s="37"/>
      <c r="Y551" s="37"/>
      <c r="Z551" s="37"/>
    </row>
    <row r="552" spans="1:26" ht="12.5">
      <c r="A552" s="37"/>
      <c r="B552" s="151"/>
      <c r="C552" s="122"/>
      <c r="D552" s="122"/>
      <c r="E552" s="84"/>
      <c r="F552" s="77"/>
      <c r="G552" s="77"/>
      <c r="H552" s="37"/>
      <c r="I552" s="37"/>
      <c r="J552" s="37"/>
      <c r="K552" s="122"/>
      <c r="L552" s="37"/>
      <c r="M552" s="37"/>
      <c r="N552" s="139"/>
      <c r="O552" s="37"/>
      <c r="P552" s="37"/>
      <c r="Q552" s="37"/>
      <c r="R552" s="37"/>
      <c r="S552" s="37"/>
      <c r="T552" s="37"/>
      <c r="U552" s="37"/>
      <c r="V552" s="37"/>
      <c r="W552" s="37"/>
      <c r="X552" s="37"/>
      <c r="Y552" s="37"/>
      <c r="Z552" s="37"/>
    </row>
    <row r="553" spans="1:26" ht="12.5">
      <c r="A553" s="37"/>
      <c r="B553" s="151"/>
      <c r="C553" s="122"/>
      <c r="D553" s="122"/>
      <c r="E553" s="84"/>
      <c r="F553" s="77"/>
      <c r="G553" s="77"/>
      <c r="H553" s="37"/>
      <c r="I553" s="37"/>
      <c r="J553" s="37"/>
      <c r="K553" s="122"/>
      <c r="L553" s="37"/>
      <c r="M553" s="37"/>
      <c r="N553" s="139"/>
      <c r="O553" s="37"/>
      <c r="P553" s="37"/>
      <c r="Q553" s="37"/>
      <c r="R553" s="37"/>
      <c r="S553" s="37"/>
      <c r="T553" s="37"/>
      <c r="U553" s="37"/>
      <c r="V553" s="37"/>
      <c r="W553" s="37"/>
      <c r="X553" s="37"/>
      <c r="Y553" s="37"/>
      <c r="Z553" s="37"/>
    </row>
    <row r="554" spans="1:26" ht="12.5">
      <c r="A554" s="37"/>
      <c r="B554" s="151"/>
      <c r="C554" s="122"/>
      <c r="D554" s="122"/>
      <c r="E554" s="84"/>
      <c r="F554" s="77"/>
      <c r="G554" s="77"/>
      <c r="H554" s="37"/>
      <c r="I554" s="37"/>
      <c r="J554" s="37"/>
      <c r="K554" s="122"/>
      <c r="L554" s="37"/>
      <c r="M554" s="37"/>
      <c r="N554" s="139"/>
      <c r="O554" s="37"/>
      <c r="P554" s="37"/>
      <c r="Q554" s="37"/>
      <c r="R554" s="37"/>
      <c r="S554" s="37"/>
      <c r="T554" s="37"/>
      <c r="U554" s="37"/>
      <c r="V554" s="37"/>
      <c r="W554" s="37"/>
      <c r="X554" s="37"/>
      <c r="Y554" s="37"/>
      <c r="Z554" s="37"/>
    </row>
    <row r="555" spans="1:26" ht="12.5">
      <c r="A555" s="37"/>
      <c r="B555" s="151"/>
      <c r="C555" s="122"/>
      <c r="D555" s="122"/>
      <c r="E555" s="84"/>
      <c r="F555" s="77"/>
      <c r="G555" s="77"/>
      <c r="H555" s="37"/>
      <c r="I555" s="37"/>
      <c r="J555" s="37"/>
      <c r="K555" s="122"/>
      <c r="L555" s="37"/>
      <c r="M555" s="37"/>
      <c r="N555" s="139"/>
      <c r="O555" s="37"/>
      <c r="P555" s="37"/>
      <c r="Q555" s="37"/>
      <c r="R555" s="37"/>
      <c r="S555" s="37"/>
      <c r="T555" s="37"/>
      <c r="U555" s="37"/>
      <c r="V555" s="37"/>
      <c r="W555" s="37"/>
      <c r="X555" s="37"/>
      <c r="Y555" s="37"/>
      <c r="Z555" s="37"/>
    </row>
    <row r="556" spans="1:26" ht="12.5">
      <c r="A556" s="37"/>
      <c r="B556" s="151"/>
      <c r="C556" s="122"/>
      <c r="D556" s="122"/>
      <c r="E556" s="84"/>
      <c r="F556" s="77"/>
      <c r="G556" s="77"/>
      <c r="H556" s="37"/>
      <c r="I556" s="37"/>
      <c r="J556" s="37"/>
      <c r="K556" s="122"/>
      <c r="L556" s="37"/>
      <c r="M556" s="37"/>
      <c r="N556" s="139"/>
      <c r="O556" s="37"/>
      <c r="P556" s="37"/>
      <c r="Q556" s="37"/>
      <c r="R556" s="37"/>
      <c r="S556" s="37"/>
      <c r="T556" s="37"/>
      <c r="U556" s="37"/>
      <c r="V556" s="37"/>
      <c r="W556" s="37"/>
      <c r="X556" s="37"/>
      <c r="Y556" s="37"/>
      <c r="Z556" s="37"/>
    </row>
    <row r="557" spans="1:26" ht="12.5">
      <c r="A557" s="37"/>
      <c r="B557" s="151"/>
      <c r="C557" s="122"/>
      <c r="D557" s="122"/>
      <c r="E557" s="84"/>
      <c r="F557" s="77"/>
      <c r="G557" s="77"/>
      <c r="H557" s="37"/>
      <c r="I557" s="37"/>
      <c r="J557" s="37"/>
      <c r="K557" s="122"/>
      <c r="L557" s="37"/>
      <c r="M557" s="37"/>
      <c r="N557" s="139"/>
      <c r="O557" s="37"/>
      <c r="P557" s="37"/>
      <c r="Q557" s="37"/>
      <c r="R557" s="37"/>
      <c r="S557" s="37"/>
      <c r="T557" s="37"/>
      <c r="U557" s="37"/>
      <c r="V557" s="37"/>
      <c r="W557" s="37"/>
      <c r="X557" s="37"/>
      <c r="Y557" s="37"/>
      <c r="Z557" s="37"/>
    </row>
    <row r="558" spans="1:26" ht="12.5">
      <c r="A558" s="37"/>
      <c r="B558" s="151"/>
      <c r="C558" s="122"/>
      <c r="D558" s="122"/>
      <c r="E558" s="84"/>
      <c r="F558" s="77"/>
      <c r="G558" s="77"/>
      <c r="H558" s="37"/>
      <c r="I558" s="37"/>
      <c r="J558" s="37"/>
      <c r="K558" s="122"/>
      <c r="L558" s="37"/>
      <c r="M558" s="37"/>
      <c r="N558" s="139"/>
      <c r="O558" s="37"/>
      <c r="P558" s="37"/>
      <c r="Q558" s="37"/>
      <c r="R558" s="37"/>
      <c r="S558" s="37"/>
      <c r="T558" s="37"/>
      <c r="U558" s="37"/>
      <c r="V558" s="37"/>
      <c r="W558" s="37"/>
      <c r="X558" s="37"/>
      <c r="Y558" s="37"/>
      <c r="Z558" s="37"/>
    </row>
    <row r="559" spans="1:26" ht="12.5">
      <c r="A559" s="37"/>
      <c r="B559" s="151"/>
      <c r="C559" s="122"/>
      <c r="D559" s="122"/>
      <c r="E559" s="84"/>
      <c r="F559" s="77"/>
      <c r="G559" s="77"/>
      <c r="H559" s="37"/>
      <c r="I559" s="37"/>
      <c r="J559" s="37"/>
      <c r="K559" s="122"/>
      <c r="L559" s="37"/>
      <c r="M559" s="37"/>
      <c r="N559" s="139"/>
      <c r="O559" s="37"/>
      <c r="P559" s="37"/>
      <c r="Q559" s="37"/>
      <c r="R559" s="37"/>
      <c r="S559" s="37"/>
      <c r="T559" s="37"/>
      <c r="U559" s="37"/>
      <c r="V559" s="37"/>
      <c r="W559" s="37"/>
      <c r="X559" s="37"/>
      <c r="Y559" s="37"/>
      <c r="Z559" s="37"/>
    </row>
    <row r="560" spans="1:26" ht="12.5">
      <c r="A560" s="37"/>
      <c r="B560" s="151"/>
      <c r="C560" s="122"/>
      <c r="D560" s="122"/>
      <c r="E560" s="84"/>
      <c r="F560" s="77"/>
      <c r="G560" s="77"/>
      <c r="H560" s="37"/>
      <c r="I560" s="37"/>
      <c r="J560" s="37"/>
      <c r="K560" s="122"/>
      <c r="L560" s="37"/>
      <c r="M560" s="37"/>
      <c r="N560" s="139"/>
      <c r="O560" s="37"/>
      <c r="P560" s="37"/>
      <c r="Q560" s="37"/>
      <c r="R560" s="37"/>
      <c r="S560" s="37"/>
      <c r="T560" s="37"/>
      <c r="U560" s="37"/>
      <c r="V560" s="37"/>
      <c r="W560" s="37"/>
      <c r="X560" s="37"/>
      <c r="Y560" s="37"/>
      <c r="Z560" s="37"/>
    </row>
    <row r="561" spans="1:26" ht="12.5">
      <c r="A561" s="37"/>
      <c r="B561" s="151"/>
      <c r="C561" s="122"/>
      <c r="D561" s="122"/>
      <c r="E561" s="84"/>
      <c r="F561" s="77"/>
      <c r="G561" s="77"/>
      <c r="H561" s="37"/>
      <c r="I561" s="37"/>
      <c r="J561" s="37"/>
      <c r="K561" s="122"/>
      <c r="L561" s="37"/>
      <c r="M561" s="37"/>
      <c r="N561" s="139"/>
      <c r="O561" s="37"/>
      <c r="P561" s="37"/>
      <c r="Q561" s="37"/>
      <c r="R561" s="37"/>
      <c r="S561" s="37"/>
      <c r="T561" s="37"/>
      <c r="U561" s="37"/>
      <c r="V561" s="37"/>
      <c r="W561" s="37"/>
      <c r="X561" s="37"/>
      <c r="Y561" s="37"/>
      <c r="Z561" s="37"/>
    </row>
    <row r="562" spans="1:26" ht="12.5">
      <c r="A562" s="37"/>
      <c r="B562" s="151"/>
      <c r="C562" s="122"/>
      <c r="D562" s="122"/>
      <c r="E562" s="84"/>
      <c r="F562" s="77"/>
      <c r="G562" s="77"/>
      <c r="H562" s="37"/>
      <c r="I562" s="37"/>
      <c r="J562" s="37"/>
      <c r="K562" s="122"/>
      <c r="L562" s="37"/>
      <c r="M562" s="37"/>
      <c r="N562" s="139"/>
      <c r="O562" s="37"/>
      <c r="P562" s="37"/>
      <c r="Q562" s="37"/>
      <c r="R562" s="37"/>
      <c r="S562" s="37"/>
      <c r="T562" s="37"/>
      <c r="U562" s="37"/>
      <c r="V562" s="37"/>
      <c r="W562" s="37"/>
      <c r="X562" s="37"/>
      <c r="Y562" s="37"/>
      <c r="Z562" s="37"/>
    </row>
    <row r="563" spans="1:26" ht="12.5">
      <c r="A563" s="37"/>
      <c r="B563" s="151"/>
      <c r="C563" s="122"/>
      <c r="D563" s="122"/>
      <c r="E563" s="84"/>
      <c r="F563" s="77"/>
      <c r="G563" s="77"/>
      <c r="H563" s="37"/>
      <c r="I563" s="37"/>
      <c r="J563" s="37"/>
      <c r="K563" s="122"/>
      <c r="L563" s="37"/>
      <c r="M563" s="37"/>
      <c r="N563" s="139"/>
      <c r="O563" s="37"/>
      <c r="P563" s="37"/>
      <c r="Q563" s="37"/>
      <c r="R563" s="37"/>
      <c r="S563" s="37"/>
      <c r="T563" s="37"/>
      <c r="U563" s="37"/>
      <c r="V563" s="37"/>
      <c r="W563" s="37"/>
      <c r="X563" s="37"/>
      <c r="Y563" s="37"/>
      <c r="Z563" s="37"/>
    </row>
    <row r="564" spans="1:26" ht="12.5">
      <c r="A564" s="37"/>
      <c r="B564" s="151"/>
      <c r="C564" s="122"/>
      <c r="D564" s="122"/>
      <c r="E564" s="84"/>
      <c r="F564" s="77"/>
      <c r="G564" s="77"/>
      <c r="H564" s="37"/>
      <c r="I564" s="37"/>
      <c r="J564" s="37"/>
      <c r="K564" s="122"/>
      <c r="L564" s="37"/>
      <c r="M564" s="37"/>
      <c r="N564" s="139"/>
      <c r="O564" s="37"/>
      <c r="P564" s="37"/>
      <c r="Q564" s="37"/>
      <c r="R564" s="37"/>
      <c r="S564" s="37"/>
      <c r="T564" s="37"/>
      <c r="U564" s="37"/>
      <c r="V564" s="37"/>
      <c r="W564" s="37"/>
      <c r="X564" s="37"/>
      <c r="Y564" s="37"/>
      <c r="Z564" s="37"/>
    </row>
    <row r="565" spans="1:26" ht="12.5">
      <c r="A565" s="37"/>
      <c r="B565" s="151"/>
      <c r="C565" s="122"/>
      <c r="D565" s="122"/>
      <c r="E565" s="84"/>
      <c r="F565" s="77"/>
      <c r="G565" s="77"/>
      <c r="H565" s="37"/>
      <c r="I565" s="37"/>
      <c r="J565" s="37"/>
      <c r="K565" s="122"/>
      <c r="L565" s="37"/>
      <c r="M565" s="37"/>
      <c r="N565" s="139"/>
      <c r="O565" s="37"/>
      <c r="P565" s="37"/>
      <c r="Q565" s="37"/>
      <c r="R565" s="37"/>
      <c r="S565" s="37"/>
      <c r="T565" s="37"/>
      <c r="U565" s="37"/>
      <c r="V565" s="37"/>
      <c r="W565" s="37"/>
      <c r="X565" s="37"/>
      <c r="Y565" s="37"/>
      <c r="Z565" s="37"/>
    </row>
    <row r="566" spans="1:26" ht="12.5">
      <c r="A566" s="37"/>
      <c r="B566" s="151"/>
      <c r="C566" s="122"/>
      <c r="D566" s="122"/>
      <c r="E566" s="84"/>
      <c r="F566" s="77"/>
      <c r="G566" s="77"/>
      <c r="H566" s="37"/>
      <c r="I566" s="37"/>
      <c r="J566" s="37"/>
      <c r="K566" s="122"/>
      <c r="L566" s="37"/>
      <c r="M566" s="37"/>
      <c r="N566" s="139"/>
      <c r="O566" s="37"/>
      <c r="P566" s="37"/>
      <c r="Q566" s="37"/>
      <c r="R566" s="37"/>
      <c r="S566" s="37"/>
      <c r="T566" s="37"/>
      <c r="U566" s="37"/>
      <c r="V566" s="37"/>
      <c r="W566" s="37"/>
      <c r="X566" s="37"/>
      <c r="Y566" s="37"/>
      <c r="Z566" s="37"/>
    </row>
    <row r="567" spans="1:26" ht="12.5">
      <c r="A567" s="37"/>
      <c r="B567" s="151"/>
      <c r="C567" s="122"/>
      <c r="D567" s="122"/>
      <c r="E567" s="84"/>
      <c r="F567" s="77"/>
      <c r="G567" s="77"/>
      <c r="H567" s="37"/>
      <c r="I567" s="37"/>
      <c r="J567" s="37"/>
      <c r="K567" s="122"/>
      <c r="L567" s="37"/>
      <c r="M567" s="37"/>
      <c r="N567" s="139"/>
      <c r="O567" s="37"/>
      <c r="P567" s="37"/>
      <c r="Q567" s="37"/>
      <c r="R567" s="37"/>
      <c r="S567" s="37"/>
      <c r="T567" s="37"/>
      <c r="U567" s="37"/>
      <c r="V567" s="37"/>
      <c r="W567" s="37"/>
      <c r="X567" s="37"/>
      <c r="Y567" s="37"/>
      <c r="Z567" s="37"/>
    </row>
    <row r="568" spans="1:26" ht="12.5">
      <c r="A568" s="37"/>
      <c r="B568" s="151"/>
      <c r="C568" s="122"/>
      <c r="D568" s="122"/>
      <c r="E568" s="84"/>
      <c r="F568" s="77"/>
      <c r="G568" s="77"/>
      <c r="H568" s="37"/>
      <c r="I568" s="37"/>
      <c r="J568" s="37"/>
      <c r="K568" s="122"/>
      <c r="L568" s="37"/>
      <c r="M568" s="37"/>
      <c r="N568" s="139"/>
      <c r="O568" s="37"/>
      <c r="P568" s="37"/>
      <c r="Q568" s="37"/>
      <c r="R568" s="37"/>
      <c r="S568" s="37"/>
      <c r="T568" s="37"/>
      <c r="U568" s="37"/>
      <c r="V568" s="37"/>
      <c r="W568" s="37"/>
      <c r="X568" s="37"/>
      <c r="Y568" s="37"/>
      <c r="Z568" s="37"/>
    </row>
    <row r="569" spans="1:26" ht="12.5">
      <c r="A569" s="37"/>
      <c r="B569" s="151"/>
      <c r="C569" s="122"/>
      <c r="D569" s="122"/>
      <c r="E569" s="84"/>
      <c r="F569" s="77"/>
      <c r="G569" s="77"/>
      <c r="H569" s="37"/>
      <c r="I569" s="37"/>
      <c r="J569" s="37"/>
      <c r="K569" s="122"/>
      <c r="L569" s="37"/>
      <c r="M569" s="37"/>
      <c r="N569" s="139"/>
      <c r="O569" s="37"/>
      <c r="P569" s="37"/>
      <c r="Q569" s="37"/>
      <c r="R569" s="37"/>
      <c r="S569" s="37"/>
      <c r="T569" s="37"/>
      <c r="U569" s="37"/>
      <c r="V569" s="37"/>
      <c r="W569" s="37"/>
      <c r="X569" s="37"/>
      <c r="Y569" s="37"/>
      <c r="Z569" s="37"/>
    </row>
    <row r="570" spans="1:26" ht="12.5">
      <c r="A570" s="37"/>
      <c r="B570" s="151"/>
      <c r="C570" s="122"/>
      <c r="D570" s="122"/>
      <c r="E570" s="84"/>
      <c r="F570" s="77"/>
      <c r="G570" s="77"/>
      <c r="H570" s="37"/>
      <c r="I570" s="37"/>
      <c r="J570" s="37"/>
      <c r="K570" s="122"/>
      <c r="L570" s="37"/>
      <c r="M570" s="37"/>
      <c r="N570" s="139"/>
      <c r="O570" s="37"/>
      <c r="P570" s="37"/>
      <c r="Q570" s="37"/>
      <c r="R570" s="37"/>
      <c r="S570" s="37"/>
      <c r="T570" s="37"/>
      <c r="U570" s="37"/>
      <c r="V570" s="37"/>
      <c r="W570" s="37"/>
      <c r="X570" s="37"/>
      <c r="Y570" s="37"/>
      <c r="Z570" s="37"/>
    </row>
    <row r="571" spans="1:26" ht="12.5">
      <c r="A571" s="37"/>
      <c r="B571" s="151"/>
      <c r="C571" s="122"/>
      <c r="D571" s="122"/>
      <c r="E571" s="84"/>
      <c r="F571" s="77"/>
      <c r="G571" s="77"/>
      <c r="H571" s="37"/>
      <c r="I571" s="37"/>
      <c r="J571" s="37"/>
      <c r="K571" s="122"/>
      <c r="L571" s="37"/>
      <c r="M571" s="37"/>
      <c r="N571" s="139"/>
      <c r="O571" s="37"/>
      <c r="P571" s="37"/>
      <c r="Q571" s="37"/>
      <c r="R571" s="37"/>
      <c r="S571" s="37"/>
      <c r="T571" s="37"/>
      <c r="U571" s="37"/>
      <c r="V571" s="37"/>
      <c r="W571" s="37"/>
      <c r="X571" s="37"/>
      <c r="Y571" s="37"/>
      <c r="Z571" s="37"/>
    </row>
    <row r="572" spans="1:26" ht="12.5">
      <c r="A572" s="37"/>
      <c r="B572" s="151"/>
      <c r="C572" s="122"/>
      <c r="D572" s="122"/>
      <c r="E572" s="84"/>
      <c r="F572" s="77"/>
      <c r="G572" s="77"/>
      <c r="H572" s="37"/>
      <c r="I572" s="37"/>
      <c r="J572" s="37"/>
      <c r="K572" s="122"/>
      <c r="L572" s="37"/>
      <c r="M572" s="37"/>
      <c r="N572" s="139"/>
      <c r="O572" s="37"/>
      <c r="P572" s="37"/>
      <c r="Q572" s="37"/>
      <c r="R572" s="37"/>
      <c r="S572" s="37"/>
      <c r="T572" s="37"/>
      <c r="U572" s="37"/>
      <c r="V572" s="37"/>
      <c r="W572" s="37"/>
      <c r="X572" s="37"/>
      <c r="Y572" s="37"/>
      <c r="Z572" s="37"/>
    </row>
    <row r="573" spans="1:26" ht="12.5">
      <c r="A573" s="37"/>
      <c r="B573" s="151"/>
      <c r="C573" s="122"/>
      <c r="D573" s="122"/>
      <c r="E573" s="84"/>
      <c r="F573" s="77"/>
      <c r="G573" s="77"/>
      <c r="H573" s="37"/>
      <c r="I573" s="37"/>
      <c r="J573" s="37"/>
      <c r="K573" s="122"/>
      <c r="L573" s="37"/>
      <c r="M573" s="37"/>
      <c r="N573" s="139"/>
      <c r="O573" s="37"/>
      <c r="P573" s="37"/>
      <c r="Q573" s="37"/>
      <c r="R573" s="37"/>
      <c r="S573" s="37"/>
      <c r="T573" s="37"/>
      <c r="U573" s="37"/>
      <c r="V573" s="37"/>
      <c r="W573" s="37"/>
      <c r="X573" s="37"/>
      <c r="Y573" s="37"/>
      <c r="Z573" s="37"/>
    </row>
    <row r="574" spans="1:26" ht="12.5">
      <c r="A574" s="37"/>
      <c r="B574" s="151"/>
      <c r="C574" s="122"/>
      <c r="D574" s="122"/>
      <c r="E574" s="84"/>
      <c r="F574" s="77"/>
      <c r="G574" s="77"/>
      <c r="H574" s="37"/>
      <c r="I574" s="37"/>
      <c r="J574" s="37"/>
      <c r="K574" s="122"/>
      <c r="L574" s="37"/>
      <c r="M574" s="37"/>
      <c r="N574" s="139"/>
      <c r="O574" s="37"/>
      <c r="P574" s="37"/>
      <c r="Q574" s="37"/>
      <c r="R574" s="37"/>
      <c r="S574" s="37"/>
      <c r="T574" s="37"/>
      <c r="U574" s="37"/>
      <c r="V574" s="37"/>
      <c r="W574" s="37"/>
      <c r="X574" s="37"/>
      <c r="Y574" s="37"/>
      <c r="Z574" s="37"/>
    </row>
    <row r="575" spans="1:26" ht="12.5">
      <c r="A575" s="37"/>
      <c r="B575" s="151"/>
      <c r="C575" s="122"/>
      <c r="D575" s="122"/>
      <c r="E575" s="84"/>
      <c r="F575" s="77"/>
      <c r="G575" s="77"/>
      <c r="H575" s="37"/>
      <c r="I575" s="37"/>
      <c r="J575" s="37"/>
      <c r="K575" s="122"/>
      <c r="L575" s="37"/>
      <c r="M575" s="37"/>
      <c r="N575" s="139"/>
      <c r="O575" s="37"/>
      <c r="P575" s="37"/>
      <c r="Q575" s="37"/>
      <c r="R575" s="37"/>
      <c r="S575" s="37"/>
      <c r="T575" s="37"/>
      <c r="U575" s="37"/>
      <c r="V575" s="37"/>
      <c r="W575" s="37"/>
      <c r="X575" s="37"/>
      <c r="Y575" s="37"/>
      <c r="Z575" s="37"/>
    </row>
    <row r="576" spans="1:26" ht="12.5">
      <c r="A576" s="37"/>
      <c r="B576" s="151"/>
      <c r="C576" s="122"/>
      <c r="D576" s="122"/>
      <c r="E576" s="84"/>
      <c r="F576" s="77"/>
      <c r="G576" s="77"/>
      <c r="H576" s="37"/>
      <c r="I576" s="37"/>
      <c r="J576" s="37"/>
      <c r="K576" s="122"/>
      <c r="L576" s="37"/>
      <c r="M576" s="37"/>
      <c r="N576" s="139"/>
      <c r="O576" s="37"/>
      <c r="P576" s="37"/>
      <c r="Q576" s="37"/>
      <c r="R576" s="37"/>
      <c r="S576" s="37"/>
      <c r="T576" s="37"/>
      <c r="U576" s="37"/>
      <c r="V576" s="37"/>
      <c r="W576" s="37"/>
      <c r="X576" s="37"/>
      <c r="Y576" s="37"/>
      <c r="Z576" s="37"/>
    </row>
    <row r="577" spans="1:26" ht="12.5">
      <c r="A577" s="37"/>
      <c r="B577" s="151"/>
      <c r="C577" s="122"/>
      <c r="D577" s="122"/>
      <c r="E577" s="84"/>
      <c r="F577" s="77"/>
      <c r="G577" s="77"/>
      <c r="H577" s="37"/>
      <c r="I577" s="37"/>
      <c r="J577" s="37"/>
      <c r="K577" s="122"/>
      <c r="L577" s="37"/>
      <c r="M577" s="37"/>
      <c r="N577" s="139"/>
      <c r="O577" s="37"/>
      <c r="P577" s="37"/>
      <c r="Q577" s="37"/>
      <c r="R577" s="37"/>
      <c r="S577" s="37"/>
      <c r="T577" s="37"/>
      <c r="U577" s="37"/>
      <c r="V577" s="37"/>
      <c r="W577" s="37"/>
      <c r="X577" s="37"/>
      <c r="Y577" s="37"/>
      <c r="Z577" s="37"/>
    </row>
    <row r="578" spans="1:26" ht="12.5">
      <c r="A578" s="37"/>
      <c r="B578" s="151"/>
      <c r="C578" s="122"/>
      <c r="D578" s="122"/>
      <c r="E578" s="84"/>
      <c r="F578" s="77"/>
      <c r="G578" s="77"/>
      <c r="H578" s="37"/>
      <c r="I578" s="37"/>
      <c r="J578" s="37"/>
      <c r="K578" s="122"/>
      <c r="L578" s="37"/>
      <c r="M578" s="37"/>
      <c r="N578" s="139"/>
      <c r="O578" s="37"/>
      <c r="P578" s="37"/>
      <c r="Q578" s="37"/>
      <c r="R578" s="37"/>
      <c r="S578" s="37"/>
      <c r="T578" s="37"/>
      <c r="U578" s="37"/>
      <c r="V578" s="37"/>
      <c r="W578" s="37"/>
      <c r="X578" s="37"/>
      <c r="Y578" s="37"/>
      <c r="Z578" s="37"/>
    </row>
    <row r="579" spans="1:26" ht="12.5">
      <c r="A579" s="37"/>
      <c r="B579" s="151"/>
      <c r="C579" s="122"/>
      <c r="D579" s="122"/>
      <c r="E579" s="84"/>
      <c r="F579" s="77"/>
      <c r="G579" s="77"/>
      <c r="H579" s="37"/>
      <c r="I579" s="37"/>
      <c r="J579" s="37"/>
      <c r="K579" s="122"/>
      <c r="L579" s="37"/>
      <c r="M579" s="37"/>
      <c r="N579" s="139"/>
      <c r="O579" s="37"/>
      <c r="P579" s="37"/>
      <c r="Q579" s="37"/>
      <c r="R579" s="37"/>
      <c r="S579" s="37"/>
      <c r="T579" s="37"/>
      <c r="U579" s="37"/>
      <c r="V579" s="37"/>
      <c r="W579" s="37"/>
      <c r="X579" s="37"/>
      <c r="Y579" s="37"/>
      <c r="Z579" s="37"/>
    </row>
    <row r="580" spans="1:26" ht="12.5">
      <c r="A580" s="37"/>
      <c r="B580" s="151"/>
      <c r="C580" s="122"/>
      <c r="D580" s="122"/>
      <c r="E580" s="84"/>
      <c r="F580" s="77"/>
      <c r="G580" s="77"/>
      <c r="H580" s="37"/>
      <c r="I580" s="37"/>
      <c r="J580" s="37"/>
      <c r="K580" s="122"/>
      <c r="L580" s="37"/>
      <c r="M580" s="37"/>
      <c r="N580" s="139"/>
      <c r="O580" s="37"/>
      <c r="P580" s="37"/>
      <c r="Q580" s="37"/>
      <c r="R580" s="37"/>
      <c r="S580" s="37"/>
      <c r="T580" s="37"/>
      <c r="U580" s="37"/>
      <c r="V580" s="37"/>
      <c r="W580" s="37"/>
      <c r="X580" s="37"/>
      <c r="Y580" s="37"/>
      <c r="Z580" s="37"/>
    </row>
    <row r="581" spans="1:26" ht="12.5">
      <c r="A581" s="37"/>
      <c r="B581" s="151"/>
      <c r="C581" s="122"/>
      <c r="D581" s="122"/>
      <c r="E581" s="84"/>
      <c r="F581" s="77"/>
      <c r="G581" s="77"/>
      <c r="H581" s="37"/>
      <c r="I581" s="37"/>
      <c r="J581" s="37"/>
      <c r="K581" s="122"/>
      <c r="L581" s="37"/>
      <c r="M581" s="37"/>
      <c r="N581" s="139"/>
      <c r="O581" s="37"/>
      <c r="P581" s="37"/>
      <c r="Q581" s="37"/>
      <c r="R581" s="37"/>
      <c r="S581" s="37"/>
      <c r="T581" s="37"/>
      <c r="U581" s="37"/>
      <c r="V581" s="37"/>
      <c r="W581" s="37"/>
      <c r="X581" s="37"/>
      <c r="Y581" s="37"/>
      <c r="Z581" s="37"/>
    </row>
    <row r="582" spans="1:26" ht="12.5">
      <c r="A582" s="37"/>
      <c r="B582" s="151"/>
      <c r="C582" s="122"/>
      <c r="D582" s="122"/>
      <c r="E582" s="84"/>
      <c r="F582" s="77"/>
      <c r="G582" s="77"/>
      <c r="H582" s="37"/>
      <c r="I582" s="37"/>
      <c r="J582" s="37"/>
      <c r="K582" s="122"/>
      <c r="L582" s="37"/>
      <c r="M582" s="37"/>
      <c r="N582" s="139"/>
      <c r="O582" s="37"/>
      <c r="P582" s="37"/>
      <c r="Q582" s="37"/>
      <c r="R582" s="37"/>
      <c r="S582" s="37"/>
      <c r="T582" s="37"/>
      <c r="U582" s="37"/>
      <c r="V582" s="37"/>
      <c r="W582" s="37"/>
      <c r="X582" s="37"/>
      <c r="Y582" s="37"/>
      <c r="Z582" s="37"/>
    </row>
    <row r="583" spans="1:26" ht="12.5">
      <c r="A583" s="37"/>
      <c r="B583" s="151"/>
      <c r="C583" s="122"/>
      <c r="D583" s="122"/>
      <c r="E583" s="84"/>
      <c r="F583" s="77"/>
      <c r="G583" s="77"/>
      <c r="H583" s="37"/>
      <c r="I583" s="37"/>
      <c r="J583" s="37"/>
      <c r="K583" s="122"/>
      <c r="L583" s="37"/>
      <c r="M583" s="37"/>
      <c r="N583" s="139"/>
      <c r="O583" s="37"/>
      <c r="P583" s="37"/>
      <c r="Q583" s="37"/>
      <c r="R583" s="37"/>
      <c r="S583" s="37"/>
      <c r="T583" s="37"/>
      <c r="U583" s="37"/>
      <c r="V583" s="37"/>
      <c r="W583" s="37"/>
      <c r="X583" s="37"/>
      <c r="Y583" s="37"/>
      <c r="Z583" s="37"/>
    </row>
    <row r="584" spans="1:26" ht="12.5">
      <c r="A584" s="37"/>
      <c r="B584" s="151"/>
      <c r="C584" s="122"/>
      <c r="D584" s="122"/>
      <c r="E584" s="84"/>
      <c r="F584" s="77"/>
      <c r="G584" s="77"/>
      <c r="H584" s="37"/>
      <c r="I584" s="37"/>
      <c r="J584" s="37"/>
      <c r="K584" s="122"/>
      <c r="L584" s="37"/>
      <c r="M584" s="37"/>
      <c r="N584" s="139"/>
      <c r="O584" s="37"/>
      <c r="P584" s="37"/>
      <c r="Q584" s="37"/>
      <c r="R584" s="37"/>
      <c r="S584" s="37"/>
      <c r="T584" s="37"/>
      <c r="U584" s="37"/>
      <c r="V584" s="37"/>
      <c r="W584" s="37"/>
      <c r="X584" s="37"/>
      <c r="Y584" s="37"/>
      <c r="Z584" s="37"/>
    </row>
    <row r="585" spans="1:26" ht="12.5">
      <c r="A585" s="37"/>
      <c r="B585" s="151"/>
      <c r="C585" s="122"/>
      <c r="D585" s="122"/>
      <c r="E585" s="84"/>
      <c r="F585" s="77"/>
      <c r="G585" s="77"/>
      <c r="H585" s="37"/>
      <c r="I585" s="37"/>
      <c r="J585" s="37"/>
      <c r="K585" s="122"/>
      <c r="L585" s="37"/>
      <c r="M585" s="37"/>
      <c r="N585" s="139"/>
      <c r="O585" s="37"/>
      <c r="P585" s="37"/>
      <c r="Q585" s="37"/>
      <c r="R585" s="37"/>
      <c r="S585" s="37"/>
      <c r="T585" s="37"/>
      <c r="U585" s="37"/>
      <c r="V585" s="37"/>
      <c r="W585" s="37"/>
      <c r="X585" s="37"/>
      <c r="Y585" s="37"/>
      <c r="Z585" s="37"/>
    </row>
    <row r="586" spans="1:26" ht="12.5">
      <c r="A586" s="37"/>
      <c r="B586" s="151"/>
      <c r="C586" s="122"/>
      <c r="D586" s="122"/>
      <c r="E586" s="84"/>
      <c r="F586" s="77"/>
      <c r="G586" s="77"/>
      <c r="H586" s="37"/>
      <c r="I586" s="37"/>
      <c r="J586" s="37"/>
      <c r="K586" s="122"/>
      <c r="L586" s="37"/>
      <c r="M586" s="37"/>
      <c r="N586" s="139"/>
      <c r="O586" s="37"/>
      <c r="P586" s="37"/>
      <c r="Q586" s="37"/>
      <c r="R586" s="37"/>
      <c r="S586" s="37"/>
      <c r="T586" s="37"/>
      <c r="U586" s="37"/>
      <c r="V586" s="37"/>
      <c r="W586" s="37"/>
      <c r="X586" s="37"/>
      <c r="Y586" s="37"/>
      <c r="Z586" s="37"/>
    </row>
    <row r="587" spans="1:26" ht="12.5">
      <c r="A587" s="37"/>
      <c r="B587" s="151"/>
      <c r="C587" s="122"/>
      <c r="D587" s="122"/>
      <c r="E587" s="84"/>
      <c r="F587" s="77"/>
      <c r="G587" s="77"/>
      <c r="H587" s="37"/>
      <c r="I587" s="37"/>
      <c r="J587" s="37"/>
      <c r="K587" s="122"/>
      <c r="L587" s="37"/>
      <c r="M587" s="37"/>
      <c r="N587" s="139"/>
      <c r="O587" s="37"/>
      <c r="P587" s="37"/>
      <c r="Q587" s="37"/>
      <c r="R587" s="37"/>
      <c r="S587" s="37"/>
      <c r="T587" s="37"/>
      <c r="U587" s="37"/>
      <c r="V587" s="37"/>
      <c r="W587" s="37"/>
      <c r="X587" s="37"/>
      <c r="Y587" s="37"/>
      <c r="Z587" s="37"/>
    </row>
    <row r="588" spans="1:26" ht="12.5">
      <c r="A588" s="37"/>
      <c r="B588" s="151"/>
      <c r="C588" s="122"/>
      <c r="D588" s="122"/>
      <c r="E588" s="84"/>
      <c r="F588" s="77"/>
      <c r="G588" s="77"/>
      <c r="H588" s="37"/>
      <c r="I588" s="37"/>
      <c r="J588" s="37"/>
      <c r="K588" s="122"/>
      <c r="L588" s="37"/>
      <c r="M588" s="37"/>
      <c r="N588" s="139"/>
      <c r="O588" s="37"/>
      <c r="P588" s="37"/>
      <c r="Q588" s="37"/>
      <c r="R588" s="37"/>
      <c r="S588" s="37"/>
      <c r="T588" s="37"/>
      <c r="U588" s="37"/>
      <c r="V588" s="37"/>
      <c r="W588" s="37"/>
      <c r="X588" s="37"/>
      <c r="Y588" s="37"/>
      <c r="Z588" s="37"/>
    </row>
    <row r="589" spans="1:26" ht="12.5">
      <c r="A589" s="37"/>
      <c r="B589" s="151"/>
      <c r="C589" s="122"/>
      <c r="D589" s="122"/>
      <c r="E589" s="84"/>
      <c r="F589" s="77"/>
      <c r="G589" s="77"/>
      <c r="H589" s="37"/>
      <c r="I589" s="37"/>
      <c r="J589" s="37"/>
      <c r="K589" s="122"/>
      <c r="L589" s="37"/>
      <c r="M589" s="37"/>
      <c r="N589" s="139"/>
      <c r="O589" s="37"/>
      <c r="P589" s="37"/>
      <c r="Q589" s="37"/>
      <c r="R589" s="37"/>
      <c r="S589" s="37"/>
      <c r="T589" s="37"/>
      <c r="U589" s="37"/>
      <c r="V589" s="37"/>
      <c r="W589" s="37"/>
      <c r="X589" s="37"/>
      <c r="Y589" s="37"/>
      <c r="Z589" s="37"/>
    </row>
    <row r="590" spans="1:26" ht="12.5">
      <c r="A590" s="37"/>
      <c r="B590" s="151"/>
      <c r="C590" s="122"/>
      <c r="D590" s="122"/>
      <c r="E590" s="84"/>
      <c r="F590" s="77"/>
      <c r="G590" s="77"/>
      <c r="H590" s="37"/>
      <c r="I590" s="37"/>
      <c r="J590" s="37"/>
      <c r="K590" s="122"/>
      <c r="L590" s="37"/>
      <c r="M590" s="37"/>
      <c r="N590" s="139"/>
      <c r="O590" s="37"/>
      <c r="P590" s="37"/>
      <c r="Q590" s="37"/>
      <c r="R590" s="37"/>
      <c r="S590" s="37"/>
      <c r="T590" s="37"/>
      <c r="U590" s="37"/>
      <c r="V590" s="37"/>
      <c r="W590" s="37"/>
      <c r="X590" s="37"/>
      <c r="Y590" s="37"/>
      <c r="Z590" s="37"/>
    </row>
    <row r="591" spans="1:26" ht="12.5">
      <c r="A591" s="37"/>
      <c r="B591" s="151"/>
      <c r="C591" s="122"/>
      <c r="D591" s="122"/>
      <c r="E591" s="84"/>
      <c r="F591" s="77"/>
      <c r="G591" s="77"/>
      <c r="H591" s="37"/>
      <c r="I591" s="37"/>
      <c r="J591" s="37"/>
      <c r="K591" s="122"/>
      <c r="L591" s="37"/>
      <c r="M591" s="37"/>
      <c r="N591" s="139"/>
      <c r="O591" s="37"/>
      <c r="P591" s="37"/>
      <c r="Q591" s="37"/>
      <c r="R591" s="37"/>
      <c r="S591" s="37"/>
      <c r="T591" s="37"/>
      <c r="U591" s="37"/>
      <c r="V591" s="37"/>
      <c r="W591" s="37"/>
      <c r="X591" s="37"/>
      <c r="Y591" s="37"/>
      <c r="Z591" s="37"/>
    </row>
    <row r="592" spans="1:26" ht="12.5">
      <c r="A592" s="37"/>
      <c r="B592" s="151"/>
      <c r="C592" s="122"/>
      <c r="D592" s="122"/>
      <c r="E592" s="84"/>
      <c r="F592" s="77"/>
      <c r="G592" s="77"/>
      <c r="H592" s="37"/>
      <c r="I592" s="37"/>
      <c r="J592" s="37"/>
      <c r="K592" s="122"/>
      <c r="L592" s="37"/>
      <c r="M592" s="37"/>
      <c r="N592" s="139"/>
      <c r="O592" s="37"/>
      <c r="P592" s="37"/>
      <c r="Q592" s="37"/>
      <c r="R592" s="37"/>
      <c r="S592" s="37"/>
      <c r="T592" s="37"/>
      <c r="U592" s="37"/>
      <c r="V592" s="37"/>
      <c r="W592" s="37"/>
      <c r="X592" s="37"/>
      <c r="Y592" s="37"/>
      <c r="Z592" s="37"/>
    </row>
    <row r="593" spans="1:26" ht="12.5">
      <c r="A593" s="37"/>
      <c r="B593" s="151"/>
      <c r="C593" s="122"/>
      <c r="D593" s="122"/>
      <c r="E593" s="84"/>
      <c r="F593" s="77"/>
      <c r="G593" s="77"/>
      <c r="H593" s="37"/>
      <c r="I593" s="37"/>
      <c r="J593" s="37"/>
      <c r="K593" s="122"/>
      <c r="L593" s="37"/>
      <c r="M593" s="37"/>
      <c r="N593" s="139"/>
      <c r="O593" s="37"/>
      <c r="P593" s="37"/>
      <c r="Q593" s="37"/>
      <c r="R593" s="37"/>
      <c r="S593" s="37"/>
      <c r="T593" s="37"/>
      <c r="U593" s="37"/>
      <c r="V593" s="37"/>
      <c r="W593" s="37"/>
      <c r="X593" s="37"/>
      <c r="Y593" s="37"/>
      <c r="Z593" s="37"/>
    </row>
    <row r="594" spans="1:26" ht="12.5">
      <c r="A594" s="37"/>
      <c r="B594" s="151"/>
      <c r="C594" s="122"/>
      <c r="D594" s="122"/>
      <c r="E594" s="84"/>
      <c r="F594" s="77"/>
      <c r="G594" s="77"/>
      <c r="H594" s="37"/>
      <c r="I594" s="37"/>
      <c r="J594" s="37"/>
      <c r="K594" s="122"/>
      <c r="L594" s="37"/>
      <c r="M594" s="37"/>
      <c r="N594" s="139"/>
      <c r="O594" s="37"/>
      <c r="P594" s="37"/>
      <c r="Q594" s="37"/>
      <c r="R594" s="37"/>
      <c r="S594" s="37"/>
      <c r="T594" s="37"/>
      <c r="U594" s="37"/>
      <c r="V594" s="37"/>
      <c r="W594" s="37"/>
      <c r="X594" s="37"/>
      <c r="Y594" s="37"/>
      <c r="Z594" s="37"/>
    </row>
    <row r="595" spans="1:26" ht="12.5">
      <c r="A595" s="37"/>
      <c r="B595" s="151"/>
      <c r="C595" s="122"/>
      <c r="D595" s="122"/>
      <c r="E595" s="84"/>
      <c r="F595" s="77"/>
      <c r="G595" s="77"/>
      <c r="H595" s="37"/>
      <c r="I595" s="37"/>
      <c r="J595" s="37"/>
      <c r="K595" s="122"/>
      <c r="L595" s="37"/>
      <c r="M595" s="37"/>
      <c r="N595" s="139"/>
      <c r="O595" s="37"/>
      <c r="P595" s="37"/>
      <c r="Q595" s="37"/>
      <c r="R595" s="37"/>
      <c r="S595" s="37"/>
      <c r="T595" s="37"/>
      <c r="U595" s="37"/>
      <c r="V595" s="37"/>
      <c r="W595" s="37"/>
      <c r="X595" s="37"/>
      <c r="Y595" s="37"/>
      <c r="Z595" s="37"/>
    </row>
    <row r="596" spans="1:26" ht="12.5">
      <c r="A596" s="37"/>
      <c r="B596" s="151"/>
      <c r="C596" s="122"/>
      <c r="D596" s="122"/>
      <c r="E596" s="84"/>
      <c r="F596" s="77"/>
      <c r="G596" s="77"/>
      <c r="H596" s="37"/>
      <c r="I596" s="37"/>
      <c r="J596" s="37"/>
      <c r="K596" s="122"/>
      <c r="L596" s="37"/>
      <c r="M596" s="37"/>
      <c r="N596" s="139"/>
      <c r="O596" s="37"/>
      <c r="P596" s="37"/>
      <c r="Q596" s="37"/>
      <c r="R596" s="37"/>
      <c r="S596" s="37"/>
      <c r="T596" s="37"/>
      <c r="U596" s="37"/>
      <c r="V596" s="37"/>
      <c r="W596" s="37"/>
      <c r="X596" s="37"/>
      <c r="Y596" s="37"/>
      <c r="Z596" s="37"/>
    </row>
    <row r="597" spans="1:26" ht="12.5">
      <c r="A597" s="37"/>
      <c r="B597" s="151"/>
      <c r="C597" s="122"/>
      <c r="D597" s="122"/>
      <c r="E597" s="84"/>
      <c r="F597" s="77"/>
      <c r="G597" s="77"/>
      <c r="H597" s="37"/>
      <c r="I597" s="37"/>
      <c r="J597" s="37"/>
      <c r="K597" s="122"/>
      <c r="L597" s="37"/>
      <c r="M597" s="37"/>
      <c r="N597" s="139"/>
      <c r="O597" s="37"/>
      <c r="P597" s="37"/>
      <c r="Q597" s="37"/>
      <c r="R597" s="37"/>
      <c r="S597" s="37"/>
      <c r="T597" s="37"/>
      <c r="U597" s="37"/>
      <c r="V597" s="37"/>
      <c r="W597" s="37"/>
      <c r="X597" s="37"/>
      <c r="Y597" s="37"/>
      <c r="Z597" s="37"/>
    </row>
    <row r="598" spans="1:26" ht="12.5">
      <c r="A598" s="37"/>
      <c r="B598" s="151"/>
      <c r="C598" s="122"/>
      <c r="D598" s="122"/>
      <c r="E598" s="84"/>
      <c r="F598" s="77"/>
      <c r="G598" s="77"/>
      <c r="H598" s="37"/>
      <c r="I598" s="37"/>
      <c r="J598" s="37"/>
      <c r="K598" s="122"/>
      <c r="L598" s="37"/>
      <c r="M598" s="37"/>
      <c r="N598" s="139"/>
      <c r="O598" s="37"/>
      <c r="P598" s="37"/>
      <c r="Q598" s="37"/>
      <c r="R598" s="37"/>
      <c r="S598" s="37"/>
      <c r="T598" s="37"/>
      <c r="U598" s="37"/>
      <c r="V598" s="37"/>
      <c r="W598" s="37"/>
      <c r="X598" s="37"/>
      <c r="Y598" s="37"/>
      <c r="Z598" s="37"/>
    </row>
    <row r="599" spans="1:26" ht="12.5">
      <c r="A599" s="37"/>
      <c r="B599" s="151"/>
      <c r="C599" s="122"/>
      <c r="D599" s="122"/>
      <c r="E599" s="84"/>
      <c r="F599" s="77"/>
      <c r="G599" s="77"/>
      <c r="H599" s="37"/>
      <c r="I599" s="37"/>
      <c r="J599" s="37"/>
      <c r="K599" s="122"/>
      <c r="L599" s="37"/>
      <c r="M599" s="37"/>
      <c r="N599" s="139"/>
      <c r="O599" s="37"/>
      <c r="P599" s="37"/>
      <c r="Q599" s="37"/>
      <c r="R599" s="37"/>
      <c r="S599" s="37"/>
      <c r="T599" s="37"/>
      <c r="U599" s="37"/>
      <c r="V599" s="37"/>
      <c r="W599" s="37"/>
      <c r="X599" s="37"/>
      <c r="Y599" s="37"/>
      <c r="Z599" s="37"/>
    </row>
    <row r="600" spans="1:26" ht="12.5">
      <c r="A600" s="37"/>
      <c r="B600" s="151"/>
      <c r="C600" s="122"/>
      <c r="D600" s="122"/>
      <c r="E600" s="84"/>
      <c r="F600" s="77"/>
      <c r="G600" s="77"/>
      <c r="H600" s="37"/>
      <c r="I600" s="37"/>
      <c r="J600" s="37"/>
      <c r="K600" s="122"/>
      <c r="L600" s="37"/>
      <c r="M600" s="37"/>
      <c r="N600" s="139"/>
      <c r="O600" s="37"/>
      <c r="P600" s="37"/>
      <c r="Q600" s="37"/>
      <c r="R600" s="37"/>
      <c r="S600" s="37"/>
      <c r="T600" s="37"/>
      <c r="U600" s="37"/>
      <c r="V600" s="37"/>
      <c r="W600" s="37"/>
      <c r="X600" s="37"/>
      <c r="Y600" s="37"/>
      <c r="Z600" s="37"/>
    </row>
    <row r="601" spans="1:26" ht="12.5">
      <c r="A601" s="37"/>
      <c r="B601" s="151"/>
      <c r="C601" s="122"/>
      <c r="D601" s="122"/>
      <c r="E601" s="84"/>
      <c r="F601" s="77"/>
      <c r="G601" s="77"/>
      <c r="H601" s="37"/>
      <c r="I601" s="37"/>
      <c r="J601" s="37"/>
      <c r="K601" s="122"/>
      <c r="L601" s="37"/>
      <c r="M601" s="37"/>
      <c r="N601" s="139"/>
      <c r="O601" s="37"/>
      <c r="P601" s="37"/>
      <c r="Q601" s="37"/>
      <c r="R601" s="37"/>
      <c r="S601" s="37"/>
      <c r="T601" s="37"/>
      <c r="U601" s="37"/>
      <c r="V601" s="37"/>
      <c r="W601" s="37"/>
      <c r="X601" s="37"/>
      <c r="Y601" s="37"/>
      <c r="Z601" s="37"/>
    </row>
    <row r="602" spans="1:26" ht="12.5">
      <c r="A602" s="37"/>
      <c r="B602" s="151"/>
      <c r="C602" s="122"/>
      <c r="D602" s="122"/>
      <c r="E602" s="84"/>
      <c r="F602" s="77"/>
      <c r="G602" s="77"/>
      <c r="H602" s="37"/>
      <c r="I602" s="37"/>
      <c r="J602" s="37"/>
      <c r="K602" s="122"/>
      <c r="L602" s="37"/>
      <c r="M602" s="37"/>
      <c r="N602" s="139"/>
      <c r="O602" s="37"/>
      <c r="P602" s="37"/>
      <c r="Q602" s="37"/>
      <c r="R602" s="37"/>
      <c r="S602" s="37"/>
      <c r="T602" s="37"/>
      <c r="U602" s="37"/>
      <c r="V602" s="37"/>
      <c r="W602" s="37"/>
      <c r="X602" s="37"/>
      <c r="Y602" s="37"/>
      <c r="Z602" s="37"/>
    </row>
    <row r="603" spans="1:26" ht="12.5">
      <c r="A603" s="37"/>
      <c r="B603" s="151"/>
      <c r="C603" s="122"/>
      <c r="D603" s="122"/>
      <c r="E603" s="84"/>
      <c r="F603" s="77"/>
      <c r="G603" s="77"/>
      <c r="H603" s="37"/>
      <c r="I603" s="37"/>
      <c r="J603" s="37"/>
      <c r="K603" s="122"/>
      <c r="L603" s="37"/>
      <c r="M603" s="37"/>
      <c r="N603" s="139"/>
      <c r="O603" s="37"/>
      <c r="P603" s="37"/>
      <c r="Q603" s="37"/>
      <c r="R603" s="37"/>
      <c r="S603" s="37"/>
      <c r="T603" s="37"/>
      <c r="U603" s="37"/>
      <c r="V603" s="37"/>
      <c r="W603" s="37"/>
      <c r="X603" s="37"/>
      <c r="Y603" s="37"/>
      <c r="Z603" s="37"/>
    </row>
    <row r="604" spans="1:26" ht="12.5">
      <c r="A604" s="37"/>
      <c r="B604" s="151"/>
      <c r="C604" s="122"/>
      <c r="D604" s="122"/>
      <c r="E604" s="84"/>
      <c r="F604" s="77"/>
      <c r="G604" s="77"/>
      <c r="H604" s="37"/>
      <c r="I604" s="37"/>
      <c r="J604" s="37"/>
      <c r="K604" s="122"/>
      <c r="L604" s="37"/>
      <c r="M604" s="37"/>
      <c r="N604" s="139"/>
      <c r="O604" s="37"/>
      <c r="P604" s="37"/>
      <c r="Q604" s="37"/>
      <c r="R604" s="37"/>
      <c r="S604" s="37"/>
      <c r="T604" s="37"/>
      <c r="U604" s="37"/>
      <c r="V604" s="37"/>
      <c r="W604" s="37"/>
      <c r="X604" s="37"/>
      <c r="Y604" s="37"/>
      <c r="Z604" s="37"/>
    </row>
    <row r="605" spans="1:26" ht="12.5">
      <c r="A605" s="37"/>
      <c r="B605" s="151"/>
      <c r="C605" s="122"/>
      <c r="D605" s="122"/>
      <c r="E605" s="84"/>
      <c r="F605" s="77"/>
      <c r="G605" s="77"/>
      <c r="H605" s="37"/>
      <c r="I605" s="37"/>
      <c r="J605" s="37"/>
      <c r="K605" s="122"/>
      <c r="L605" s="37"/>
      <c r="M605" s="37"/>
      <c r="N605" s="139"/>
      <c r="O605" s="37"/>
      <c r="P605" s="37"/>
      <c r="Q605" s="37"/>
      <c r="R605" s="37"/>
      <c r="S605" s="37"/>
      <c r="T605" s="37"/>
      <c r="U605" s="37"/>
      <c r="V605" s="37"/>
      <c r="W605" s="37"/>
      <c r="X605" s="37"/>
      <c r="Y605" s="37"/>
      <c r="Z605" s="37"/>
    </row>
    <row r="606" spans="1:26" ht="12.5">
      <c r="A606" s="37"/>
      <c r="B606" s="151"/>
      <c r="C606" s="122"/>
      <c r="D606" s="122"/>
      <c r="E606" s="84"/>
      <c r="F606" s="77"/>
      <c r="G606" s="77"/>
      <c r="H606" s="37"/>
      <c r="I606" s="37"/>
      <c r="J606" s="37"/>
      <c r="K606" s="122"/>
      <c r="L606" s="37"/>
      <c r="M606" s="37"/>
      <c r="N606" s="139"/>
      <c r="O606" s="37"/>
      <c r="P606" s="37"/>
      <c r="Q606" s="37"/>
      <c r="R606" s="37"/>
      <c r="S606" s="37"/>
      <c r="T606" s="37"/>
      <c r="U606" s="37"/>
      <c r="V606" s="37"/>
      <c r="W606" s="37"/>
      <c r="X606" s="37"/>
      <c r="Y606" s="37"/>
      <c r="Z606" s="37"/>
    </row>
    <row r="607" spans="1:26" ht="12.5">
      <c r="A607" s="37"/>
      <c r="B607" s="151"/>
      <c r="C607" s="122"/>
      <c r="D607" s="122"/>
      <c r="E607" s="84"/>
      <c r="F607" s="77"/>
      <c r="G607" s="77"/>
      <c r="H607" s="37"/>
      <c r="I607" s="37"/>
      <c r="J607" s="37"/>
      <c r="K607" s="122"/>
      <c r="L607" s="37"/>
      <c r="M607" s="37"/>
      <c r="N607" s="139"/>
      <c r="O607" s="37"/>
      <c r="P607" s="37"/>
      <c r="Q607" s="37"/>
      <c r="R607" s="37"/>
      <c r="S607" s="37"/>
      <c r="T607" s="37"/>
      <c r="U607" s="37"/>
      <c r="V607" s="37"/>
      <c r="W607" s="37"/>
      <c r="X607" s="37"/>
      <c r="Y607" s="37"/>
      <c r="Z607" s="37"/>
    </row>
    <row r="608" spans="1:26" ht="12.5">
      <c r="A608" s="37"/>
      <c r="B608" s="151"/>
      <c r="C608" s="122"/>
      <c r="D608" s="122"/>
      <c r="E608" s="84"/>
      <c r="F608" s="77"/>
      <c r="G608" s="77"/>
      <c r="H608" s="37"/>
      <c r="I608" s="37"/>
      <c r="J608" s="37"/>
      <c r="K608" s="122"/>
      <c r="L608" s="37"/>
      <c r="M608" s="37"/>
      <c r="N608" s="139"/>
      <c r="O608" s="37"/>
      <c r="P608" s="37"/>
      <c r="Q608" s="37"/>
      <c r="R608" s="37"/>
      <c r="S608" s="37"/>
      <c r="T608" s="37"/>
      <c r="U608" s="37"/>
      <c r="V608" s="37"/>
      <c r="W608" s="37"/>
      <c r="X608" s="37"/>
      <c r="Y608" s="37"/>
      <c r="Z608" s="37"/>
    </row>
    <row r="609" spans="1:26" ht="12.5">
      <c r="A609" s="37"/>
      <c r="B609" s="151"/>
      <c r="C609" s="122"/>
      <c r="D609" s="122"/>
      <c r="E609" s="84"/>
      <c r="F609" s="77"/>
      <c r="G609" s="77"/>
      <c r="H609" s="37"/>
      <c r="I609" s="37"/>
      <c r="J609" s="37"/>
      <c r="K609" s="122"/>
      <c r="L609" s="37"/>
      <c r="M609" s="37"/>
      <c r="N609" s="139"/>
      <c r="O609" s="37"/>
      <c r="P609" s="37"/>
      <c r="Q609" s="37"/>
      <c r="R609" s="37"/>
      <c r="S609" s="37"/>
      <c r="T609" s="37"/>
      <c r="U609" s="37"/>
      <c r="V609" s="37"/>
      <c r="W609" s="37"/>
      <c r="X609" s="37"/>
      <c r="Y609" s="37"/>
      <c r="Z609" s="37"/>
    </row>
    <row r="610" spans="1:26" ht="12.5">
      <c r="A610" s="37"/>
      <c r="B610" s="151"/>
      <c r="C610" s="122"/>
      <c r="D610" s="122"/>
      <c r="E610" s="84"/>
      <c r="F610" s="77"/>
      <c r="G610" s="77"/>
      <c r="H610" s="37"/>
      <c r="I610" s="37"/>
      <c r="J610" s="37"/>
      <c r="K610" s="122"/>
      <c r="L610" s="37"/>
      <c r="M610" s="37"/>
      <c r="N610" s="139"/>
      <c r="O610" s="37"/>
      <c r="P610" s="37"/>
      <c r="Q610" s="37"/>
      <c r="R610" s="37"/>
      <c r="S610" s="37"/>
      <c r="T610" s="37"/>
      <c r="U610" s="37"/>
      <c r="V610" s="37"/>
      <c r="W610" s="37"/>
      <c r="X610" s="37"/>
      <c r="Y610" s="37"/>
      <c r="Z610" s="37"/>
    </row>
    <row r="611" spans="1:26" ht="12.5">
      <c r="A611" s="37"/>
      <c r="B611" s="151"/>
      <c r="C611" s="122"/>
      <c r="D611" s="122"/>
      <c r="E611" s="84"/>
      <c r="F611" s="77"/>
      <c r="G611" s="77"/>
      <c r="H611" s="37"/>
      <c r="I611" s="37"/>
      <c r="J611" s="37"/>
      <c r="K611" s="122"/>
      <c r="L611" s="37"/>
      <c r="M611" s="37"/>
      <c r="N611" s="139"/>
      <c r="O611" s="37"/>
      <c r="P611" s="37"/>
      <c r="Q611" s="37"/>
      <c r="R611" s="37"/>
      <c r="S611" s="37"/>
      <c r="T611" s="37"/>
      <c r="U611" s="37"/>
      <c r="V611" s="37"/>
      <c r="W611" s="37"/>
      <c r="X611" s="37"/>
      <c r="Y611" s="37"/>
      <c r="Z611" s="37"/>
    </row>
    <row r="612" spans="1:26" ht="12.5">
      <c r="A612" s="37"/>
      <c r="B612" s="151"/>
      <c r="C612" s="122"/>
      <c r="D612" s="122"/>
      <c r="E612" s="84"/>
      <c r="F612" s="77"/>
      <c r="G612" s="77"/>
      <c r="H612" s="37"/>
      <c r="I612" s="37"/>
      <c r="J612" s="37"/>
      <c r="K612" s="122"/>
      <c r="L612" s="37"/>
      <c r="M612" s="37"/>
      <c r="N612" s="139"/>
      <c r="O612" s="37"/>
      <c r="P612" s="37"/>
      <c r="Q612" s="37"/>
      <c r="R612" s="37"/>
      <c r="S612" s="37"/>
      <c r="T612" s="37"/>
      <c r="U612" s="37"/>
      <c r="V612" s="37"/>
      <c r="W612" s="37"/>
      <c r="X612" s="37"/>
      <c r="Y612" s="37"/>
      <c r="Z612" s="37"/>
    </row>
    <row r="613" spans="1:26" ht="12.5">
      <c r="A613" s="37"/>
      <c r="B613" s="151"/>
      <c r="C613" s="122"/>
      <c r="D613" s="122"/>
      <c r="E613" s="84"/>
      <c r="F613" s="77"/>
      <c r="G613" s="77"/>
      <c r="H613" s="37"/>
      <c r="I613" s="37"/>
      <c r="J613" s="37"/>
      <c r="K613" s="122"/>
      <c r="L613" s="37"/>
      <c r="M613" s="37"/>
      <c r="N613" s="139"/>
      <c r="O613" s="37"/>
      <c r="P613" s="37"/>
      <c r="Q613" s="37"/>
      <c r="R613" s="37"/>
      <c r="S613" s="37"/>
      <c r="T613" s="37"/>
      <c r="U613" s="37"/>
      <c r="V613" s="37"/>
      <c r="W613" s="37"/>
      <c r="X613" s="37"/>
      <c r="Y613" s="37"/>
      <c r="Z613" s="37"/>
    </row>
    <row r="614" spans="1:26" ht="12.5">
      <c r="A614" s="37"/>
      <c r="B614" s="151"/>
      <c r="C614" s="122"/>
      <c r="D614" s="122"/>
      <c r="E614" s="84"/>
      <c r="F614" s="77"/>
      <c r="G614" s="77"/>
      <c r="H614" s="37"/>
      <c r="I614" s="37"/>
      <c r="J614" s="37"/>
      <c r="K614" s="122"/>
      <c r="L614" s="37"/>
      <c r="M614" s="37"/>
      <c r="N614" s="139"/>
      <c r="O614" s="37"/>
      <c r="P614" s="37"/>
      <c r="Q614" s="37"/>
      <c r="R614" s="37"/>
      <c r="S614" s="37"/>
      <c r="T614" s="37"/>
      <c r="U614" s="37"/>
      <c r="V614" s="37"/>
      <c r="W614" s="37"/>
      <c r="X614" s="37"/>
      <c r="Y614" s="37"/>
      <c r="Z614" s="37"/>
    </row>
    <row r="615" spans="1:26" ht="12.5">
      <c r="A615" s="37"/>
      <c r="B615" s="151"/>
      <c r="C615" s="122"/>
      <c r="D615" s="122"/>
      <c r="E615" s="84"/>
      <c r="F615" s="77"/>
      <c r="G615" s="77"/>
      <c r="H615" s="37"/>
      <c r="I615" s="37"/>
      <c r="J615" s="37"/>
      <c r="K615" s="122"/>
      <c r="L615" s="37"/>
      <c r="M615" s="37"/>
      <c r="N615" s="139"/>
      <c r="O615" s="37"/>
      <c r="P615" s="37"/>
      <c r="Q615" s="37"/>
      <c r="R615" s="37"/>
      <c r="S615" s="37"/>
      <c r="T615" s="37"/>
      <c r="U615" s="37"/>
      <c r="V615" s="37"/>
      <c r="W615" s="37"/>
      <c r="X615" s="37"/>
      <c r="Y615" s="37"/>
      <c r="Z615" s="37"/>
    </row>
    <row r="616" spans="1:26" ht="12.5">
      <c r="A616" s="37"/>
      <c r="B616" s="151"/>
      <c r="C616" s="122"/>
      <c r="D616" s="122"/>
      <c r="E616" s="84"/>
      <c r="F616" s="77"/>
      <c r="G616" s="77"/>
      <c r="H616" s="37"/>
      <c r="I616" s="37"/>
      <c r="J616" s="37"/>
      <c r="K616" s="122"/>
      <c r="L616" s="37"/>
      <c r="M616" s="37"/>
      <c r="N616" s="139"/>
      <c r="O616" s="37"/>
      <c r="P616" s="37"/>
      <c r="Q616" s="37"/>
      <c r="R616" s="37"/>
      <c r="S616" s="37"/>
      <c r="T616" s="37"/>
      <c r="U616" s="37"/>
      <c r="V616" s="37"/>
      <c r="W616" s="37"/>
      <c r="X616" s="37"/>
      <c r="Y616" s="37"/>
      <c r="Z616" s="37"/>
    </row>
    <row r="617" spans="1:26" ht="12.5">
      <c r="A617" s="37"/>
      <c r="B617" s="151"/>
      <c r="C617" s="122"/>
      <c r="D617" s="122"/>
      <c r="E617" s="84"/>
      <c r="F617" s="77"/>
      <c r="G617" s="77"/>
      <c r="H617" s="37"/>
      <c r="I617" s="37"/>
      <c r="J617" s="37"/>
      <c r="K617" s="122"/>
      <c r="L617" s="37"/>
      <c r="M617" s="37"/>
      <c r="N617" s="139"/>
      <c r="O617" s="37"/>
      <c r="P617" s="37"/>
      <c r="Q617" s="37"/>
      <c r="R617" s="37"/>
      <c r="S617" s="37"/>
      <c r="T617" s="37"/>
      <c r="U617" s="37"/>
      <c r="V617" s="37"/>
      <c r="W617" s="37"/>
      <c r="X617" s="37"/>
      <c r="Y617" s="37"/>
      <c r="Z617" s="37"/>
    </row>
    <row r="618" spans="1:26" ht="12.5">
      <c r="A618" s="37"/>
      <c r="B618" s="151"/>
      <c r="C618" s="122"/>
      <c r="D618" s="122"/>
      <c r="E618" s="84"/>
      <c r="F618" s="77"/>
      <c r="G618" s="77"/>
      <c r="H618" s="37"/>
      <c r="I618" s="37"/>
      <c r="J618" s="37"/>
      <c r="K618" s="122"/>
      <c r="L618" s="37"/>
      <c r="M618" s="37"/>
      <c r="N618" s="139"/>
      <c r="O618" s="37"/>
      <c r="P618" s="37"/>
      <c r="Q618" s="37"/>
      <c r="R618" s="37"/>
      <c r="S618" s="37"/>
      <c r="T618" s="37"/>
      <c r="U618" s="37"/>
      <c r="V618" s="37"/>
      <c r="W618" s="37"/>
      <c r="X618" s="37"/>
      <c r="Y618" s="37"/>
      <c r="Z618" s="37"/>
    </row>
    <row r="619" spans="1:26" ht="12.5">
      <c r="A619" s="37"/>
      <c r="B619" s="151"/>
      <c r="C619" s="122"/>
      <c r="D619" s="122"/>
      <c r="E619" s="84"/>
      <c r="F619" s="77"/>
      <c r="G619" s="77"/>
      <c r="H619" s="37"/>
      <c r="I619" s="37"/>
      <c r="J619" s="37"/>
      <c r="K619" s="122"/>
      <c r="L619" s="37"/>
      <c r="M619" s="37"/>
      <c r="N619" s="139"/>
      <c r="O619" s="37"/>
      <c r="P619" s="37"/>
      <c r="Q619" s="37"/>
      <c r="R619" s="37"/>
      <c r="S619" s="37"/>
      <c r="T619" s="37"/>
      <c r="U619" s="37"/>
      <c r="V619" s="37"/>
      <c r="W619" s="37"/>
      <c r="X619" s="37"/>
      <c r="Y619" s="37"/>
      <c r="Z619" s="37"/>
    </row>
    <row r="620" spans="1:26" ht="12.5">
      <c r="A620" s="37"/>
      <c r="B620" s="151"/>
      <c r="C620" s="122"/>
      <c r="D620" s="122"/>
      <c r="E620" s="84"/>
      <c r="F620" s="77"/>
      <c r="G620" s="77"/>
      <c r="H620" s="37"/>
      <c r="I620" s="37"/>
      <c r="J620" s="37"/>
      <c r="K620" s="122"/>
      <c r="L620" s="37"/>
      <c r="M620" s="37"/>
      <c r="N620" s="139"/>
      <c r="O620" s="37"/>
      <c r="P620" s="37"/>
      <c r="Q620" s="37"/>
      <c r="R620" s="37"/>
      <c r="S620" s="37"/>
      <c r="T620" s="37"/>
      <c r="U620" s="37"/>
      <c r="V620" s="37"/>
      <c r="W620" s="37"/>
      <c r="X620" s="37"/>
      <c r="Y620" s="37"/>
      <c r="Z620" s="37"/>
    </row>
    <row r="621" spans="1:26" ht="12.5">
      <c r="A621" s="37"/>
      <c r="B621" s="151"/>
      <c r="C621" s="122"/>
      <c r="D621" s="122"/>
      <c r="E621" s="84"/>
      <c r="F621" s="77"/>
      <c r="G621" s="77"/>
      <c r="H621" s="37"/>
      <c r="I621" s="37"/>
      <c r="J621" s="37"/>
      <c r="K621" s="122"/>
      <c r="L621" s="37"/>
      <c r="M621" s="37"/>
      <c r="N621" s="139"/>
      <c r="O621" s="37"/>
      <c r="P621" s="37"/>
      <c r="Q621" s="37"/>
      <c r="R621" s="37"/>
      <c r="S621" s="37"/>
      <c r="T621" s="37"/>
      <c r="U621" s="37"/>
      <c r="V621" s="37"/>
      <c r="W621" s="37"/>
      <c r="X621" s="37"/>
      <c r="Y621" s="37"/>
      <c r="Z621" s="37"/>
    </row>
    <row r="622" spans="1:26" ht="12.5">
      <c r="A622" s="37"/>
      <c r="B622" s="151"/>
      <c r="C622" s="122"/>
      <c r="D622" s="122"/>
      <c r="E622" s="84"/>
      <c r="F622" s="77"/>
      <c r="G622" s="77"/>
      <c r="H622" s="37"/>
      <c r="I622" s="37"/>
      <c r="J622" s="37"/>
      <c r="K622" s="122"/>
      <c r="L622" s="37"/>
      <c r="M622" s="37"/>
      <c r="N622" s="139"/>
      <c r="O622" s="37"/>
      <c r="P622" s="37"/>
      <c r="Q622" s="37"/>
      <c r="R622" s="37"/>
      <c r="S622" s="37"/>
      <c r="T622" s="37"/>
      <c r="U622" s="37"/>
      <c r="V622" s="37"/>
      <c r="W622" s="37"/>
      <c r="X622" s="37"/>
      <c r="Y622" s="37"/>
      <c r="Z622" s="37"/>
    </row>
    <row r="623" spans="1:26" ht="12.5">
      <c r="A623" s="37"/>
      <c r="B623" s="151"/>
      <c r="C623" s="122"/>
      <c r="D623" s="122"/>
      <c r="E623" s="84"/>
      <c r="F623" s="77"/>
      <c r="G623" s="77"/>
      <c r="H623" s="37"/>
      <c r="I623" s="37"/>
      <c r="J623" s="37"/>
      <c r="K623" s="122"/>
      <c r="L623" s="37"/>
      <c r="M623" s="37"/>
      <c r="N623" s="139"/>
      <c r="O623" s="37"/>
      <c r="P623" s="37"/>
      <c r="Q623" s="37"/>
      <c r="R623" s="37"/>
      <c r="S623" s="37"/>
      <c r="T623" s="37"/>
      <c r="U623" s="37"/>
      <c r="V623" s="37"/>
      <c r="W623" s="37"/>
      <c r="X623" s="37"/>
      <c r="Y623" s="37"/>
      <c r="Z623" s="37"/>
    </row>
    <row r="624" spans="1:26" ht="12.5">
      <c r="A624" s="37"/>
      <c r="B624" s="151"/>
      <c r="C624" s="122"/>
      <c r="D624" s="122"/>
      <c r="E624" s="84"/>
      <c r="F624" s="77"/>
      <c r="G624" s="77"/>
      <c r="H624" s="37"/>
      <c r="I624" s="37"/>
      <c r="J624" s="37"/>
      <c r="K624" s="122"/>
      <c r="L624" s="37"/>
      <c r="M624" s="37"/>
      <c r="N624" s="139"/>
      <c r="O624" s="37"/>
      <c r="P624" s="37"/>
      <c r="Q624" s="37"/>
      <c r="R624" s="37"/>
      <c r="S624" s="37"/>
      <c r="T624" s="37"/>
      <c r="U624" s="37"/>
      <c r="V624" s="37"/>
      <c r="W624" s="37"/>
      <c r="X624" s="37"/>
      <c r="Y624" s="37"/>
      <c r="Z624" s="37"/>
    </row>
    <row r="625" spans="1:26" ht="12.5">
      <c r="A625" s="37"/>
      <c r="B625" s="151"/>
      <c r="C625" s="122"/>
      <c r="D625" s="122"/>
      <c r="E625" s="84"/>
      <c r="F625" s="77"/>
      <c r="G625" s="77"/>
      <c r="H625" s="37"/>
      <c r="I625" s="37"/>
      <c r="J625" s="37"/>
      <c r="K625" s="122"/>
      <c r="L625" s="37"/>
      <c r="M625" s="37"/>
      <c r="N625" s="139"/>
      <c r="O625" s="37"/>
      <c r="P625" s="37"/>
      <c r="Q625" s="37"/>
      <c r="R625" s="37"/>
      <c r="S625" s="37"/>
      <c r="T625" s="37"/>
      <c r="U625" s="37"/>
      <c r="V625" s="37"/>
      <c r="W625" s="37"/>
      <c r="X625" s="37"/>
      <c r="Y625" s="37"/>
      <c r="Z625" s="37"/>
    </row>
    <row r="626" spans="1:26" ht="12.5">
      <c r="A626" s="37"/>
      <c r="B626" s="151"/>
      <c r="C626" s="122"/>
      <c r="D626" s="122"/>
      <c r="E626" s="84"/>
      <c r="F626" s="77"/>
      <c r="G626" s="77"/>
      <c r="H626" s="37"/>
      <c r="I626" s="37"/>
      <c r="J626" s="37"/>
      <c r="K626" s="122"/>
      <c r="L626" s="37"/>
      <c r="M626" s="37"/>
      <c r="N626" s="139"/>
      <c r="O626" s="37"/>
      <c r="P626" s="37"/>
      <c r="Q626" s="37"/>
      <c r="R626" s="37"/>
      <c r="S626" s="37"/>
      <c r="T626" s="37"/>
      <c r="U626" s="37"/>
      <c r="V626" s="37"/>
      <c r="W626" s="37"/>
      <c r="X626" s="37"/>
      <c r="Y626" s="37"/>
      <c r="Z626" s="37"/>
    </row>
    <row r="627" spans="1:26" ht="12.5">
      <c r="A627" s="37"/>
      <c r="B627" s="151"/>
      <c r="C627" s="122"/>
      <c r="D627" s="122"/>
      <c r="E627" s="84"/>
      <c r="F627" s="77"/>
      <c r="G627" s="77"/>
      <c r="H627" s="37"/>
      <c r="I627" s="37"/>
      <c r="J627" s="37"/>
      <c r="K627" s="122"/>
      <c r="L627" s="37"/>
      <c r="M627" s="37"/>
      <c r="N627" s="139"/>
      <c r="O627" s="37"/>
      <c r="P627" s="37"/>
      <c r="Q627" s="37"/>
      <c r="R627" s="37"/>
      <c r="S627" s="37"/>
      <c r="T627" s="37"/>
      <c r="U627" s="37"/>
      <c r="V627" s="37"/>
      <c r="W627" s="37"/>
      <c r="X627" s="37"/>
      <c r="Y627" s="37"/>
      <c r="Z627" s="37"/>
    </row>
    <row r="628" spans="1:26" ht="12.5">
      <c r="A628" s="37"/>
      <c r="B628" s="151"/>
      <c r="C628" s="122"/>
      <c r="D628" s="122"/>
      <c r="E628" s="84"/>
      <c r="F628" s="77"/>
      <c r="G628" s="77"/>
      <c r="H628" s="37"/>
      <c r="I628" s="37"/>
      <c r="J628" s="37"/>
      <c r="K628" s="122"/>
      <c r="L628" s="37"/>
      <c r="M628" s="37"/>
      <c r="N628" s="139"/>
      <c r="O628" s="37"/>
      <c r="P628" s="37"/>
      <c r="Q628" s="37"/>
      <c r="R628" s="37"/>
      <c r="S628" s="37"/>
      <c r="T628" s="37"/>
      <c r="U628" s="37"/>
      <c r="V628" s="37"/>
      <c r="W628" s="37"/>
      <c r="X628" s="37"/>
      <c r="Y628" s="37"/>
      <c r="Z628" s="37"/>
    </row>
    <row r="629" spans="1:26" ht="12.5">
      <c r="A629" s="37"/>
      <c r="B629" s="151"/>
      <c r="C629" s="122"/>
      <c r="D629" s="122"/>
      <c r="E629" s="84"/>
      <c r="F629" s="77"/>
      <c r="G629" s="77"/>
      <c r="H629" s="37"/>
      <c r="I629" s="37"/>
      <c r="J629" s="37"/>
      <c r="K629" s="122"/>
      <c r="L629" s="37"/>
      <c r="M629" s="37"/>
      <c r="N629" s="139"/>
      <c r="O629" s="37"/>
      <c r="P629" s="37"/>
      <c r="Q629" s="37"/>
      <c r="R629" s="37"/>
      <c r="S629" s="37"/>
      <c r="T629" s="37"/>
      <c r="U629" s="37"/>
      <c r="V629" s="37"/>
      <c r="W629" s="37"/>
      <c r="X629" s="37"/>
      <c r="Y629" s="37"/>
      <c r="Z629" s="37"/>
    </row>
    <row r="630" spans="1:26" ht="12.5">
      <c r="A630" s="37"/>
      <c r="B630" s="151"/>
      <c r="C630" s="122"/>
      <c r="D630" s="122"/>
      <c r="E630" s="84"/>
      <c r="F630" s="77"/>
      <c r="G630" s="77"/>
      <c r="H630" s="37"/>
      <c r="I630" s="37"/>
      <c r="J630" s="37"/>
      <c r="K630" s="122"/>
      <c r="L630" s="37"/>
      <c r="M630" s="37"/>
      <c r="N630" s="139"/>
      <c r="O630" s="37"/>
      <c r="P630" s="37"/>
      <c r="Q630" s="37"/>
      <c r="R630" s="37"/>
      <c r="S630" s="37"/>
      <c r="T630" s="37"/>
      <c r="U630" s="37"/>
      <c r="V630" s="37"/>
      <c r="W630" s="37"/>
      <c r="X630" s="37"/>
      <c r="Y630" s="37"/>
      <c r="Z630" s="37"/>
    </row>
    <row r="631" spans="1:26" ht="12.5">
      <c r="A631" s="37"/>
      <c r="B631" s="151"/>
      <c r="C631" s="122"/>
      <c r="D631" s="122"/>
      <c r="E631" s="84"/>
      <c r="F631" s="77"/>
      <c r="G631" s="77"/>
      <c r="H631" s="37"/>
      <c r="I631" s="37"/>
      <c r="J631" s="37"/>
      <c r="K631" s="122"/>
      <c r="L631" s="37"/>
      <c r="M631" s="37"/>
      <c r="N631" s="139"/>
      <c r="O631" s="37"/>
      <c r="P631" s="37"/>
      <c r="Q631" s="37"/>
      <c r="R631" s="37"/>
      <c r="S631" s="37"/>
      <c r="T631" s="37"/>
      <c r="U631" s="37"/>
      <c r="V631" s="37"/>
      <c r="W631" s="37"/>
      <c r="X631" s="37"/>
      <c r="Y631" s="37"/>
      <c r="Z631" s="37"/>
    </row>
    <row r="632" spans="1:26" ht="12.5">
      <c r="A632" s="37"/>
      <c r="B632" s="151"/>
      <c r="C632" s="122"/>
      <c r="D632" s="122"/>
      <c r="E632" s="84"/>
      <c r="F632" s="77"/>
      <c r="G632" s="77"/>
      <c r="H632" s="37"/>
      <c r="I632" s="37"/>
      <c r="J632" s="37"/>
      <c r="K632" s="122"/>
      <c r="L632" s="37"/>
      <c r="M632" s="37"/>
      <c r="N632" s="139"/>
      <c r="O632" s="37"/>
      <c r="P632" s="37"/>
      <c r="Q632" s="37"/>
      <c r="R632" s="37"/>
      <c r="S632" s="37"/>
      <c r="T632" s="37"/>
      <c r="U632" s="37"/>
      <c r="V632" s="37"/>
      <c r="W632" s="37"/>
      <c r="X632" s="37"/>
      <c r="Y632" s="37"/>
      <c r="Z632" s="37"/>
    </row>
    <row r="633" spans="1:26" ht="12.5">
      <c r="A633" s="37"/>
      <c r="B633" s="151"/>
      <c r="C633" s="122"/>
      <c r="D633" s="122"/>
      <c r="E633" s="84"/>
      <c r="F633" s="77"/>
      <c r="G633" s="77"/>
      <c r="H633" s="37"/>
      <c r="I633" s="37"/>
      <c r="J633" s="37"/>
      <c r="K633" s="122"/>
      <c r="L633" s="37"/>
      <c r="M633" s="37"/>
      <c r="N633" s="139"/>
      <c r="O633" s="37"/>
      <c r="P633" s="37"/>
      <c r="Q633" s="37"/>
      <c r="R633" s="37"/>
      <c r="S633" s="37"/>
      <c r="T633" s="37"/>
      <c r="U633" s="37"/>
      <c r="V633" s="37"/>
      <c r="W633" s="37"/>
      <c r="X633" s="37"/>
      <c r="Y633" s="37"/>
      <c r="Z633" s="37"/>
    </row>
    <row r="634" spans="1:26" ht="12.5">
      <c r="A634" s="37"/>
      <c r="B634" s="151"/>
      <c r="C634" s="122"/>
      <c r="D634" s="122"/>
      <c r="E634" s="84"/>
      <c r="F634" s="77"/>
      <c r="G634" s="77"/>
      <c r="H634" s="37"/>
      <c r="I634" s="37"/>
      <c r="J634" s="37"/>
      <c r="K634" s="122"/>
      <c r="L634" s="37"/>
      <c r="M634" s="37"/>
      <c r="N634" s="139"/>
      <c r="O634" s="37"/>
      <c r="P634" s="37"/>
      <c r="Q634" s="37"/>
      <c r="R634" s="37"/>
      <c r="S634" s="37"/>
      <c r="T634" s="37"/>
      <c r="U634" s="37"/>
      <c r="V634" s="37"/>
      <c r="W634" s="37"/>
      <c r="X634" s="37"/>
      <c r="Y634" s="37"/>
      <c r="Z634" s="37"/>
    </row>
    <row r="635" spans="1:26" ht="12.5">
      <c r="A635" s="37"/>
      <c r="B635" s="151"/>
      <c r="C635" s="122"/>
      <c r="D635" s="122"/>
      <c r="E635" s="84"/>
      <c r="F635" s="77"/>
      <c r="G635" s="77"/>
      <c r="H635" s="37"/>
      <c r="I635" s="37"/>
      <c r="J635" s="37"/>
      <c r="K635" s="122"/>
      <c r="L635" s="37"/>
      <c r="M635" s="37"/>
      <c r="N635" s="139"/>
      <c r="O635" s="37"/>
      <c r="P635" s="37"/>
      <c r="Q635" s="37"/>
      <c r="R635" s="37"/>
      <c r="S635" s="37"/>
      <c r="T635" s="37"/>
      <c r="U635" s="37"/>
      <c r="V635" s="37"/>
      <c r="W635" s="37"/>
      <c r="X635" s="37"/>
      <c r="Y635" s="37"/>
      <c r="Z635" s="37"/>
    </row>
    <row r="636" spans="1:26" ht="12.5">
      <c r="A636" s="37"/>
      <c r="B636" s="151"/>
      <c r="C636" s="122"/>
      <c r="D636" s="122"/>
      <c r="E636" s="84"/>
      <c r="F636" s="77"/>
      <c r="G636" s="77"/>
      <c r="H636" s="37"/>
      <c r="I636" s="37"/>
      <c r="J636" s="37"/>
      <c r="K636" s="122"/>
      <c r="L636" s="37"/>
      <c r="M636" s="37"/>
      <c r="N636" s="139"/>
      <c r="O636" s="37"/>
      <c r="P636" s="37"/>
      <c r="Q636" s="37"/>
      <c r="R636" s="37"/>
      <c r="S636" s="37"/>
      <c r="T636" s="37"/>
      <c r="U636" s="37"/>
      <c r="V636" s="37"/>
      <c r="W636" s="37"/>
      <c r="X636" s="37"/>
      <c r="Y636" s="37"/>
      <c r="Z636" s="37"/>
    </row>
    <row r="637" spans="1:26" ht="12.5">
      <c r="A637" s="37"/>
      <c r="B637" s="151"/>
      <c r="C637" s="122"/>
      <c r="D637" s="122"/>
      <c r="E637" s="84"/>
      <c r="F637" s="77"/>
      <c r="G637" s="77"/>
      <c r="H637" s="37"/>
      <c r="I637" s="37"/>
      <c r="J637" s="37"/>
      <c r="K637" s="122"/>
      <c r="L637" s="37"/>
      <c r="M637" s="37"/>
      <c r="N637" s="139"/>
      <c r="O637" s="37"/>
      <c r="P637" s="37"/>
      <c r="Q637" s="37"/>
      <c r="R637" s="37"/>
      <c r="S637" s="37"/>
      <c r="T637" s="37"/>
      <c r="U637" s="37"/>
      <c r="V637" s="37"/>
      <c r="W637" s="37"/>
      <c r="X637" s="37"/>
      <c r="Y637" s="37"/>
      <c r="Z637" s="37"/>
    </row>
    <row r="638" spans="1:26" ht="12.5">
      <c r="A638" s="37"/>
      <c r="B638" s="151"/>
      <c r="C638" s="122"/>
      <c r="D638" s="122"/>
      <c r="E638" s="84"/>
      <c r="F638" s="77"/>
      <c r="G638" s="77"/>
      <c r="H638" s="37"/>
      <c r="I638" s="37"/>
      <c r="J638" s="37"/>
      <c r="K638" s="122"/>
      <c r="L638" s="37"/>
      <c r="M638" s="37"/>
      <c r="N638" s="139"/>
      <c r="O638" s="37"/>
      <c r="P638" s="37"/>
      <c r="Q638" s="37"/>
      <c r="R638" s="37"/>
      <c r="S638" s="37"/>
      <c r="T638" s="37"/>
      <c r="U638" s="37"/>
      <c r="V638" s="37"/>
      <c r="W638" s="37"/>
      <c r="X638" s="37"/>
      <c r="Y638" s="37"/>
      <c r="Z638" s="37"/>
    </row>
    <row r="639" spans="1:26" ht="12.5">
      <c r="A639" s="37"/>
      <c r="B639" s="151"/>
      <c r="C639" s="122"/>
      <c r="D639" s="122"/>
      <c r="E639" s="84"/>
      <c r="F639" s="77"/>
      <c r="G639" s="77"/>
      <c r="H639" s="37"/>
      <c r="I639" s="37"/>
      <c r="J639" s="37"/>
      <c r="K639" s="122"/>
      <c r="L639" s="37"/>
      <c r="M639" s="37"/>
      <c r="N639" s="139"/>
      <c r="O639" s="37"/>
      <c r="P639" s="37"/>
      <c r="Q639" s="37"/>
      <c r="R639" s="37"/>
      <c r="S639" s="37"/>
      <c r="T639" s="37"/>
      <c r="U639" s="37"/>
      <c r="V639" s="37"/>
      <c r="W639" s="37"/>
      <c r="X639" s="37"/>
      <c r="Y639" s="37"/>
      <c r="Z639" s="37"/>
    </row>
    <row r="640" spans="1:26" ht="12.5">
      <c r="A640" s="37"/>
      <c r="B640" s="151"/>
      <c r="C640" s="122"/>
      <c r="D640" s="122"/>
      <c r="E640" s="84"/>
      <c r="F640" s="77"/>
      <c r="G640" s="77"/>
      <c r="H640" s="37"/>
      <c r="I640" s="37"/>
      <c r="J640" s="37"/>
      <c r="K640" s="122"/>
      <c r="L640" s="37"/>
      <c r="M640" s="37"/>
      <c r="N640" s="139"/>
      <c r="O640" s="37"/>
      <c r="P640" s="37"/>
      <c r="Q640" s="37"/>
      <c r="R640" s="37"/>
      <c r="S640" s="37"/>
      <c r="T640" s="37"/>
      <c r="U640" s="37"/>
      <c r="V640" s="37"/>
      <c r="W640" s="37"/>
      <c r="X640" s="37"/>
      <c r="Y640" s="37"/>
      <c r="Z640" s="37"/>
    </row>
    <row r="641" spans="1:26" ht="12.5">
      <c r="A641" s="37"/>
      <c r="B641" s="151"/>
      <c r="C641" s="122"/>
      <c r="D641" s="122"/>
      <c r="E641" s="84"/>
      <c r="F641" s="77"/>
      <c r="G641" s="77"/>
      <c r="H641" s="37"/>
      <c r="I641" s="37"/>
      <c r="J641" s="37"/>
      <c r="K641" s="122"/>
      <c r="L641" s="37"/>
      <c r="M641" s="37"/>
      <c r="N641" s="139"/>
      <c r="O641" s="37"/>
      <c r="P641" s="37"/>
      <c r="Q641" s="37"/>
      <c r="R641" s="37"/>
      <c r="S641" s="37"/>
      <c r="T641" s="37"/>
      <c r="U641" s="37"/>
      <c r="V641" s="37"/>
      <c r="W641" s="37"/>
      <c r="X641" s="37"/>
      <c r="Y641" s="37"/>
      <c r="Z641" s="37"/>
    </row>
    <row r="642" spans="1:26" ht="12.5">
      <c r="A642" s="37"/>
      <c r="B642" s="151"/>
      <c r="C642" s="122"/>
      <c r="D642" s="122"/>
      <c r="E642" s="84"/>
      <c r="F642" s="77"/>
      <c r="G642" s="77"/>
      <c r="H642" s="37"/>
      <c r="I642" s="37"/>
      <c r="J642" s="37"/>
      <c r="K642" s="122"/>
      <c r="L642" s="37"/>
      <c r="M642" s="37"/>
      <c r="N642" s="139"/>
      <c r="O642" s="37"/>
      <c r="P642" s="37"/>
      <c r="Q642" s="37"/>
      <c r="R642" s="37"/>
      <c r="S642" s="37"/>
      <c r="T642" s="37"/>
      <c r="U642" s="37"/>
      <c r="V642" s="37"/>
      <c r="W642" s="37"/>
      <c r="X642" s="37"/>
      <c r="Y642" s="37"/>
      <c r="Z642" s="37"/>
    </row>
    <row r="643" spans="1:26" ht="12.5">
      <c r="A643" s="37"/>
      <c r="B643" s="151"/>
      <c r="C643" s="122"/>
      <c r="D643" s="122"/>
      <c r="E643" s="84"/>
      <c r="F643" s="77"/>
      <c r="G643" s="77"/>
      <c r="H643" s="37"/>
      <c r="I643" s="37"/>
      <c r="J643" s="37"/>
      <c r="K643" s="122"/>
      <c r="L643" s="37"/>
      <c r="M643" s="37"/>
      <c r="N643" s="139"/>
      <c r="O643" s="37"/>
      <c r="P643" s="37"/>
      <c r="Q643" s="37"/>
      <c r="R643" s="37"/>
      <c r="S643" s="37"/>
      <c r="T643" s="37"/>
      <c r="U643" s="37"/>
      <c r="V643" s="37"/>
      <c r="W643" s="37"/>
      <c r="X643" s="37"/>
      <c r="Y643" s="37"/>
      <c r="Z643" s="37"/>
    </row>
    <row r="644" spans="1:26" ht="12.5">
      <c r="A644" s="37"/>
      <c r="B644" s="151"/>
      <c r="C644" s="122"/>
      <c r="D644" s="122"/>
      <c r="E644" s="84"/>
      <c r="F644" s="77"/>
      <c r="G644" s="77"/>
      <c r="H644" s="37"/>
      <c r="I644" s="37"/>
      <c r="J644" s="37"/>
      <c r="K644" s="122"/>
      <c r="L644" s="37"/>
      <c r="M644" s="37"/>
      <c r="N644" s="139"/>
      <c r="O644" s="37"/>
      <c r="P644" s="37"/>
      <c r="Q644" s="37"/>
      <c r="R644" s="37"/>
      <c r="S644" s="37"/>
      <c r="T644" s="37"/>
      <c r="U644" s="37"/>
      <c r="V644" s="37"/>
      <c r="W644" s="37"/>
      <c r="X644" s="37"/>
      <c r="Y644" s="37"/>
      <c r="Z644" s="37"/>
    </row>
    <row r="645" spans="1:26" ht="12.5">
      <c r="A645" s="37"/>
      <c r="B645" s="151"/>
      <c r="C645" s="122"/>
      <c r="D645" s="122"/>
      <c r="E645" s="84"/>
      <c r="F645" s="77"/>
      <c r="G645" s="77"/>
      <c r="H645" s="37"/>
      <c r="I645" s="37"/>
      <c r="J645" s="37"/>
      <c r="K645" s="122"/>
      <c r="L645" s="37"/>
      <c r="M645" s="37"/>
      <c r="N645" s="139"/>
      <c r="O645" s="37"/>
      <c r="P645" s="37"/>
      <c r="Q645" s="37"/>
      <c r="R645" s="37"/>
      <c r="S645" s="37"/>
      <c r="T645" s="37"/>
      <c r="U645" s="37"/>
      <c r="V645" s="37"/>
      <c r="W645" s="37"/>
      <c r="X645" s="37"/>
      <c r="Y645" s="37"/>
      <c r="Z645" s="37"/>
    </row>
    <row r="646" spans="1:26" ht="12.5">
      <c r="A646" s="37"/>
      <c r="B646" s="151"/>
      <c r="C646" s="122"/>
      <c r="D646" s="122"/>
      <c r="E646" s="84"/>
      <c r="F646" s="77"/>
      <c r="G646" s="77"/>
      <c r="H646" s="37"/>
      <c r="I646" s="37"/>
      <c r="J646" s="37"/>
      <c r="K646" s="122"/>
      <c r="L646" s="37"/>
      <c r="M646" s="37"/>
      <c r="N646" s="139"/>
      <c r="O646" s="37"/>
      <c r="P646" s="37"/>
      <c r="Q646" s="37"/>
      <c r="R646" s="37"/>
      <c r="S646" s="37"/>
      <c r="T646" s="37"/>
      <c r="U646" s="37"/>
      <c r="V646" s="37"/>
      <c r="W646" s="37"/>
      <c r="X646" s="37"/>
      <c r="Y646" s="37"/>
      <c r="Z646" s="37"/>
    </row>
    <row r="647" spans="1:26" ht="12.5">
      <c r="A647" s="37"/>
      <c r="B647" s="151"/>
      <c r="C647" s="122"/>
      <c r="D647" s="122"/>
      <c r="E647" s="84"/>
      <c r="F647" s="77"/>
      <c r="G647" s="77"/>
      <c r="H647" s="37"/>
      <c r="I647" s="37"/>
      <c r="J647" s="37"/>
      <c r="K647" s="122"/>
      <c r="L647" s="37"/>
      <c r="M647" s="37"/>
      <c r="N647" s="139"/>
      <c r="O647" s="37"/>
      <c r="P647" s="37"/>
      <c r="Q647" s="37"/>
      <c r="R647" s="37"/>
      <c r="S647" s="37"/>
      <c r="T647" s="37"/>
      <c r="U647" s="37"/>
      <c r="V647" s="37"/>
      <c r="W647" s="37"/>
      <c r="X647" s="37"/>
      <c r="Y647" s="37"/>
      <c r="Z647" s="37"/>
    </row>
    <row r="648" spans="1:26" ht="12.5">
      <c r="A648" s="37"/>
      <c r="B648" s="151"/>
      <c r="C648" s="122"/>
      <c r="D648" s="122"/>
      <c r="E648" s="84"/>
      <c r="F648" s="77"/>
      <c r="G648" s="77"/>
      <c r="H648" s="37"/>
      <c r="I648" s="37"/>
      <c r="J648" s="37"/>
      <c r="K648" s="122"/>
      <c r="L648" s="37"/>
      <c r="M648" s="37"/>
      <c r="N648" s="139"/>
      <c r="O648" s="37"/>
      <c r="P648" s="37"/>
      <c r="Q648" s="37"/>
      <c r="R648" s="37"/>
      <c r="S648" s="37"/>
      <c r="T648" s="37"/>
      <c r="U648" s="37"/>
      <c r="V648" s="37"/>
      <c r="W648" s="37"/>
      <c r="X648" s="37"/>
      <c r="Y648" s="37"/>
      <c r="Z648" s="37"/>
    </row>
    <row r="649" spans="1:26" ht="12.5">
      <c r="A649" s="37"/>
      <c r="B649" s="151"/>
      <c r="C649" s="122"/>
      <c r="D649" s="122"/>
      <c r="E649" s="84"/>
      <c r="F649" s="77"/>
      <c r="G649" s="77"/>
      <c r="H649" s="37"/>
      <c r="I649" s="37"/>
      <c r="J649" s="37"/>
      <c r="K649" s="122"/>
      <c r="L649" s="37"/>
      <c r="M649" s="37"/>
      <c r="N649" s="139"/>
      <c r="O649" s="37"/>
      <c r="P649" s="37"/>
      <c r="Q649" s="37"/>
      <c r="R649" s="37"/>
      <c r="S649" s="37"/>
      <c r="T649" s="37"/>
      <c r="U649" s="37"/>
      <c r="V649" s="37"/>
      <c r="W649" s="37"/>
      <c r="X649" s="37"/>
      <c r="Y649" s="37"/>
      <c r="Z649" s="37"/>
    </row>
    <row r="650" spans="1:26" ht="12.5">
      <c r="A650" s="37"/>
      <c r="B650" s="151"/>
      <c r="C650" s="122"/>
      <c r="D650" s="122"/>
      <c r="E650" s="84"/>
      <c r="F650" s="77"/>
      <c r="G650" s="77"/>
      <c r="H650" s="37"/>
      <c r="I650" s="37"/>
      <c r="J650" s="37"/>
      <c r="K650" s="122"/>
      <c r="L650" s="37"/>
      <c r="M650" s="37"/>
      <c r="N650" s="139"/>
      <c r="O650" s="37"/>
      <c r="P650" s="37"/>
      <c r="Q650" s="37"/>
      <c r="R650" s="37"/>
      <c r="S650" s="37"/>
      <c r="T650" s="37"/>
      <c r="U650" s="37"/>
      <c r="V650" s="37"/>
      <c r="W650" s="37"/>
      <c r="X650" s="37"/>
      <c r="Y650" s="37"/>
      <c r="Z650" s="37"/>
    </row>
    <row r="651" spans="1:26" ht="12.5">
      <c r="A651" s="37"/>
      <c r="B651" s="151"/>
      <c r="C651" s="122"/>
      <c r="D651" s="122"/>
      <c r="E651" s="84"/>
      <c r="F651" s="77"/>
      <c r="G651" s="77"/>
      <c r="H651" s="37"/>
      <c r="I651" s="37"/>
      <c r="J651" s="37"/>
      <c r="K651" s="122"/>
      <c r="L651" s="37"/>
      <c r="M651" s="37"/>
      <c r="N651" s="139"/>
      <c r="O651" s="37"/>
      <c r="P651" s="37"/>
      <c r="Q651" s="37"/>
      <c r="R651" s="37"/>
      <c r="S651" s="37"/>
      <c r="T651" s="37"/>
      <c r="U651" s="37"/>
      <c r="V651" s="37"/>
      <c r="W651" s="37"/>
      <c r="X651" s="37"/>
      <c r="Y651" s="37"/>
      <c r="Z651" s="37"/>
    </row>
    <row r="652" spans="1:26" ht="12.5">
      <c r="A652" s="37"/>
      <c r="B652" s="151"/>
      <c r="C652" s="122"/>
      <c r="D652" s="122"/>
      <c r="E652" s="84"/>
      <c r="F652" s="77"/>
      <c r="G652" s="77"/>
      <c r="H652" s="37"/>
      <c r="I652" s="37"/>
      <c r="J652" s="37"/>
      <c r="K652" s="122"/>
      <c r="L652" s="37"/>
      <c r="M652" s="37"/>
      <c r="N652" s="139"/>
      <c r="O652" s="37"/>
      <c r="P652" s="37"/>
      <c r="Q652" s="37"/>
      <c r="R652" s="37"/>
      <c r="S652" s="37"/>
      <c r="T652" s="37"/>
      <c r="U652" s="37"/>
      <c r="V652" s="37"/>
      <c r="W652" s="37"/>
      <c r="X652" s="37"/>
      <c r="Y652" s="37"/>
      <c r="Z652" s="37"/>
    </row>
    <row r="653" spans="1:26" ht="12.5">
      <c r="A653" s="37"/>
      <c r="B653" s="151"/>
      <c r="C653" s="122"/>
      <c r="D653" s="122"/>
      <c r="E653" s="84"/>
      <c r="F653" s="77"/>
      <c r="G653" s="77"/>
      <c r="H653" s="37"/>
      <c r="I653" s="37"/>
      <c r="J653" s="37"/>
      <c r="K653" s="122"/>
      <c r="L653" s="37"/>
      <c r="M653" s="37"/>
      <c r="N653" s="139"/>
      <c r="O653" s="37"/>
      <c r="P653" s="37"/>
      <c r="Q653" s="37"/>
      <c r="R653" s="37"/>
      <c r="S653" s="37"/>
      <c r="T653" s="37"/>
      <c r="U653" s="37"/>
      <c r="V653" s="37"/>
      <c r="W653" s="37"/>
      <c r="X653" s="37"/>
      <c r="Y653" s="37"/>
      <c r="Z653" s="37"/>
    </row>
    <row r="654" spans="1:26" ht="12.5">
      <c r="A654" s="37"/>
      <c r="B654" s="151"/>
      <c r="C654" s="122"/>
      <c r="D654" s="122"/>
      <c r="E654" s="84"/>
      <c r="F654" s="77"/>
      <c r="G654" s="77"/>
      <c r="H654" s="37"/>
      <c r="I654" s="37"/>
      <c r="J654" s="37"/>
      <c r="K654" s="122"/>
      <c r="L654" s="37"/>
      <c r="M654" s="37"/>
      <c r="N654" s="139"/>
      <c r="O654" s="37"/>
      <c r="P654" s="37"/>
      <c r="Q654" s="37"/>
      <c r="R654" s="37"/>
      <c r="S654" s="37"/>
      <c r="T654" s="37"/>
      <c r="U654" s="37"/>
      <c r="V654" s="37"/>
      <c r="W654" s="37"/>
      <c r="X654" s="37"/>
      <c r="Y654" s="37"/>
      <c r="Z654" s="37"/>
    </row>
    <row r="655" spans="1:26" ht="12.5">
      <c r="A655" s="37"/>
      <c r="B655" s="151"/>
      <c r="C655" s="122"/>
      <c r="D655" s="122"/>
      <c r="E655" s="84"/>
      <c r="F655" s="77"/>
      <c r="G655" s="77"/>
      <c r="H655" s="37"/>
      <c r="I655" s="37"/>
      <c r="J655" s="37"/>
      <c r="K655" s="122"/>
      <c r="L655" s="37"/>
      <c r="M655" s="37"/>
      <c r="N655" s="139"/>
      <c r="O655" s="37"/>
      <c r="P655" s="37"/>
      <c r="Q655" s="37"/>
      <c r="R655" s="37"/>
      <c r="S655" s="37"/>
      <c r="T655" s="37"/>
      <c r="U655" s="37"/>
      <c r="V655" s="37"/>
      <c r="W655" s="37"/>
      <c r="X655" s="37"/>
      <c r="Y655" s="37"/>
      <c r="Z655" s="37"/>
    </row>
    <row r="656" spans="1:26" ht="12.5">
      <c r="A656" s="37"/>
      <c r="B656" s="151"/>
      <c r="C656" s="122"/>
      <c r="D656" s="122"/>
      <c r="E656" s="84"/>
      <c r="F656" s="77"/>
      <c r="G656" s="77"/>
      <c r="H656" s="37"/>
      <c r="I656" s="37"/>
      <c r="J656" s="37"/>
      <c r="K656" s="122"/>
      <c r="L656" s="37"/>
      <c r="M656" s="37"/>
      <c r="N656" s="139"/>
      <c r="O656" s="37"/>
      <c r="P656" s="37"/>
      <c r="Q656" s="37"/>
      <c r="R656" s="37"/>
      <c r="S656" s="37"/>
      <c r="T656" s="37"/>
      <c r="U656" s="37"/>
      <c r="V656" s="37"/>
      <c r="W656" s="37"/>
      <c r="X656" s="37"/>
      <c r="Y656" s="37"/>
      <c r="Z656" s="37"/>
    </row>
    <row r="657" spans="1:26" ht="12.5">
      <c r="A657" s="37"/>
      <c r="B657" s="151"/>
      <c r="C657" s="122"/>
      <c r="D657" s="122"/>
      <c r="E657" s="84"/>
      <c r="F657" s="77"/>
      <c r="G657" s="77"/>
      <c r="H657" s="37"/>
      <c r="I657" s="37"/>
      <c r="J657" s="37"/>
      <c r="K657" s="122"/>
      <c r="L657" s="37"/>
      <c r="M657" s="37"/>
      <c r="N657" s="139"/>
      <c r="O657" s="37"/>
      <c r="P657" s="37"/>
      <c r="Q657" s="37"/>
      <c r="R657" s="37"/>
      <c r="S657" s="37"/>
      <c r="T657" s="37"/>
      <c r="U657" s="37"/>
      <c r="V657" s="37"/>
      <c r="W657" s="37"/>
      <c r="X657" s="37"/>
      <c r="Y657" s="37"/>
      <c r="Z657" s="37"/>
    </row>
    <row r="658" spans="1:26" ht="12.5">
      <c r="A658" s="37"/>
      <c r="B658" s="151"/>
      <c r="C658" s="122"/>
      <c r="D658" s="122"/>
      <c r="E658" s="84"/>
      <c r="F658" s="77"/>
      <c r="G658" s="77"/>
      <c r="H658" s="37"/>
      <c r="I658" s="37"/>
      <c r="J658" s="37"/>
      <c r="K658" s="122"/>
      <c r="L658" s="37"/>
      <c r="M658" s="37"/>
      <c r="N658" s="139"/>
      <c r="O658" s="37"/>
      <c r="P658" s="37"/>
      <c r="Q658" s="37"/>
      <c r="R658" s="37"/>
      <c r="S658" s="37"/>
      <c r="T658" s="37"/>
      <c r="U658" s="37"/>
      <c r="V658" s="37"/>
      <c r="W658" s="37"/>
      <c r="X658" s="37"/>
      <c r="Y658" s="37"/>
      <c r="Z658" s="37"/>
    </row>
    <row r="659" spans="1:26" ht="12.5">
      <c r="A659" s="37"/>
      <c r="B659" s="151"/>
      <c r="C659" s="122"/>
      <c r="D659" s="122"/>
      <c r="E659" s="84"/>
      <c r="F659" s="77"/>
      <c r="G659" s="77"/>
      <c r="H659" s="37"/>
      <c r="I659" s="37"/>
      <c r="J659" s="37"/>
      <c r="K659" s="122"/>
      <c r="L659" s="37"/>
      <c r="M659" s="37"/>
      <c r="N659" s="139"/>
      <c r="O659" s="37"/>
      <c r="P659" s="37"/>
      <c r="Q659" s="37"/>
      <c r="R659" s="37"/>
      <c r="S659" s="37"/>
      <c r="T659" s="37"/>
      <c r="U659" s="37"/>
      <c r="V659" s="37"/>
      <c r="W659" s="37"/>
      <c r="X659" s="37"/>
      <c r="Y659" s="37"/>
      <c r="Z659" s="37"/>
    </row>
    <row r="660" spans="1:26" ht="12.5">
      <c r="A660" s="37"/>
      <c r="B660" s="151"/>
      <c r="C660" s="122"/>
      <c r="D660" s="122"/>
      <c r="E660" s="84"/>
      <c r="F660" s="77"/>
      <c r="G660" s="77"/>
      <c r="H660" s="37"/>
      <c r="I660" s="37"/>
      <c r="J660" s="37"/>
      <c r="K660" s="122"/>
      <c r="L660" s="37"/>
      <c r="M660" s="37"/>
      <c r="N660" s="139"/>
      <c r="O660" s="37"/>
      <c r="P660" s="37"/>
      <c r="Q660" s="37"/>
      <c r="R660" s="37"/>
      <c r="S660" s="37"/>
      <c r="T660" s="37"/>
      <c r="U660" s="37"/>
      <c r="V660" s="37"/>
      <c r="W660" s="37"/>
      <c r="X660" s="37"/>
      <c r="Y660" s="37"/>
      <c r="Z660" s="37"/>
    </row>
    <row r="661" spans="1:26" ht="12.5">
      <c r="A661" s="37"/>
      <c r="B661" s="151"/>
      <c r="C661" s="122"/>
      <c r="D661" s="122"/>
      <c r="E661" s="84"/>
      <c r="F661" s="77"/>
      <c r="G661" s="77"/>
      <c r="H661" s="37"/>
      <c r="I661" s="37"/>
      <c r="J661" s="37"/>
      <c r="K661" s="122"/>
      <c r="L661" s="37"/>
      <c r="M661" s="37"/>
      <c r="N661" s="139"/>
      <c r="O661" s="37"/>
      <c r="P661" s="37"/>
      <c r="Q661" s="37"/>
      <c r="R661" s="37"/>
      <c r="S661" s="37"/>
      <c r="T661" s="37"/>
      <c r="U661" s="37"/>
      <c r="V661" s="37"/>
      <c r="W661" s="37"/>
      <c r="X661" s="37"/>
      <c r="Y661" s="37"/>
      <c r="Z661" s="37"/>
    </row>
    <row r="662" spans="1:26" ht="12.5">
      <c r="A662" s="37"/>
      <c r="B662" s="151"/>
      <c r="C662" s="122"/>
      <c r="D662" s="122"/>
      <c r="E662" s="84"/>
      <c r="F662" s="77"/>
      <c r="G662" s="77"/>
      <c r="H662" s="37"/>
      <c r="I662" s="37"/>
      <c r="J662" s="37"/>
      <c r="K662" s="122"/>
      <c r="L662" s="37"/>
      <c r="M662" s="37"/>
      <c r="N662" s="139"/>
      <c r="O662" s="37"/>
      <c r="P662" s="37"/>
      <c r="Q662" s="37"/>
      <c r="R662" s="37"/>
      <c r="S662" s="37"/>
      <c r="T662" s="37"/>
      <c r="U662" s="37"/>
      <c r="V662" s="37"/>
      <c r="W662" s="37"/>
      <c r="X662" s="37"/>
      <c r="Y662" s="37"/>
      <c r="Z662" s="37"/>
    </row>
    <row r="663" spans="1:26" ht="12.5">
      <c r="A663" s="37"/>
      <c r="B663" s="151"/>
      <c r="C663" s="122"/>
      <c r="D663" s="122"/>
      <c r="E663" s="84"/>
      <c r="F663" s="77"/>
      <c r="G663" s="77"/>
      <c r="H663" s="37"/>
      <c r="I663" s="37"/>
      <c r="J663" s="37"/>
      <c r="K663" s="122"/>
      <c r="L663" s="37"/>
      <c r="M663" s="37"/>
      <c r="N663" s="139"/>
      <c r="O663" s="37"/>
      <c r="P663" s="37"/>
      <c r="Q663" s="37"/>
      <c r="R663" s="37"/>
      <c r="S663" s="37"/>
      <c r="T663" s="37"/>
      <c r="U663" s="37"/>
      <c r="V663" s="37"/>
      <c r="W663" s="37"/>
      <c r="X663" s="37"/>
      <c r="Y663" s="37"/>
      <c r="Z663" s="37"/>
    </row>
    <row r="664" spans="1:26" ht="12.5">
      <c r="A664" s="37"/>
      <c r="B664" s="151"/>
      <c r="C664" s="122"/>
      <c r="D664" s="122"/>
      <c r="E664" s="84"/>
      <c r="F664" s="77"/>
      <c r="G664" s="77"/>
      <c r="H664" s="37"/>
      <c r="I664" s="37"/>
      <c r="J664" s="37"/>
      <c r="K664" s="122"/>
      <c r="L664" s="37"/>
      <c r="M664" s="37"/>
      <c r="N664" s="139"/>
      <c r="O664" s="37"/>
      <c r="P664" s="37"/>
      <c r="Q664" s="37"/>
      <c r="R664" s="37"/>
      <c r="S664" s="37"/>
      <c r="T664" s="37"/>
      <c r="U664" s="37"/>
      <c r="V664" s="37"/>
      <c r="W664" s="37"/>
      <c r="X664" s="37"/>
      <c r="Y664" s="37"/>
      <c r="Z664" s="37"/>
    </row>
    <row r="665" spans="1:26" ht="12.5">
      <c r="A665" s="37"/>
      <c r="B665" s="151"/>
      <c r="C665" s="122"/>
      <c r="D665" s="122"/>
      <c r="E665" s="84"/>
      <c r="F665" s="77"/>
      <c r="G665" s="77"/>
      <c r="H665" s="37"/>
      <c r="I665" s="37"/>
      <c r="J665" s="37"/>
      <c r="K665" s="122"/>
      <c r="L665" s="37"/>
      <c r="M665" s="37"/>
      <c r="N665" s="139"/>
      <c r="O665" s="37"/>
      <c r="P665" s="37"/>
      <c r="Q665" s="37"/>
      <c r="R665" s="37"/>
      <c r="S665" s="37"/>
      <c r="T665" s="37"/>
      <c r="U665" s="37"/>
      <c r="V665" s="37"/>
      <c r="W665" s="37"/>
      <c r="X665" s="37"/>
      <c r="Y665" s="37"/>
      <c r="Z665" s="37"/>
    </row>
    <row r="666" spans="1:26" ht="12.5">
      <c r="A666" s="37"/>
      <c r="B666" s="151"/>
      <c r="C666" s="122"/>
      <c r="D666" s="122"/>
      <c r="E666" s="84"/>
      <c r="F666" s="77"/>
      <c r="G666" s="77"/>
      <c r="H666" s="37"/>
      <c r="I666" s="37"/>
      <c r="J666" s="37"/>
      <c r="K666" s="122"/>
      <c r="L666" s="37"/>
      <c r="M666" s="37"/>
      <c r="N666" s="139"/>
      <c r="O666" s="37"/>
      <c r="P666" s="37"/>
      <c r="Q666" s="37"/>
      <c r="R666" s="37"/>
      <c r="S666" s="37"/>
      <c r="T666" s="37"/>
      <c r="U666" s="37"/>
      <c r="V666" s="37"/>
      <c r="W666" s="37"/>
      <c r="X666" s="37"/>
      <c r="Y666" s="37"/>
      <c r="Z666" s="37"/>
    </row>
    <row r="667" spans="1:26" ht="12.5">
      <c r="A667" s="37"/>
      <c r="B667" s="151"/>
      <c r="C667" s="122"/>
      <c r="D667" s="122"/>
      <c r="E667" s="84"/>
      <c r="F667" s="77"/>
      <c r="G667" s="77"/>
      <c r="H667" s="37"/>
      <c r="I667" s="37"/>
      <c r="J667" s="37"/>
      <c r="K667" s="122"/>
      <c r="L667" s="37"/>
      <c r="M667" s="37"/>
      <c r="N667" s="139"/>
      <c r="O667" s="37"/>
      <c r="P667" s="37"/>
      <c r="Q667" s="37"/>
      <c r="R667" s="37"/>
      <c r="S667" s="37"/>
      <c r="T667" s="37"/>
      <c r="U667" s="37"/>
      <c r="V667" s="37"/>
      <c r="W667" s="37"/>
      <c r="X667" s="37"/>
      <c r="Y667" s="37"/>
      <c r="Z667" s="37"/>
    </row>
    <row r="668" spans="1:26" ht="12.5">
      <c r="A668" s="37"/>
      <c r="B668" s="151"/>
      <c r="C668" s="122"/>
      <c r="D668" s="122"/>
      <c r="E668" s="84"/>
      <c r="F668" s="77"/>
      <c r="G668" s="77"/>
      <c r="H668" s="37"/>
      <c r="I668" s="37"/>
      <c r="J668" s="37"/>
      <c r="K668" s="122"/>
      <c r="L668" s="37"/>
      <c r="M668" s="37"/>
      <c r="N668" s="139"/>
      <c r="O668" s="37"/>
      <c r="P668" s="37"/>
      <c r="Q668" s="37"/>
      <c r="R668" s="37"/>
      <c r="S668" s="37"/>
      <c r="T668" s="37"/>
      <c r="U668" s="37"/>
      <c r="V668" s="37"/>
      <c r="W668" s="37"/>
      <c r="X668" s="37"/>
      <c r="Y668" s="37"/>
      <c r="Z668" s="37"/>
    </row>
    <row r="669" spans="1:26" ht="12.5">
      <c r="A669" s="37"/>
      <c r="B669" s="151"/>
      <c r="C669" s="122"/>
      <c r="D669" s="122"/>
      <c r="E669" s="84"/>
      <c r="F669" s="77"/>
      <c r="G669" s="77"/>
      <c r="H669" s="37"/>
      <c r="I669" s="37"/>
      <c r="J669" s="37"/>
      <c r="K669" s="122"/>
      <c r="L669" s="37"/>
      <c r="M669" s="37"/>
      <c r="N669" s="139"/>
      <c r="O669" s="37"/>
      <c r="P669" s="37"/>
      <c r="Q669" s="37"/>
      <c r="R669" s="37"/>
      <c r="S669" s="37"/>
      <c r="T669" s="37"/>
      <c r="U669" s="37"/>
      <c r="V669" s="37"/>
      <c r="W669" s="37"/>
      <c r="X669" s="37"/>
      <c r="Y669" s="37"/>
      <c r="Z669" s="37"/>
    </row>
    <row r="670" spans="1:26" ht="12.5">
      <c r="A670" s="37"/>
      <c r="B670" s="151"/>
      <c r="C670" s="122"/>
      <c r="D670" s="122"/>
      <c r="E670" s="84"/>
      <c r="F670" s="77"/>
      <c r="G670" s="77"/>
      <c r="H670" s="37"/>
      <c r="I670" s="37"/>
      <c r="J670" s="37"/>
      <c r="K670" s="122"/>
      <c r="L670" s="37"/>
      <c r="M670" s="37"/>
      <c r="N670" s="139"/>
      <c r="O670" s="37"/>
      <c r="P670" s="37"/>
      <c r="Q670" s="37"/>
      <c r="R670" s="37"/>
      <c r="S670" s="37"/>
      <c r="T670" s="37"/>
      <c r="U670" s="37"/>
      <c r="V670" s="37"/>
      <c r="W670" s="37"/>
      <c r="X670" s="37"/>
      <c r="Y670" s="37"/>
      <c r="Z670" s="37"/>
    </row>
    <row r="671" spans="1:26" ht="12.5">
      <c r="A671" s="37"/>
      <c r="B671" s="151"/>
      <c r="C671" s="122"/>
      <c r="D671" s="122"/>
      <c r="E671" s="84"/>
      <c r="F671" s="77"/>
      <c r="G671" s="77"/>
      <c r="H671" s="37"/>
      <c r="I671" s="37"/>
      <c r="J671" s="37"/>
      <c r="K671" s="122"/>
      <c r="L671" s="37"/>
      <c r="M671" s="37"/>
      <c r="N671" s="139"/>
      <c r="O671" s="37"/>
      <c r="P671" s="37"/>
      <c r="Q671" s="37"/>
      <c r="R671" s="37"/>
      <c r="S671" s="37"/>
      <c r="T671" s="37"/>
      <c r="U671" s="37"/>
      <c r="V671" s="37"/>
      <c r="W671" s="37"/>
      <c r="X671" s="37"/>
      <c r="Y671" s="37"/>
      <c r="Z671" s="37"/>
    </row>
    <row r="672" spans="1:26" ht="12.5">
      <c r="A672" s="37"/>
      <c r="B672" s="151"/>
      <c r="C672" s="122"/>
      <c r="D672" s="122"/>
      <c r="E672" s="84"/>
      <c r="F672" s="77"/>
      <c r="G672" s="77"/>
      <c r="H672" s="37"/>
      <c r="I672" s="37"/>
      <c r="J672" s="37"/>
      <c r="K672" s="122"/>
      <c r="L672" s="37"/>
      <c r="M672" s="37"/>
      <c r="N672" s="139"/>
      <c r="O672" s="37"/>
      <c r="P672" s="37"/>
      <c r="Q672" s="37"/>
      <c r="R672" s="37"/>
      <c r="S672" s="37"/>
      <c r="T672" s="37"/>
      <c r="U672" s="37"/>
      <c r="V672" s="37"/>
      <c r="W672" s="37"/>
      <c r="X672" s="37"/>
      <c r="Y672" s="37"/>
      <c r="Z672" s="37"/>
    </row>
    <row r="673" spans="1:26" ht="12.5">
      <c r="A673" s="37"/>
      <c r="B673" s="151"/>
      <c r="C673" s="122"/>
      <c r="D673" s="122"/>
      <c r="E673" s="84"/>
      <c r="F673" s="77"/>
      <c r="G673" s="77"/>
      <c r="H673" s="37"/>
      <c r="I673" s="37"/>
      <c r="J673" s="37"/>
      <c r="K673" s="122"/>
      <c r="L673" s="37"/>
      <c r="M673" s="37"/>
      <c r="N673" s="139"/>
      <c r="O673" s="37"/>
      <c r="P673" s="37"/>
      <c r="Q673" s="37"/>
      <c r="R673" s="37"/>
      <c r="S673" s="37"/>
      <c r="T673" s="37"/>
      <c r="U673" s="37"/>
      <c r="V673" s="37"/>
      <c r="W673" s="37"/>
      <c r="X673" s="37"/>
      <c r="Y673" s="37"/>
      <c r="Z673" s="37"/>
    </row>
    <row r="674" spans="1:26" ht="12.5">
      <c r="A674" s="37"/>
      <c r="B674" s="151"/>
      <c r="C674" s="122"/>
      <c r="D674" s="122"/>
      <c r="E674" s="84"/>
      <c r="F674" s="77"/>
      <c r="G674" s="77"/>
      <c r="H674" s="37"/>
      <c r="I674" s="37"/>
      <c r="J674" s="37"/>
      <c r="K674" s="122"/>
      <c r="L674" s="37"/>
      <c r="M674" s="37"/>
      <c r="N674" s="139"/>
      <c r="O674" s="37"/>
      <c r="P674" s="37"/>
      <c r="Q674" s="37"/>
      <c r="R674" s="37"/>
      <c r="S674" s="37"/>
      <c r="T674" s="37"/>
      <c r="U674" s="37"/>
      <c r="V674" s="37"/>
      <c r="W674" s="37"/>
      <c r="X674" s="37"/>
      <c r="Y674" s="37"/>
      <c r="Z674" s="37"/>
    </row>
    <row r="675" spans="1:26" ht="12.5">
      <c r="A675" s="37"/>
      <c r="B675" s="151"/>
      <c r="C675" s="122"/>
      <c r="D675" s="122"/>
      <c r="E675" s="84"/>
      <c r="F675" s="77"/>
      <c r="G675" s="77"/>
      <c r="H675" s="37"/>
      <c r="I675" s="37"/>
      <c r="J675" s="37"/>
      <c r="K675" s="122"/>
      <c r="L675" s="37"/>
      <c r="M675" s="37"/>
      <c r="N675" s="139"/>
      <c r="O675" s="37"/>
      <c r="P675" s="37"/>
      <c r="Q675" s="37"/>
      <c r="R675" s="37"/>
      <c r="S675" s="37"/>
      <c r="T675" s="37"/>
      <c r="U675" s="37"/>
      <c r="V675" s="37"/>
      <c r="W675" s="37"/>
      <c r="X675" s="37"/>
      <c r="Y675" s="37"/>
      <c r="Z675" s="37"/>
    </row>
    <row r="676" spans="1:26" ht="12.5">
      <c r="A676" s="37"/>
      <c r="B676" s="151"/>
      <c r="C676" s="122"/>
      <c r="D676" s="122"/>
      <c r="E676" s="84"/>
      <c r="F676" s="77"/>
      <c r="G676" s="77"/>
      <c r="H676" s="37"/>
      <c r="I676" s="37"/>
      <c r="J676" s="37"/>
      <c r="K676" s="122"/>
      <c r="L676" s="37"/>
      <c r="M676" s="37"/>
      <c r="N676" s="139"/>
      <c r="O676" s="37"/>
      <c r="P676" s="37"/>
      <c r="Q676" s="37"/>
      <c r="R676" s="37"/>
      <c r="S676" s="37"/>
      <c r="T676" s="37"/>
      <c r="U676" s="37"/>
      <c r="V676" s="37"/>
      <c r="W676" s="37"/>
      <c r="X676" s="37"/>
      <c r="Y676" s="37"/>
      <c r="Z676" s="37"/>
    </row>
    <row r="677" spans="1:26" ht="12.5">
      <c r="A677" s="37"/>
      <c r="B677" s="151"/>
      <c r="C677" s="122"/>
      <c r="D677" s="122"/>
      <c r="E677" s="84"/>
      <c r="F677" s="77"/>
      <c r="G677" s="77"/>
      <c r="H677" s="37"/>
      <c r="I677" s="37"/>
      <c r="J677" s="37"/>
      <c r="K677" s="122"/>
      <c r="L677" s="37"/>
      <c r="M677" s="37"/>
      <c r="N677" s="139"/>
      <c r="O677" s="37"/>
      <c r="P677" s="37"/>
      <c r="Q677" s="37"/>
      <c r="R677" s="37"/>
      <c r="S677" s="37"/>
      <c r="T677" s="37"/>
      <c r="U677" s="37"/>
      <c r="V677" s="37"/>
      <c r="W677" s="37"/>
      <c r="X677" s="37"/>
      <c r="Y677" s="37"/>
      <c r="Z677" s="37"/>
    </row>
    <row r="678" spans="1:26" ht="12.5">
      <c r="A678" s="37"/>
      <c r="B678" s="151"/>
      <c r="C678" s="122"/>
      <c r="D678" s="122"/>
      <c r="E678" s="84"/>
      <c r="F678" s="77"/>
      <c r="G678" s="77"/>
      <c r="H678" s="37"/>
      <c r="I678" s="37"/>
      <c r="J678" s="37"/>
      <c r="K678" s="122"/>
      <c r="L678" s="37"/>
      <c r="M678" s="37"/>
      <c r="N678" s="139"/>
      <c r="O678" s="37"/>
      <c r="P678" s="37"/>
      <c r="Q678" s="37"/>
      <c r="R678" s="37"/>
      <c r="S678" s="37"/>
      <c r="T678" s="37"/>
      <c r="U678" s="37"/>
      <c r="V678" s="37"/>
      <c r="W678" s="37"/>
      <c r="X678" s="37"/>
      <c r="Y678" s="37"/>
      <c r="Z678" s="37"/>
    </row>
    <row r="679" spans="1:26" ht="12.5">
      <c r="A679" s="37"/>
      <c r="B679" s="151"/>
      <c r="C679" s="122"/>
      <c r="D679" s="122"/>
      <c r="E679" s="84"/>
      <c r="F679" s="77"/>
      <c r="G679" s="77"/>
      <c r="H679" s="37"/>
      <c r="I679" s="37"/>
      <c r="J679" s="37"/>
      <c r="K679" s="122"/>
      <c r="L679" s="37"/>
      <c r="M679" s="37"/>
      <c r="N679" s="139"/>
      <c r="O679" s="37"/>
      <c r="P679" s="37"/>
      <c r="Q679" s="37"/>
      <c r="R679" s="37"/>
      <c r="S679" s="37"/>
      <c r="T679" s="37"/>
      <c r="U679" s="37"/>
      <c r="V679" s="37"/>
      <c r="W679" s="37"/>
      <c r="X679" s="37"/>
      <c r="Y679" s="37"/>
      <c r="Z679" s="37"/>
    </row>
    <row r="680" spans="1:26" ht="12.5">
      <c r="A680" s="37"/>
      <c r="B680" s="151"/>
      <c r="C680" s="122"/>
      <c r="D680" s="122"/>
      <c r="E680" s="84"/>
      <c r="F680" s="77"/>
      <c r="G680" s="77"/>
      <c r="H680" s="37"/>
      <c r="I680" s="37"/>
      <c r="J680" s="37"/>
      <c r="K680" s="122"/>
      <c r="L680" s="37"/>
      <c r="M680" s="37"/>
      <c r="N680" s="139"/>
      <c r="O680" s="37"/>
      <c r="P680" s="37"/>
      <c r="Q680" s="37"/>
      <c r="R680" s="37"/>
      <c r="S680" s="37"/>
      <c r="T680" s="37"/>
      <c r="U680" s="37"/>
      <c r="V680" s="37"/>
      <c r="W680" s="37"/>
      <c r="X680" s="37"/>
      <c r="Y680" s="37"/>
      <c r="Z680" s="37"/>
    </row>
    <row r="681" spans="1:26" ht="12.5">
      <c r="A681" s="37"/>
      <c r="B681" s="151"/>
      <c r="C681" s="122"/>
      <c r="D681" s="122"/>
      <c r="E681" s="84"/>
      <c r="F681" s="77"/>
      <c r="G681" s="77"/>
      <c r="H681" s="37"/>
      <c r="I681" s="37"/>
      <c r="J681" s="37"/>
      <c r="K681" s="122"/>
      <c r="L681" s="37"/>
      <c r="M681" s="37"/>
      <c r="N681" s="139"/>
      <c r="O681" s="37"/>
      <c r="P681" s="37"/>
      <c r="Q681" s="37"/>
      <c r="R681" s="37"/>
      <c r="S681" s="37"/>
      <c r="T681" s="37"/>
      <c r="U681" s="37"/>
      <c r="V681" s="37"/>
      <c r="W681" s="37"/>
      <c r="X681" s="37"/>
      <c r="Y681" s="37"/>
      <c r="Z681" s="37"/>
    </row>
    <row r="682" spans="1:26" ht="12.5">
      <c r="A682" s="37"/>
      <c r="B682" s="151"/>
      <c r="C682" s="122"/>
      <c r="D682" s="122"/>
      <c r="E682" s="84"/>
      <c r="F682" s="77"/>
      <c r="G682" s="77"/>
      <c r="H682" s="37"/>
      <c r="I682" s="37"/>
      <c r="J682" s="37"/>
      <c r="K682" s="122"/>
      <c r="L682" s="37"/>
      <c r="M682" s="37"/>
      <c r="N682" s="139"/>
      <c r="O682" s="37"/>
      <c r="P682" s="37"/>
      <c r="Q682" s="37"/>
      <c r="R682" s="37"/>
      <c r="S682" s="37"/>
      <c r="T682" s="37"/>
      <c r="U682" s="37"/>
      <c r="V682" s="37"/>
      <c r="W682" s="37"/>
      <c r="X682" s="37"/>
      <c r="Y682" s="37"/>
      <c r="Z682" s="37"/>
    </row>
    <row r="683" spans="1:26" ht="12.5">
      <c r="A683" s="37"/>
      <c r="B683" s="151"/>
      <c r="C683" s="122"/>
      <c r="D683" s="122"/>
      <c r="E683" s="84"/>
      <c r="F683" s="77"/>
      <c r="G683" s="77"/>
      <c r="H683" s="37"/>
      <c r="I683" s="37"/>
      <c r="J683" s="37"/>
      <c r="K683" s="122"/>
      <c r="L683" s="37"/>
      <c r="M683" s="37"/>
      <c r="N683" s="139"/>
      <c r="O683" s="37"/>
      <c r="P683" s="37"/>
      <c r="Q683" s="37"/>
      <c r="R683" s="37"/>
      <c r="S683" s="37"/>
      <c r="T683" s="37"/>
      <c r="U683" s="37"/>
      <c r="V683" s="37"/>
      <c r="W683" s="37"/>
      <c r="X683" s="37"/>
      <c r="Y683" s="37"/>
      <c r="Z683" s="37"/>
    </row>
    <row r="684" spans="1:26" ht="12.5">
      <c r="A684" s="37"/>
      <c r="B684" s="151"/>
      <c r="C684" s="122"/>
      <c r="D684" s="122"/>
      <c r="E684" s="84"/>
      <c r="F684" s="77"/>
      <c r="G684" s="77"/>
      <c r="H684" s="37"/>
      <c r="I684" s="37"/>
      <c r="J684" s="37"/>
      <c r="K684" s="122"/>
      <c r="L684" s="37"/>
      <c r="M684" s="37"/>
      <c r="N684" s="139"/>
      <c r="O684" s="37"/>
      <c r="P684" s="37"/>
      <c r="Q684" s="37"/>
      <c r="R684" s="37"/>
      <c r="S684" s="37"/>
      <c r="T684" s="37"/>
      <c r="U684" s="37"/>
      <c r="V684" s="37"/>
      <c r="W684" s="37"/>
      <c r="X684" s="37"/>
      <c r="Y684" s="37"/>
      <c r="Z684" s="37"/>
    </row>
    <row r="685" spans="1:26" ht="12.5">
      <c r="A685" s="37"/>
      <c r="B685" s="151"/>
      <c r="C685" s="122"/>
      <c r="D685" s="122"/>
      <c r="E685" s="84"/>
      <c r="F685" s="77"/>
      <c r="G685" s="77"/>
      <c r="H685" s="37"/>
      <c r="I685" s="37"/>
      <c r="J685" s="37"/>
      <c r="K685" s="122"/>
      <c r="L685" s="37"/>
      <c r="M685" s="37"/>
      <c r="N685" s="139"/>
      <c r="O685" s="37"/>
      <c r="P685" s="37"/>
      <c r="Q685" s="37"/>
      <c r="R685" s="37"/>
      <c r="S685" s="37"/>
      <c r="T685" s="37"/>
      <c r="U685" s="37"/>
      <c r="V685" s="37"/>
      <c r="W685" s="37"/>
      <c r="X685" s="37"/>
      <c r="Y685" s="37"/>
      <c r="Z685" s="37"/>
    </row>
    <row r="686" spans="1:26" ht="12.5">
      <c r="A686" s="37"/>
      <c r="B686" s="151"/>
      <c r="C686" s="122"/>
      <c r="D686" s="122"/>
      <c r="E686" s="84"/>
      <c r="F686" s="77"/>
      <c r="G686" s="77"/>
      <c r="H686" s="37"/>
      <c r="I686" s="37"/>
      <c r="J686" s="37"/>
      <c r="K686" s="122"/>
      <c r="L686" s="37"/>
      <c r="M686" s="37"/>
      <c r="N686" s="139"/>
      <c r="O686" s="37"/>
      <c r="P686" s="37"/>
      <c r="Q686" s="37"/>
      <c r="R686" s="37"/>
      <c r="S686" s="37"/>
      <c r="T686" s="37"/>
      <c r="U686" s="37"/>
      <c r="V686" s="37"/>
      <c r="W686" s="37"/>
      <c r="X686" s="37"/>
      <c r="Y686" s="37"/>
      <c r="Z686" s="37"/>
    </row>
    <row r="687" spans="1:26" ht="12.5">
      <c r="A687" s="37"/>
      <c r="B687" s="151"/>
      <c r="C687" s="122"/>
      <c r="D687" s="122"/>
      <c r="E687" s="84"/>
      <c r="F687" s="77"/>
      <c r="G687" s="77"/>
      <c r="H687" s="37"/>
      <c r="I687" s="37"/>
      <c r="J687" s="37"/>
      <c r="K687" s="122"/>
      <c r="L687" s="37"/>
      <c r="M687" s="37"/>
      <c r="N687" s="139"/>
      <c r="O687" s="37"/>
      <c r="P687" s="37"/>
      <c r="Q687" s="37"/>
      <c r="R687" s="37"/>
      <c r="S687" s="37"/>
      <c r="T687" s="37"/>
      <c r="U687" s="37"/>
      <c r="V687" s="37"/>
      <c r="W687" s="37"/>
      <c r="X687" s="37"/>
      <c r="Y687" s="37"/>
      <c r="Z687" s="37"/>
    </row>
    <row r="688" spans="1:26" ht="12.5">
      <c r="A688" s="37"/>
      <c r="B688" s="151"/>
      <c r="C688" s="122"/>
      <c r="D688" s="122"/>
      <c r="E688" s="84"/>
      <c r="F688" s="77"/>
      <c r="G688" s="77"/>
      <c r="H688" s="37"/>
      <c r="I688" s="37"/>
      <c r="J688" s="37"/>
      <c r="K688" s="122"/>
      <c r="L688" s="37"/>
      <c r="M688" s="37"/>
      <c r="N688" s="139"/>
      <c r="O688" s="37"/>
      <c r="P688" s="37"/>
      <c r="Q688" s="37"/>
      <c r="R688" s="37"/>
      <c r="S688" s="37"/>
      <c r="T688" s="37"/>
      <c r="U688" s="37"/>
      <c r="V688" s="37"/>
      <c r="W688" s="37"/>
      <c r="X688" s="37"/>
      <c r="Y688" s="37"/>
      <c r="Z688" s="37"/>
    </row>
    <row r="689" spans="1:26" ht="12.5">
      <c r="A689" s="37"/>
      <c r="B689" s="151"/>
      <c r="C689" s="122"/>
      <c r="D689" s="122"/>
      <c r="E689" s="84"/>
      <c r="F689" s="77"/>
      <c r="G689" s="77"/>
      <c r="H689" s="37"/>
      <c r="I689" s="37"/>
      <c r="J689" s="37"/>
      <c r="K689" s="122"/>
      <c r="L689" s="37"/>
      <c r="M689" s="37"/>
      <c r="N689" s="139"/>
      <c r="O689" s="37"/>
      <c r="P689" s="37"/>
      <c r="Q689" s="37"/>
      <c r="R689" s="37"/>
      <c r="S689" s="37"/>
      <c r="T689" s="37"/>
      <c r="U689" s="37"/>
      <c r="V689" s="37"/>
      <c r="W689" s="37"/>
      <c r="X689" s="37"/>
      <c r="Y689" s="37"/>
      <c r="Z689" s="37"/>
    </row>
    <row r="690" spans="1:26" ht="12.5">
      <c r="A690" s="37"/>
      <c r="B690" s="151"/>
      <c r="C690" s="122"/>
      <c r="D690" s="122"/>
      <c r="E690" s="84"/>
      <c r="F690" s="77"/>
      <c r="G690" s="77"/>
      <c r="H690" s="37"/>
      <c r="I690" s="37"/>
      <c r="J690" s="37"/>
      <c r="K690" s="122"/>
      <c r="L690" s="37"/>
      <c r="M690" s="37"/>
      <c r="N690" s="139"/>
      <c r="O690" s="37"/>
      <c r="P690" s="37"/>
      <c r="Q690" s="37"/>
      <c r="R690" s="37"/>
      <c r="S690" s="37"/>
      <c r="T690" s="37"/>
      <c r="U690" s="37"/>
      <c r="V690" s="37"/>
      <c r="W690" s="37"/>
      <c r="X690" s="37"/>
      <c r="Y690" s="37"/>
      <c r="Z690" s="37"/>
    </row>
    <row r="691" spans="1:26" ht="12.5">
      <c r="A691" s="37"/>
      <c r="B691" s="151"/>
      <c r="C691" s="122"/>
      <c r="D691" s="122"/>
      <c r="E691" s="84"/>
      <c r="F691" s="77"/>
      <c r="G691" s="77"/>
      <c r="H691" s="37"/>
      <c r="I691" s="37"/>
      <c r="J691" s="37"/>
      <c r="K691" s="122"/>
      <c r="L691" s="37"/>
      <c r="M691" s="37"/>
      <c r="N691" s="139"/>
      <c r="O691" s="37"/>
      <c r="P691" s="37"/>
      <c r="Q691" s="37"/>
      <c r="R691" s="37"/>
      <c r="S691" s="37"/>
      <c r="T691" s="37"/>
      <c r="U691" s="37"/>
      <c r="V691" s="37"/>
      <c r="W691" s="37"/>
      <c r="X691" s="37"/>
      <c r="Y691" s="37"/>
      <c r="Z691" s="37"/>
    </row>
    <row r="692" spans="1:26" ht="12.5">
      <c r="A692" s="37"/>
      <c r="B692" s="151"/>
      <c r="C692" s="122"/>
      <c r="D692" s="122"/>
      <c r="E692" s="84"/>
      <c r="F692" s="77"/>
      <c r="G692" s="77"/>
      <c r="H692" s="37"/>
      <c r="I692" s="37"/>
      <c r="J692" s="37"/>
      <c r="K692" s="122"/>
      <c r="L692" s="37"/>
      <c r="M692" s="37"/>
      <c r="N692" s="139"/>
      <c r="O692" s="37"/>
      <c r="P692" s="37"/>
      <c r="Q692" s="37"/>
      <c r="R692" s="37"/>
      <c r="S692" s="37"/>
      <c r="T692" s="37"/>
      <c r="U692" s="37"/>
      <c r="V692" s="37"/>
      <c r="W692" s="37"/>
      <c r="X692" s="37"/>
      <c r="Y692" s="37"/>
      <c r="Z692" s="37"/>
    </row>
    <row r="693" spans="1:26" ht="12.5">
      <c r="A693" s="37"/>
      <c r="B693" s="151"/>
      <c r="C693" s="122"/>
      <c r="D693" s="122"/>
      <c r="E693" s="84"/>
      <c r="F693" s="77"/>
      <c r="G693" s="77"/>
      <c r="H693" s="37"/>
      <c r="I693" s="37"/>
      <c r="J693" s="37"/>
      <c r="K693" s="122"/>
      <c r="L693" s="37"/>
      <c r="M693" s="37"/>
      <c r="N693" s="139"/>
      <c r="O693" s="37"/>
      <c r="P693" s="37"/>
      <c r="Q693" s="37"/>
      <c r="R693" s="37"/>
      <c r="S693" s="37"/>
      <c r="T693" s="37"/>
      <c r="U693" s="37"/>
      <c r="V693" s="37"/>
      <c r="W693" s="37"/>
      <c r="X693" s="37"/>
      <c r="Y693" s="37"/>
      <c r="Z693" s="37"/>
    </row>
    <row r="694" spans="1:26" ht="12.5">
      <c r="A694" s="37"/>
      <c r="B694" s="151"/>
      <c r="C694" s="122"/>
      <c r="D694" s="122"/>
      <c r="E694" s="84"/>
      <c r="F694" s="77"/>
      <c r="G694" s="77"/>
      <c r="H694" s="37"/>
      <c r="I694" s="37"/>
      <c r="J694" s="37"/>
      <c r="K694" s="122"/>
      <c r="L694" s="37"/>
      <c r="M694" s="37"/>
      <c r="N694" s="139"/>
      <c r="O694" s="37"/>
      <c r="P694" s="37"/>
      <c r="Q694" s="37"/>
      <c r="R694" s="37"/>
      <c r="S694" s="37"/>
      <c r="T694" s="37"/>
      <c r="U694" s="37"/>
      <c r="V694" s="37"/>
      <c r="W694" s="37"/>
      <c r="X694" s="37"/>
      <c r="Y694" s="37"/>
      <c r="Z694" s="37"/>
    </row>
    <row r="695" spans="1:26" ht="12.5">
      <c r="A695" s="37"/>
      <c r="B695" s="151"/>
      <c r="C695" s="122"/>
      <c r="D695" s="122"/>
      <c r="E695" s="84"/>
      <c r="F695" s="77"/>
      <c r="G695" s="77"/>
      <c r="H695" s="37"/>
      <c r="I695" s="37"/>
      <c r="J695" s="37"/>
      <c r="K695" s="122"/>
      <c r="L695" s="37"/>
      <c r="M695" s="37"/>
      <c r="N695" s="139"/>
      <c r="O695" s="37"/>
      <c r="P695" s="37"/>
      <c r="Q695" s="37"/>
      <c r="R695" s="37"/>
      <c r="S695" s="37"/>
      <c r="T695" s="37"/>
      <c r="U695" s="37"/>
      <c r="V695" s="37"/>
      <c r="W695" s="37"/>
      <c r="X695" s="37"/>
      <c r="Y695" s="37"/>
      <c r="Z695" s="37"/>
    </row>
    <row r="696" spans="1:26" ht="12.5">
      <c r="A696" s="37"/>
      <c r="B696" s="151"/>
      <c r="C696" s="122"/>
      <c r="D696" s="122"/>
      <c r="E696" s="84"/>
      <c r="F696" s="77"/>
      <c r="G696" s="77"/>
      <c r="H696" s="37"/>
      <c r="I696" s="37"/>
      <c r="J696" s="37"/>
      <c r="K696" s="122"/>
      <c r="L696" s="37"/>
      <c r="M696" s="37"/>
      <c r="N696" s="139"/>
      <c r="O696" s="37"/>
      <c r="P696" s="37"/>
      <c r="Q696" s="37"/>
      <c r="R696" s="37"/>
      <c r="S696" s="37"/>
      <c r="T696" s="37"/>
      <c r="U696" s="37"/>
      <c r="V696" s="37"/>
      <c r="W696" s="37"/>
      <c r="X696" s="37"/>
      <c r="Y696" s="37"/>
      <c r="Z696" s="37"/>
    </row>
    <row r="697" spans="1:26" ht="12.5">
      <c r="A697" s="37"/>
      <c r="B697" s="151"/>
      <c r="C697" s="122"/>
      <c r="D697" s="122"/>
      <c r="E697" s="84"/>
      <c r="F697" s="77"/>
      <c r="G697" s="77"/>
      <c r="H697" s="37"/>
      <c r="I697" s="37"/>
      <c r="J697" s="37"/>
      <c r="K697" s="122"/>
      <c r="L697" s="37"/>
      <c r="M697" s="37"/>
      <c r="N697" s="139"/>
      <c r="O697" s="37"/>
      <c r="P697" s="37"/>
      <c r="Q697" s="37"/>
      <c r="R697" s="37"/>
      <c r="S697" s="37"/>
      <c r="T697" s="37"/>
      <c r="U697" s="37"/>
      <c r="V697" s="37"/>
      <c r="W697" s="37"/>
      <c r="X697" s="37"/>
      <c r="Y697" s="37"/>
      <c r="Z697" s="37"/>
    </row>
    <row r="698" spans="1:26" ht="12.5">
      <c r="A698" s="37"/>
      <c r="B698" s="151"/>
      <c r="C698" s="122"/>
      <c r="D698" s="122"/>
      <c r="E698" s="84"/>
      <c r="F698" s="77"/>
      <c r="G698" s="77"/>
      <c r="H698" s="37"/>
      <c r="I698" s="37"/>
      <c r="J698" s="37"/>
      <c r="K698" s="122"/>
      <c r="L698" s="37"/>
      <c r="M698" s="37"/>
      <c r="N698" s="139"/>
      <c r="O698" s="37"/>
      <c r="P698" s="37"/>
      <c r="Q698" s="37"/>
      <c r="R698" s="37"/>
      <c r="S698" s="37"/>
      <c r="T698" s="37"/>
      <c r="U698" s="37"/>
      <c r="V698" s="37"/>
      <c r="W698" s="37"/>
      <c r="X698" s="37"/>
      <c r="Y698" s="37"/>
      <c r="Z698" s="37"/>
    </row>
    <row r="699" spans="1:26" ht="12.5">
      <c r="A699" s="37"/>
      <c r="B699" s="151"/>
      <c r="C699" s="122"/>
      <c r="D699" s="122"/>
      <c r="E699" s="84"/>
      <c r="F699" s="77"/>
      <c r="G699" s="77"/>
      <c r="H699" s="37"/>
      <c r="I699" s="37"/>
      <c r="J699" s="37"/>
      <c r="K699" s="122"/>
      <c r="L699" s="37"/>
      <c r="M699" s="37"/>
      <c r="N699" s="139"/>
      <c r="O699" s="37"/>
      <c r="P699" s="37"/>
      <c r="Q699" s="37"/>
      <c r="R699" s="37"/>
      <c r="S699" s="37"/>
      <c r="T699" s="37"/>
      <c r="U699" s="37"/>
      <c r="V699" s="37"/>
      <c r="W699" s="37"/>
      <c r="X699" s="37"/>
      <c r="Y699" s="37"/>
      <c r="Z699" s="37"/>
    </row>
    <row r="700" spans="1:26" ht="12.5">
      <c r="A700" s="37"/>
      <c r="B700" s="151"/>
      <c r="C700" s="122"/>
      <c r="D700" s="122"/>
      <c r="E700" s="84"/>
      <c r="F700" s="77"/>
      <c r="G700" s="77"/>
      <c r="H700" s="37"/>
      <c r="I700" s="37"/>
      <c r="J700" s="37"/>
      <c r="K700" s="122"/>
      <c r="L700" s="37"/>
      <c r="M700" s="37"/>
      <c r="N700" s="139"/>
      <c r="O700" s="37"/>
      <c r="P700" s="37"/>
      <c r="Q700" s="37"/>
      <c r="R700" s="37"/>
      <c r="S700" s="37"/>
      <c r="T700" s="37"/>
      <c r="U700" s="37"/>
      <c r="V700" s="37"/>
      <c r="W700" s="37"/>
      <c r="X700" s="37"/>
      <c r="Y700" s="37"/>
      <c r="Z700" s="37"/>
    </row>
    <row r="701" spans="1:26" ht="12.5">
      <c r="A701" s="37"/>
      <c r="B701" s="151"/>
      <c r="C701" s="122"/>
      <c r="D701" s="122"/>
      <c r="E701" s="84"/>
      <c r="F701" s="77"/>
      <c r="G701" s="77"/>
      <c r="H701" s="37"/>
      <c r="I701" s="37"/>
      <c r="J701" s="37"/>
      <c r="K701" s="122"/>
      <c r="L701" s="37"/>
      <c r="M701" s="37"/>
      <c r="N701" s="139"/>
      <c r="O701" s="37"/>
      <c r="P701" s="37"/>
      <c r="Q701" s="37"/>
      <c r="R701" s="37"/>
      <c r="S701" s="37"/>
      <c r="T701" s="37"/>
      <c r="U701" s="37"/>
      <c r="V701" s="37"/>
      <c r="W701" s="37"/>
      <c r="X701" s="37"/>
      <c r="Y701" s="37"/>
      <c r="Z701" s="37"/>
    </row>
    <row r="702" spans="1:26" ht="12.5">
      <c r="A702" s="37"/>
      <c r="B702" s="151"/>
      <c r="C702" s="122"/>
      <c r="D702" s="122"/>
      <c r="E702" s="84"/>
      <c r="F702" s="77"/>
      <c r="G702" s="77"/>
      <c r="H702" s="37"/>
      <c r="I702" s="37"/>
      <c r="J702" s="37"/>
      <c r="K702" s="122"/>
      <c r="L702" s="37"/>
      <c r="M702" s="37"/>
      <c r="N702" s="139"/>
      <c r="O702" s="37"/>
      <c r="P702" s="37"/>
      <c r="Q702" s="37"/>
      <c r="R702" s="37"/>
      <c r="S702" s="37"/>
      <c r="T702" s="37"/>
      <c r="U702" s="37"/>
      <c r="V702" s="37"/>
      <c r="W702" s="37"/>
      <c r="X702" s="37"/>
      <c r="Y702" s="37"/>
      <c r="Z702" s="37"/>
    </row>
    <row r="703" spans="1:26" ht="12.5">
      <c r="A703" s="37"/>
      <c r="B703" s="151"/>
      <c r="C703" s="122"/>
      <c r="D703" s="122"/>
      <c r="E703" s="84"/>
      <c r="F703" s="77"/>
      <c r="G703" s="77"/>
      <c r="H703" s="37"/>
      <c r="I703" s="37"/>
      <c r="J703" s="37"/>
      <c r="K703" s="122"/>
      <c r="L703" s="37"/>
      <c r="M703" s="37"/>
      <c r="N703" s="139"/>
      <c r="O703" s="37"/>
      <c r="P703" s="37"/>
      <c r="Q703" s="37"/>
      <c r="R703" s="37"/>
      <c r="S703" s="37"/>
      <c r="T703" s="37"/>
      <c r="U703" s="37"/>
      <c r="V703" s="37"/>
      <c r="W703" s="37"/>
      <c r="X703" s="37"/>
      <c r="Y703" s="37"/>
      <c r="Z703" s="37"/>
    </row>
    <row r="704" spans="1:26" ht="12.5">
      <c r="A704" s="37"/>
      <c r="B704" s="151"/>
      <c r="C704" s="122"/>
      <c r="D704" s="122"/>
      <c r="E704" s="84"/>
      <c r="F704" s="77"/>
      <c r="G704" s="77"/>
      <c r="H704" s="37"/>
      <c r="I704" s="37"/>
      <c r="J704" s="37"/>
      <c r="K704" s="122"/>
      <c r="L704" s="37"/>
      <c r="M704" s="37"/>
      <c r="N704" s="139"/>
      <c r="O704" s="37"/>
      <c r="P704" s="37"/>
      <c r="Q704" s="37"/>
      <c r="R704" s="37"/>
      <c r="S704" s="37"/>
      <c r="T704" s="37"/>
      <c r="U704" s="37"/>
      <c r="V704" s="37"/>
      <c r="W704" s="37"/>
      <c r="X704" s="37"/>
      <c r="Y704" s="37"/>
      <c r="Z704" s="37"/>
    </row>
    <row r="705" spans="1:26" ht="12.5">
      <c r="A705" s="37"/>
      <c r="B705" s="151"/>
      <c r="C705" s="122"/>
      <c r="D705" s="122"/>
      <c r="E705" s="84"/>
      <c r="F705" s="77"/>
      <c r="G705" s="77"/>
      <c r="H705" s="37"/>
      <c r="I705" s="37"/>
      <c r="J705" s="37"/>
      <c r="K705" s="122"/>
      <c r="L705" s="37"/>
      <c r="M705" s="37"/>
      <c r="N705" s="139"/>
      <c r="O705" s="37"/>
      <c r="P705" s="37"/>
      <c r="Q705" s="37"/>
      <c r="R705" s="37"/>
      <c r="S705" s="37"/>
      <c r="T705" s="37"/>
      <c r="U705" s="37"/>
      <c r="V705" s="37"/>
      <c r="W705" s="37"/>
      <c r="X705" s="37"/>
      <c r="Y705" s="37"/>
      <c r="Z705" s="37"/>
    </row>
    <row r="706" spans="1:26" ht="12.5">
      <c r="A706" s="37"/>
      <c r="B706" s="151"/>
      <c r="C706" s="122"/>
      <c r="D706" s="122"/>
      <c r="E706" s="84"/>
      <c r="F706" s="77"/>
      <c r="G706" s="77"/>
      <c r="H706" s="37"/>
      <c r="I706" s="37"/>
      <c r="J706" s="37"/>
      <c r="K706" s="122"/>
      <c r="L706" s="37"/>
      <c r="M706" s="37"/>
      <c r="N706" s="139"/>
      <c r="O706" s="37"/>
      <c r="P706" s="37"/>
      <c r="Q706" s="37"/>
      <c r="R706" s="37"/>
      <c r="S706" s="37"/>
      <c r="T706" s="37"/>
      <c r="U706" s="37"/>
      <c r="V706" s="37"/>
      <c r="W706" s="37"/>
      <c r="X706" s="37"/>
      <c r="Y706" s="37"/>
      <c r="Z706" s="37"/>
    </row>
    <row r="707" spans="1:26" ht="12.5">
      <c r="A707" s="37"/>
      <c r="B707" s="151"/>
      <c r="C707" s="122"/>
      <c r="D707" s="122"/>
      <c r="E707" s="84"/>
      <c r="F707" s="77"/>
      <c r="G707" s="77"/>
      <c r="H707" s="37"/>
      <c r="I707" s="37"/>
      <c r="J707" s="37"/>
      <c r="K707" s="122"/>
      <c r="L707" s="37"/>
      <c r="M707" s="37"/>
      <c r="N707" s="139"/>
      <c r="O707" s="37"/>
      <c r="P707" s="37"/>
      <c r="Q707" s="37"/>
      <c r="R707" s="37"/>
      <c r="S707" s="37"/>
      <c r="T707" s="37"/>
      <c r="U707" s="37"/>
      <c r="V707" s="37"/>
      <c r="W707" s="37"/>
      <c r="X707" s="37"/>
      <c r="Y707" s="37"/>
      <c r="Z707" s="37"/>
    </row>
    <row r="708" spans="1:26" ht="12.5">
      <c r="A708" s="37"/>
      <c r="B708" s="151"/>
      <c r="C708" s="122"/>
      <c r="D708" s="122"/>
      <c r="E708" s="84"/>
      <c r="F708" s="77"/>
      <c r="G708" s="77"/>
      <c r="H708" s="37"/>
      <c r="I708" s="37"/>
      <c r="J708" s="37"/>
      <c r="K708" s="122"/>
      <c r="L708" s="37"/>
      <c r="M708" s="37"/>
      <c r="N708" s="139"/>
      <c r="O708" s="37"/>
      <c r="P708" s="37"/>
      <c r="Q708" s="37"/>
      <c r="R708" s="37"/>
      <c r="S708" s="37"/>
      <c r="T708" s="37"/>
      <c r="U708" s="37"/>
      <c r="V708" s="37"/>
      <c r="W708" s="37"/>
      <c r="X708" s="37"/>
      <c r="Y708" s="37"/>
      <c r="Z708" s="37"/>
    </row>
    <row r="709" spans="1:26" ht="12.5">
      <c r="A709" s="37"/>
      <c r="B709" s="151"/>
      <c r="C709" s="122"/>
      <c r="D709" s="122"/>
      <c r="E709" s="84"/>
      <c r="F709" s="77"/>
      <c r="G709" s="77"/>
      <c r="H709" s="37"/>
      <c r="I709" s="37"/>
      <c r="J709" s="37"/>
      <c r="K709" s="122"/>
      <c r="L709" s="37"/>
      <c r="M709" s="37"/>
      <c r="N709" s="139"/>
      <c r="O709" s="37"/>
      <c r="P709" s="37"/>
      <c r="Q709" s="37"/>
      <c r="R709" s="37"/>
      <c r="S709" s="37"/>
      <c r="T709" s="37"/>
      <c r="U709" s="37"/>
      <c r="V709" s="37"/>
      <c r="W709" s="37"/>
      <c r="X709" s="37"/>
      <c r="Y709" s="37"/>
      <c r="Z709" s="37"/>
    </row>
    <row r="710" spans="1:26" ht="12.5">
      <c r="A710" s="37"/>
      <c r="B710" s="151"/>
      <c r="C710" s="122"/>
      <c r="D710" s="122"/>
      <c r="E710" s="84"/>
      <c r="F710" s="77"/>
      <c r="G710" s="77"/>
      <c r="H710" s="37"/>
      <c r="I710" s="37"/>
      <c r="J710" s="37"/>
      <c r="K710" s="122"/>
      <c r="L710" s="37"/>
      <c r="M710" s="37"/>
      <c r="N710" s="139"/>
      <c r="O710" s="37"/>
      <c r="P710" s="37"/>
      <c r="Q710" s="37"/>
      <c r="R710" s="37"/>
      <c r="S710" s="37"/>
      <c r="T710" s="37"/>
      <c r="U710" s="37"/>
      <c r="V710" s="37"/>
      <c r="W710" s="37"/>
      <c r="X710" s="37"/>
      <c r="Y710" s="37"/>
      <c r="Z710" s="37"/>
    </row>
    <row r="711" spans="1:26" ht="12.5">
      <c r="A711" s="37"/>
      <c r="B711" s="151"/>
      <c r="C711" s="122"/>
      <c r="D711" s="122"/>
      <c r="E711" s="84"/>
      <c r="F711" s="77"/>
      <c r="G711" s="77"/>
      <c r="H711" s="37"/>
      <c r="I711" s="37"/>
      <c r="J711" s="37"/>
      <c r="K711" s="122"/>
      <c r="L711" s="37"/>
      <c r="M711" s="37"/>
      <c r="N711" s="139"/>
      <c r="O711" s="37"/>
      <c r="P711" s="37"/>
      <c r="Q711" s="37"/>
      <c r="R711" s="37"/>
      <c r="S711" s="37"/>
      <c r="T711" s="37"/>
      <c r="U711" s="37"/>
      <c r="V711" s="37"/>
      <c r="W711" s="37"/>
      <c r="X711" s="37"/>
      <c r="Y711" s="37"/>
      <c r="Z711" s="37"/>
    </row>
    <row r="712" spans="1:26" ht="12.5">
      <c r="A712" s="37"/>
      <c r="B712" s="151"/>
      <c r="C712" s="122"/>
      <c r="D712" s="122"/>
      <c r="E712" s="84"/>
      <c r="F712" s="77"/>
      <c r="G712" s="77"/>
      <c r="H712" s="37"/>
      <c r="I712" s="37"/>
      <c r="J712" s="37"/>
      <c r="K712" s="122"/>
      <c r="L712" s="37"/>
      <c r="M712" s="37"/>
      <c r="N712" s="139"/>
      <c r="O712" s="37"/>
      <c r="P712" s="37"/>
      <c r="Q712" s="37"/>
      <c r="R712" s="37"/>
      <c r="S712" s="37"/>
      <c r="T712" s="37"/>
      <c r="U712" s="37"/>
      <c r="V712" s="37"/>
      <c r="W712" s="37"/>
      <c r="X712" s="37"/>
      <c r="Y712" s="37"/>
      <c r="Z712" s="37"/>
    </row>
    <row r="713" spans="1:26" ht="12.5">
      <c r="A713" s="37"/>
      <c r="B713" s="151"/>
      <c r="C713" s="122"/>
      <c r="D713" s="122"/>
      <c r="E713" s="84"/>
      <c r="F713" s="77"/>
      <c r="G713" s="77"/>
      <c r="H713" s="37"/>
      <c r="I713" s="37"/>
      <c r="J713" s="37"/>
      <c r="K713" s="122"/>
      <c r="L713" s="37"/>
      <c r="M713" s="37"/>
      <c r="N713" s="139"/>
      <c r="O713" s="37"/>
      <c r="P713" s="37"/>
      <c r="Q713" s="37"/>
      <c r="R713" s="37"/>
      <c r="S713" s="37"/>
      <c r="T713" s="37"/>
      <c r="U713" s="37"/>
      <c r="V713" s="37"/>
      <c r="W713" s="37"/>
      <c r="X713" s="37"/>
      <c r="Y713" s="37"/>
      <c r="Z713" s="37"/>
    </row>
    <row r="714" spans="1:26" ht="12.5">
      <c r="A714" s="37"/>
      <c r="B714" s="151"/>
      <c r="C714" s="122"/>
      <c r="D714" s="122"/>
      <c r="E714" s="84"/>
      <c r="F714" s="77"/>
      <c r="G714" s="77"/>
      <c r="H714" s="37"/>
      <c r="I714" s="37"/>
      <c r="J714" s="37"/>
      <c r="K714" s="122"/>
      <c r="L714" s="37"/>
      <c r="M714" s="37"/>
      <c r="N714" s="139"/>
      <c r="O714" s="37"/>
      <c r="P714" s="37"/>
      <c r="Q714" s="37"/>
      <c r="R714" s="37"/>
      <c r="S714" s="37"/>
      <c r="T714" s="37"/>
      <c r="U714" s="37"/>
      <c r="V714" s="37"/>
      <c r="W714" s="37"/>
      <c r="X714" s="37"/>
      <c r="Y714" s="37"/>
      <c r="Z714" s="37"/>
    </row>
    <row r="715" spans="1:26" ht="12.5">
      <c r="A715" s="37"/>
      <c r="B715" s="151"/>
      <c r="C715" s="122"/>
      <c r="D715" s="122"/>
      <c r="E715" s="84"/>
      <c r="F715" s="77"/>
      <c r="G715" s="77"/>
      <c r="H715" s="37"/>
      <c r="I715" s="37"/>
      <c r="J715" s="37"/>
      <c r="K715" s="122"/>
      <c r="L715" s="37"/>
      <c r="M715" s="37"/>
      <c r="N715" s="139"/>
      <c r="O715" s="37"/>
      <c r="P715" s="37"/>
      <c r="Q715" s="37"/>
      <c r="R715" s="37"/>
      <c r="S715" s="37"/>
      <c r="T715" s="37"/>
      <c r="U715" s="37"/>
      <c r="V715" s="37"/>
      <c r="W715" s="37"/>
      <c r="X715" s="37"/>
      <c r="Y715" s="37"/>
      <c r="Z715" s="37"/>
    </row>
    <row r="716" spans="1:26" ht="12.5">
      <c r="A716" s="37"/>
      <c r="B716" s="151"/>
      <c r="C716" s="122"/>
      <c r="D716" s="122"/>
      <c r="E716" s="84"/>
      <c r="F716" s="77"/>
      <c r="G716" s="77"/>
      <c r="H716" s="37"/>
      <c r="I716" s="37"/>
      <c r="J716" s="37"/>
      <c r="K716" s="122"/>
      <c r="L716" s="37"/>
      <c r="M716" s="37"/>
      <c r="N716" s="139"/>
      <c r="O716" s="37"/>
      <c r="P716" s="37"/>
      <c r="Q716" s="37"/>
      <c r="R716" s="37"/>
      <c r="S716" s="37"/>
      <c r="T716" s="37"/>
      <c r="U716" s="37"/>
      <c r="V716" s="37"/>
      <c r="W716" s="37"/>
      <c r="X716" s="37"/>
      <c r="Y716" s="37"/>
      <c r="Z716" s="37"/>
    </row>
    <row r="717" spans="1:26" ht="12.5">
      <c r="A717" s="37"/>
      <c r="B717" s="151"/>
      <c r="C717" s="122"/>
      <c r="D717" s="122"/>
      <c r="E717" s="84"/>
      <c r="F717" s="77"/>
      <c r="G717" s="77"/>
      <c r="H717" s="37"/>
      <c r="I717" s="37"/>
      <c r="J717" s="37"/>
      <c r="K717" s="122"/>
      <c r="L717" s="37"/>
      <c r="M717" s="37"/>
      <c r="N717" s="139"/>
      <c r="O717" s="37"/>
      <c r="P717" s="37"/>
      <c r="Q717" s="37"/>
      <c r="R717" s="37"/>
      <c r="S717" s="37"/>
      <c r="T717" s="37"/>
      <c r="U717" s="37"/>
      <c r="V717" s="37"/>
      <c r="W717" s="37"/>
      <c r="X717" s="37"/>
      <c r="Y717" s="37"/>
      <c r="Z717" s="37"/>
    </row>
    <row r="718" spans="1:26" ht="12.5">
      <c r="A718" s="37"/>
      <c r="B718" s="151"/>
      <c r="C718" s="122"/>
      <c r="D718" s="122"/>
      <c r="E718" s="84"/>
      <c r="F718" s="77"/>
      <c r="G718" s="77"/>
      <c r="H718" s="37"/>
      <c r="I718" s="37"/>
      <c r="J718" s="37"/>
      <c r="K718" s="122"/>
      <c r="L718" s="37"/>
      <c r="M718" s="37"/>
      <c r="N718" s="139"/>
      <c r="O718" s="37"/>
      <c r="P718" s="37"/>
      <c r="Q718" s="37"/>
      <c r="R718" s="37"/>
      <c r="S718" s="37"/>
      <c r="T718" s="37"/>
      <c r="U718" s="37"/>
      <c r="V718" s="37"/>
      <c r="W718" s="37"/>
      <c r="X718" s="37"/>
      <c r="Y718" s="37"/>
      <c r="Z718" s="37"/>
    </row>
    <row r="719" spans="1:26" ht="12.5">
      <c r="A719" s="37"/>
      <c r="B719" s="151"/>
      <c r="C719" s="122"/>
      <c r="D719" s="122"/>
      <c r="E719" s="84"/>
      <c r="F719" s="77"/>
      <c r="G719" s="77"/>
      <c r="H719" s="37"/>
      <c r="I719" s="37"/>
      <c r="J719" s="37"/>
      <c r="K719" s="122"/>
      <c r="L719" s="37"/>
      <c r="M719" s="37"/>
      <c r="N719" s="139"/>
      <c r="O719" s="37"/>
      <c r="P719" s="37"/>
      <c r="Q719" s="37"/>
      <c r="R719" s="37"/>
      <c r="S719" s="37"/>
      <c r="T719" s="37"/>
      <c r="U719" s="37"/>
      <c r="V719" s="37"/>
      <c r="W719" s="37"/>
      <c r="X719" s="37"/>
      <c r="Y719" s="37"/>
      <c r="Z719" s="37"/>
    </row>
    <row r="720" spans="1:26" ht="12.5">
      <c r="A720" s="37"/>
      <c r="B720" s="151"/>
      <c r="C720" s="122"/>
      <c r="D720" s="122"/>
      <c r="E720" s="84"/>
      <c r="F720" s="77"/>
      <c r="G720" s="77"/>
      <c r="H720" s="37"/>
      <c r="I720" s="37"/>
      <c r="J720" s="37"/>
      <c r="K720" s="122"/>
      <c r="L720" s="37"/>
      <c r="M720" s="37"/>
      <c r="N720" s="139"/>
      <c r="O720" s="37"/>
      <c r="P720" s="37"/>
      <c r="Q720" s="37"/>
      <c r="R720" s="37"/>
      <c r="S720" s="37"/>
      <c r="T720" s="37"/>
      <c r="U720" s="37"/>
      <c r="V720" s="37"/>
      <c r="W720" s="37"/>
      <c r="X720" s="37"/>
      <c r="Y720" s="37"/>
      <c r="Z720" s="37"/>
    </row>
    <row r="721" spans="1:26" ht="12.5">
      <c r="A721" s="37"/>
      <c r="B721" s="151"/>
      <c r="C721" s="122"/>
      <c r="D721" s="122"/>
      <c r="E721" s="84"/>
      <c r="F721" s="77"/>
      <c r="G721" s="77"/>
      <c r="H721" s="37"/>
      <c r="I721" s="37"/>
      <c r="J721" s="37"/>
      <c r="K721" s="122"/>
      <c r="L721" s="37"/>
      <c r="M721" s="37"/>
      <c r="N721" s="139"/>
      <c r="O721" s="37"/>
      <c r="P721" s="37"/>
      <c r="Q721" s="37"/>
      <c r="R721" s="37"/>
      <c r="S721" s="37"/>
      <c r="T721" s="37"/>
      <c r="U721" s="37"/>
      <c r="V721" s="37"/>
      <c r="W721" s="37"/>
      <c r="X721" s="37"/>
      <c r="Y721" s="37"/>
      <c r="Z721" s="37"/>
    </row>
    <row r="722" spans="1:26" ht="12.5">
      <c r="A722" s="37"/>
      <c r="B722" s="151"/>
      <c r="C722" s="122"/>
      <c r="D722" s="122"/>
      <c r="E722" s="84"/>
      <c r="F722" s="77"/>
      <c r="G722" s="77"/>
      <c r="H722" s="37"/>
      <c r="I722" s="37"/>
      <c r="J722" s="37"/>
      <c r="K722" s="122"/>
      <c r="L722" s="37"/>
      <c r="M722" s="37"/>
      <c r="N722" s="139"/>
      <c r="O722" s="37"/>
      <c r="P722" s="37"/>
      <c r="Q722" s="37"/>
      <c r="R722" s="37"/>
      <c r="S722" s="37"/>
      <c r="T722" s="37"/>
      <c r="U722" s="37"/>
      <c r="V722" s="37"/>
      <c r="W722" s="37"/>
      <c r="X722" s="37"/>
      <c r="Y722" s="37"/>
      <c r="Z722" s="37"/>
    </row>
    <row r="723" spans="1:26" ht="12.5">
      <c r="A723" s="37"/>
      <c r="B723" s="151"/>
      <c r="C723" s="122"/>
      <c r="D723" s="122"/>
      <c r="E723" s="84"/>
      <c r="F723" s="77"/>
      <c r="G723" s="77"/>
      <c r="H723" s="37"/>
      <c r="I723" s="37"/>
      <c r="J723" s="37"/>
      <c r="K723" s="122"/>
      <c r="L723" s="37"/>
      <c r="M723" s="37"/>
      <c r="N723" s="139"/>
      <c r="O723" s="37"/>
      <c r="P723" s="37"/>
      <c r="Q723" s="37"/>
      <c r="R723" s="37"/>
      <c r="S723" s="37"/>
      <c r="T723" s="37"/>
      <c r="U723" s="37"/>
      <c r="V723" s="37"/>
      <c r="W723" s="37"/>
      <c r="X723" s="37"/>
      <c r="Y723" s="37"/>
      <c r="Z723" s="37"/>
    </row>
    <row r="724" spans="1:26" ht="12.5">
      <c r="A724" s="37"/>
      <c r="B724" s="151"/>
      <c r="C724" s="122"/>
      <c r="D724" s="122"/>
      <c r="E724" s="84"/>
      <c r="F724" s="77"/>
      <c r="G724" s="77"/>
      <c r="H724" s="37"/>
      <c r="I724" s="37"/>
      <c r="J724" s="37"/>
      <c r="K724" s="122"/>
      <c r="L724" s="37"/>
      <c r="M724" s="37"/>
      <c r="N724" s="139"/>
      <c r="O724" s="37"/>
      <c r="P724" s="37"/>
      <c r="Q724" s="37"/>
      <c r="R724" s="37"/>
      <c r="S724" s="37"/>
      <c r="T724" s="37"/>
      <c r="U724" s="37"/>
      <c r="V724" s="37"/>
      <c r="W724" s="37"/>
      <c r="X724" s="37"/>
      <c r="Y724" s="37"/>
      <c r="Z724" s="37"/>
    </row>
    <row r="725" spans="1:26" ht="12.5">
      <c r="A725" s="37"/>
      <c r="B725" s="151"/>
      <c r="C725" s="122"/>
      <c r="D725" s="122"/>
      <c r="E725" s="84"/>
      <c r="F725" s="77"/>
      <c r="G725" s="77"/>
      <c r="H725" s="37"/>
      <c r="I725" s="37"/>
      <c r="J725" s="37"/>
      <c r="K725" s="122"/>
      <c r="L725" s="37"/>
      <c r="M725" s="37"/>
      <c r="N725" s="139"/>
      <c r="O725" s="37"/>
      <c r="P725" s="37"/>
      <c r="Q725" s="37"/>
      <c r="R725" s="37"/>
      <c r="S725" s="37"/>
      <c r="T725" s="37"/>
      <c r="U725" s="37"/>
      <c r="V725" s="37"/>
      <c r="W725" s="37"/>
      <c r="X725" s="37"/>
      <c r="Y725" s="37"/>
      <c r="Z725" s="37"/>
    </row>
    <row r="726" spans="1:26" ht="12.5">
      <c r="A726" s="37"/>
      <c r="B726" s="151"/>
      <c r="C726" s="122"/>
      <c r="D726" s="122"/>
      <c r="E726" s="84"/>
      <c r="F726" s="77"/>
      <c r="G726" s="77"/>
      <c r="H726" s="37"/>
      <c r="I726" s="37"/>
      <c r="J726" s="37"/>
      <c r="K726" s="122"/>
      <c r="L726" s="37"/>
      <c r="M726" s="37"/>
      <c r="N726" s="139"/>
      <c r="O726" s="37"/>
      <c r="P726" s="37"/>
      <c r="Q726" s="37"/>
      <c r="R726" s="37"/>
      <c r="S726" s="37"/>
      <c r="T726" s="37"/>
      <c r="U726" s="37"/>
      <c r="V726" s="37"/>
      <c r="W726" s="37"/>
      <c r="X726" s="37"/>
      <c r="Y726" s="37"/>
      <c r="Z726" s="37"/>
    </row>
    <row r="727" spans="1:26" ht="12.5">
      <c r="A727" s="37"/>
      <c r="B727" s="151"/>
      <c r="C727" s="122"/>
      <c r="D727" s="122"/>
      <c r="E727" s="84"/>
      <c r="F727" s="77"/>
      <c r="G727" s="77"/>
      <c r="H727" s="37"/>
      <c r="I727" s="37"/>
      <c r="J727" s="37"/>
      <c r="K727" s="122"/>
      <c r="L727" s="37"/>
      <c r="M727" s="37"/>
      <c r="N727" s="139"/>
      <c r="O727" s="37"/>
      <c r="P727" s="37"/>
      <c r="Q727" s="37"/>
      <c r="R727" s="37"/>
      <c r="S727" s="37"/>
      <c r="T727" s="37"/>
      <c r="U727" s="37"/>
      <c r="V727" s="37"/>
      <c r="W727" s="37"/>
      <c r="X727" s="37"/>
      <c r="Y727" s="37"/>
      <c r="Z727" s="37"/>
    </row>
    <row r="728" spans="1:26" ht="12.5">
      <c r="A728" s="37"/>
      <c r="B728" s="151"/>
      <c r="C728" s="122"/>
      <c r="D728" s="122"/>
      <c r="E728" s="84"/>
      <c r="F728" s="77"/>
      <c r="G728" s="77"/>
      <c r="H728" s="37"/>
      <c r="I728" s="37"/>
      <c r="J728" s="37"/>
      <c r="K728" s="122"/>
      <c r="L728" s="37"/>
      <c r="M728" s="37"/>
      <c r="N728" s="139"/>
      <c r="O728" s="37"/>
      <c r="P728" s="37"/>
      <c r="Q728" s="37"/>
      <c r="R728" s="37"/>
      <c r="S728" s="37"/>
      <c r="T728" s="37"/>
      <c r="U728" s="37"/>
      <c r="V728" s="37"/>
      <c r="W728" s="37"/>
      <c r="X728" s="37"/>
      <c r="Y728" s="37"/>
      <c r="Z728" s="37"/>
    </row>
    <row r="729" spans="1:26" ht="12.5">
      <c r="A729" s="37"/>
      <c r="B729" s="151"/>
      <c r="C729" s="122"/>
      <c r="D729" s="122"/>
      <c r="E729" s="84"/>
      <c r="F729" s="77"/>
      <c r="G729" s="77"/>
      <c r="H729" s="37"/>
      <c r="I729" s="37"/>
      <c r="J729" s="37"/>
      <c r="K729" s="122"/>
      <c r="L729" s="37"/>
      <c r="M729" s="37"/>
      <c r="N729" s="139"/>
      <c r="O729" s="37"/>
      <c r="P729" s="37"/>
      <c r="Q729" s="37"/>
      <c r="R729" s="37"/>
      <c r="S729" s="37"/>
      <c r="T729" s="37"/>
      <c r="U729" s="37"/>
      <c r="V729" s="37"/>
      <c r="W729" s="37"/>
      <c r="X729" s="37"/>
      <c r="Y729" s="37"/>
      <c r="Z729" s="37"/>
    </row>
    <row r="730" spans="1:26" ht="12.5">
      <c r="A730" s="37"/>
      <c r="B730" s="151"/>
      <c r="C730" s="122"/>
      <c r="D730" s="122"/>
      <c r="E730" s="84"/>
      <c r="F730" s="77"/>
      <c r="G730" s="77"/>
      <c r="H730" s="37"/>
      <c r="I730" s="37"/>
      <c r="J730" s="37"/>
      <c r="K730" s="122"/>
      <c r="L730" s="37"/>
      <c r="M730" s="37"/>
      <c r="N730" s="139"/>
      <c r="O730" s="37"/>
      <c r="P730" s="37"/>
      <c r="Q730" s="37"/>
      <c r="R730" s="37"/>
      <c r="S730" s="37"/>
      <c r="T730" s="37"/>
      <c r="U730" s="37"/>
      <c r="V730" s="37"/>
      <c r="W730" s="37"/>
      <c r="X730" s="37"/>
      <c r="Y730" s="37"/>
      <c r="Z730" s="37"/>
    </row>
    <row r="731" spans="1:26" ht="12.5">
      <c r="A731" s="37"/>
      <c r="B731" s="151"/>
      <c r="C731" s="122"/>
      <c r="D731" s="122"/>
      <c r="E731" s="84"/>
      <c r="F731" s="77"/>
      <c r="G731" s="77"/>
      <c r="H731" s="37"/>
      <c r="I731" s="37"/>
      <c r="J731" s="37"/>
      <c r="K731" s="122"/>
      <c r="L731" s="37"/>
      <c r="M731" s="37"/>
      <c r="N731" s="139"/>
      <c r="O731" s="37"/>
      <c r="P731" s="37"/>
      <c r="Q731" s="37"/>
      <c r="R731" s="37"/>
      <c r="S731" s="37"/>
      <c r="T731" s="37"/>
      <c r="U731" s="37"/>
      <c r="V731" s="37"/>
      <c r="W731" s="37"/>
      <c r="X731" s="37"/>
      <c r="Y731" s="37"/>
      <c r="Z731" s="37"/>
    </row>
    <row r="732" spans="1:26" ht="12.5">
      <c r="A732" s="37"/>
      <c r="B732" s="151"/>
      <c r="C732" s="122"/>
      <c r="D732" s="122"/>
      <c r="E732" s="84"/>
      <c r="F732" s="77"/>
      <c r="G732" s="77"/>
      <c r="H732" s="37"/>
      <c r="I732" s="37"/>
      <c r="J732" s="37"/>
      <c r="K732" s="122"/>
      <c r="L732" s="37"/>
      <c r="M732" s="37"/>
      <c r="N732" s="139"/>
      <c r="O732" s="37"/>
      <c r="P732" s="37"/>
      <c r="Q732" s="37"/>
      <c r="R732" s="37"/>
      <c r="S732" s="37"/>
      <c r="T732" s="37"/>
      <c r="U732" s="37"/>
      <c r="V732" s="37"/>
      <c r="W732" s="37"/>
      <c r="X732" s="37"/>
      <c r="Y732" s="37"/>
      <c r="Z732" s="37"/>
    </row>
    <row r="733" spans="1:26" ht="12.5">
      <c r="A733" s="37"/>
      <c r="B733" s="151"/>
      <c r="C733" s="122"/>
      <c r="D733" s="122"/>
      <c r="E733" s="84"/>
      <c r="F733" s="77"/>
      <c r="G733" s="77"/>
      <c r="H733" s="37"/>
      <c r="I733" s="37"/>
      <c r="J733" s="37"/>
      <c r="K733" s="122"/>
      <c r="L733" s="37"/>
      <c r="M733" s="37"/>
      <c r="N733" s="139"/>
      <c r="O733" s="37"/>
      <c r="P733" s="37"/>
      <c r="Q733" s="37"/>
      <c r="R733" s="37"/>
      <c r="S733" s="37"/>
      <c r="T733" s="37"/>
      <c r="U733" s="37"/>
      <c r="V733" s="37"/>
      <c r="W733" s="37"/>
      <c r="X733" s="37"/>
      <c r="Y733" s="37"/>
      <c r="Z733" s="37"/>
    </row>
    <row r="734" spans="1:26" ht="12.5">
      <c r="A734" s="37"/>
      <c r="B734" s="151"/>
      <c r="C734" s="122"/>
      <c r="D734" s="122"/>
      <c r="E734" s="84"/>
      <c r="F734" s="77"/>
      <c r="G734" s="77"/>
      <c r="H734" s="37"/>
      <c r="I734" s="37"/>
      <c r="J734" s="37"/>
      <c r="K734" s="122"/>
      <c r="L734" s="37"/>
      <c r="M734" s="37"/>
      <c r="N734" s="139"/>
      <c r="O734" s="37"/>
      <c r="P734" s="37"/>
      <c r="Q734" s="37"/>
      <c r="R734" s="37"/>
      <c r="S734" s="37"/>
      <c r="T734" s="37"/>
      <c r="U734" s="37"/>
      <c r="V734" s="37"/>
      <c r="W734" s="37"/>
      <c r="X734" s="37"/>
      <c r="Y734" s="37"/>
      <c r="Z734" s="37"/>
    </row>
    <row r="735" spans="1:26" ht="12.5">
      <c r="A735" s="37"/>
      <c r="B735" s="151"/>
      <c r="C735" s="122"/>
      <c r="D735" s="122"/>
      <c r="E735" s="84"/>
      <c r="F735" s="77"/>
      <c r="G735" s="77"/>
      <c r="H735" s="37"/>
      <c r="I735" s="37"/>
      <c r="J735" s="37"/>
      <c r="K735" s="122"/>
      <c r="L735" s="37"/>
      <c r="M735" s="37"/>
      <c r="N735" s="139"/>
      <c r="O735" s="37"/>
      <c r="P735" s="37"/>
      <c r="Q735" s="37"/>
      <c r="R735" s="37"/>
      <c r="S735" s="37"/>
      <c r="T735" s="37"/>
      <c r="U735" s="37"/>
      <c r="V735" s="37"/>
      <c r="W735" s="37"/>
      <c r="X735" s="37"/>
      <c r="Y735" s="37"/>
      <c r="Z735" s="37"/>
    </row>
    <row r="736" spans="1:26" ht="12.5">
      <c r="A736" s="37"/>
      <c r="B736" s="151"/>
      <c r="C736" s="122"/>
      <c r="D736" s="122"/>
      <c r="E736" s="84"/>
      <c r="F736" s="77"/>
      <c r="G736" s="77"/>
      <c r="H736" s="37"/>
      <c r="I736" s="37"/>
      <c r="J736" s="37"/>
      <c r="K736" s="122"/>
      <c r="L736" s="37"/>
      <c r="M736" s="37"/>
      <c r="N736" s="139"/>
      <c r="O736" s="37"/>
      <c r="P736" s="37"/>
      <c r="Q736" s="37"/>
      <c r="R736" s="37"/>
      <c r="S736" s="37"/>
      <c r="T736" s="37"/>
      <c r="U736" s="37"/>
      <c r="V736" s="37"/>
      <c r="W736" s="37"/>
      <c r="X736" s="37"/>
      <c r="Y736" s="37"/>
      <c r="Z736" s="37"/>
    </row>
    <row r="737" spans="1:26" ht="12.5">
      <c r="A737" s="37"/>
      <c r="B737" s="151"/>
      <c r="C737" s="122"/>
      <c r="D737" s="122"/>
      <c r="E737" s="84"/>
      <c r="F737" s="77"/>
      <c r="G737" s="77"/>
      <c r="H737" s="37"/>
      <c r="I737" s="37"/>
      <c r="J737" s="37"/>
      <c r="K737" s="122"/>
      <c r="L737" s="37"/>
      <c r="M737" s="37"/>
      <c r="N737" s="139"/>
      <c r="O737" s="37"/>
      <c r="P737" s="37"/>
      <c r="Q737" s="37"/>
      <c r="R737" s="37"/>
      <c r="S737" s="37"/>
      <c r="T737" s="37"/>
      <c r="U737" s="37"/>
      <c r="V737" s="37"/>
      <c r="W737" s="37"/>
      <c r="X737" s="37"/>
      <c r="Y737" s="37"/>
      <c r="Z737" s="37"/>
    </row>
    <row r="738" spans="1:26" ht="12.5">
      <c r="A738" s="37"/>
      <c r="B738" s="151"/>
      <c r="C738" s="122"/>
      <c r="D738" s="122"/>
      <c r="E738" s="84"/>
      <c r="F738" s="77"/>
      <c r="G738" s="77"/>
      <c r="H738" s="37"/>
      <c r="I738" s="37"/>
      <c r="J738" s="37"/>
      <c r="K738" s="122"/>
      <c r="L738" s="37"/>
      <c r="M738" s="37"/>
      <c r="N738" s="139"/>
      <c r="O738" s="37"/>
      <c r="P738" s="37"/>
      <c r="Q738" s="37"/>
      <c r="R738" s="37"/>
      <c r="S738" s="37"/>
      <c r="T738" s="37"/>
      <c r="U738" s="37"/>
      <c r="V738" s="37"/>
      <c r="W738" s="37"/>
      <c r="X738" s="37"/>
      <c r="Y738" s="37"/>
      <c r="Z738" s="37"/>
    </row>
    <row r="739" spans="1:26" ht="12.5">
      <c r="A739" s="37"/>
      <c r="B739" s="151"/>
      <c r="C739" s="122"/>
      <c r="D739" s="122"/>
      <c r="E739" s="84"/>
      <c r="F739" s="77"/>
      <c r="G739" s="77"/>
      <c r="H739" s="37"/>
      <c r="I739" s="37"/>
      <c r="J739" s="37"/>
      <c r="K739" s="122"/>
      <c r="L739" s="37"/>
      <c r="M739" s="37"/>
      <c r="N739" s="139"/>
      <c r="O739" s="37"/>
      <c r="P739" s="37"/>
      <c r="Q739" s="37"/>
      <c r="R739" s="37"/>
      <c r="S739" s="37"/>
      <c r="T739" s="37"/>
      <c r="U739" s="37"/>
      <c r="V739" s="37"/>
      <c r="W739" s="37"/>
      <c r="X739" s="37"/>
      <c r="Y739" s="37"/>
      <c r="Z739" s="37"/>
    </row>
    <row r="740" spans="1:26" ht="12.5">
      <c r="A740" s="37"/>
      <c r="B740" s="151"/>
      <c r="C740" s="122"/>
      <c r="D740" s="122"/>
      <c r="E740" s="84"/>
      <c r="F740" s="77"/>
      <c r="G740" s="77"/>
      <c r="H740" s="37"/>
      <c r="I740" s="37"/>
      <c r="J740" s="37"/>
      <c r="K740" s="122"/>
      <c r="L740" s="37"/>
      <c r="M740" s="37"/>
      <c r="N740" s="139"/>
      <c r="O740" s="37"/>
      <c r="P740" s="37"/>
      <c r="Q740" s="37"/>
      <c r="R740" s="37"/>
      <c r="S740" s="37"/>
      <c r="T740" s="37"/>
      <c r="U740" s="37"/>
      <c r="V740" s="37"/>
      <c r="W740" s="37"/>
      <c r="X740" s="37"/>
      <c r="Y740" s="37"/>
      <c r="Z740" s="37"/>
    </row>
    <row r="741" spans="1:26" ht="12.5">
      <c r="A741" s="37"/>
      <c r="B741" s="151"/>
      <c r="C741" s="122"/>
      <c r="D741" s="122"/>
      <c r="E741" s="84"/>
      <c r="F741" s="77"/>
      <c r="G741" s="77"/>
      <c r="H741" s="37"/>
      <c r="I741" s="37"/>
      <c r="J741" s="37"/>
      <c r="K741" s="122"/>
      <c r="L741" s="37"/>
      <c r="M741" s="37"/>
      <c r="N741" s="139"/>
      <c r="O741" s="37"/>
      <c r="P741" s="37"/>
      <c r="Q741" s="37"/>
      <c r="R741" s="37"/>
      <c r="S741" s="37"/>
      <c r="T741" s="37"/>
      <c r="U741" s="37"/>
      <c r="V741" s="37"/>
      <c r="W741" s="37"/>
      <c r="X741" s="37"/>
      <c r="Y741" s="37"/>
      <c r="Z741" s="37"/>
    </row>
    <row r="742" spans="1:26" ht="12.5">
      <c r="A742" s="37"/>
      <c r="B742" s="151"/>
      <c r="C742" s="122"/>
      <c r="D742" s="122"/>
      <c r="E742" s="84"/>
      <c r="F742" s="77"/>
      <c r="G742" s="77"/>
      <c r="H742" s="37"/>
      <c r="I742" s="37"/>
      <c r="J742" s="37"/>
      <c r="K742" s="122"/>
      <c r="L742" s="37"/>
      <c r="M742" s="37"/>
      <c r="N742" s="139"/>
      <c r="O742" s="37"/>
      <c r="P742" s="37"/>
      <c r="Q742" s="37"/>
      <c r="R742" s="37"/>
      <c r="S742" s="37"/>
      <c r="T742" s="37"/>
      <c r="U742" s="37"/>
      <c r="V742" s="37"/>
      <c r="W742" s="37"/>
      <c r="X742" s="37"/>
      <c r="Y742" s="37"/>
      <c r="Z742" s="37"/>
    </row>
    <row r="743" spans="1:26" ht="12.5">
      <c r="A743" s="37"/>
      <c r="B743" s="151"/>
      <c r="C743" s="122"/>
      <c r="D743" s="122"/>
      <c r="E743" s="84"/>
      <c r="F743" s="77"/>
      <c r="G743" s="77"/>
      <c r="H743" s="37"/>
      <c r="I743" s="37"/>
      <c r="J743" s="37"/>
      <c r="K743" s="122"/>
      <c r="L743" s="37"/>
      <c r="M743" s="37"/>
      <c r="N743" s="139"/>
      <c r="O743" s="37"/>
      <c r="P743" s="37"/>
      <c r="Q743" s="37"/>
      <c r="R743" s="37"/>
      <c r="S743" s="37"/>
      <c r="T743" s="37"/>
      <c r="U743" s="37"/>
      <c r="V743" s="37"/>
      <c r="W743" s="37"/>
      <c r="X743" s="37"/>
      <c r="Y743" s="37"/>
      <c r="Z743" s="37"/>
    </row>
    <row r="744" spans="1:26" ht="12.5">
      <c r="A744" s="37"/>
      <c r="B744" s="151"/>
      <c r="C744" s="122"/>
      <c r="D744" s="122"/>
      <c r="E744" s="84"/>
      <c r="F744" s="77"/>
      <c r="G744" s="77"/>
      <c r="H744" s="37"/>
      <c r="I744" s="37"/>
      <c r="J744" s="37"/>
      <c r="K744" s="122"/>
      <c r="L744" s="37"/>
      <c r="M744" s="37"/>
      <c r="N744" s="139"/>
      <c r="O744" s="37"/>
      <c r="P744" s="37"/>
      <c r="Q744" s="37"/>
      <c r="R744" s="37"/>
      <c r="S744" s="37"/>
      <c r="T744" s="37"/>
      <c r="U744" s="37"/>
      <c r="V744" s="37"/>
      <c r="W744" s="37"/>
      <c r="X744" s="37"/>
      <c r="Y744" s="37"/>
      <c r="Z744" s="37"/>
    </row>
    <row r="745" spans="1:26" ht="12.5">
      <c r="A745" s="37"/>
      <c r="B745" s="151"/>
      <c r="C745" s="122"/>
      <c r="D745" s="122"/>
      <c r="E745" s="84"/>
      <c r="F745" s="77"/>
      <c r="G745" s="77"/>
      <c r="H745" s="37"/>
      <c r="I745" s="37"/>
      <c r="J745" s="37"/>
      <c r="K745" s="122"/>
      <c r="L745" s="37"/>
      <c r="M745" s="37"/>
      <c r="N745" s="139"/>
      <c r="O745" s="37"/>
      <c r="P745" s="37"/>
      <c r="Q745" s="37"/>
      <c r="R745" s="37"/>
      <c r="S745" s="37"/>
      <c r="T745" s="37"/>
      <c r="U745" s="37"/>
      <c r="V745" s="37"/>
      <c r="W745" s="37"/>
      <c r="X745" s="37"/>
      <c r="Y745" s="37"/>
      <c r="Z745" s="37"/>
    </row>
    <row r="746" spans="1:26" ht="12.5">
      <c r="A746" s="37"/>
      <c r="B746" s="151"/>
      <c r="C746" s="122"/>
      <c r="D746" s="122"/>
      <c r="E746" s="84"/>
      <c r="F746" s="77"/>
      <c r="G746" s="77"/>
      <c r="H746" s="37"/>
      <c r="I746" s="37"/>
      <c r="J746" s="37"/>
      <c r="K746" s="122"/>
      <c r="L746" s="37"/>
      <c r="M746" s="37"/>
      <c r="N746" s="139"/>
      <c r="O746" s="37"/>
      <c r="P746" s="37"/>
      <c r="Q746" s="37"/>
      <c r="R746" s="37"/>
      <c r="S746" s="37"/>
      <c r="T746" s="37"/>
      <c r="U746" s="37"/>
      <c r="V746" s="37"/>
      <c r="W746" s="37"/>
      <c r="X746" s="37"/>
      <c r="Y746" s="37"/>
      <c r="Z746" s="37"/>
    </row>
    <row r="747" spans="1:26" ht="12.5">
      <c r="A747" s="37"/>
      <c r="B747" s="151"/>
      <c r="C747" s="122"/>
      <c r="D747" s="122"/>
      <c r="E747" s="84"/>
      <c r="F747" s="77"/>
      <c r="G747" s="77"/>
      <c r="H747" s="37"/>
      <c r="I747" s="37"/>
      <c r="J747" s="37"/>
      <c r="K747" s="122"/>
      <c r="L747" s="37"/>
      <c r="M747" s="37"/>
      <c r="N747" s="139"/>
      <c r="O747" s="37"/>
      <c r="P747" s="37"/>
      <c r="Q747" s="37"/>
      <c r="R747" s="37"/>
      <c r="S747" s="37"/>
      <c r="T747" s="37"/>
      <c r="U747" s="37"/>
      <c r="V747" s="37"/>
      <c r="W747" s="37"/>
      <c r="X747" s="37"/>
      <c r="Y747" s="37"/>
      <c r="Z747" s="37"/>
    </row>
    <row r="748" spans="1:26" ht="12.5">
      <c r="A748" s="37"/>
      <c r="B748" s="151"/>
      <c r="C748" s="122"/>
      <c r="D748" s="122"/>
      <c r="E748" s="84"/>
      <c r="F748" s="77"/>
      <c r="G748" s="77"/>
      <c r="H748" s="37"/>
      <c r="I748" s="37"/>
      <c r="J748" s="37"/>
      <c r="K748" s="122"/>
      <c r="L748" s="37"/>
      <c r="M748" s="37"/>
      <c r="N748" s="139"/>
      <c r="O748" s="37"/>
      <c r="P748" s="37"/>
      <c r="Q748" s="37"/>
      <c r="R748" s="37"/>
      <c r="S748" s="37"/>
      <c r="T748" s="37"/>
      <c r="U748" s="37"/>
      <c r="V748" s="37"/>
      <c r="W748" s="37"/>
      <c r="X748" s="37"/>
      <c r="Y748" s="37"/>
      <c r="Z748" s="37"/>
    </row>
    <row r="749" spans="1:26" ht="12.5">
      <c r="A749" s="37"/>
      <c r="B749" s="151"/>
      <c r="C749" s="122"/>
      <c r="D749" s="122"/>
      <c r="E749" s="84"/>
      <c r="F749" s="77"/>
      <c r="G749" s="77"/>
      <c r="H749" s="37"/>
      <c r="I749" s="37"/>
      <c r="J749" s="37"/>
      <c r="K749" s="122"/>
      <c r="L749" s="37"/>
      <c r="M749" s="37"/>
      <c r="N749" s="139"/>
      <c r="O749" s="37"/>
      <c r="P749" s="37"/>
      <c r="Q749" s="37"/>
      <c r="R749" s="37"/>
      <c r="S749" s="37"/>
      <c r="T749" s="37"/>
      <c r="U749" s="37"/>
      <c r="V749" s="37"/>
      <c r="W749" s="37"/>
      <c r="X749" s="37"/>
      <c r="Y749" s="37"/>
      <c r="Z749" s="37"/>
    </row>
    <row r="750" spans="1:26" ht="12.5">
      <c r="A750" s="37"/>
      <c r="B750" s="151"/>
      <c r="C750" s="122"/>
      <c r="D750" s="122"/>
      <c r="E750" s="84"/>
      <c r="F750" s="77"/>
      <c r="G750" s="77"/>
      <c r="H750" s="37"/>
      <c r="I750" s="37"/>
      <c r="J750" s="37"/>
      <c r="K750" s="122"/>
      <c r="L750" s="37"/>
      <c r="M750" s="37"/>
      <c r="N750" s="139"/>
      <c r="O750" s="37"/>
      <c r="P750" s="37"/>
      <c r="Q750" s="37"/>
      <c r="R750" s="37"/>
      <c r="S750" s="37"/>
      <c r="T750" s="37"/>
      <c r="U750" s="37"/>
      <c r="V750" s="37"/>
      <c r="W750" s="37"/>
      <c r="X750" s="37"/>
      <c r="Y750" s="37"/>
      <c r="Z750" s="37"/>
    </row>
    <row r="751" spans="1:26" ht="12.5">
      <c r="A751" s="37"/>
      <c r="B751" s="151"/>
      <c r="C751" s="122"/>
      <c r="D751" s="122"/>
      <c r="E751" s="84"/>
      <c r="F751" s="77"/>
      <c r="G751" s="77"/>
      <c r="H751" s="37"/>
      <c r="I751" s="37"/>
      <c r="J751" s="37"/>
      <c r="K751" s="122"/>
      <c r="L751" s="37"/>
      <c r="M751" s="37"/>
      <c r="N751" s="139"/>
      <c r="O751" s="37"/>
      <c r="P751" s="37"/>
      <c r="Q751" s="37"/>
      <c r="R751" s="37"/>
      <c r="S751" s="37"/>
      <c r="T751" s="37"/>
      <c r="U751" s="37"/>
      <c r="V751" s="37"/>
      <c r="W751" s="37"/>
      <c r="X751" s="37"/>
      <c r="Y751" s="37"/>
      <c r="Z751" s="37"/>
    </row>
    <row r="752" spans="1:26" ht="12.5">
      <c r="A752" s="37"/>
      <c r="B752" s="151"/>
      <c r="C752" s="122"/>
      <c r="D752" s="122"/>
      <c r="E752" s="84"/>
      <c r="F752" s="77"/>
      <c r="G752" s="77"/>
      <c r="H752" s="37"/>
      <c r="I752" s="37"/>
      <c r="J752" s="37"/>
      <c r="K752" s="122"/>
      <c r="L752" s="37"/>
      <c r="M752" s="37"/>
      <c r="N752" s="139"/>
      <c r="O752" s="37"/>
      <c r="P752" s="37"/>
      <c r="Q752" s="37"/>
      <c r="R752" s="37"/>
      <c r="S752" s="37"/>
      <c r="T752" s="37"/>
      <c r="U752" s="37"/>
      <c r="V752" s="37"/>
      <c r="W752" s="37"/>
      <c r="X752" s="37"/>
      <c r="Y752" s="37"/>
      <c r="Z752" s="37"/>
    </row>
    <row r="753" spans="1:26" ht="12.5">
      <c r="A753" s="37"/>
      <c r="B753" s="151"/>
      <c r="C753" s="122"/>
      <c r="D753" s="122"/>
      <c r="E753" s="84"/>
      <c r="F753" s="77"/>
      <c r="G753" s="77"/>
      <c r="H753" s="37"/>
      <c r="I753" s="37"/>
      <c r="J753" s="37"/>
      <c r="K753" s="122"/>
      <c r="L753" s="37"/>
      <c r="M753" s="37"/>
      <c r="N753" s="139"/>
      <c r="O753" s="37"/>
      <c r="P753" s="37"/>
      <c r="Q753" s="37"/>
      <c r="R753" s="37"/>
      <c r="S753" s="37"/>
      <c r="T753" s="37"/>
      <c r="U753" s="37"/>
      <c r="V753" s="37"/>
      <c r="W753" s="37"/>
      <c r="X753" s="37"/>
      <c r="Y753" s="37"/>
      <c r="Z753" s="37"/>
    </row>
    <row r="754" spans="1:26" ht="12.5">
      <c r="A754" s="37"/>
      <c r="B754" s="151"/>
      <c r="C754" s="122"/>
      <c r="D754" s="122"/>
      <c r="E754" s="84"/>
      <c r="F754" s="77"/>
      <c r="G754" s="77"/>
      <c r="H754" s="37"/>
      <c r="I754" s="37"/>
      <c r="J754" s="37"/>
      <c r="K754" s="122"/>
      <c r="L754" s="37"/>
      <c r="M754" s="37"/>
      <c r="N754" s="139"/>
      <c r="O754" s="37"/>
      <c r="P754" s="37"/>
      <c r="Q754" s="37"/>
      <c r="R754" s="37"/>
      <c r="S754" s="37"/>
      <c r="T754" s="37"/>
      <c r="U754" s="37"/>
      <c r="V754" s="37"/>
      <c r="W754" s="37"/>
      <c r="X754" s="37"/>
      <c r="Y754" s="37"/>
      <c r="Z754" s="37"/>
    </row>
    <row r="755" spans="1:26" ht="12.5">
      <c r="A755" s="37"/>
      <c r="B755" s="151"/>
      <c r="C755" s="122"/>
      <c r="D755" s="122"/>
      <c r="E755" s="84"/>
      <c r="F755" s="77"/>
      <c r="G755" s="77"/>
      <c r="H755" s="37"/>
      <c r="I755" s="37"/>
      <c r="J755" s="37"/>
      <c r="K755" s="122"/>
      <c r="L755" s="37"/>
      <c r="M755" s="37"/>
      <c r="N755" s="139"/>
      <c r="O755" s="37"/>
      <c r="P755" s="37"/>
      <c r="Q755" s="37"/>
      <c r="R755" s="37"/>
      <c r="S755" s="37"/>
      <c r="T755" s="37"/>
      <c r="U755" s="37"/>
      <c r="V755" s="37"/>
      <c r="W755" s="37"/>
      <c r="X755" s="37"/>
      <c r="Y755" s="37"/>
      <c r="Z755" s="37"/>
    </row>
    <row r="756" spans="1:26" ht="12.5">
      <c r="A756" s="37"/>
      <c r="B756" s="151"/>
      <c r="C756" s="122"/>
      <c r="D756" s="122"/>
      <c r="E756" s="84"/>
      <c r="F756" s="77"/>
      <c r="G756" s="77"/>
      <c r="H756" s="37"/>
      <c r="I756" s="37"/>
      <c r="J756" s="37"/>
      <c r="K756" s="122"/>
      <c r="L756" s="37"/>
      <c r="M756" s="37"/>
      <c r="N756" s="139"/>
      <c r="O756" s="37"/>
      <c r="P756" s="37"/>
      <c r="Q756" s="37"/>
      <c r="R756" s="37"/>
      <c r="S756" s="37"/>
      <c r="T756" s="37"/>
      <c r="U756" s="37"/>
      <c r="V756" s="37"/>
      <c r="W756" s="37"/>
      <c r="X756" s="37"/>
      <c r="Y756" s="37"/>
      <c r="Z756" s="37"/>
    </row>
    <row r="757" spans="1:26" ht="12.5">
      <c r="A757" s="37"/>
      <c r="B757" s="151"/>
      <c r="C757" s="122"/>
      <c r="D757" s="122"/>
      <c r="E757" s="84"/>
      <c r="F757" s="77"/>
      <c r="G757" s="77"/>
      <c r="H757" s="37"/>
      <c r="I757" s="37"/>
      <c r="J757" s="37"/>
      <c r="K757" s="122"/>
      <c r="L757" s="37"/>
      <c r="M757" s="37"/>
      <c r="N757" s="139"/>
      <c r="O757" s="37"/>
      <c r="P757" s="37"/>
      <c r="Q757" s="37"/>
      <c r="R757" s="37"/>
      <c r="S757" s="37"/>
      <c r="T757" s="37"/>
      <c r="U757" s="37"/>
      <c r="V757" s="37"/>
      <c r="W757" s="37"/>
      <c r="X757" s="37"/>
      <c r="Y757" s="37"/>
      <c r="Z757" s="37"/>
    </row>
    <row r="758" spans="1:26" ht="12.5">
      <c r="A758" s="37"/>
      <c r="B758" s="151"/>
      <c r="C758" s="122"/>
      <c r="D758" s="122"/>
      <c r="E758" s="84"/>
      <c r="F758" s="77"/>
      <c r="G758" s="77"/>
      <c r="H758" s="37"/>
      <c r="I758" s="37"/>
      <c r="J758" s="37"/>
      <c r="K758" s="122"/>
      <c r="L758" s="37"/>
      <c r="M758" s="37"/>
      <c r="N758" s="139"/>
      <c r="O758" s="37"/>
      <c r="P758" s="37"/>
      <c r="Q758" s="37"/>
      <c r="R758" s="37"/>
      <c r="S758" s="37"/>
      <c r="T758" s="37"/>
      <c r="U758" s="37"/>
      <c r="V758" s="37"/>
      <c r="W758" s="37"/>
      <c r="X758" s="37"/>
      <c r="Y758" s="37"/>
      <c r="Z758" s="37"/>
    </row>
    <row r="759" spans="1:26" ht="12.5">
      <c r="A759" s="37"/>
      <c r="B759" s="151"/>
      <c r="C759" s="122"/>
      <c r="D759" s="122"/>
      <c r="E759" s="84"/>
      <c r="F759" s="77"/>
      <c r="G759" s="77"/>
      <c r="H759" s="37"/>
      <c r="I759" s="37"/>
      <c r="J759" s="37"/>
      <c r="K759" s="122"/>
      <c r="L759" s="37"/>
      <c r="M759" s="37"/>
      <c r="N759" s="139"/>
      <c r="O759" s="37"/>
      <c r="P759" s="37"/>
      <c r="Q759" s="37"/>
      <c r="R759" s="37"/>
      <c r="S759" s="37"/>
      <c r="T759" s="37"/>
      <c r="U759" s="37"/>
      <c r="V759" s="37"/>
      <c r="W759" s="37"/>
      <c r="X759" s="37"/>
      <c r="Y759" s="37"/>
      <c r="Z759" s="37"/>
    </row>
    <row r="760" spans="1:26" ht="12.5">
      <c r="A760" s="37"/>
      <c r="B760" s="151"/>
      <c r="C760" s="122"/>
      <c r="D760" s="122"/>
      <c r="E760" s="84"/>
      <c r="F760" s="77"/>
      <c r="G760" s="77"/>
      <c r="H760" s="37"/>
      <c r="I760" s="37"/>
      <c r="J760" s="37"/>
      <c r="K760" s="122"/>
      <c r="L760" s="37"/>
      <c r="M760" s="37"/>
      <c r="N760" s="139"/>
      <c r="O760" s="37"/>
      <c r="P760" s="37"/>
      <c r="Q760" s="37"/>
      <c r="R760" s="37"/>
      <c r="S760" s="37"/>
      <c r="T760" s="37"/>
      <c r="U760" s="37"/>
      <c r="V760" s="37"/>
      <c r="W760" s="37"/>
      <c r="X760" s="37"/>
      <c r="Y760" s="37"/>
      <c r="Z760" s="37"/>
    </row>
    <row r="761" spans="1:26" ht="12.5">
      <c r="A761" s="37"/>
      <c r="B761" s="151"/>
      <c r="C761" s="122"/>
      <c r="D761" s="122"/>
      <c r="E761" s="84"/>
      <c r="F761" s="77"/>
      <c r="G761" s="77"/>
      <c r="H761" s="37"/>
      <c r="I761" s="37"/>
      <c r="J761" s="37"/>
      <c r="K761" s="122"/>
      <c r="L761" s="37"/>
      <c r="M761" s="37"/>
      <c r="N761" s="139"/>
      <c r="O761" s="37"/>
      <c r="P761" s="37"/>
      <c r="Q761" s="37"/>
      <c r="R761" s="37"/>
      <c r="S761" s="37"/>
      <c r="T761" s="37"/>
      <c r="U761" s="37"/>
      <c r="V761" s="37"/>
      <c r="W761" s="37"/>
      <c r="X761" s="37"/>
      <c r="Y761" s="37"/>
      <c r="Z761" s="37"/>
    </row>
    <row r="762" spans="1:26" ht="12.5">
      <c r="A762" s="37"/>
      <c r="B762" s="151"/>
      <c r="C762" s="122"/>
      <c r="D762" s="122"/>
      <c r="E762" s="84"/>
      <c r="F762" s="77"/>
      <c r="G762" s="77"/>
      <c r="H762" s="37"/>
      <c r="I762" s="37"/>
      <c r="J762" s="37"/>
      <c r="K762" s="122"/>
      <c r="L762" s="37"/>
      <c r="M762" s="37"/>
      <c r="N762" s="139"/>
      <c r="O762" s="37"/>
      <c r="P762" s="37"/>
      <c r="Q762" s="37"/>
      <c r="R762" s="37"/>
      <c r="S762" s="37"/>
      <c r="T762" s="37"/>
      <c r="U762" s="37"/>
      <c r="V762" s="37"/>
      <c r="W762" s="37"/>
      <c r="X762" s="37"/>
      <c r="Y762" s="37"/>
      <c r="Z762" s="37"/>
    </row>
    <row r="763" spans="1:26" ht="12.5">
      <c r="A763" s="37"/>
      <c r="B763" s="151"/>
      <c r="C763" s="122"/>
      <c r="D763" s="122"/>
      <c r="E763" s="84"/>
      <c r="F763" s="77"/>
      <c r="G763" s="77"/>
      <c r="H763" s="37"/>
      <c r="I763" s="37"/>
      <c r="J763" s="37"/>
      <c r="K763" s="122"/>
      <c r="L763" s="37"/>
      <c r="M763" s="37"/>
      <c r="N763" s="139"/>
      <c r="O763" s="37"/>
      <c r="P763" s="37"/>
      <c r="Q763" s="37"/>
      <c r="R763" s="37"/>
      <c r="S763" s="37"/>
      <c r="T763" s="37"/>
      <c r="U763" s="37"/>
      <c r="V763" s="37"/>
      <c r="W763" s="37"/>
      <c r="X763" s="37"/>
      <c r="Y763" s="37"/>
      <c r="Z763" s="37"/>
    </row>
    <row r="764" spans="1:26" ht="12.5">
      <c r="A764" s="37"/>
      <c r="B764" s="151"/>
      <c r="C764" s="122"/>
      <c r="D764" s="122"/>
      <c r="E764" s="84"/>
      <c r="F764" s="77"/>
      <c r="G764" s="77"/>
      <c r="H764" s="37"/>
      <c r="I764" s="37"/>
      <c r="J764" s="37"/>
      <c r="K764" s="122"/>
      <c r="L764" s="37"/>
      <c r="M764" s="37"/>
      <c r="N764" s="139"/>
      <c r="O764" s="37"/>
      <c r="P764" s="37"/>
      <c r="Q764" s="37"/>
      <c r="R764" s="37"/>
      <c r="S764" s="37"/>
      <c r="T764" s="37"/>
      <c r="U764" s="37"/>
      <c r="V764" s="37"/>
      <c r="W764" s="37"/>
      <c r="X764" s="37"/>
      <c r="Y764" s="37"/>
      <c r="Z764" s="37"/>
    </row>
    <row r="765" spans="1:26" ht="12.5">
      <c r="A765" s="37"/>
      <c r="B765" s="151"/>
      <c r="C765" s="122"/>
      <c r="D765" s="122"/>
      <c r="E765" s="84"/>
      <c r="F765" s="77"/>
      <c r="G765" s="77"/>
      <c r="H765" s="37"/>
      <c r="I765" s="37"/>
      <c r="J765" s="37"/>
      <c r="K765" s="122"/>
      <c r="L765" s="37"/>
      <c r="M765" s="37"/>
      <c r="N765" s="139"/>
      <c r="O765" s="37"/>
      <c r="P765" s="37"/>
      <c r="Q765" s="37"/>
      <c r="R765" s="37"/>
      <c r="S765" s="37"/>
      <c r="T765" s="37"/>
      <c r="U765" s="37"/>
      <c r="V765" s="37"/>
      <c r="W765" s="37"/>
      <c r="X765" s="37"/>
      <c r="Y765" s="37"/>
      <c r="Z765" s="37"/>
    </row>
    <row r="766" spans="1:26" ht="12.5">
      <c r="A766" s="37"/>
      <c r="B766" s="151"/>
      <c r="C766" s="122"/>
      <c r="D766" s="122"/>
      <c r="E766" s="84"/>
      <c r="F766" s="77"/>
      <c r="G766" s="77"/>
      <c r="H766" s="37"/>
      <c r="I766" s="37"/>
      <c r="J766" s="37"/>
      <c r="K766" s="122"/>
      <c r="L766" s="37"/>
      <c r="M766" s="37"/>
      <c r="N766" s="139"/>
      <c r="O766" s="37"/>
      <c r="P766" s="37"/>
      <c r="Q766" s="37"/>
      <c r="R766" s="37"/>
      <c r="S766" s="37"/>
      <c r="T766" s="37"/>
      <c r="U766" s="37"/>
      <c r="V766" s="37"/>
      <c r="W766" s="37"/>
      <c r="X766" s="37"/>
      <c r="Y766" s="37"/>
      <c r="Z766" s="37"/>
    </row>
    <row r="767" spans="1:26" ht="12.5">
      <c r="A767" s="37"/>
      <c r="B767" s="151"/>
      <c r="C767" s="122"/>
      <c r="D767" s="122"/>
      <c r="E767" s="84"/>
      <c r="F767" s="77"/>
      <c r="G767" s="77"/>
      <c r="H767" s="37"/>
      <c r="I767" s="37"/>
      <c r="J767" s="37"/>
      <c r="K767" s="122"/>
      <c r="L767" s="37"/>
      <c r="M767" s="37"/>
      <c r="N767" s="139"/>
      <c r="O767" s="37"/>
      <c r="P767" s="37"/>
      <c r="Q767" s="37"/>
      <c r="R767" s="37"/>
      <c r="S767" s="37"/>
      <c r="T767" s="37"/>
      <c r="U767" s="37"/>
      <c r="V767" s="37"/>
      <c r="W767" s="37"/>
      <c r="X767" s="37"/>
      <c r="Y767" s="37"/>
      <c r="Z767" s="37"/>
    </row>
    <row r="768" spans="1:26" ht="12.5">
      <c r="A768" s="37"/>
      <c r="B768" s="151"/>
      <c r="C768" s="122"/>
      <c r="D768" s="122"/>
      <c r="E768" s="84"/>
      <c r="F768" s="77"/>
      <c r="G768" s="77"/>
      <c r="H768" s="37"/>
      <c r="I768" s="37"/>
      <c r="J768" s="37"/>
      <c r="K768" s="122"/>
      <c r="L768" s="37"/>
      <c r="M768" s="37"/>
      <c r="N768" s="139"/>
      <c r="O768" s="37"/>
      <c r="P768" s="37"/>
      <c r="Q768" s="37"/>
      <c r="R768" s="37"/>
      <c r="S768" s="37"/>
      <c r="T768" s="37"/>
      <c r="U768" s="37"/>
      <c r="V768" s="37"/>
      <c r="W768" s="37"/>
      <c r="X768" s="37"/>
      <c r="Y768" s="37"/>
      <c r="Z768" s="37"/>
    </row>
    <row r="769" spans="1:26" ht="12.5">
      <c r="A769" s="37"/>
      <c r="B769" s="151"/>
      <c r="C769" s="122"/>
      <c r="D769" s="122"/>
      <c r="E769" s="84"/>
      <c r="F769" s="77"/>
      <c r="G769" s="77"/>
      <c r="H769" s="37"/>
      <c r="I769" s="37"/>
      <c r="J769" s="37"/>
      <c r="K769" s="122"/>
      <c r="L769" s="37"/>
      <c r="M769" s="37"/>
      <c r="N769" s="139"/>
      <c r="O769" s="37"/>
      <c r="P769" s="37"/>
      <c r="Q769" s="37"/>
      <c r="R769" s="37"/>
      <c r="S769" s="37"/>
      <c r="T769" s="37"/>
      <c r="U769" s="37"/>
      <c r="V769" s="37"/>
      <c r="W769" s="37"/>
      <c r="X769" s="37"/>
      <c r="Y769" s="37"/>
      <c r="Z769" s="37"/>
    </row>
    <row r="770" spans="1:26" ht="12.5">
      <c r="A770" s="37"/>
      <c r="B770" s="151"/>
      <c r="C770" s="122"/>
      <c r="D770" s="122"/>
      <c r="E770" s="84"/>
      <c r="F770" s="77"/>
      <c r="G770" s="77"/>
      <c r="H770" s="37"/>
      <c r="I770" s="37"/>
      <c r="J770" s="37"/>
      <c r="K770" s="122"/>
      <c r="L770" s="37"/>
      <c r="M770" s="37"/>
      <c r="N770" s="139"/>
      <c r="O770" s="37"/>
      <c r="P770" s="37"/>
      <c r="Q770" s="37"/>
      <c r="R770" s="37"/>
      <c r="S770" s="37"/>
      <c r="T770" s="37"/>
      <c r="U770" s="37"/>
      <c r="V770" s="37"/>
      <c r="W770" s="37"/>
      <c r="X770" s="37"/>
      <c r="Y770" s="37"/>
      <c r="Z770" s="37"/>
    </row>
    <row r="771" spans="1:26" ht="12.5">
      <c r="A771" s="37"/>
      <c r="B771" s="151"/>
      <c r="C771" s="122"/>
      <c r="D771" s="122"/>
      <c r="E771" s="84"/>
      <c r="F771" s="77"/>
      <c r="G771" s="77"/>
      <c r="H771" s="37"/>
      <c r="I771" s="37"/>
      <c r="J771" s="37"/>
      <c r="K771" s="122"/>
      <c r="L771" s="37"/>
      <c r="M771" s="37"/>
      <c r="N771" s="139"/>
      <c r="O771" s="37"/>
      <c r="P771" s="37"/>
      <c r="Q771" s="37"/>
      <c r="R771" s="37"/>
      <c r="S771" s="37"/>
      <c r="T771" s="37"/>
      <c r="U771" s="37"/>
      <c r="V771" s="37"/>
      <c r="W771" s="37"/>
      <c r="X771" s="37"/>
      <c r="Y771" s="37"/>
      <c r="Z771" s="37"/>
    </row>
    <row r="772" spans="1:26" ht="12.5">
      <c r="A772" s="37"/>
      <c r="B772" s="151"/>
      <c r="C772" s="122"/>
      <c r="D772" s="122"/>
      <c r="E772" s="84"/>
      <c r="F772" s="77"/>
      <c r="G772" s="77"/>
      <c r="H772" s="37"/>
      <c r="I772" s="37"/>
      <c r="J772" s="37"/>
      <c r="K772" s="122"/>
      <c r="L772" s="37"/>
      <c r="M772" s="37"/>
      <c r="N772" s="139"/>
      <c r="O772" s="37"/>
      <c r="P772" s="37"/>
      <c r="Q772" s="37"/>
      <c r="R772" s="37"/>
      <c r="S772" s="37"/>
      <c r="T772" s="37"/>
      <c r="U772" s="37"/>
      <c r="V772" s="37"/>
      <c r="W772" s="37"/>
      <c r="X772" s="37"/>
      <c r="Y772" s="37"/>
      <c r="Z772" s="37"/>
    </row>
    <row r="773" spans="1:26" ht="12.5">
      <c r="A773" s="37"/>
      <c r="B773" s="151"/>
      <c r="C773" s="122"/>
      <c r="D773" s="122"/>
      <c r="E773" s="84"/>
      <c r="F773" s="77"/>
      <c r="G773" s="77"/>
      <c r="H773" s="37"/>
      <c r="I773" s="37"/>
      <c r="J773" s="37"/>
      <c r="K773" s="122"/>
      <c r="L773" s="37"/>
      <c r="M773" s="37"/>
      <c r="N773" s="139"/>
      <c r="O773" s="37"/>
      <c r="P773" s="37"/>
      <c r="Q773" s="37"/>
      <c r="R773" s="37"/>
      <c r="S773" s="37"/>
      <c r="T773" s="37"/>
      <c r="U773" s="37"/>
      <c r="V773" s="37"/>
      <c r="W773" s="37"/>
      <c r="X773" s="37"/>
      <c r="Y773" s="37"/>
      <c r="Z773" s="37"/>
    </row>
    <row r="774" spans="1:26" ht="12.5">
      <c r="A774" s="37"/>
      <c r="B774" s="151"/>
      <c r="C774" s="122"/>
      <c r="D774" s="122"/>
      <c r="E774" s="84"/>
      <c r="F774" s="77"/>
      <c r="G774" s="77"/>
      <c r="H774" s="37"/>
      <c r="I774" s="37"/>
      <c r="J774" s="37"/>
      <c r="K774" s="122"/>
      <c r="L774" s="37"/>
      <c r="M774" s="37"/>
      <c r="N774" s="139"/>
      <c r="O774" s="37"/>
      <c r="P774" s="37"/>
      <c r="Q774" s="37"/>
      <c r="R774" s="37"/>
      <c r="S774" s="37"/>
      <c r="T774" s="37"/>
      <c r="U774" s="37"/>
      <c r="V774" s="37"/>
      <c r="W774" s="37"/>
      <c r="X774" s="37"/>
      <c r="Y774" s="37"/>
      <c r="Z774" s="37"/>
    </row>
    <row r="775" spans="1:26" ht="12.5">
      <c r="A775" s="37"/>
      <c r="B775" s="151"/>
      <c r="C775" s="122"/>
      <c r="D775" s="122"/>
      <c r="E775" s="84"/>
      <c r="F775" s="77"/>
      <c r="G775" s="77"/>
      <c r="H775" s="37"/>
      <c r="I775" s="37"/>
      <c r="J775" s="37"/>
      <c r="K775" s="122"/>
      <c r="L775" s="37"/>
      <c r="M775" s="37"/>
      <c r="N775" s="139"/>
      <c r="O775" s="37"/>
      <c r="P775" s="37"/>
      <c r="Q775" s="37"/>
      <c r="R775" s="37"/>
      <c r="S775" s="37"/>
      <c r="T775" s="37"/>
      <c r="U775" s="37"/>
      <c r="V775" s="37"/>
      <c r="W775" s="37"/>
      <c r="X775" s="37"/>
      <c r="Y775" s="37"/>
      <c r="Z775" s="37"/>
    </row>
    <row r="776" spans="1:26" ht="12.5">
      <c r="A776" s="37"/>
      <c r="B776" s="151"/>
      <c r="C776" s="122"/>
      <c r="D776" s="122"/>
      <c r="E776" s="84"/>
      <c r="F776" s="77"/>
      <c r="G776" s="77"/>
      <c r="H776" s="37"/>
      <c r="I776" s="37"/>
      <c r="J776" s="37"/>
      <c r="K776" s="122"/>
      <c r="L776" s="37"/>
      <c r="M776" s="37"/>
      <c r="N776" s="139"/>
      <c r="O776" s="37"/>
      <c r="P776" s="37"/>
      <c r="Q776" s="37"/>
      <c r="R776" s="37"/>
      <c r="S776" s="37"/>
      <c r="T776" s="37"/>
      <c r="U776" s="37"/>
      <c r="V776" s="37"/>
      <c r="W776" s="37"/>
      <c r="X776" s="37"/>
      <c r="Y776" s="37"/>
      <c r="Z776" s="37"/>
    </row>
    <row r="777" spans="1:26" ht="12.5">
      <c r="A777" s="37"/>
      <c r="B777" s="151"/>
      <c r="C777" s="122"/>
      <c r="D777" s="122"/>
      <c r="E777" s="84"/>
      <c r="F777" s="77"/>
      <c r="G777" s="77"/>
      <c r="H777" s="37"/>
      <c r="I777" s="37"/>
      <c r="J777" s="37"/>
      <c r="K777" s="122"/>
      <c r="L777" s="37"/>
      <c r="M777" s="37"/>
      <c r="N777" s="139"/>
      <c r="O777" s="37"/>
      <c r="P777" s="37"/>
      <c r="Q777" s="37"/>
      <c r="R777" s="37"/>
      <c r="S777" s="37"/>
      <c r="T777" s="37"/>
      <c r="U777" s="37"/>
      <c r="V777" s="37"/>
      <c r="W777" s="37"/>
      <c r="X777" s="37"/>
      <c r="Y777" s="37"/>
      <c r="Z777" s="37"/>
    </row>
    <row r="778" spans="1:26" ht="12.5">
      <c r="A778" s="37"/>
      <c r="B778" s="151"/>
      <c r="C778" s="122"/>
      <c r="D778" s="122"/>
      <c r="E778" s="84"/>
      <c r="F778" s="77"/>
      <c r="G778" s="77"/>
      <c r="H778" s="37"/>
      <c r="I778" s="37"/>
      <c r="J778" s="37"/>
      <c r="K778" s="122"/>
      <c r="L778" s="37"/>
      <c r="M778" s="37"/>
      <c r="N778" s="139"/>
      <c r="O778" s="37"/>
      <c r="P778" s="37"/>
      <c r="Q778" s="37"/>
      <c r="R778" s="37"/>
      <c r="S778" s="37"/>
      <c r="T778" s="37"/>
      <c r="U778" s="37"/>
      <c r="V778" s="37"/>
      <c r="W778" s="37"/>
      <c r="X778" s="37"/>
      <c r="Y778" s="37"/>
      <c r="Z778" s="37"/>
    </row>
    <row r="779" spans="1:26" ht="12.5">
      <c r="A779" s="37"/>
      <c r="B779" s="151"/>
      <c r="C779" s="122"/>
      <c r="D779" s="122"/>
      <c r="E779" s="84"/>
      <c r="F779" s="77"/>
      <c r="G779" s="77"/>
      <c r="H779" s="37"/>
      <c r="I779" s="37"/>
      <c r="J779" s="37"/>
      <c r="K779" s="122"/>
      <c r="L779" s="37"/>
      <c r="M779" s="37"/>
      <c r="N779" s="139"/>
      <c r="O779" s="37"/>
      <c r="P779" s="37"/>
      <c r="Q779" s="37"/>
      <c r="R779" s="37"/>
      <c r="S779" s="37"/>
      <c r="T779" s="37"/>
      <c r="U779" s="37"/>
      <c r="V779" s="37"/>
      <c r="W779" s="37"/>
      <c r="X779" s="37"/>
      <c r="Y779" s="37"/>
      <c r="Z779" s="37"/>
    </row>
    <row r="780" spans="1:26" ht="12.5">
      <c r="A780" s="37"/>
      <c r="B780" s="151"/>
      <c r="C780" s="122"/>
      <c r="D780" s="122"/>
      <c r="E780" s="84"/>
      <c r="F780" s="77"/>
      <c r="G780" s="77"/>
      <c r="H780" s="37"/>
      <c r="I780" s="37"/>
      <c r="J780" s="37"/>
      <c r="K780" s="122"/>
      <c r="L780" s="37"/>
      <c r="M780" s="37"/>
      <c r="N780" s="139"/>
      <c r="O780" s="37"/>
      <c r="P780" s="37"/>
      <c r="Q780" s="37"/>
      <c r="R780" s="37"/>
      <c r="S780" s="37"/>
      <c r="T780" s="37"/>
      <c r="U780" s="37"/>
      <c r="V780" s="37"/>
      <c r="W780" s="37"/>
      <c r="X780" s="37"/>
      <c r="Y780" s="37"/>
      <c r="Z780" s="37"/>
    </row>
    <row r="781" spans="1:26" ht="12.5">
      <c r="A781" s="37"/>
      <c r="B781" s="151"/>
      <c r="C781" s="122"/>
      <c r="D781" s="122"/>
      <c r="E781" s="84"/>
      <c r="F781" s="77"/>
      <c r="G781" s="77"/>
      <c r="H781" s="37"/>
      <c r="I781" s="37"/>
      <c r="J781" s="37"/>
      <c r="K781" s="122"/>
      <c r="L781" s="37"/>
      <c r="M781" s="37"/>
      <c r="N781" s="139"/>
      <c r="O781" s="37"/>
      <c r="P781" s="37"/>
      <c r="Q781" s="37"/>
      <c r="R781" s="37"/>
      <c r="S781" s="37"/>
      <c r="T781" s="37"/>
      <c r="U781" s="37"/>
      <c r="V781" s="37"/>
      <c r="W781" s="37"/>
      <c r="X781" s="37"/>
      <c r="Y781" s="37"/>
      <c r="Z781" s="37"/>
    </row>
    <row r="782" spans="1:26" ht="12.5">
      <c r="A782" s="37"/>
      <c r="B782" s="151"/>
      <c r="C782" s="122"/>
      <c r="D782" s="122"/>
      <c r="E782" s="84"/>
      <c r="F782" s="77"/>
      <c r="G782" s="77"/>
      <c r="H782" s="37"/>
      <c r="I782" s="37"/>
      <c r="J782" s="37"/>
      <c r="K782" s="122"/>
      <c r="L782" s="37"/>
      <c r="M782" s="37"/>
      <c r="N782" s="139"/>
      <c r="O782" s="37"/>
      <c r="P782" s="37"/>
      <c r="Q782" s="37"/>
      <c r="R782" s="37"/>
      <c r="S782" s="37"/>
      <c r="T782" s="37"/>
      <c r="U782" s="37"/>
      <c r="V782" s="37"/>
      <c r="W782" s="37"/>
      <c r="X782" s="37"/>
      <c r="Y782" s="37"/>
      <c r="Z782" s="37"/>
    </row>
    <row r="783" spans="1:26" ht="12.5">
      <c r="A783" s="37"/>
      <c r="B783" s="151"/>
      <c r="C783" s="122"/>
      <c r="D783" s="122"/>
      <c r="E783" s="84"/>
      <c r="F783" s="77"/>
      <c r="G783" s="77"/>
      <c r="H783" s="37"/>
      <c r="I783" s="37"/>
      <c r="J783" s="37"/>
      <c r="K783" s="122"/>
      <c r="L783" s="37"/>
      <c r="M783" s="37"/>
      <c r="N783" s="139"/>
      <c r="O783" s="37"/>
      <c r="P783" s="37"/>
      <c r="Q783" s="37"/>
      <c r="R783" s="37"/>
      <c r="S783" s="37"/>
      <c r="T783" s="37"/>
      <c r="U783" s="37"/>
      <c r="V783" s="37"/>
      <c r="W783" s="37"/>
      <c r="X783" s="37"/>
      <c r="Y783" s="37"/>
      <c r="Z783" s="37"/>
    </row>
    <row r="784" spans="1:26" ht="12.5">
      <c r="A784" s="37"/>
      <c r="B784" s="151"/>
      <c r="C784" s="122"/>
      <c r="D784" s="122"/>
      <c r="E784" s="84"/>
      <c r="F784" s="77"/>
      <c r="G784" s="77"/>
      <c r="H784" s="37"/>
      <c r="I784" s="37"/>
      <c r="J784" s="37"/>
      <c r="K784" s="122"/>
      <c r="L784" s="37"/>
      <c r="M784" s="37"/>
      <c r="N784" s="139"/>
      <c r="O784" s="37"/>
      <c r="P784" s="37"/>
      <c r="Q784" s="37"/>
      <c r="R784" s="37"/>
      <c r="S784" s="37"/>
      <c r="T784" s="37"/>
      <c r="U784" s="37"/>
      <c r="V784" s="37"/>
      <c r="W784" s="37"/>
      <c r="X784" s="37"/>
      <c r="Y784" s="37"/>
      <c r="Z784" s="37"/>
    </row>
    <row r="785" spans="1:26" ht="12.5">
      <c r="A785" s="37"/>
      <c r="B785" s="151"/>
      <c r="C785" s="122"/>
      <c r="D785" s="122"/>
      <c r="E785" s="84"/>
      <c r="F785" s="77"/>
      <c r="G785" s="77"/>
      <c r="H785" s="37"/>
      <c r="I785" s="37"/>
      <c r="J785" s="37"/>
      <c r="K785" s="122"/>
      <c r="L785" s="37"/>
      <c r="M785" s="37"/>
      <c r="N785" s="139"/>
      <c r="O785" s="37"/>
      <c r="P785" s="37"/>
      <c r="Q785" s="37"/>
      <c r="R785" s="37"/>
      <c r="S785" s="37"/>
      <c r="T785" s="37"/>
      <c r="U785" s="37"/>
      <c r="V785" s="37"/>
      <c r="W785" s="37"/>
      <c r="X785" s="37"/>
      <c r="Y785" s="37"/>
      <c r="Z785" s="37"/>
    </row>
    <row r="786" spans="1:26" ht="12.5">
      <c r="A786" s="37"/>
      <c r="B786" s="151"/>
      <c r="C786" s="122"/>
      <c r="D786" s="122"/>
      <c r="E786" s="84"/>
      <c r="F786" s="77"/>
      <c r="G786" s="77"/>
      <c r="H786" s="37"/>
      <c r="I786" s="37"/>
      <c r="J786" s="37"/>
      <c r="K786" s="122"/>
      <c r="L786" s="37"/>
      <c r="M786" s="37"/>
      <c r="N786" s="139"/>
      <c r="O786" s="37"/>
      <c r="P786" s="37"/>
      <c r="Q786" s="37"/>
      <c r="R786" s="37"/>
      <c r="S786" s="37"/>
      <c r="T786" s="37"/>
      <c r="U786" s="37"/>
      <c r="V786" s="37"/>
      <c r="W786" s="37"/>
      <c r="X786" s="37"/>
      <c r="Y786" s="37"/>
      <c r="Z786" s="37"/>
    </row>
    <row r="787" spans="1:26" ht="12.5">
      <c r="A787" s="37"/>
      <c r="B787" s="151"/>
      <c r="C787" s="122"/>
      <c r="D787" s="122"/>
      <c r="E787" s="84"/>
      <c r="F787" s="77"/>
      <c r="G787" s="77"/>
      <c r="H787" s="37"/>
      <c r="I787" s="37"/>
      <c r="J787" s="37"/>
      <c r="K787" s="122"/>
      <c r="L787" s="37"/>
      <c r="M787" s="37"/>
      <c r="N787" s="139"/>
      <c r="O787" s="37"/>
      <c r="P787" s="37"/>
      <c r="Q787" s="37"/>
      <c r="R787" s="37"/>
      <c r="S787" s="37"/>
      <c r="T787" s="37"/>
      <c r="U787" s="37"/>
      <c r="V787" s="37"/>
      <c r="W787" s="37"/>
      <c r="X787" s="37"/>
      <c r="Y787" s="37"/>
      <c r="Z787" s="37"/>
    </row>
    <row r="788" spans="1:26" ht="12.5">
      <c r="A788" s="37"/>
      <c r="B788" s="151"/>
      <c r="C788" s="122"/>
      <c r="D788" s="122"/>
      <c r="E788" s="84"/>
      <c r="F788" s="77"/>
      <c r="G788" s="77"/>
      <c r="H788" s="37"/>
      <c r="I788" s="37"/>
      <c r="J788" s="37"/>
      <c r="K788" s="122"/>
      <c r="L788" s="37"/>
      <c r="M788" s="37"/>
      <c r="N788" s="139"/>
      <c r="O788" s="37"/>
      <c r="P788" s="37"/>
      <c r="Q788" s="37"/>
      <c r="R788" s="37"/>
      <c r="S788" s="37"/>
      <c r="T788" s="37"/>
      <c r="U788" s="37"/>
      <c r="V788" s="37"/>
      <c r="W788" s="37"/>
      <c r="X788" s="37"/>
      <c r="Y788" s="37"/>
      <c r="Z788" s="37"/>
    </row>
    <row r="789" spans="1:26" ht="12.5">
      <c r="A789" s="37"/>
      <c r="B789" s="151"/>
      <c r="C789" s="122"/>
      <c r="D789" s="122"/>
      <c r="E789" s="84"/>
      <c r="F789" s="77"/>
      <c r="G789" s="77"/>
      <c r="H789" s="37"/>
      <c r="I789" s="37"/>
      <c r="J789" s="37"/>
      <c r="K789" s="122"/>
      <c r="L789" s="37"/>
      <c r="M789" s="37"/>
      <c r="N789" s="139"/>
      <c r="O789" s="37"/>
      <c r="P789" s="37"/>
      <c r="Q789" s="37"/>
      <c r="R789" s="37"/>
      <c r="S789" s="37"/>
      <c r="T789" s="37"/>
      <c r="U789" s="37"/>
      <c r="V789" s="37"/>
      <c r="W789" s="37"/>
      <c r="X789" s="37"/>
      <c r="Y789" s="37"/>
      <c r="Z789" s="37"/>
    </row>
    <row r="790" spans="1:26" ht="12.5">
      <c r="A790" s="37"/>
      <c r="B790" s="151"/>
      <c r="C790" s="122"/>
      <c r="D790" s="122"/>
      <c r="E790" s="84"/>
      <c r="F790" s="77"/>
      <c r="G790" s="77"/>
      <c r="H790" s="37"/>
      <c r="I790" s="37"/>
      <c r="J790" s="37"/>
      <c r="K790" s="122"/>
      <c r="L790" s="37"/>
      <c r="M790" s="37"/>
      <c r="N790" s="139"/>
      <c r="O790" s="37"/>
      <c r="P790" s="37"/>
      <c r="Q790" s="37"/>
      <c r="R790" s="37"/>
      <c r="S790" s="37"/>
      <c r="T790" s="37"/>
      <c r="U790" s="37"/>
      <c r="V790" s="37"/>
      <c r="W790" s="37"/>
      <c r="X790" s="37"/>
      <c r="Y790" s="37"/>
      <c r="Z790" s="37"/>
    </row>
    <row r="791" spans="1:26" ht="12.5">
      <c r="A791" s="37"/>
      <c r="B791" s="151"/>
      <c r="C791" s="122"/>
      <c r="D791" s="122"/>
      <c r="E791" s="84"/>
      <c r="F791" s="77"/>
      <c r="G791" s="77"/>
      <c r="H791" s="37"/>
      <c r="I791" s="37"/>
      <c r="J791" s="37"/>
      <c r="K791" s="122"/>
      <c r="L791" s="37"/>
      <c r="M791" s="37"/>
      <c r="N791" s="139"/>
      <c r="O791" s="37"/>
      <c r="P791" s="37"/>
      <c r="Q791" s="37"/>
      <c r="R791" s="37"/>
      <c r="S791" s="37"/>
      <c r="T791" s="37"/>
      <c r="U791" s="37"/>
      <c r="V791" s="37"/>
      <c r="W791" s="37"/>
      <c r="X791" s="37"/>
      <c r="Y791" s="37"/>
      <c r="Z791" s="37"/>
    </row>
    <row r="792" spans="1:26" ht="12.5">
      <c r="A792" s="37"/>
      <c r="B792" s="151"/>
      <c r="C792" s="122"/>
      <c r="D792" s="122"/>
      <c r="E792" s="84"/>
      <c r="F792" s="77"/>
      <c r="G792" s="77"/>
      <c r="H792" s="37"/>
      <c r="I792" s="37"/>
      <c r="J792" s="37"/>
      <c r="K792" s="122"/>
      <c r="L792" s="37"/>
      <c r="M792" s="37"/>
      <c r="N792" s="139"/>
      <c r="O792" s="37"/>
      <c r="P792" s="37"/>
      <c r="Q792" s="37"/>
      <c r="R792" s="37"/>
      <c r="S792" s="37"/>
      <c r="T792" s="37"/>
      <c r="U792" s="37"/>
      <c r="V792" s="37"/>
      <c r="W792" s="37"/>
      <c r="X792" s="37"/>
      <c r="Y792" s="37"/>
      <c r="Z792" s="37"/>
    </row>
    <row r="793" spans="1:26" ht="12.5">
      <c r="A793" s="37"/>
      <c r="B793" s="151"/>
      <c r="C793" s="122"/>
      <c r="D793" s="122"/>
      <c r="E793" s="84"/>
      <c r="F793" s="77"/>
      <c r="G793" s="77"/>
      <c r="H793" s="37"/>
      <c r="I793" s="37"/>
      <c r="J793" s="37"/>
      <c r="K793" s="122"/>
      <c r="L793" s="37"/>
      <c r="M793" s="37"/>
      <c r="N793" s="139"/>
      <c r="O793" s="37"/>
      <c r="P793" s="37"/>
      <c r="Q793" s="37"/>
      <c r="R793" s="37"/>
      <c r="S793" s="37"/>
      <c r="T793" s="37"/>
      <c r="U793" s="37"/>
      <c r="V793" s="37"/>
      <c r="W793" s="37"/>
      <c r="X793" s="37"/>
      <c r="Y793" s="37"/>
      <c r="Z793" s="37"/>
    </row>
    <row r="794" spans="1:26" ht="12.5">
      <c r="A794" s="37"/>
      <c r="B794" s="151"/>
      <c r="C794" s="122"/>
      <c r="D794" s="122"/>
      <c r="E794" s="84"/>
      <c r="F794" s="77"/>
      <c r="G794" s="77"/>
      <c r="H794" s="37"/>
      <c r="I794" s="37"/>
      <c r="J794" s="37"/>
      <c r="K794" s="122"/>
      <c r="L794" s="37"/>
      <c r="M794" s="37"/>
      <c r="N794" s="139"/>
      <c r="O794" s="37"/>
      <c r="P794" s="37"/>
      <c r="Q794" s="37"/>
      <c r="R794" s="37"/>
      <c r="S794" s="37"/>
      <c r="T794" s="37"/>
      <c r="U794" s="37"/>
      <c r="V794" s="37"/>
      <c r="W794" s="37"/>
      <c r="X794" s="37"/>
      <c r="Y794" s="37"/>
      <c r="Z794" s="37"/>
    </row>
    <row r="795" spans="1:26" ht="12.5">
      <c r="A795" s="37"/>
      <c r="B795" s="151"/>
      <c r="C795" s="122"/>
      <c r="D795" s="122"/>
      <c r="E795" s="84"/>
      <c r="F795" s="77"/>
      <c r="G795" s="77"/>
      <c r="H795" s="37"/>
      <c r="I795" s="37"/>
      <c r="J795" s="37"/>
      <c r="K795" s="122"/>
      <c r="L795" s="37"/>
      <c r="M795" s="37"/>
      <c r="N795" s="139"/>
      <c r="O795" s="37"/>
      <c r="P795" s="37"/>
      <c r="Q795" s="37"/>
      <c r="R795" s="37"/>
      <c r="S795" s="37"/>
      <c r="T795" s="37"/>
      <c r="U795" s="37"/>
      <c r="V795" s="37"/>
      <c r="W795" s="37"/>
      <c r="X795" s="37"/>
      <c r="Y795" s="37"/>
      <c r="Z795" s="37"/>
    </row>
    <row r="796" spans="1:26" ht="12.5">
      <c r="A796" s="37"/>
      <c r="B796" s="151"/>
      <c r="C796" s="122"/>
      <c r="D796" s="122"/>
      <c r="E796" s="84"/>
      <c r="F796" s="77"/>
      <c r="G796" s="77"/>
      <c r="H796" s="37"/>
      <c r="I796" s="37"/>
      <c r="J796" s="37"/>
      <c r="K796" s="122"/>
      <c r="L796" s="37"/>
      <c r="M796" s="37"/>
      <c r="N796" s="139"/>
      <c r="O796" s="37"/>
      <c r="P796" s="37"/>
      <c r="Q796" s="37"/>
      <c r="R796" s="37"/>
      <c r="S796" s="37"/>
      <c r="T796" s="37"/>
      <c r="U796" s="37"/>
      <c r="V796" s="37"/>
      <c r="W796" s="37"/>
      <c r="X796" s="37"/>
      <c r="Y796" s="37"/>
      <c r="Z796" s="37"/>
    </row>
    <row r="797" spans="1:26" ht="12.5">
      <c r="A797" s="37"/>
      <c r="B797" s="151"/>
      <c r="C797" s="122"/>
      <c r="D797" s="122"/>
      <c r="E797" s="84"/>
      <c r="F797" s="77"/>
      <c r="G797" s="77"/>
      <c r="H797" s="37"/>
      <c r="I797" s="37"/>
      <c r="J797" s="37"/>
      <c r="K797" s="122"/>
      <c r="L797" s="37"/>
      <c r="M797" s="37"/>
      <c r="N797" s="139"/>
      <c r="O797" s="37"/>
      <c r="P797" s="37"/>
      <c r="Q797" s="37"/>
      <c r="R797" s="37"/>
      <c r="S797" s="37"/>
      <c r="T797" s="37"/>
      <c r="U797" s="37"/>
      <c r="V797" s="37"/>
      <c r="W797" s="37"/>
      <c r="X797" s="37"/>
      <c r="Y797" s="37"/>
      <c r="Z797" s="37"/>
    </row>
    <row r="798" spans="1:26" ht="12.5">
      <c r="A798" s="37"/>
      <c r="B798" s="151"/>
      <c r="C798" s="122"/>
      <c r="D798" s="122"/>
      <c r="E798" s="84"/>
      <c r="F798" s="77"/>
      <c r="G798" s="77"/>
      <c r="H798" s="37"/>
      <c r="I798" s="37"/>
      <c r="J798" s="37"/>
      <c r="K798" s="122"/>
      <c r="L798" s="37"/>
      <c r="M798" s="37"/>
      <c r="N798" s="139"/>
      <c r="O798" s="37"/>
      <c r="P798" s="37"/>
      <c r="Q798" s="37"/>
      <c r="R798" s="37"/>
      <c r="S798" s="37"/>
      <c r="T798" s="37"/>
      <c r="U798" s="37"/>
      <c r="V798" s="37"/>
      <c r="W798" s="37"/>
      <c r="X798" s="37"/>
      <c r="Y798" s="37"/>
      <c r="Z798" s="37"/>
    </row>
    <row r="799" spans="1:26" ht="12.5">
      <c r="A799" s="37"/>
      <c r="B799" s="151"/>
      <c r="C799" s="122"/>
      <c r="D799" s="122"/>
      <c r="E799" s="84"/>
      <c r="F799" s="77"/>
      <c r="G799" s="77"/>
      <c r="H799" s="37"/>
      <c r="I799" s="37"/>
      <c r="J799" s="37"/>
      <c r="K799" s="122"/>
      <c r="L799" s="37"/>
      <c r="M799" s="37"/>
      <c r="N799" s="139"/>
      <c r="O799" s="37"/>
      <c r="P799" s="37"/>
      <c r="Q799" s="37"/>
      <c r="R799" s="37"/>
      <c r="S799" s="37"/>
      <c r="T799" s="37"/>
      <c r="U799" s="37"/>
      <c r="V799" s="37"/>
      <c r="W799" s="37"/>
      <c r="X799" s="37"/>
      <c r="Y799" s="37"/>
      <c r="Z799" s="37"/>
    </row>
    <row r="800" spans="1:26" ht="12.5">
      <c r="A800" s="37"/>
      <c r="B800" s="151"/>
      <c r="C800" s="122"/>
      <c r="D800" s="122"/>
      <c r="E800" s="84"/>
      <c r="F800" s="77"/>
      <c r="G800" s="77"/>
      <c r="H800" s="37"/>
      <c r="I800" s="37"/>
      <c r="J800" s="37"/>
      <c r="K800" s="122"/>
      <c r="L800" s="37"/>
      <c r="M800" s="37"/>
      <c r="N800" s="139"/>
      <c r="O800" s="37"/>
      <c r="P800" s="37"/>
      <c r="Q800" s="37"/>
      <c r="R800" s="37"/>
      <c r="S800" s="37"/>
      <c r="T800" s="37"/>
      <c r="U800" s="37"/>
      <c r="V800" s="37"/>
      <c r="W800" s="37"/>
      <c r="X800" s="37"/>
      <c r="Y800" s="37"/>
      <c r="Z800" s="37"/>
    </row>
    <row r="801" spans="1:26" ht="12.5">
      <c r="A801" s="37"/>
      <c r="B801" s="151"/>
      <c r="C801" s="122"/>
      <c r="D801" s="122"/>
      <c r="E801" s="84"/>
      <c r="F801" s="77"/>
      <c r="G801" s="77"/>
      <c r="H801" s="37"/>
      <c r="I801" s="37"/>
      <c r="J801" s="37"/>
      <c r="K801" s="122"/>
      <c r="L801" s="37"/>
      <c r="M801" s="37"/>
      <c r="N801" s="139"/>
      <c r="O801" s="37"/>
      <c r="P801" s="37"/>
      <c r="Q801" s="37"/>
      <c r="R801" s="37"/>
      <c r="S801" s="37"/>
      <c r="T801" s="37"/>
      <c r="U801" s="37"/>
      <c r="V801" s="37"/>
      <c r="W801" s="37"/>
      <c r="X801" s="37"/>
      <c r="Y801" s="37"/>
      <c r="Z801" s="37"/>
    </row>
    <row r="802" spans="1:26" ht="12.5">
      <c r="A802" s="37"/>
      <c r="B802" s="151"/>
      <c r="C802" s="122"/>
      <c r="D802" s="122"/>
      <c r="E802" s="84"/>
      <c r="F802" s="77"/>
      <c r="G802" s="77"/>
      <c r="H802" s="37"/>
      <c r="I802" s="37"/>
      <c r="J802" s="37"/>
      <c r="K802" s="122"/>
      <c r="L802" s="37"/>
      <c r="M802" s="37"/>
      <c r="N802" s="139"/>
      <c r="O802" s="37"/>
      <c r="P802" s="37"/>
      <c r="Q802" s="37"/>
      <c r="R802" s="37"/>
      <c r="S802" s="37"/>
      <c r="T802" s="37"/>
      <c r="U802" s="37"/>
      <c r="V802" s="37"/>
      <c r="W802" s="37"/>
      <c r="X802" s="37"/>
      <c r="Y802" s="37"/>
      <c r="Z802" s="37"/>
    </row>
    <row r="803" spans="1:26" ht="12.5">
      <c r="A803" s="37"/>
      <c r="B803" s="151"/>
      <c r="C803" s="122"/>
      <c r="D803" s="122"/>
      <c r="E803" s="84"/>
      <c r="F803" s="77"/>
      <c r="G803" s="77"/>
      <c r="H803" s="37"/>
      <c r="I803" s="37"/>
      <c r="J803" s="37"/>
      <c r="K803" s="122"/>
      <c r="L803" s="37"/>
      <c r="M803" s="37"/>
      <c r="N803" s="139"/>
      <c r="O803" s="37"/>
      <c r="P803" s="37"/>
      <c r="Q803" s="37"/>
      <c r="R803" s="37"/>
      <c r="S803" s="37"/>
      <c r="T803" s="37"/>
      <c r="U803" s="37"/>
      <c r="V803" s="37"/>
      <c r="W803" s="37"/>
      <c r="X803" s="37"/>
      <c r="Y803" s="37"/>
      <c r="Z803" s="37"/>
    </row>
    <row r="804" spans="1:26" ht="12.5">
      <c r="A804" s="37"/>
      <c r="B804" s="151"/>
      <c r="C804" s="122"/>
      <c r="D804" s="122"/>
      <c r="E804" s="84"/>
      <c r="F804" s="77"/>
      <c r="G804" s="77"/>
      <c r="H804" s="37"/>
      <c r="I804" s="37"/>
      <c r="J804" s="37"/>
      <c r="K804" s="122"/>
      <c r="L804" s="37"/>
      <c r="M804" s="37"/>
      <c r="N804" s="139"/>
      <c r="O804" s="37"/>
      <c r="P804" s="37"/>
      <c r="Q804" s="37"/>
      <c r="R804" s="37"/>
      <c r="S804" s="37"/>
      <c r="T804" s="37"/>
      <c r="U804" s="37"/>
      <c r="V804" s="37"/>
      <c r="W804" s="37"/>
      <c r="X804" s="37"/>
      <c r="Y804" s="37"/>
      <c r="Z804" s="37"/>
    </row>
    <row r="805" spans="1:26" ht="12.5">
      <c r="A805" s="37"/>
      <c r="B805" s="151"/>
      <c r="C805" s="122"/>
      <c r="D805" s="122"/>
      <c r="E805" s="84"/>
      <c r="F805" s="77"/>
      <c r="G805" s="77"/>
      <c r="H805" s="37"/>
      <c r="I805" s="37"/>
      <c r="J805" s="37"/>
      <c r="K805" s="122"/>
      <c r="L805" s="37"/>
      <c r="M805" s="37"/>
      <c r="N805" s="139"/>
      <c r="O805" s="37"/>
      <c r="P805" s="37"/>
      <c r="Q805" s="37"/>
      <c r="R805" s="37"/>
      <c r="S805" s="37"/>
      <c r="T805" s="37"/>
      <c r="U805" s="37"/>
      <c r="V805" s="37"/>
      <c r="W805" s="37"/>
      <c r="X805" s="37"/>
      <c r="Y805" s="37"/>
      <c r="Z805" s="37"/>
    </row>
    <row r="806" spans="1:26" ht="12.5">
      <c r="A806" s="37"/>
      <c r="B806" s="151"/>
      <c r="C806" s="122"/>
      <c r="D806" s="122"/>
      <c r="E806" s="84"/>
      <c r="F806" s="77"/>
      <c r="G806" s="77"/>
      <c r="H806" s="37"/>
      <c r="I806" s="37"/>
      <c r="J806" s="37"/>
      <c r="K806" s="122"/>
      <c r="L806" s="37"/>
      <c r="M806" s="37"/>
      <c r="N806" s="139"/>
      <c r="O806" s="37"/>
      <c r="P806" s="37"/>
      <c r="Q806" s="37"/>
      <c r="R806" s="37"/>
      <c r="S806" s="37"/>
      <c r="T806" s="37"/>
      <c r="U806" s="37"/>
      <c r="V806" s="37"/>
      <c r="W806" s="37"/>
      <c r="X806" s="37"/>
      <c r="Y806" s="37"/>
      <c r="Z806" s="37"/>
    </row>
    <row r="807" spans="1:26" ht="12.5">
      <c r="A807" s="37"/>
      <c r="B807" s="151"/>
      <c r="C807" s="122"/>
      <c r="D807" s="122"/>
      <c r="E807" s="84"/>
      <c r="F807" s="77"/>
      <c r="G807" s="77"/>
      <c r="H807" s="37"/>
      <c r="I807" s="37"/>
      <c r="J807" s="37"/>
      <c r="K807" s="122"/>
      <c r="L807" s="37"/>
      <c r="M807" s="37"/>
      <c r="N807" s="139"/>
      <c r="O807" s="37"/>
      <c r="P807" s="37"/>
      <c r="Q807" s="37"/>
      <c r="R807" s="37"/>
      <c r="S807" s="37"/>
      <c r="T807" s="37"/>
      <c r="U807" s="37"/>
      <c r="V807" s="37"/>
      <c r="W807" s="37"/>
      <c r="X807" s="37"/>
      <c r="Y807" s="37"/>
      <c r="Z807" s="37"/>
    </row>
    <row r="808" spans="1:26" ht="12.5">
      <c r="A808" s="37"/>
      <c r="B808" s="151"/>
      <c r="C808" s="122"/>
      <c r="D808" s="122"/>
      <c r="E808" s="84"/>
      <c r="F808" s="77"/>
      <c r="G808" s="77"/>
      <c r="H808" s="37"/>
      <c r="I808" s="37"/>
      <c r="J808" s="37"/>
      <c r="K808" s="122"/>
      <c r="L808" s="37"/>
      <c r="M808" s="37"/>
      <c r="N808" s="139"/>
      <c r="O808" s="37"/>
      <c r="P808" s="37"/>
      <c r="Q808" s="37"/>
      <c r="R808" s="37"/>
      <c r="S808" s="37"/>
      <c r="T808" s="37"/>
      <c r="U808" s="37"/>
      <c r="V808" s="37"/>
      <c r="W808" s="37"/>
      <c r="X808" s="37"/>
      <c r="Y808" s="37"/>
      <c r="Z808" s="37"/>
    </row>
    <row r="809" spans="1:26" ht="12.5">
      <c r="A809" s="37"/>
      <c r="B809" s="151"/>
      <c r="C809" s="122"/>
      <c r="D809" s="122"/>
      <c r="E809" s="84"/>
      <c r="F809" s="77"/>
      <c r="G809" s="77"/>
      <c r="H809" s="37"/>
      <c r="I809" s="37"/>
      <c r="J809" s="37"/>
      <c r="K809" s="122"/>
      <c r="L809" s="37"/>
      <c r="M809" s="37"/>
      <c r="N809" s="139"/>
      <c r="O809" s="37"/>
      <c r="P809" s="37"/>
      <c r="Q809" s="37"/>
      <c r="R809" s="37"/>
      <c r="S809" s="37"/>
      <c r="T809" s="37"/>
      <c r="U809" s="37"/>
      <c r="V809" s="37"/>
      <c r="W809" s="37"/>
      <c r="X809" s="37"/>
      <c r="Y809" s="37"/>
      <c r="Z809" s="37"/>
    </row>
    <row r="810" spans="1:26" ht="12.5">
      <c r="A810" s="37"/>
      <c r="B810" s="151"/>
      <c r="C810" s="122"/>
      <c r="D810" s="122"/>
      <c r="E810" s="84"/>
      <c r="F810" s="77"/>
      <c r="G810" s="77"/>
      <c r="H810" s="37"/>
      <c r="I810" s="37"/>
      <c r="J810" s="37"/>
      <c r="K810" s="122"/>
      <c r="L810" s="37"/>
      <c r="M810" s="37"/>
      <c r="N810" s="139"/>
      <c r="O810" s="37"/>
      <c r="P810" s="37"/>
      <c r="Q810" s="37"/>
      <c r="R810" s="37"/>
      <c r="S810" s="37"/>
      <c r="T810" s="37"/>
      <c r="U810" s="37"/>
      <c r="V810" s="37"/>
      <c r="W810" s="37"/>
      <c r="X810" s="37"/>
      <c r="Y810" s="37"/>
      <c r="Z810" s="37"/>
    </row>
    <row r="811" spans="1:26" ht="12.5">
      <c r="A811" s="37"/>
      <c r="B811" s="151"/>
      <c r="C811" s="122"/>
      <c r="D811" s="122"/>
      <c r="E811" s="84"/>
      <c r="F811" s="77"/>
      <c r="G811" s="77"/>
      <c r="H811" s="37"/>
      <c r="I811" s="37"/>
      <c r="J811" s="37"/>
      <c r="K811" s="122"/>
      <c r="L811" s="37"/>
      <c r="M811" s="37"/>
      <c r="N811" s="139"/>
      <c r="O811" s="37"/>
      <c r="P811" s="37"/>
      <c r="Q811" s="37"/>
      <c r="R811" s="37"/>
      <c r="S811" s="37"/>
      <c r="T811" s="37"/>
      <c r="U811" s="37"/>
      <c r="V811" s="37"/>
      <c r="W811" s="37"/>
      <c r="X811" s="37"/>
      <c r="Y811" s="37"/>
      <c r="Z811" s="37"/>
    </row>
    <row r="812" spans="1:26" ht="12.5">
      <c r="A812" s="37"/>
      <c r="B812" s="151"/>
      <c r="C812" s="122"/>
      <c r="D812" s="122"/>
      <c r="E812" s="84"/>
      <c r="F812" s="77"/>
      <c r="G812" s="77"/>
      <c r="H812" s="37"/>
      <c r="I812" s="37"/>
      <c r="J812" s="37"/>
      <c r="K812" s="122"/>
      <c r="L812" s="37"/>
      <c r="M812" s="37"/>
      <c r="N812" s="139"/>
      <c r="O812" s="37"/>
      <c r="P812" s="37"/>
      <c r="Q812" s="37"/>
      <c r="R812" s="37"/>
      <c r="S812" s="37"/>
      <c r="T812" s="37"/>
      <c r="U812" s="37"/>
      <c r="V812" s="37"/>
      <c r="W812" s="37"/>
      <c r="X812" s="37"/>
      <c r="Y812" s="37"/>
      <c r="Z812" s="37"/>
    </row>
    <row r="813" spans="1:26" ht="12.5">
      <c r="A813" s="37"/>
      <c r="B813" s="151"/>
      <c r="C813" s="122"/>
      <c r="D813" s="122"/>
      <c r="E813" s="84"/>
      <c r="F813" s="77"/>
      <c r="G813" s="77"/>
      <c r="H813" s="37"/>
      <c r="I813" s="37"/>
      <c r="J813" s="37"/>
      <c r="K813" s="122"/>
      <c r="L813" s="37"/>
      <c r="M813" s="37"/>
      <c r="N813" s="139"/>
      <c r="O813" s="37"/>
      <c r="P813" s="37"/>
      <c r="Q813" s="37"/>
      <c r="R813" s="37"/>
      <c r="S813" s="37"/>
      <c r="T813" s="37"/>
      <c r="U813" s="37"/>
      <c r="V813" s="37"/>
      <c r="W813" s="37"/>
      <c r="X813" s="37"/>
      <c r="Y813" s="37"/>
      <c r="Z813" s="37"/>
    </row>
    <row r="814" spans="1:26" ht="12.5">
      <c r="A814" s="37"/>
      <c r="B814" s="151"/>
      <c r="C814" s="122"/>
      <c r="D814" s="122"/>
      <c r="E814" s="84"/>
      <c r="F814" s="77"/>
      <c r="G814" s="77"/>
      <c r="H814" s="37"/>
      <c r="I814" s="37"/>
      <c r="J814" s="37"/>
      <c r="K814" s="122"/>
      <c r="L814" s="37"/>
      <c r="M814" s="37"/>
      <c r="N814" s="139"/>
      <c r="O814" s="37"/>
      <c r="P814" s="37"/>
      <c r="Q814" s="37"/>
      <c r="R814" s="37"/>
      <c r="S814" s="37"/>
      <c r="T814" s="37"/>
      <c r="U814" s="37"/>
      <c r="V814" s="37"/>
      <c r="W814" s="37"/>
      <c r="X814" s="37"/>
      <c r="Y814" s="37"/>
      <c r="Z814" s="37"/>
    </row>
    <row r="815" spans="1:26" ht="12.5">
      <c r="A815" s="37"/>
      <c r="B815" s="151"/>
      <c r="C815" s="122"/>
      <c r="D815" s="122"/>
      <c r="E815" s="84"/>
      <c r="F815" s="77"/>
      <c r="G815" s="77"/>
      <c r="H815" s="37"/>
      <c r="I815" s="37"/>
      <c r="J815" s="37"/>
      <c r="K815" s="122"/>
      <c r="L815" s="37"/>
      <c r="M815" s="37"/>
      <c r="N815" s="139"/>
      <c r="O815" s="37"/>
      <c r="P815" s="37"/>
      <c r="Q815" s="37"/>
      <c r="R815" s="37"/>
      <c r="S815" s="37"/>
      <c r="T815" s="37"/>
      <c r="U815" s="37"/>
      <c r="V815" s="37"/>
      <c r="W815" s="37"/>
      <c r="X815" s="37"/>
      <c r="Y815" s="37"/>
      <c r="Z815" s="37"/>
    </row>
    <row r="816" spans="1:26" ht="12.5">
      <c r="A816" s="37"/>
      <c r="B816" s="151"/>
      <c r="C816" s="122"/>
      <c r="D816" s="122"/>
      <c r="E816" s="84"/>
      <c r="F816" s="77"/>
      <c r="G816" s="77"/>
      <c r="H816" s="37"/>
      <c r="I816" s="37"/>
      <c r="J816" s="37"/>
      <c r="K816" s="122"/>
      <c r="L816" s="37"/>
      <c r="M816" s="37"/>
      <c r="N816" s="139"/>
      <c r="O816" s="37"/>
      <c r="P816" s="37"/>
      <c r="Q816" s="37"/>
      <c r="R816" s="37"/>
      <c r="S816" s="37"/>
      <c r="T816" s="37"/>
      <c r="U816" s="37"/>
      <c r="V816" s="37"/>
      <c r="W816" s="37"/>
      <c r="X816" s="37"/>
      <c r="Y816" s="37"/>
      <c r="Z816" s="37"/>
    </row>
    <row r="817" spans="1:26" ht="12.5">
      <c r="A817" s="37"/>
      <c r="B817" s="151"/>
      <c r="C817" s="122"/>
      <c r="D817" s="122"/>
      <c r="E817" s="84"/>
      <c r="F817" s="77"/>
      <c r="G817" s="77"/>
      <c r="H817" s="37"/>
      <c r="I817" s="37"/>
      <c r="J817" s="37"/>
      <c r="K817" s="122"/>
      <c r="L817" s="37"/>
      <c r="M817" s="37"/>
      <c r="N817" s="139"/>
      <c r="O817" s="37"/>
      <c r="P817" s="37"/>
      <c r="Q817" s="37"/>
      <c r="R817" s="37"/>
      <c r="S817" s="37"/>
      <c r="T817" s="37"/>
      <c r="U817" s="37"/>
      <c r="V817" s="37"/>
      <c r="W817" s="37"/>
      <c r="X817" s="37"/>
      <c r="Y817" s="37"/>
      <c r="Z817" s="37"/>
    </row>
    <row r="818" spans="1:26" ht="12.5">
      <c r="A818" s="37"/>
      <c r="B818" s="151"/>
      <c r="C818" s="122"/>
      <c r="D818" s="122"/>
      <c r="E818" s="84"/>
      <c r="F818" s="77"/>
      <c r="G818" s="77"/>
      <c r="H818" s="37"/>
      <c r="I818" s="37"/>
      <c r="J818" s="37"/>
      <c r="K818" s="122"/>
      <c r="L818" s="37"/>
      <c r="M818" s="37"/>
      <c r="N818" s="139"/>
      <c r="O818" s="37"/>
      <c r="P818" s="37"/>
      <c r="Q818" s="37"/>
      <c r="R818" s="37"/>
      <c r="S818" s="37"/>
      <c r="T818" s="37"/>
      <c r="U818" s="37"/>
      <c r="V818" s="37"/>
      <c r="W818" s="37"/>
      <c r="X818" s="37"/>
      <c r="Y818" s="37"/>
      <c r="Z818" s="37"/>
    </row>
    <row r="819" spans="1:26" ht="12.5">
      <c r="A819" s="37"/>
      <c r="B819" s="151"/>
      <c r="C819" s="122"/>
      <c r="D819" s="122"/>
      <c r="E819" s="84"/>
      <c r="F819" s="77"/>
      <c r="G819" s="77"/>
      <c r="H819" s="37"/>
      <c r="I819" s="37"/>
      <c r="J819" s="37"/>
      <c r="K819" s="122"/>
      <c r="L819" s="37"/>
      <c r="M819" s="37"/>
      <c r="N819" s="139"/>
      <c r="O819" s="37"/>
      <c r="P819" s="37"/>
      <c r="Q819" s="37"/>
      <c r="R819" s="37"/>
      <c r="S819" s="37"/>
      <c r="T819" s="37"/>
      <c r="U819" s="37"/>
      <c r="V819" s="37"/>
      <c r="W819" s="37"/>
      <c r="X819" s="37"/>
      <c r="Y819" s="37"/>
      <c r="Z819" s="37"/>
    </row>
    <row r="820" spans="1:26" ht="12.5">
      <c r="A820" s="37"/>
      <c r="B820" s="151"/>
      <c r="C820" s="122"/>
      <c r="D820" s="122"/>
      <c r="E820" s="84"/>
      <c r="F820" s="77"/>
      <c r="G820" s="77"/>
      <c r="H820" s="37"/>
      <c r="I820" s="37"/>
      <c r="J820" s="37"/>
      <c r="K820" s="122"/>
      <c r="L820" s="37"/>
      <c r="M820" s="37"/>
      <c r="N820" s="139"/>
      <c r="O820" s="37"/>
      <c r="P820" s="37"/>
      <c r="Q820" s="37"/>
      <c r="R820" s="37"/>
      <c r="S820" s="37"/>
      <c r="T820" s="37"/>
      <c r="U820" s="37"/>
      <c r="V820" s="37"/>
      <c r="W820" s="37"/>
      <c r="X820" s="37"/>
      <c r="Y820" s="37"/>
      <c r="Z820" s="37"/>
    </row>
    <row r="821" spans="1:26" ht="12.5">
      <c r="A821" s="37"/>
      <c r="B821" s="151"/>
      <c r="C821" s="122"/>
      <c r="D821" s="122"/>
      <c r="E821" s="84"/>
      <c r="F821" s="77"/>
      <c r="G821" s="77"/>
      <c r="H821" s="37"/>
      <c r="I821" s="37"/>
      <c r="J821" s="37"/>
      <c r="K821" s="122"/>
      <c r="L821" s="37"/>
      <c r="M821" s="37"/>
      <c r="N821" s="139"/>
      <c r="O821" s="37"/>
      <c r="P821" s="37"/>
      <c r="Q821" s="37"/>
      <c r="R821" s="37"/>
      <c r="S821" s="37"/>
      <c r="T821" s="37"/>
      <c r="U821" s="37"/>
      <c r="V821" s="37"/>
      <c r="W821" s="37"/>
      <c r="X821" s="37"/>
      <c r="Y821" s="37"/>
      <c r="Z821" s="37"/>
    </row>
    <row r="822" spans="1:26" ht="12.5">
      <c r="A822" s="37"/>
      <c r="B822" s="151"/>
      <c r="C822" s="122"/>
      <c r="D822" s="122"/>
      <c r="E822" s="84"/>
      <c r="F822" s="77"/>
      <c r="G822" s="77"/>
      <c r="H822" s="37"/>
      <c r="I822" s="37"/>
      <c r="J822" s="37"/>
      <c r="K822" s="122"/>
      <c r="L822" s="37"/>
      <c r="M822" s="37"/>
      <c r="N822" s="139"/>
      <c r="O822" s="37"/>
      <c r="P822" s="37"/>
      <c r="Q822" s="37"/>
      <c r="R822" s="37"/>
      <c r="S822" s="37"/>
      <c r="T822" s="37"/>
      <c r="U822" s="37"/>
      <c r="V822" s="37"/>
      <c r="W822" s="37"/>
      <c r="X822" s="37"/>
      <c r="Y822" s="37"/>
      <c r="Z822" s="37"/>
    </row>
    <row r="823" spans="1:26" ht="12.5">
      <c r="A823" s="37"/>
      <c r="B823" s="151"/>
      <c r="C823" s="122"/>
      <c r="D823" s="122"/>
      <c r="E823" s="84"/>
      <c r="F823" s="77"/>
      <c r="G823" s="77"/>
      <c r="H823" s="37"/>
      <c r="I823" s="37"/>
      <c r="J823" s="37"/>
      <c r="K823" s="122"/>
      <c r="L823" s="37"/>
      <c r="M823" s="37"/>
      <c r="N823" s="139"/>
      <c r="O823" s="37"/>
      <c r="P823" s="37"/>
      <c r="Q823" s="37"/>
      <c r="R823" s="37"/>
      <c r="S823" s="37"/>
      <c r="T823" s="37"/>
      <c r="U823" s="37"/>
      <c r="V823" s="37"/>
      <c r="W823" s="37"/>
      <c r="X823" s="37"/>
      <c r="Y823" s="37"/>
      <c r="Z823" s="37"/>
    </row>
    <row r="824" spans="1:26" ht="12.5">
      <c r="A824" s="37"/>
      <c r="B824" s="151"/>
      <c r="C824" s="122"/>
      <c r="D824" s="122"/>
      <c r="E824" s="84"/>
      <c r="F824" s="77"/>
      <c r="G824" s="77"/>
      <c r="H824" s="37"/>
      <c r="I824" s="37"/>
      <c r="J824" s="37"/>
      <c r="K824" s="122"/>
      <c r="L824" s="37"/>
      <c r="M824" s="37"/>
      <c r="N824" s="139"/>
      <c r="O824" s="37"/>
      <c r="P824" s="37"/>
      <c r="Q824" s="37"/>
      <c r="R824" s="37"/>
      <c r="S824" s="37"/>
      <c r="T824" s="37"/>
      <c r="U824" s="37"/>
      <c r="V824" s="37"/>
      <c r="W824" s="37"/>
      <c r="X824" s="37"/>
      <c r="Y824" s="37"/>
      <c r="Z824" s="37"/>
    </row>
    <row r="825" spans="1:26" ht="12.5">
      <c r="A825" s="37"/>
      <c r="B825" s="151"/>
      <c r="C825" s="122"/>
      <c r="D825" s="122"/>
      <c r="E825" s="84"/>
      <c r="F825" s="77"/>
      <c r="G825" s="77"/>
      <c r="H825" s="37"/>
      <c r="I825" s="37"/>
      <c r="J825" s="37"/>
      <c r="K825" s="122"/>
      <c r="L825" s="37"/>
      <c r="M825" s="37"/>
      <c r="N825" s="139"/>
      <c r="O825" s="37"/>
      <c r="P825" s="37"/>
      <c r="Q825" s="37"/>
      <c r="R825" s="37"/>
      <c r="S825" s="37"/>
      <c r="T825" s="37"/>
      <c r="U825" s="37"/>
      <c r="V825" s="37"/>
      <c r="W825" s="37"/>
      <c r="X825" s="37"/>
      <c r="Y825" s="37"/>
      <c r="Z825" s="37"/>
    </row>
    <row r="826" spans="1:26" ht="12.5">
      <c r="A826" s="37"/>
      <c r="B826" s="151"/>
      <c r="C826" s="122"/>
      <c r="D826" s="122"/>
      <c r="E826" s="84"/>
      <c r="F826" s="77"/>
      <c r="G826" s="77"/>
      <c r="H826" s="37"/>
      <c r="I826" s="37"/>
      <c r="J826" s="37"/>
      <c r="K826" s="122"/>
      <c r="L826" s="37"/>
      <c r="M826" s="37"/>
      <c r="N826" s="139"/>
      <c r="O826" s="37"/>
      <c r="P826" s="37"/>
      <c r="Q826" s="37"/>
      <c r="R826" s="37"/>
      <c r="S826" s="37"/>
      <c r="T826" s="37"/>
      <c r="U826" s="37"/>
      <c r="V826" s="37"/>
      <c r="W826" s="37"/>
      <c r="X826" s="37"/>
      <c r="Y826" s="37"/>
      <c r="Z826" s="37"/>
    </row>
    <row r="827" spans="1:26" ht="12.5">
      <c r="A827" s="37"/>
      <c r="B827" s="151"/>
      <c r="C827" s="122"/>
      <c r="D827" s="122"/>
      <c r="E827" s="84"/>
      <c r="F827" s="77"/>
      <c r="G827" s="77"/>
      <c r="H827" s="37"/>
      <c r="I827" s="37"/>
      <c r="J827" s="37"/>
      <c r="K827" s="122"/>
      <c r="L827" s="37"/>
      <c r="M827" s="37"/>
      <c r="N827" s="139"/>
      <c r="O827" s="37"/>
      <c r="P827" s="37"/>
      <c r="Q827" s="37"/>
      <c r="R827" s="37"/>
      <c r="S827" s="37"/>
      <c r="T827" s="37"/>
      <c r="U827" s="37"/>
      <c r="V827" s="37"/>
      <c r="W827" s="37"/>
      <c r="X827" s="37"/>
      <c r="Y827" s="37"/>
      <c r="Z827" s="37"/>
    </row>
    <row r="828" spans="1:26" ht="12.5">
      <c r="A828" s="37"/>
      <c r="B828" s="151"/>
      <c r="C828" s="122"/>
      <c r="D828" s="122"/>
      <c r="E828" s="84"/>
      <c r="F828" s="77"/>
      <c r="G828" s="77"/>
      <c r="H828" s="37"/>
      <c r="I828" s="37"/>
      <c r="J828" s="37"/>
      <c r="K828" s="122"/>
      <c r="L828" s="37"/>
      <c r="M828" s="37"/>
      <c r="N828" s="139"/>
      <c r="O828" s="37"/>
      <c r="P828" s="37"/>
      <c r="Q828" s="37"/>
      <c r="R828" s="37"/>
      <c r="S828" s="37"/>
      <c r="T828" s="37"/>
      <c r="U828" s="37"/>
      <c r="V828" s="37"/>
      <c r="W828" s="37"/>
      <c r="X828" s="37"/>
      <c r="Y828" s="37"/>
      <c r="Z828" s="37"/>
    </row>
    <row r="829" spans="1:26" ht="12.5">
      <c r="A829" s="37"/>
      <c r="B829" s="151"/>
      <c r="C829" s="122"/>
      <c r="D829" s="122"/>
      <c r="E829" s="84"/>
      <c r="F829" s="77"/>
      <c r="G829" s="77"/>
      <c r="H829" s="37"/>
      <c r="I829" s="37"/>
      <c r="J829" s="37"/>
      <c r="K829" s="122"/>
      <c r="L829" s="37"/>
      <c r="M829" s="37"/>
      <c r="N829" s="139"/>
      <c r="O829" s="37"/>
      <c r="P829" s="37"/>
      <c r="Q829" s="37"/>
      <c r="R829" s="37"/>
      <c r="S829" s="37"/>
      <c r="T829" s="37"/>
      <c r="U829" s="37"/>
      <c r="V829" s="37"/>
      <c r="W829" s="37"/>
      <c r="X829" s="37"/>
      <c r="Y829" s="37"/>
      <c r="Z829" s="37"/>
    </row>
    <row r="830" spans="1:26" ht="12.5">
      <c r="A830" s="37"/>
      <c r="B830" s="151"/>
      <c r="C830" s="122"/>
      <c r="D830" s="122"/>
      <c r="E830" s="84"/>
      <c r="F830" s="77"/>
      <c r="G830" s="77"/>
      <c r="H830" s="37"/>
      <c r="I830" s="37"/>
      <c r="J830" s="37"/>
      <c r="K830" s="122"/>
      <c r="L830" s="37"/>
      <c r="M830" s="37"/>
      <c r="N830" s="139"/>
      <c r="O830" s="37"/>
      <c r="P830" s="37"/>
      <c r="Q830" s="37"/>
      <c r="R830" s="37"/>
      <c r="S830" s="37"/>
      <c r="T830" s="37"/>
      <c r="U830" s="37"/>
      <c r="V830" s="37"/>
      <c r="W830" s="37"/>
      <c r="X830" s="37"/>
      <c r="Y830" s="37"/>
      <c r="Z830" s="37"/>
    </row>
    <row r="831" spans="1:26" ht="12.5">
      <c r="A831" s="37"/>
      <c r="B831" s="151"/>
      <c r="C831" s="122"/>
      <c r="D831" s="122"/>
      <c r="E831" s="84"/>
      <c r="F831" s="77"/>
      <c r="G831" s="77"/>
      <c r="H831" s="37"/>
      <c r="I831" s="37"/>
      <c r="J831" s="37"/>
      <c r="K831" s="122"/>
      <c r="L831" s="37"/>
      <c r="M831" s="37"/>
      <c r="N831" s="139"/>
      <c r="O831" s="37"/>
      <c r="P831" s="37"/>
      <c r="Q831" s="37"/>
      <c r="R831" s="37"/>
      <c r="S831" s="37"/>
      <c r="T831" s="37"/>
      <c r="U831" s="37"/>
      <c r="V831" s="37"/>
      <c r="W831" s="37"/>
      <c r="X831" s="37"/>
      <c r="Y831" s="37"/>
      <c r="Z831" s="37"/>
    </row>
    <row r="832" spans="1:26" ht="12.5">
      <c r="A832" s="37"/>
      <c r="B832" s="151"/>
      <c r="C832" s="122"/>
      <c r="D832" s="122"/>
      <c r="E832" s="84"/>
      <c r="F832" s="77"/>
      <c r="G832" s="77"/>
      <c r="H832" s="37"/>
      <c r="I832" s="37"/>
      <c r="J832" s="37"/>
      <c r="K832" s="122"/>
      <c r="L832" s="37"/>
      <c r="M832" s="37"/>
      <c r="N832" s="139"/>
      <c r="O832" s="37"/>
      <c r="P832" s="37"/>
      <c r="Q832" s="37"/>
      <c r="R832" s="37"/>
      <c r="S832" s="37"/>
      <c r="T832" s="37"/>
      <c r="U832" s="37"/>
      <c r="V832" s="37"/>
      <c r="W832" s="37"/>
      <c r="X832" s="37"/>
      <c r="Y832" s="37"/>
      <c r="Z832" s="37"/>
    </row>
    <row r="833" spans="1:26" ht="12.5">
      <c r="A833" s="37"/>
      <c r="B833" s="151"/>
      <c r="C833" s="122"/>
      <c r="D833" s="122"/>
      <c r="E833" s="84"/>
      <c r="F833" s="77"/>
      <c r="G833" s="77"/>
      <c r="H833" s="37"/>
      <c r="I833" s="37"/>
      <c r="J833" s="37"/>
      <c r="K833" s="122"/>
      <c r="L833" s="37"/>
      <c r="M833" s="37"/>
      <c r="N833" s="139"/>
      <c r="O833" s="37"/>
      <c r="P833" s="37"/>
      <c r="Q833" s="37"/>
      <c r="R833" s="37"/>
      <c r="S833" s="37"/>
      <c r="T833" s="37"/>
      <c r="U833" s="37"/>
      <c r="V833" s="37"/>
      <c r="W833" s="37"/>
      <c r="X833" s="37"/>
      <c r="Y833" s="37"/>
      <c r="Z833" s="37"/>
    </row>
    <row r="834" spans="1:26" ht="12.5">
      <c r="A834" s="37"/>
      <c r="B834" s="151"/>
      <c r="C834" s="122"/>
      <c r="D834" s="122"/>
      <c r="E834" s="84"/>
      <c r="F834" s="77"/>
      <c r="G834" s="77"/>
      <c r="H834" s="37"/>
      <c r="I834" s="37"/>
      <c r="J834" s="37"/>
      <c r="K834" s="122"/>
      <c r="L834" s="37"/>
      <c r="M834" s="37"/>
      <c r="N834" s="139"/>
      <c r="O834" s="37"/>
      <c r="P834" s="37"/>
      <c r="Q834" s="37"/>
      <c r="R834" s="37"/>
      <c r="S834" s="37"/>
      <c r="T834" s="37"/>
      <c r="U834" s="37"/>
      <c r="V834" s="37"/>
      <c r="W834" s="37"/>
      <c r="X834" s="37"/>
      <c r="Y834" s="37"/>
      <c r="Z834" s="37"/>
    </row>
    <row r="835" spans="1:26" ht="12.5">
      <c r="A835" s="37"/>
      <c r="B835" s="151"/>
      <c r="C835" s="122"/>
      <c r="D835" s="122"/>
      <c r="E835" s="84"/>
      <c r="F835" s="77"/>
      <c r="G835" s="77"/>
      <c r="H835" s="37"/>
      <c r="I835" s="37"/>
      <c r="J835" s="37"/>
      <c r="K835" s="122"/>
      <c r="L835" s="37"/>
      <c r="M835" s="37"/>
      <c r="N835" s="139"/>
      <c r="O835" s="37"/>
      <c r="P835" s="37"/>
      <c r="Q835" s="37"/>
      <c r="R835" s="37"/>
      <c r="S835" s="37"/>
      <c r="T835" s="37"/>
      <c r="U835" s="37"/>
      <c r="V835" s="37"/>
      <c r="W835" s="37"/>
      <c r="X835" s="37"/>
      <c r="Y835" s="37"/>
      <c r="Z835" s="37"/>
    </row>
    <row r="836" spans="1:26" ht="12.5">
      <c r="A836" s="37"/>
      <c r="B836" s="151"/>
      <c r="C836" s="122"/>
      <c r="D836" s="122"/>
      <c r="E836" s="84"/>
      <c r="F836" s="77"/>
      <c r="G836" s="77"/>
      <c r="H836" s="37"/>
      <c r="I836" s="37"/>
      <c r="J836" s="37"/>
      <c r="K836" s="122"/>
      <c r="L836" s="37"/>
      <c r="M836" s="37"/>
      <c r="N836" s="139"/>
      <c r="O836" s="37"/>
      <c r="P836" s="37"/>
      <c r="Q836" s="37"/>
      <c r="R836" s="37"/>
      <c r="S836" s="37"/>
      <c r="T836" s="37"/>
      <c r="U836" s="37"/>
      <c r="V836" s="37"/>
      <c r="W836" s="37"/>
      <c r="X836" s="37"/>
      <c r="Y836" s="37"/>
      <c r="Z836" s="37"/>
    </row>
    <row r="837" spans="1:26" ht="12.5">
      <c r="A837" s="37"/>
      <c r="B837" s="151"/>
      <c r="C837" s="122"/>
      <c r="D837" s="122"/>
      <c r="E837" s="84"/>
      <c r="F837" s="77"/>
      <c r="G837" s="77"/>
      <c r="H837" s="37"/>
      <c r="I837" s="37"/>
      <c r="J837" s="37"/>
      <c r="K837" s="122"/>
      <c r="L837" s="37"/>
      <c r="M837" s="37"/>
      <c r="N837" s="139"/>
      <c r="O837" s="37"/>
      <c r="P837" s="37"/>
      <c r="Q837" s="37"/>
      <c r="R837" s="37"/>
      <c r="S837" s="37"/>
      <c r="T837" s="37"/>
      <c r="U837" s="37"/>
      <c r="V837" s="37"/>
      <c r="W837" s="37"/>
      <c r="X837" s="37"/>
      <c r="Y837" s="37"/>
      <c r="Z837" s="37"/>
    </row>
    <row r="838" spans="1:26" ht="12.5">
      <c r="A838" s="37"/>
      <c r="B838" s="151"/>
      <c r="C838" s="122"/>
      <c r="D838" s="122"/>
      <c r="E838" s="84"/>
      <c r="F838" s="77"/>
      <c r="G838" s="77"/>
      <c r="H838" s="37"/>
      <c r="I838" s="37"/>
      <c r="J838" s="37"/>
      <c r="K838" s="122"/>
      <c r="L838" s="37"/>
      <c r="M838" s="37"/>
      <c r="N838" s="139"/>
      <c r="O838" s="37"/>
      <c r="P838" s="37"/>
      <c r="Q838" s="37"/>
      <c r="R838" s="37"/>
      <c r="S838" s="37"/>
      <c r="T838" s="37"/>
      <c r="U838" s="37"/>
      <c r="V838" s="37"/>
      <c r="W838" s="37"/>
      <c r="X838" s="37"/>
      <c r="Y838" s="37"/>
      <c r="Z838" s="37"/>
    </row>
    <row r="839" spans="1:26" ht="12.5">
      <c r="A839" s="37"/>
      <c r="B839" s="151"/>
      <c r="C839" s="122"/>
      <c r="D839" s="122"/>
      <c r="E839" s="84"/>
      <c r="F839" s="77"/>
      <c r="G839" s="77"/>
      <c r="H839" s="37"/>
      <c r="I839" s="37"/>
      <c r="J839" s="37"/>
      <c r="K839" s="122"/>
      <c r="L839" s="37"/>
      <c r="M839" s="37"/>
      <c r="N839" s="139"/>
      <c r="O839" s="37"/>
      <c r="P839" s="37"/>
      <c r="Q839" s="37"/>
      <c r="R839" s="37"/>
      <c r="S839" s="37"/>
      <c r="T839" s="37"/>
      <c r="U839" s="37"/>
      <c r="V839" s="37"/>
      <c r="W839" s="37"/>
      <c r="X839" s="37"/>
      <c r="Y839" s="37"/>
      <c r="Z839" s="37"/>
    </row>
    <row r="840" spans="1:26" ht="12.5">
      <c r="A840" s="37"/>
      <c r="B840" s="151"/>
      <c r="C840" s="122"/>
      <c r="D840" s="122"/>
      <c r="E840" s="84"/>
      <c r="F840" s="77"/>
      <c r="G840" s="77"/>
      <c r="H840" s="37"/>
      <c r="I840" s="37"/>
      <c r="J840" s="37"/>
      <c r="K840" s="122"/>
      <c r="L840" s="37"/>
      <c r="M840" s="37"/>
      <c r="N840" s="139"/>
      <c r="O840" s="37"/>
      <c r="P840" s="37"/>
      <c r="Q840" s="37"/>
      <c r="R840" s="37"/>
      <c r="S840" s="37"/>
      <c r="T840" s="37"/>
      <c r="U840" s="37"/>
      <c r="V840" s="37"/>
      <c r="W840" s="37"/>
      <c r="X840" s="37"/>
      <c r="Y840" s="37"/>
      <c r="Z840" s="37"/>
    </row>
    <row r="841" spans="1:26" ht="12.5">
      <c r="A841" s="37"/>
      <c r="B841" s="151"/>
      <c r="C841" s="122"/>
      <c r="D841" s="122"/>
      <c r="E841" s="84"/>
      <c r="F841" s="77"/>
      <c r="G841" s="77"/>
      <c r="H841" s="37"/>
      <c r="I841" s="37"/>
      <c r="J841" s="37"/>
      <c r="K841" s="122"/>
      <c r="L841" s="37"/>
      <c r="M841" s="37"/>
      <c r="N841" s="139"/>
      <c r="O841" s="37"/>
      <c r="P841" s="37"/>
      <c r="Q841" s="37"/>
      <c r="R841" s="37"/>
      <c r="S841" s="37"/>
      <c r="T841" s="37"/>
      <c r="U841" s="37"/>
      <c r="V841" s="37"/>
      <c r="W841" s="37"/>
      <c r="X841" s="37"/>
      <c r="Y841" s="37"/>
      <c r="Z841" s="37"/>
    </row>
    <row r="842" spans="1:26" ht="12.5">
      <c r="A842" s="37"/>
      <c r="B842" s="151"/>
      <c r="C842" s="122"/>
      <c r="D842" s="122"/>
      <c r="E842" s="84"/>
      <c r="F842" s="77"/>
      <c r="G842" s="77"/>
      <c r="H842" s="37"/>
      <c r="I842" s="37"/>
      <c r="J842" s="37"/>
      <c r="K842" s="122"/>
      <c r="L842" s="37"/>
      <c r="M842" s="37"/>
      <c r="N842" s="139"/>
      <c r="O842" s="37"/>
      <c r="P842" s="37"/>
      <c r="Q842" s="37"/>
      <c r="R842" s="37"/>
      <c r="S842" s="37"/>
      <c r="T842" s="37"/>
      <c r="U842" s="37"/>
      <c r="V842" s="37"/>
      <c r="W842" s="37"/>
      <c r="X842" s="37"/>
      <c r="Y842" s="37"/>
      <c r="Z842" s="37"/>
    </row>
    <row r="843" spans="1:26" ht="12.5">
      <c r="A843" s="37"/>
      <c r="B843" s="151"/>
      <c r="C843" s="122"/>
      <c r="D843" s="122"/>
      <c r="E843" s="84"/>
      <c r="F843" s="77"/>
      <c r="G843" s="77"/>
      <c r="H843" s="37"/>
      <c r="I843" s="37"/>
      <c r="J843" s="37"/>
      <c r="K843" s="122"/>
      <c r="L843" s="37"/>
      <c r="M843" s="37"/>
      <c r="N843" s="139"/>
      <c r="O843" s="37"/>
      <c r="P843" s="37"/>
      <c r="Q843" s="37"/>
      <c r="R843" s="37"/>
      <c r="S843" s="37"/>
      <c r="T843" s="37"/>
      <c r="U843" s="37"/>
      <c r="V843" s="37"/>
      <c r="W843" s="37"/>
      <c r="X843" s="37"/>
      <c r="Y843" s="37"/>
      <c r="Z843" s="37"/>
    </row>
    <row r="844" spans="1:26" ht="12.5">
      <c r="A844" s="37"/>
      <c r="B844" s="151"/>
      <c r="C844" s="122"/>
      <c r="D844" s="122"/>
      <c r="E844" s="84"/>
      <c r="F844" s="77"/>
      <c r="G844" s="77"/>
      <c r="H844" s="37"/>
      <c r="I844" s="37"/>
      <c r="J844" s="37"/>
      <c r="K844" s="122"/>
      <c r="L844" s="37"/>
      <c r="M844" s="37"/>
      <c r="N844" s="139"/>
      <c r="O844" s="37"/>
      <c r="P844" s="37"/>
      <c r="Q844" s="37"/>
      <c r="R844" s="37"/>
      <c r="S844" s="37"/>
      <c r="T844" s="37"/>
      <c r="U844" s="37"/>
      <c r="V844" s="37"/>
      <c r="W844" s="37"/>
      <c r="X844" s="37"/>
      <c r="Y844" s="37"/>
      <c r="Z844" s="37"/>
    </row>
    <row r="845" spans="1:26" ht="12.5">
      <c r="A845" s="37"/>
      <c r="B845" s="151"/>
      <c r="C845" s="122"/>
      <c r="D845" s="122"/>
      <c r="E845" s="84"/>
      <c r="F845" s="77"/>
      <c r="G845" s="77"/>
      <c r="H845" s="37"/>
      <c r="I845" s="37"/>
      <c r="J845" s="37"/>
      <c r="K845" s="122"/>
      <c r="L845" s="37"/>
      <c r="M845" s="37"/>
      <c r="N845" s="139"/>
      <c r="O845" s="37"/>
      <c r="P845" s="37"/>
      <c r="Q845" s="37"/>
      <c r="R845" s="37"/>
      <c r="S845" s="37"/>
      <c r="T845" s="37"/>
      <c r="U845" s="37"/>
      <c r="V845" s="37"/>
      <c r="W845" s="37"/>
      <c r="X845" s="37"/>
      <c r="Y845" s="37"/>
      <c r="Z845" s="37"/>
    </row>
    <row r="846" spans="1:26" ht="12.5">
      <c r="A846" s="37"/>
      <c r="B846" s="151"/>
      <c r="C846" s="122"/>
      <c r="D846" s="122"/>
      <c r="E846" s="84"/>
      <c r="F846" s="77"/>
      <c r="G846" s="77"/>
      <c r="H846" s="37"/>
      <c r="I846" s="37"/>
      <c r="J846" s="37"/>
      <c r="K846" s="122"/>
      <c r="L846" s="37"/>
      <c r="M846" s="37"/>
      <c r="N846" s="139"/>
      <c r="O846" s="37"/>
      <c r="P846" s="37"/>
      <c r="Q846" s="37"/>
      <c r="R846" s="37"/>
      <c r="S846" s="37"/>
      <c r="T846" s="37"/>
      <c r="U846" s="37"/>
      <c r="V846" s="37"/>
      <c r="W846" s="37"/>
      <c r="X846" s="37"/>
      <c r="Y846" s="37"/>
      <c r="Z846" s="37"/>
    </row>
    <row r="847" spans="1:26" ht="12.5">
      <c r="A847" s="37"/>
      <c r="B847" s="151"/>
      <c r="C847" s="122"/>
      <c r="D847" s="122"/>
      <c r="E847" s="84"/>
      <c r="F847" s="77"/>
      <c r="G847" s="77"/>
      <c r="H847" s="37"/>
      <c r="I847" s="37"/>
      <c r="J847" s="37"/>
      <c r="K847" s="122"/>
      <c r="L847" s="37"/>
      <c r="M847" s="37"/>
      <c r="N847" s="139"/>
      <c r="O847" s="37"/>
      <c r="P847" s="37"/>
      <c r="Q847" s="37"/>
      <c r="R847" s="37"/>
      <c r="S847" s="37"/>
      <c r="T847" s="37"/>
      <c r="U847" s="37"/>
      <c r="V847" s="37"/>
      <c r="W847" s="37"/>
      <c r="X847" s="37"/>
      <c r="Y847" s="37"/>
      <c r="Z847" s="37"/>
    </row>
    <row r="848" spans="1:26" ht="12.5">
      <c r="A848" s="37"/>
      <c r="B848" s="151"/>
      <c r="C848" s="122"/>
      <c r="D848" s="122"/>
      <c r="E848" s="84"/>
      <c r="F848" s="77"/>
      <c r="G848" s="77"/>
      <c r="H848" s="37"/>
      <c r="I848" s="37"/>
      <c r="J848" s="37"/>
      <c r="K848" s="122"/>
      <c r="L848" s="37"/>
      <c r="M848" s="37"/>
      <c r="N848" s="139"/>
      <c r="O848" s="37"/>
      <c r="P848" s="37"/>
      <c r="Q848" s="37"/>
      <c r="R848" s="37"/>
      <c r="S848" s="37"/>
      <c r="T848" s="37"/>
      <c r="U848" s="37"/>
      <c r="V848" s="37"/>
      <c r="W848" s="37"/>
      <c r="X848" s="37"/>
      <c r="Y848" s="37"/>
      <c r="Z848" s="37"/>
    </row>
    <row r="849" spans="1:26" ht="12.5">
      <c r="A849" s="37"/>
      <c r="B849" s="151"/>
      <c r="C849" s="122"/>
      <c r="D849" s="122"/>
      <c r="E849" s="84"/>
      <c r="F849" s="77"/>
      <c r="G849" s="77"/>
      <c r="H849" s="37"/>
      <c r="I849" s="37"/>
      <c r="J849" s="37"/>
      <c r="K849" s="122"/>
      <c r="L849" s="37"/>
      <c r="M849" s="37"/>
      <c r="N849" s="139"/>
      <c r="O849" s="37"/>
      <c r="P849" s="37"/>
      <c r="Q849" s="37"/>
      <c r="R849" s="37"/>
      <c r="S849" s="37"/>
      <c r="T849" s="37"/>
      <c r="U849" s="37"/>
      <c r="V849" s="37"/>
      <c r="W849" s="37"/>
      <c r="X849" s="37"/>
      <c r="Y849" s="37"/>
      <c r="Z849" s="37"/>
    </row>
    <row r="850" spans="1:26" ht="12.5">
      <c r="A850" s="37"/>
      <c r="B850" s="151"/>
      <c r="C850" s="122"/>
      <c r="D850" s="122"/>
      <c r="E850" s="84"/>
      <c r="F850" s="77"/>
      <c r="G850" s="77"/>
      <c r="H850" s="37"/>
      <c r="I850" s="37"/>
      <c r="J850" s="37"/>
      <c r="K850" s="122"/>
      <c r="L850" s="37"/>
      <c r="M850" s="37"/>
      <c r="N850" s="139"/>
      <c r="O850" s="37"/>
      <c r="P850" s="37"/>
      <c r="Q850" s="37"/>
      <c r="R850" s="37"/>
      <c r="S850" s="37"/>
      <c r="T850" s="37"/>
      <c r="U850" s="37"/>
      <c r="V850" s="37"/>
      <c r="W850" s="37"/>
      <c r="X850" s="37"/>
      <c r="Y850" s="37"/>
      <c r="Z850" s="37"/>
    </row>
    <row r="851" spans="1:26" ht="12.5">
      <c r="A851" s="37"/>
      <c r="B851" s="151"/>
      <c r="C851" s="122"/>
      <c r="D851" s="122"/>
      <c r="E851" s="84"/>
      <c r="F851" s="77"/>
      <c r="G851" s="77"/>
      <c r="H851" s="37"/>
      <c r="I851" s="37"/>
      <c r="J851" s="37"/>
      <c r="K851" s="122"/>
      <c r="L851" s="37"/>
      <c r="M851" s="37"/>
      <c r="N851" s="139"/>
      <c r="O851" s="37"/>
      <c r="P851" s="37"/>
      <c r="Q851" s="37"/>
      <c r="R851" s="37"/>
      <c r="S851" s="37"/>
      <c r="T851" s="37"/>
      <c r="U851" s="37"/>
      <c r="V851" s="37"/>
      <c r="W851" s="37"/>
      <c r="X851" s="37"/>
      <c r="Y851" s="37"/>
      <c r="Z851" s="37"/>
    </row>
    <row r="852" spans="1:26" ht="12.5">
      <c r="A852" s="37"/>
      <c r="B852" s="151"/>
      <c r="C852" s="122"/>
      <c r="D852" s="122"/>
      <c r="E852" s="84"/>
      <c r="F852" s="77"/>
      <c r="G852" s="77"/>
      <c r="H852" s="37"/>
      <c r="I852" s="37"/>
      <c r="J852" s="37"/>
      <c r="K852" s="122"/>
      <c r="L852" s="37"/>
      <c r="M852" s="37"/>
      <c r="N852" s="139"/>
      <c r="O852" s="37"/>
      <c r="P852" s="37"/>
      <c r="Q852" s="37"/>
      <c r="R852" s="37"/>
      <c r="S852" s="37"/>
      <c r="T852" s="37"/>
      <c r="U852" s="37"/>
      <c r="V852" s="37"/>
      <c r="W852" s="37"/>
      <c r="X852" s="37"/>
      <c r="Y852" s="37"/>
      <c r="Z852" s="37"/>
    </row>
    <row r="853" spans="1:26" ht="12.5">
      <c r="A853" s="37"/>
      <c r="B853" s="151"/>
      <c r="C853" s="122"/>
      <c r="D853" s="122"/>
      <c r="E853" s="84"/>
      <c r="F853" s="77"/>
      <c r="G853" s="77"/>
      <c r="H853" s="37"/>
      <c r="I853" s="37"/>
      <c r="J853" s="37"/>
      <c r="K853" s="122"/>
      <c r="L853" s="37"/>
      <c r="M853" s="37"/>
      <c r="N853" s="139"/>
      <c r="O853" s="37"/>
      <c r="P853" s="37"/>
      <c r="Q853" s="37"/>
      <c r="R853" s="37"/>
      <c r="S853" s="37"/>
      <c r="T853" s="37"/>
      <c r="U853" s="37"/>
      <c r="V853" s="37"/>
      <c r="W853" s="37"/>
      <c r="X853" s="37"/>
      <c r="Y853" s="37"/>
      <c r="Z853" s="37"/>
    </row>
    <row r="854" spans="1:26" ht="12.5">
      <c r="A854" s="37"/>
      <c r="B854" s="151"/>
      <c r="C854" s="122"/>
      <c r="D854" s="122"/>
      <c r="E854" s="84"/>
      <c r="F854" s="77"/>
      <c r="G854" s="77"/>
      <c r="H854" s="37"/>
      <c r="I854" s="37"/>
      <c r="J854" s="37"/>
      <c r="K854" s="122"/>
      <c r="L854" s="37"/>
      <c r="M854" s="37"/>
      <c r="N854" s="139"/>
      <c r="O854" s="37"/>
      <c r="P854" s="37"/>
      <c r="Q854" s="37"/>
      <c r="R854" s="37"/>
      <c r="S854" s="37"/>
      <c r="T854" s="37"/>
      <c r="U854" s="37"/>
      <c r="V854" s="37"/>
      <c r="W854" s="37"/>
      <c r="X854" s="37"/>
      <c r="Y854" s="37"/>
      <c r="Z854" s="37"/>
    </row>
    <row r="855" spans="1:26" ht="12.5">
      <c r="A855" s="37"/>
      <c r="B855" s="151"/>
      <c r="C855" s="122"/>
      <c r="D855" s="122"/>
      <c r="E855" s="84"/>
      <c r="F855" s="77"/>
      <c r="G855" s="77"/>
      <c r="H855" s="37"/>
      <c r="I855" s="37"/>
      <c r="J855" s="37"/>
      <c r="K855" s="122"/>
      <c r="L855" s="37"/>
      <c r="M855" s="37"/>
      <c r="N855" s="139"/>
      <c r="O855" s="37"/>
      <c r="P855" s="37"/>
      <c r="Q855" s="37"/>
      <c r="R855" s="37"/>
      <c r="S855" s="37"/>
      <c r="T855" s="37"/>
      <c r="U855" s="37"/>
      <c r="V855" s="37"/>
      <c r="W855" s="37"/>
      <c r="X855" s="37"/>
      <c r="Y855" s="37"/>
      <c r="Z855" s="37"/>
    </row>
    <row r="856" spans="1:26" ht="12.5">
      <c r="A856" s="37"/>
      <c r="B856" s="151"/>
      <c r="C856" s="122"/>
      <c r="D856" s="122"/>
      <c r="E856" s="84"/>
      <c r="F856" s="77"/>
      <c r="G856" s="77"/>
      <c r="H856" s="37"/>
      <c r="I856" s="37"/>
      <c r="J856" s="37"/>
      <c r="K856" s="122"/>
      <c r="L856" s="37"/>
      <c r="M856" s="37"/>
      <c r="N856" s="139"/>
      <c r="O856" s="37"/>
      <c r="P856" s="37"/>
      <c r="Q856" s="37"/>
      <c r="R856" s="37"/>
      <c r="S856" s="37"/>
      <c r="T856" s="37"/>
      <c r="U856" s="37"/>
      <c r="V856" s="37"/>
      <c r="W856" s="37"/>
      <c r="X856" s="37"/>
      <c r="Y856" s="37"/>
      <c r="Z856" s="37"/>
    </row>
    <row r="857" spans="1:26" ht="12.5">
      <c r="A857" s="37"/>
      <c r="B857" s="151"/>
      <c r="C857" s="122"/>
      <c r="D857" s="122"/>
      <c r="E857" s="84"/>
      <c r="F857" s="77"/>
      <c r="G857" s="77"/>
      <c r="H857" s="37"/>
      <c r="I857" s="37"/>
      <c r="J857" s="37"/>
      <c r="K857" s="122"/>
      <c r="L857" s="37"/>
      <c r="M857" s="37"/>
      <c r="N857" s="139"/>
      <c r="O857" s="37"/>
      <c r="P857" s="37"/>
      <c r="Q857" s="37"/>
      <c r="R857" s="37"/>
      <c r="S857" s="37"/>
      <c r="T857" s="37"/>
      <c r="U857" s="37"/>
      <c r="V857" s="37"/>
      <c r="W857" s="37"/>
      <c r="X857" s="37"/>
      <c r="Y857" s="37"/>
      <c r="Z857" s="37"/>
    </row>
    <row r="858" spans="1:26" ht="12.5">
      <c r="A858" s="37"/>
      <c r="B858" s="151"/>
      <c r="C858" s="122"/>
      <c r="D858" s="122"/>
      <c r="E858" s="84"/>
      <c r="F858" s="77"/>
      <c r="G858" s="77"/>
      <c r="H858" s="37"/>
      <c r="I858" s="37"/>
      <c r="J858" s="37"/>
      <c r="K858" s="122"/>
      <c r="L858" s="37"/>
      <c r="M858" s="37"/>
      <c r="N858" s="139"/>
      <c r="O858" s="37"/>
      <c r="P858" s="37"/>
      <c r="Q858" s="37"/>
      <c r="R858" s="37"/>
      <c r="S858" s="37"/>
      <c r="T858" s="37"/>
      <c r="U858" s="37"/>
      <c r="V858" s="37"/>
      <c r="W858" s="37"/>
      <c r="X858" s="37"/>
      <c r="Y858" s="37"/>
      <c r="Z858" s="37"/>
    </row>
    <row r="859" spans="1:26" ht="12.5">
      <c r="A859" s="37"/>
      <c r="B859" s="151"/>
      <c r="C859" s="122"/>
      <c r="D859" s="122"/>
      <c r="E859" s="84"/>
      <c r="F859" s="77"/>
      <c r="G859" s="77"/>
      <c r="H859" s="37"/>
      <c r="I859" s="37"/>
      <c r="J859" s="37"/>
      <c r="K859" s="122"/>
      <c r="L859" s="37"/>
      <c r="M859" s="37"/>
      <c r="N859" s="139"/>
      <c r="O859" s="37"/>
      <c r="P859" s="37"/>
      <c r="Q859" s="37"/>
      <c r="R859" s="37"/>
      <c r="S859" s="37"/>
      <c r="T859" s="37"/>
      <c r="U859" s="37"/>
      <c r="V859" s="37"/>
      <c r="W859" s="37"/>
      <c r="X859" s="37"/>
      <c r="Y859" s="37"/>
      <c r="Z859" s="37"/>
    </row>
    <row r="860" spans="1:26" ht="12.5">
      <c r="A860" s="37"/>
      <c r="B860" s="151"/>
      <c r="C860" s="122"/>
      <c r="D860" s="122"/>
      <c r="E860" s="84"/>
      <c r="F860" s="77"/>
      <c r="G860" s="77"/>
      <c r="H860" s="37"/>
      <c r="I860" s="37"/>
      <c r="J860" s="37"/>
      <c r="K860" s="122"/>
      <c r="L860" s="37"/>
      <c r="M860" s="37"/>
      <c r="N860" s="139"/>
      <c r="O860" s="37"/>
      <c r="P860" s="37"/>
      <c r="Q860" s="37"/>
      <c r="R860" s="37"/>
      <c r="S860" s="37"/>
      <c r="T860" s="37"/>
      <c r="U860" s="37"/>
      <c r="V860" s="37"/>
      <c r="W860" s="37"/>
      <c r="X860" s="37"/>
      <c r="Y860" s="37"/>
      <c r="Z860" s="37"/>
    </row>
    <row r="861" spans="1:26" ht="12.5">
      <c r="A861" s="37"/>
      <c r="B861" s="151"/>
      <c r="C861" s="122"/>
      <c r="D861" s="122"/>
      <c r="E861" s="84"/>
      <c r="F861" s="77"/>
      <c r="G861" s="77"/>
      <c r="H861" s="37"/>
      <c r="I861" s="37"/>
      <c r="J861" s="37"/>
      <c r="K861" s="122"/>
      <c r="L861" s="37"/>
      <c r="M861" s="37"/>
      <c r="N861" s="139"/>
      <c r="O861" s="37"/>
      <c r="P861" s="37"/>
      <c r="Q861" s="37"/>
      <c r="R861" s="37"/>
      <c r="S861" s="37"/>
      <c r="T861" s="37"/>
      <c r="U861" s="37"/>
      <c r="V861" s="37"/>
      <c r="W861" s="37"/>
      <c r="X861" s="37"/>
      <c r="Y861" s="37"/>
      <c r="Z861" s="37"/>
    </row>
    <row r="862" spans="1:26" ht="12.5">
      <c r="A862" s="37"/>
      <c r="B862" s="151"/>
      <c r="C862" s="122"/>
      <c r="D862" s="122"/>
      <c r="E862" s="84"/>
      <c r="F862" s="77"/>
      <c r="G862" s="77"/>
      <c r="H862" s="37"/>
      <c r="I862" s="37"/>
      <c r="J862" s="37"/>
      <c r="K862" s="122"/>
      <c r="L862" s="37"/>
      <c r="M862" s="37"/>
      <c r="N862" s="139"/>
      <c r="O862" s="37"/>
      <c r="P862" s="37"/>
      <c r="Q862" s="37"/>
      <c r="R862" s="37"/>
      <c r="S862" s="37"/>
      <c r="T862" s="37"/>
      <c r="U862" s="37"/>
      <c r="V862" s="37"/>
      <c r="W862" s="37"/>
      <c r="X862" s="37"/>
      <c r="Y862" s="37"/>
      <c r="Z862" s="37"/>
    </row>
    <row r="863" spans="1:26" ht="12.5">
      <c r="A863" s="37"/>
      <c r="B863" s="151"/>
      <c r="C863" s="122"/>
      <c r="D863" s="122"/>
      <c r="E863" s="84"/>
      <c r="F863" s="77"/>
      <c r="G863" s="77"/>
      <c r="H863" s="37"/>
      <c r="I863" s="37"/>
      <c r="J863" s="37"/>
      <c r="K863" s="122"/>
      <c r="L863" s="37"/>
      <c r="M863" s="37"/>
      <c r="N863" s="139"/>
      <c r="O863" s="37"/>
      <c r="P863" s="37"/>
      <c r="Q863" s="37"/>
      <c r="R863" s="37"/>
      <c r="S863" s="37"/>
      <c r="T863" s="37"/>
      <c r="U863" s="37"/>
      <c r="V863" s="37"/>
      <c r="W863" s="37"/>
      <c r="X863" s="37"/>
      <c r="Y863" s="37"/>
      <c r="Z863" s="37"/>
    </row>
    <row r="864" spans="1:26" ht="12.5">
      <c r="A864" s="37"/>
      <c r="B864" s="151"/>
      <c r="C864" s="122"/>
      <c r="D864" s="122"/>
      <c r="E864" s="84"/>
      <c r="F864" s="77"/>
      <c r="G864" s="77"/>
      <c r="H864" s="37"/>
      <c r="I864" s="37"/>
      <c r="J864" s="37"/>
      <c r="K864" s="122"/>
      <c r="L864" s="37"/>
      <c r="M864" s="37"/>
      <c r="N864" s="139"/>
      <c r="O864" s="37"/>
      <c r="P864" s="37"/>
      <c r="Q864" s="37"/>
      <c r="R864" s="37"/>
      <c r="S864" s="37"/>
      <c r="T864" s="37"/>
      <c r="U864" s="37"/>
      <c r="V864" s="37"/>
      <c r="W864" s="37"/>
      <c r="X864" s="37"/>
      <c r="Y864" s="37"/>
      <c r="Z864" s="37"/>
    </row>
    <row r="865" spans="1:26" ht="12.5">
      <c r="A865" s="37"/>
      <c r="B865" s="151"/>
      <c r="C865" s="122"/>
      <c r="D865" s="122"/>
      <c r="E865" s="84"/>
      <c r="F865" s="77"/>
      <c r="G865" s="77"/>
      <c r="H865" s="37"/>
      <c r="I865" s="37"/>
      <c r="J865" s="37"/>
      <c r="K865" s="122"/>
      <c r="L865" s="37"/>
      <c r="M865" s="37"/>
      <c r="N865" s="139"/>
      <c r="O865" s="37"/>
      <c r="P865" s="37"/>
      <c r="Q865" s="37"/>
      <c r="R865" s="37"/>
      <c r="S865" s="37"/>
      <c r="T865" s="37"/>
      <c r="U865" s="37"/>
      <c r="V865" s="37"/>
      <c r="W865" s="37"/>
      <c r="X865" s="37"/>
      <c r="Y865" s="37"/>
      <c r="Z865" s="37"/>
    </row>
    <row r="866" spans="1:26" ht="12.5">
      <c r="A866" s="37"/>
      <c r="B866" s="151"/>
      <c r="C866" s="122"/>
      <c r="D866" s="122"/>
      <c r="E866" s="84"/>
      <c r="F866" s="77"/>
      <c r="G866" s="77"/>
      <c r="H866" s="37"/>
      <c r="I866" s="37"/>
      <c r="J866" s="37"/>
      <c r="K866" s="122"/>
      <c r="L866" s="37"/>
      <c r="M866" s="37"/>
      <c r="N866" s="139"/>
      <c r="O866" s="37"/>
      <c r="P866" s="37"/>
      <c r="Q866" s="37"/>
      <c r="R866" s="37"/>
      <c r="S866" s="37"/>
      <c r="T866" s="37"/>
      <c r="U866" s="37"/>
      <c r="V866" s="37"/>
      <c r="W866" s="37"/>
      <c r="X866" s="37"/>
      <c r="Y866" s="37"/>
      <c r="Z866" s="37"/>
    </row>
    <row r="867" spans="1:26" ht="12.5">
      <c r="A867" s="37"/>
      <c r="B867" s="151"/>
      <c r="C867" s="122"/>
      <c r="D867" s="122"/>
      <c r="E867" s="84"/>
      <c r="F867" s="77"/>
      <c r="G867" s="77"/>
      <c r="H867" s="37"/>
      <c r="I867" s="37"/>
      <c r="J867" s="37"/>
      <c r="K867" s="122"/>
      <c r="L867" s="37"/>
      <c r="M867" s="37"/>
      <c r="N867" s="139"/>
      <c r="O867" s="37"/>
      <c r="P867" s="37"/>
      <c r="Q867" s="37"/>
      <c r="R867" s="37"/>
      <c r="S867" s="37"/>
      <c r="T867" s="37"/>
      <c r="U867" s="37"/>
      <c r="V867" s="37"/>
      <c r="W867" s="37"/>
      <c r="X867" s="37"/>
      <c r="Y867" s="37"/>
      <c r="Z867" s="37"/>
    </row>
    <row r="868" spans="1:26" ht="12.5">
      <c r="A868" s="37"/>
      <c r="B868" s="151"/>
      <c r="C868" s="122"/>
      <c r="D868" s="122"/>
      <c r="E868" s="84"/>
      <c r="F868" s="77"/>
      <c r="G868" s="77"/>
      <c r="H868" s="37"/>
      <c r="I868" s="37"/>
      <c r="J868" s="37"/>
      <c r="K868" s="122"/>
      <c r="L868" s="37"/>
      <c r="M868" s="37"/>
      <c r="N868" s="139"/>
      <c r="O868" s="37"/>
      <c r="P868" s="37"/>
      <c r="Q868" s="37"/>
      <c r="R868" s="37"/>
      <c r="S868" s="37"/>
      <c r="T868" s="37"/>
      <c r="U868" s="37"/>
      <c r="V868" s="37"/>
      <c r="W868" s="37"/>
      <c r="X868" s="37"/>
      <c r="Y868" s="37"/>
      <c r="Z868" s="37"/>
    </row>
    <row r="869" spans="1:26" ht="12.5">
      <c r="A869" s="37"/>
      <c r="B869" s="151"/>
      <c r="C869" s="122"/>
      <c r="D869" s="122"/>
      <c r="E869" s="84"/>
      <c r="F869" s="77"/>
      <c r="G869" s="77"/>
      <c r="H869" s="37"/>
      <c r="I869" s="37"/>
      <c r="J869" s="37"/>
      <c r="K869" s="122"/>
      <c r="L869" s="37"/>
      <c r="M869" s="37"/>
      <c r="N869" s="139"/>
      <c r="O869" s="37"/>
      <c r="P869" s="37"/>
      <c r="Q869" s="37"/>
      <c r="R869" s="37"/>
      <c r="S869" s="37"/>
      <c r="T869" s="37"/>
      <c r="U869" s="37"/>
      <c r="V869" s="37"/>
      <c r="W869" s="37"/>
      <c r="X869" s="37"/>
      <c r="Y869" s="37"/>
      <c r="Z869" s="37"/>
    </row>
    <row r="870" spans="1:26" ht="12.5">
      <c r="A870" s="37"/>
      <c r="B870" s="151"/>
      <c r="C870" s="122"/>
      <c r="D870" s="122"/>
      <c r="E870" s="84"/>
      <c r="F870" s="77"/>
      <c r="G870" s="77"/>
      <c r="H870" s="37"/>
      <c r="I870" s="37"/>
      <c r="J870" s="37"/>
      <c r="K870" s="122"/>
      <c r="L870" s="37"/>
      <c r="M870" s="37"/>
      <c r="N870" s="139"/>
      <c r="O870" s="37"/>
      <c r="P870" s="37"/>
      <c r="Q870" s="37"/>
      <c r="R870" s="37"/>
      <c r="S870" s="37"/>
      <c r="T870" s="37"/>
      <c r="U870" s="37"/>
      <c r="V870" s="37"/>
      <c r="W870" s="37"/>
      <c r="X870" s="37"/>
      <c r="Y870" s="37"/>
      <c r="Z870" s="37"/>
    </row>
    <row r="871" spans="1:26" ht="12.5">
      <c r="A871" s="37"/>
      <c r="B871" s="151"/>
      <c r="C871" s="122"/>
      <c r="D871" s="122"/>
      <c r="E871" s="84"/>
      <c r="F871" s="77"/>
      <c r="G871" s="77"/>
      <c r="H871" s="37"/>
      <c r="I871" s="37"/>
      <c r="J871" s="37"/>
      <c r="K871" s="122"/>
      <c r="L871" s="37"/>
      <c r="M871" s="37"/>
      <c r="N871" s="139"/>
      <c r="O871" s="37"/>
      <c r="P871" s="37"/>
      <c r="Q871" s="37"/>
      <c r="R871" s="37"/>
      <c r="S871" s="37"/>
      <c r="T871" s="37"/>
      <c r="U871" s="37"/>
      <c r="V871" s="37"/>
      <c r="W871" s="37"/>
      <c r="X871" s="37"/>
      <c r="Y871" s="37"/>
      <c r="Z871" s="37"/>
    </row>
    <row r="872" spans="1:26" ht="12.5">
      <c r="A872" s="37"/>
      <c r="B872" s="151"/>
      <c r="C872" s="122"/>
      <c r="D872" s="122"/>
      <c r="E872" s="84"/>
      <c r="F872" s="77"/>
      <c r="G872" s="77"/>
      <c r="H872" s="37"/>
      <c r="I872" s="37"/>
      <c r="J872" s="37"/>
      <c r="K872" s="122"/>
      <c r="L872" s="37"/>
      <c r="M872" s="37"/>
      <c r="N872" s="139"/>
      <c r="O872" s="37"/>
      <c r="P872" s="37"/>
      <c r="Q872" s="37"/>
      <c r="R872" s="37"/>
      <c r="S872" s="37"/>
      <c r="T872" s="37"/>
      <c r="U872" s="37"/>
      <c r="V872" s="37"/>
      <c r="W872" s="37"/>
      <c r="X872" s="37"/>
      <c r="Y872" s="37"/>
      <c r="Z872" s="37"/>
    </row>
    <row r="873" spans="1:26" ht="12.5">
      <c r="A873" s="37"/>
      <c r="B873" s="151"/>
      <c r="C873" s="122"/>
      <c r="D873" s="122"/>
      <c r="E873" s="84"/>
      <c r="F873" s="77"/>
      <c r="G873" s="77"/>
      <c r="H873" s="37"/>
      <c r="I873" s="37"/>
      <c r="J873" s="37"/>
      <c r="K873" s="122"/>
      <c r="L873" s="37"/>
      <c r="M873" s="37"/>
      <c r="N873" s="139"/>
      <c r="O873" s="37"/>
      <c r="P873" s="37"/>
      <c r="Q873" s="37"/>
      <c r="R873" s="37"/>
      <c r="S873" s="37"/>
      <c r="T873" s="37"/>
      <c r="U873" s="37"/>
      <c r="V873" s="37"/>
      <c r="W873" s="37"/>
      <c r="X873" s="37"/>
      <c r="Y873" s="37"/>
      <c r="Z873" s="37"/>
    </row>
    <row r="874" spans="1:26" ht="12.5">
      <c r="A874" s="37"/>
      <c r="B874" s="151"/>
      <c r="C874" s="122"/>
      <c r="D874" s="122"/>
      <c r="E874" s="84"/>
      <c r="F874" s="77"/>
      <c r="G874" s="77"/>
      <c r="H874" s="37"/>
      <c r="I874" s="37"/>
      <c r="J874" s="37"/>
      <c r="K874" s="122"/>
      <c r="L874" s="37"/>
      <c r="M874" s="37"/>
      <c r="N874" s="139"/>
      <c r="O874" s="37"/>
      <c r="P874" s="37"/>
      <c r="Q874" s="37"/>
      <c r="R874" s="37"/>
      <c r="S874" s="37"/>
      <c r="T874" s="37"/>
      <c r="U874" s="37"/>
      <c r="V874" s="37"/>
      <c r="W874" s="37"/>
      <c r="X874" s="37"/>
      <c r="Y874" s="37"/>
      <c r="Z874" s="37"/>
    </row>
    <row r="875" spans="1:26" ht="12.5">
      <c r="A875" s="37"/>
      <c r="B875" s="151"/>
      <c r="C875" s="122"/>
      <c r="D875" s="122"/>
      <c r="E875" s="84"/>
      <c r="F875" s="77"/>
      <c r="G875" s="77"/>
      <c r="H875" s="37"/>
      <c r="I875" s="37"/>
      <c r="J875" s="37"/>
      <c r="K875" s="122"/>
      <c r="L875" s="37"/>
      <c r="M875" s="37"/>
      <c r="N875" s="139"/>
      <c r="O875" s="37"/>
      <c r="P875" s="37"/>
      <c r="Q875" s="37"/>
      <c r="R875" s="37"/>
      <c r="S875" s="37"/>
      <c r="T875" s="37"/>
      <c r="U875" s="37"/>
      <c r="V875" s="37"/>
      <c r="W875" s="37"/>
      <c r="X875" s="37"/>
      <c r="Y875" s="37"/>
      <c r="Z875" s="37"/>
    </row>
    <row r="876" spans="1:26" ht="12.5">
      <c r="A876" s="37"/>
      <c r="B876" s="151"/>
      <c r="C876" s="122"/>
      <c r="D876" s="122"/>
      <c r="E876" s="84"/>
      <c r="F876" s="77"/>
      <c r="G876" s="77"/>
      <c r="H876" s="37"/>
      <c r="I876" s="37"/>
      <c r="J876" s="37"/>
      <c r="K876" s="122"/>
      <c r="L876" s="37"/>
      <c r="M876" s="37"/>
      <c r="N876" s="139"/>
      <c r="O876" s="37"/>
      <c r="P876" s="37"/>
      <c r="Q876" s="37"/>
      <c r="R876" s="37"/>
      <c r="S876" s="37"/>
      <c r="T876" s="37"/>
      <c r="U876" s="37"/>
      <c r="V876" s="37"/>
      <c r="W876" s="37"/>
      <c r="X876" s="37"/>
      <c r="Y876" s="37"/>
      <c r="Z876" s="37"/>
    </row>
    <row r="877" spans="1:26" ht="12.5">
      <c r="A877" s="37"/>
      <c r="B877" s="151"/>
      <c r="C877" s="122"/>
      <c r="D877" s="122"/>
      <c r="E877" s="84"/>
      <c r="F877" s="77"/>
      <c r="G877" s="77"/>
      <c r="H877" s="37"/>
      <c r="I877" s="37"/>
      <c r="J877" s="37"/>
      <c r="K877" s="122"/>
      <c r="L877" s="37"/>
      <c r="M877" s="37"/>
      <c r="N877" s="139"/>
      <c r="O877" s="37"/>
      <c r="P877" s="37"/>
      <c r="Q877" s="37"/>
      <c r="R877" s="37"/>
      <c r="S877" s="37"/>
      <c r="T877" s="37"/>
      <c r="U877" s="37"/>
      <c r="V877" s="37"/>
      <c r="W877" s="37"/>
      <c r="X877" s="37"/>
      <c r="Y877" s="37"/>
      <c r="Z877" s="37"/>
    </row>
    <row r="878" spans="1:26" ht="12.5">
      <c r="A878" s="37"/>
      <c r="B878" s="151"/>
      <c r="C878" s="122"/>
      <c r="D878" s="122"/>
      <c r="E878" s="84"/>
      <c r="F878" s="77"/>
      <c r="G878" s="77"/>
      <c r="H878" s="37"/>
      <c r="I878" s="37"/>
      <c r="J878" s="37"/>
      <c r="K878" s="122"/>
      <c r="L878" s="37"/>
      <c r="M878" s="37"/>
      <c r="N878" s="139"/>
      <c r="O878" s="37"/>
      <c r="P878" s="37"/>
      <c r="Q878" s="37"/>
      <c r="R878" s="37"/>
      <c r="S878" s="37"/>
      <c r="T878" s="37"/>
      <c r="U878" s="37"/>
      <c r="V878" s="37"/>
      <c r="W878" s="37"/>
      <c r="X878" s="37"/>
      <c r="Y878" s="37"/>
      <c r="Z878" s="37"/>
    </row>
    <row r="879" spans="1:26" ht="12.5">
      <c r="A879" s="37"/>
      <c r="B879" s="151"/>
      <c r="C879" s="122"/>
      <c r="D879" s="122"/>
      <c r="E879" s="84"/>
      <c r="F879" s="77"/>
      <c r="G879" s="77"/>
      <c r="H879" s="37"/>
      <c r="I879" s="37"/>
      <c r="J879" s="37"/>
      <c r="K879" s="122"/>
      <c r="L879" s="37"/>
      <c r="M879" s="37"/>
      <c r="N879" s="139"/>
      <c r="O879" s="37"/>
      <c r="P879" s="37"/>
      <c r="Q879" s="37"/>
      <c r="R879" s="37"/>
      <c r="S879" s="37"/>
      <c r="T879" s="37"/>
      <c r="U879" s="37"/>
      <c r="V879" s="37"/>
      <c r="W879" s="37"/>
      <c r="X879" s="37"/>
      <c r="Y879" s="37"/>
      <c r="Z879" s="37"/>
    </row>
    <row r="880" spans="1:26" ht="12.5">
      <c r="A880" s="37"/>
      <c r="B880" s="151"/>
      <c r="C880" s="122"/>
      <c r="D880" s="122"/>
      <c r="E880" s="84"/>
      <c r="F880" s="77"/>
      <c r="G880" s="77"/>
      <c r="H880" s="37"/>
      <c r="I880" s="37"/>
      <c r="J880" s="37"/>
      <c r="K880" s="122"/>
      <c r="L880" s="37"/>
      <c r="M880" s="37"/>
      <c r="N880" s="139"/>
      <c r="O880" s="37"/>
      <c r="P880" s="37"/>
      <c r="Q880" s="37"/>
      <c r="R880" s="37"/>
      <c r="S880" s="37"/>
      <c r="T880" s="37"/>
      <c r="U880" s="37"/>
      <c r="V880" s="37"/>
      <c r="W880" s="37"/>
      <c r="X880" s="37"/>
      <c r="Y880" s="37"/>
      <c r="Z880" s="37"/>
    </row>
    <row r="881" spans="1:26" ht="12.5">
      <c r="A881" s="37"/>
      <c r="B881" s="151"/>
      <c r="C881" s="122"/>
      <c r="D881" s="122"/>
      <c r="E881" s="84"/>
      <c r="F881" s="77"/>
      <c r="G881" s="77"/>
      <c r="H881" s="37"/>
      <c r="I881" s="37"/>
      <c r="J881" s="37"/>
      <c r="K881" s="122"/>
      <c r="L881" s="37"/>
      <c r="M881" s="37"/>
      <c r="N881" s="139"/>
      <c r="O881" s="37"/>
      <c r="P881" s="37"/>
      <c r="Q881" s="37"/>
      <c r="R881" s="37"/>
      <c r="S881" s="37"/>
      <c r="T881" s="37"/>
      <c r="U881" s="37"/>
      <c r="V881" s="37"/>
      <c r="W881" s="37"/>
      <c r="X881" s="37"/>
      <c r="Y881" s="37"/>
      <c r="Z881" s="37"/>
    </row>
    <row r="882" spans="1:26" ht="12.5">
      <c r="A882" s="37"/>
      <c r="B882" s="151"/>
      <c r="C882" s="122"/>
      <c r="D882" s="122"/>
      <c r="E882" s="84"/>
      <c r="F882" s="77"/>
      <c r="G882" s="77"/>
      <c r="H882" s="37"/>
      <c r="I882" s="37"/>
      <c r="J882" s="37"/>
      <c r="K882" s="122"/>
      <c r="L882" s="37"/>
      <c r="M882" s="37"/>
      <c r="N882" s="139"/>
      <c r="O882" s="37"/>
      <c r="P882" s="37"/>
      <c r="Q882" s="37"/>
      <c r="R882" s="37"/>
      <c r="S882" s="37"/>
      <c r="T882" s="37"/>
      <c r="U882" s="37"/>
      <c r="V882" s="37"/>
      <c r="W882" s="37"/>
      <c r="X882" s="37"/>
      <c r="Y882" s="37"/>
      <c r="Z882" s="37"/>
    </row>
    <row r="883" spans="1:26" ht="12.5">
      <c r="A883" s="37"/>
      <c r="B883" s="151"/>
      <c r="C883" s="122"/>
      <c r="D883" s="122"/>
      <c r="E883" s="84"/>
      <c r="F883" s="77"/>
      <c r="G883" s="77"/>
      <c r="H883" s="37"/>
      <c r="I883" s="37"/>
      <c r="J883" s="37"/>
      <c r="K883" s="122"/>
      <c r="L883" s="37"/>
      <c r="M883" s="37"/>
      <c r="N883" s="139"/>
      <c r="O883" s="37"/>
      <c r="P883" s="37"/>
      <c r="Q883" s="37"/>
      <c r="R883" s="37"/>
      <c r="S883" s="37"/>
      <c r="T883" s="37"/>
      <c r="U883" s="37"/>
      <c r="V883" s="37"/>
      <c r="W883" s="37"/>
      <c r="X883" s="37"/>
      <c r="Y883" s="37"/>
      <c r="Z883" s="37"/>
    </row>
    <row r="884" spans="1:26" ht="12.5">
      <c r="A884" s="37"/>
      <c r="B884" s="151"/>
      <c r="C884" s="122"/>
      <c r="D884" s="122"/>
      <c r="E884" s="84"/>
      <c r="F884" s="77"/>
      <c r="G884" s="77"/>
      <c r="H884" s="37"/>
      <c r="I884" s="37"/>
      <c r="J884" s="37"/>
      <c r="K884" s="122"/>
      <c r="L884" s="37"/>
      <c r="M884" s="37"/>
      <c r="N884" s="139"/>
      <c r="O884" s="37"/>
      <c r="P884" s="37"/>
      <c r="Q884" s="37"/>
      <c r="R884" s="37"/>
      <c r="S884" s="37"/>
      <c r="T884" s="37"/>
      <c r="U884" s="37"/>
      <c r="V884" s="37"/>
      <c r="W884" s="37"/>
      <c r="X884" s="37"/>
      <c r="Y884" s="37"/>
      <c r="Z884" s="37"/>
    </row>
    <row r="885" spans="1:26" ht="12.5">
      <c r="A885" s="37"/>
      <c r="B885" s="151"/>
      <c r="C885" s="122"/>
      <c r="D885" s="122"/>
      <c r="E885" s="84"/>
      <c r="F885" s="77"/>
      <c r="G885" s="77"/>
      <c r="H885" s="37"/>
      <c r="I885" s="37"/>
      <c r="J885" s="37"/>
      <c r="K885" s="122"/>
      <c r="L885" s="37"/>
      <c r="M885" s="37"/>
      <c r="N885" s="139"/>
      <c r="O885" s="37"/>
      <c r="P885" s="37"/>
      <c r="Q885" s="37"/>
      <c r="R885" s="37"/>
      <c r="S885" s="37"/>
      <c r="T885" s="37"/>
      <c r="U885" s="37"/>
      <c r="V885" s="37"/>
      <c r="W885" s="37"/>
      <c r="X885" s="37"/>
      <c r="Y885" s="37"/>
      <c r="Z885" s="37"/>
    </row>
    <row r="886" spans="1:26" ht="12.5">
      <c r="A886" s="37"/>
      <c r="B886" s="151"/>
      <c r="C886" s="122"/>
      <c r="D886" s="122"/>
      <c r="E886" s="84"/>
      <c r="F886" s="77"/>
      <c r="G886" s="77"/>
      <c r="H886" s="37"/>
      <c r="I886" s="37"/>
      <c r="J886" s="37"/>
      <c r="K886" s="122"/>
      <c r="L886" s="37"/>
      <c r="M886" s="37"/>
      <c r="N886" s="139"/>
      <c r="O886" s="37"/>
      <c r="P886" s="37"/>
      <c r="Q886" s="37"/>
      <c r="R886" s="37"/>
      <c r="S886" s="37"/>
      <c r="T886" s="37"/>
      <c r="U886" s="37"/>
      <c r="V886" s="37"/>
      <c r="W886" s="37"/>
      <c r="X886" s="37"/>
      <c r="Y886" s="37"/>
      <c r="Z886" s="37"/>
    </row>
    <row r="887" spans="1:26" ht="12.5">
      <c r="A887" s="37"/>
      <c r="B887" s="151"/>
      <c r="C887" s="122"/>
      <c r="D887" s="122"/>
      <c r="E887" s="84"/>
      <c r="F887" s="77"/>
      <c r="G887" s="77"/>
      <c r="H887" s="37"/>
      <c r="I887" s="37"/>
      <c r="J887" s="37"/>
      <c r="K887" s="122"/>
      <c r="L887" s="37"/>
      <c r="M887" s="37"/>
      <c r="N887" s="139"/>
      <c r="O887" s="37"/>
      <c r="P887" s="37"/>
      <c r="Q887" s="37"/>
      <c r="R887" s="37"/>
      <c r="S887" s="37"/>
      <c r="T887" s="37"/>
      <c r="U887" s="37"/>
      <c r="V887" s="37"/>
      <c r="W887" s="37"/>
      <c r="X887" s="37"/>
      <c r="Y887" s="37"/>
      <c r="Z887" s="37"/>
    </row>
    <row r="888" spans="1:26" ht="12.5">
      <c r="A888" s="37"/>
      <c r="B888" s="151"/>
      <c r="C888" s="122"/>
      <c r="D888" s="122"/>
      <c r="E888" s="84"/>
      <c r="F888" s="77"/>
      <c r="G888" s="77"/>
      <c r="H888" s="37"/>
      <c r="I888" s="37"/>
      <c r="J888" s="37"/>
      <c r="K888" s="122"/>
      <c r="L888" s="37"/>
      <c r="M888" s="37"/>
      <c r="N888" s="139"/>
      <c r="O888" s="37"/>
      <c r="P888" s="37"/>
      <c r="Q888" s="37"/>
      <c r="R888" s="37"/>
      <c r="S888" s="37"/>
      <c r="T888" s="37"/>
      <c r="U888" s="37"/>
      <c r="V888" s="37"/>
      <c r="W888" s="37"/>
      <c r="X888" s="37"/>
      <c r="Y888" s="37"/>
      <c r="Z888" s="37"/>
    </row>
    <row r="889" spans="1:26" ht="12.5">
      <c r="A889" s="37"/>
      <c r="B889" s="151"/>
      <c r="C889" s="122"/>
      <c r="D889" s="122"/>
      <c r="E889" s="84"/>
      <c r="F889" s="77"/>
      <c r="G889" s="77"/>
      <c r="H889" s="37"/>
      <c r="I889" s="37"/>
      <c r="J889" s="37"/>
      <c r="K889" s="122"/>
      <c r="L889" s="37"/>
      <c r="M889" s="37"/>
      <c r="N889" s="139"/>
      <c r="O889" s="37"/>
      <c r="P889" s="37"/>
      <c r="Q889" s="37"/>
      <c r="R889" s="37"/>
      <c r="S889" s="37"/>
      <c r="T889" s="37"/>
      <c r="U889" s="37"/>
      <c r="V889" s="37"/>
      <c r="W889" s="37"/>
      <c r="X889" s="37"/>
      <c r="Y889" s="37"/>
      <c r="Z889" s="37"/>
    </row>
    <row r="890" spans="1:26" ht="12.5">
      <c r="A890" s="37"/>
      <c r="B890" s="151"/>
      <c r="C890" s="122"/>
      <c r="D890" s="122"/>
      <c r="E890" s="84"/>
      <c r="F890" s="77"/>
      <c r="G890" s="77"/>
      <c r="H890" s="37"/>
      <c r="I890" s="37"/>
      <c r="J890" s="37"/>
      <c r="K890" s="122"/>
      <c r="L890" s="37"/>
      <c r="M890" s="37"/>
      <c r="N890" s="139"/>
      <c r="O890" s="37"/>
      <c r="P890" s="37"/>
      <c r="Q890" s="37"/>
      <c r="R890" s="37"/>
      <c r="S890" s="37"/>
      <c r="T890" s="37"/>
      <c r="U890" s="37"/>
      <c r="V890" s="37"/>
      <c r="W890" s="37"/>
      <c r="X890" s="37"/>
      <c r="Y890" s="37"/>
      <c r="Z890" s="37"/>
    </row>
    <row r="891" spans="1:26" ht="12.5">
      <c r="A891" s="37"/>
      <c r="B891" s="151"/>
      <c r="C891" s="122"/>
      <c r="D891" s="122"/>
      <c r="E891" s="84"/>
      <c r="F891" s="77"/>
      <c r="G891" s="77"/>
      <c r="H891" s="37"/>
      <c r="I891" s="37"/>
      <c r="J891" s="37"/>
      <c r="K891" s="122"/>
      <c r="L891" s="37"/>
      <c r="M891" s="37"/>
      <c r="N891" s="139"/>
      <c r="O891" s="37"/>
      <c r="P891" s="37"/>
      <c r="Q891" s="37"/>
      <c r="R891" s="37"/>
      <c r="S891" s="37"/>
      <c r="T891" s="37"/>
      <c r="U891" s="37"/>
      <c r="V891" s="37"/>
      <c r="W891" s="37"/>
      <c r="X891" s="37"/>
      <c r="Y891" s="37"/>
      <c r="Z891" s="37"/>
    </row>
    <row r="892" spans="1:26" ht="12.5">
      <c r="A892" s="37"/>
      <c r="B892" s="151"/>
      <c r="C892" s="122"/>
      <c r="D892" s="122"/>
      <c r="E892" s="84"/>
      <c r="F892" s="77"/>
      <c r="G892" s="77"/>
      <c r="H892" s="37"/>
      <c r="I892" s="37"/>
      <c r="J892" s="37"/>
      <c r="K892" s="122"/>
      <c r="L892" s="37"/>
      <c r="M892" s="37"/>
      <c r="N892" s="139"/>
      <c r="O892" s="37"/>
      <c r="P892" s="37"/>
      <c r="Q892" s="37"/>
      <c r="R892" s="37"/>
      <c r="S892" s="37"/>
      <c r="T892" s="37"/>
      <c r="U892" s="37"/>
      <c r="V892" s="37"/>
      <c r="W892" s="37"/>
      <c r="X892" s="37"/>
      <c r="Y892" s="37"/>
      <c r="Z892" s="37"/>
    </row>
    <row r="893" spans="1:26" ht="12.5">
      <c r="A893" s="37"/>
      <c r="B893" s="151"/>
      <c r="C893" s="122"/>
      <c r="D893" s="122"/>
      <c r="E893" s="84"/>
      <c r="F893" s="77"/>
      <c r="G893" s="77"/>
      <c r="H893" s="37"/>
      <c r="I893" s="37"/>
      <c r="J893" s="37"/>
      <c r="K893" s="122"/>
      <c r="L893" s="37"/>
      <c r="M893" s="37"/>
      <c r="N893" s="139"/>
      <c r="O893" s="37"/>
      <c r="P893" s="37"/>
      <c r="Q893" s="37"/>
      <c r="R893" s="37"/>
      <c r="S893" s="37"/>
      <c r="T893" s="37"/>
      <c r="U893" s="37"/>
      <c r="V893" s="37"/>
      <c r="W893" s="37"/>
      <c r="X893" s="37"/>
      <c r="Y893" s="37"/>
      <c r="Z893" s="37"/>
    </row>
    <row r="894" spans="1:26" ht="12.5">
      <c r="A894" s="37"/>
      <c r="B894" s="151"/>
      <c r="C894" s="122"/>
      <c r="D894" s="122"/>
      <c r="E894" s="84"/>
      <c r="F894" s="77"/>
      <c r="G894" s="77"/>
      <c r="H894" s="37"/>
      <c r="I894" s="37"/>
      <c r="J894" s="37"/>
      <c r="K894" s="122"/>
      <c r="L894" s="37"/>
      <c r="M894" s="37"/>
      <c r="N894" s="139"/>
      <c r="O894" s="37"/>
      <c r="P894" s="37"/>
      <c r="Q894" s="37"/>
      <c r="R894" s="37"/>
      <c r="S894" s="37"/>
      <c r="T894" s="37"/>
      <c r="U894" s="37"/>
      <c r="V894" s="37"/>
      <c r="W894" s="37"/>
      <c r="X894" s="37"/>
      <c r="Y894" s="37"/>
      <c r="Z894" s="37"/>
    </row>
    <row r="895" spans="1:26" ht="12.5">
      <c r="A895" s="37"/>
      <c r="B895" s="151"/>
      <c r="C895" s="122"/>
      <c r="D895" s="122"/>
      <c r="E895" s="84"/>
      <c r="F895" s="77"/>
      <c r="G895" s="77"/>
      <c r="H895" s="37"/>
      <c r="I895" s="37"/>
      <c r="J895" s="37"/>
      <c r="K895" s="122"/>
      <c r="L895" s="37"/>
      <c r="M895" s="37"/>
      <c r="N895" s="139"/>
      <c r="O895" s="37"/>
      <c r="P895" s="37"/>
      <c r="Q895" s="37"/>
      <c r="R895" s="37"/>
      <c r="S895" s="37"/>
      <c r="T895" s="37"/>
      <c r="U895" s="37"/>
      <c r="V895" s="37"/>
      <c r="W895" s="37"/>
      <c r="X895" s="37"/>
      <c r="Y895" s="37"/>
      <c r="Z895" s="37"/>
    </row>
    <row r="896" spans="1:26" ht="12.5">
      <c r="A896" s="37"/>
      <c r="B896" s="151"/>
      <c r="C896" s="122"/>
      <c r="D896" s="122"/>
      <c r="E896" s="84"/>
      <c r="F896" s="77"/>
      <c r="G896" s="77"/>
      <c r="H896" s="37"/>
      <c r="I896" s="37"/>
      <c r="J896" s="37"/>
      <c r="K896" s="122"/>
      <c r="L896" s="37"/>
      <c r="M896" s="37"/>
      <c r="N896" s="139"/>
      <c r="O896" s="37"/>
      <c r="P896" s="37"/>
      <c r="Q896" s="37"/>
      <c r="R896" s="37"/>
      <c r="S896" s="37"/>
      <c r="T896" s="37"/>
      <c r="U896" s="37"/>
      <c r="V896" s="37"/>
      <c r="W896" s="37"/>
      <c r="X896" s="37"/>
      <c r="Y896" s="37"/>
      <c r="Z896" s="37"/>
    </row>
    <row r="897" spans="1:26" ht="12.5">
      <c r="A897" s="37"/>
      <c r="B897" s="151"/>
      <c r="C897" s="122"/>
      <c r="D897" s="122"/>
      <c r="E897" s="84"/>
      <c r="F897" s="77"/>
      <c r="G897" s="77"/>
      <c r="H897" s="37"/>
      <c r="I897" s="37"/>
      <c r="J897" s="37"/>
      <c r="K897" s="122"/>
      <c r="L897" s="37"/>
      <c r="M897" s="37"/>
      <c r="N897" s="139"/>
      <c r="O897" s="37"/>
      <c r="P897" s="37"/>
      <c r="Q897" s="37"/>
      <c r="R897" s="37"/>
      <c r="S897" s="37"/>
      <c r="T897" s="37"/>
      <c r="U897" s="37"/>
      <c r="V897" s="37"/>
      <c r="W897" s="37"/>
      <c r="X897" s="37"/>
      <c r="Y897" s="37"/>
      <c r="Z897" s="37"/>
    </row>
    <row r="898" spans="1:26" ht="12.5">
      <c r="A898" s="37"/>
      <c r="B898" s="151"/>
      <c r="C898" s="122"/>
      <c r="D898" s="122"/>
      <c r="E898" s="84"/>
      <c r="F898" s="77"/>
      <c r="G898" s="77"/>
      <c r="H898" s="37"/>
      <c r="I898" s="37"/>
      <c r="J898" s="37"/>
      <c r="K898" s="122"/>
      <c r="L898" s="37"/>
      <c r="M898" s="37"/>
      <c r="N898" s="139"/>
      <c r="O898" s="37"/>
      <c r="P898" s="37"/>
      <c r="Q898" s="37"/>
      <c r="R898" s="37"/>
      <c r="S898" s="37"/>
      <c r="T898" s="37"/>
      <c r="U898" s="37"/>
      <c r="V898" s="37"/>
      <c r="W898" s="37"/>
      <c r="X898" s="37"/>
      <c r="Y898" s="37"/>
      <c r="Z898" s="37"/>
    </row>
    <row r="899" spans="1:26" ht="12.5">
      <c r="A899" s="37"/>
      <c r="B899" s="151"/>
      <c r="C899" s="122"/>
      <c r="D899" s="122"/>
      <c r="E899" s="84"/>
      <c r="F899" s="77"/>
      <c r="G899" s="77"/>
      <c r="H899" s="37"/>
      <c r="I899" s="37"/>
      <c r="J899" s="37"/>
      <c r="K899" s="122"/>
      <c r="L899" s="37"/>
      <c r="M899" s="37"/>
      <c r="N899" s="139"/>
      <c r="O899" s="37"/>
      <c r="P899" s="37"/>
      <c r="Q899" s="37"/>
      <c r="R899" s="37"/>
      <c r="S899" s="37"/>
      <c r="T899" s="37"/>
      <c r="U899" s="37"/>
      <c r="V899" s="37"/>
      <c r="W899" s="37"/>
      <c r="X899" s="37"/>
      <c r="Y899" s="37"/>
      <c r="Z899" s="37"/>
    </row>
    <row r="900" spans="1:26" ht="12.5">
      <c r="A900" s="37"/>
      <c r="B900" s="151"/>
      <c r="C900" s="122"/>
      <c r="D900" s="122"/>
      <c r="E900" s="84"/>
      <c r="F900" s="77"/>
      <c r="G900" s="77"/>
      <c r="H900" s="37"/>
      <c r="I900" s="37"/>
      <c r="J900" s="37"/>
      <c r="K900" s="122"/>
      <c r="L900" s="37"/>
      <c r="M900" s="37"/>
      <c r="N900" s="139"/>
      <c r="O900" s="37"/>
      <c r="P900" s="37"/>
      <c r="Q900" s="37"/>
      <c r="R900" s="37"/>
      <c r="S900" s="37"/>
      <c r="T900" s="37"/>
      <c r="U900" s="37"/>
      <c r="V900" s="37"/>
      <c r="W900" s="37"/>
      <c r="X900" s="37"/>
      <c r="Y900" s="37"/>
      <c r="Z900" s="37"/>
    </row>
    <row r="901" spans="1:26" ht="12.5">
      <c r="A901" s="37"/>
      <c r="B901" s="151"/>
      <c r="C901" s="122"/>
      <c r="D901" s="122"/>
      <c r="E901" s="84"/>
      <c r="F901" s="77"/>
      <c r="G901" s="77"/>
      <c r="H901" s="37"/>
      <c r="I901" s="37"/>
      <c r="J901" s="37"/>
      <c r="K901" s="122"/>
      <c r="L901" s="37"/>
      <c r="M901" s="37"/>
      <c r="N901" s="139"/>
      <c r="O901" s="37"/>
      <c r="P901" s="37"/>
      <c r="Q901" s="37"/>
      <c r="R901" s="37"/>
      <c r="S901" s="37"/>
      <c r="T901" s="37"/>
      <c r="U901" s="37"/>
      <c r="V901" s="37"/>
      <c r="W901" s="37"/>
      <c r="X901" s="37"/>
      <c r="Y901" s="37"/>
      <c r="Z901" s="37"/>
    </row>
    <row r="902" spans="1:26" ht="12.5">
      <c r="A902" s="37"/>
      <c r="B902" s="151"/>
      <c r="C902" s="122"/>
      <c r="D902" s="122"/>
      <c r="E902" s="84"/>
      <c r="F902" s="77"/>
      <c r="G902" s="77"/>
      <c r="H902" s="37"/>
      <c r="I902" s="37"/>
      <c r="J902" s="37"/>
      <c r="K902" s="122"/>
      <c r="L902" s="37"/>
      <c r="M902" s="37"/>
      <c r="N902" s="139"/>
      <c r="O902" s="37"/>
      <c r="P902" s="37"/>
      <c r="Q902" s="37"/>
      <c r="R902" s="37"/>
      <c r="S902" s="37"/>
      <c r="T902" s="37"/>
      <c r="U902" s="37"/>
      <c r="V902" s="37"/>
      <c r="W902" s="37"/>
      <c r="X902" s="37"/>
      <c r="Y902" s="37"/>
      <c r="Z902" s="37"/>
    </row>
    <row r="903" spans="1:26" ht="12.5">
      <c r="A903" s="37"/>
      <c r="B903" s="151"/>
      <c r="C903" s="122"/>
      <c r="D903" s="122"/>
      <c r="E903" s="84"/>
      <c r="F903" s="77"/>
      <c r="G903" s="77"/>
      <c r="H903" s="37"/>
      <c r="I903" s="37"/>
      <c r="J903" s="37"/>
      <c r="K903" s="122"/>
      <c r="L903" s="37"/>
      <c r="M903" s="37"/>
      <c r="N903" s="139"/>
      <c r="O903" s="37"/>
      <c r="P903" s="37"/>
      <c r="Q903" s="37"/>
      <c r="R903" s="37"/>
      <c r="S903" s="37"/>
      <c r="T903" s="37"/>
      <c r="U903" s="37"/>
      <c r="V903" s="37"/>
      <c r="W903" s="37"/>
      <c r="X903" s="37"/>
      <c r="Y903" s="37"/>
      <c r="Z903" s="37"/>
    </row>
    <row r="904" spans="1:26" ht="12.5">
      <c r="A904" s="37"/>
      <c r="B904" s="151"/>
      <c r="C904" s="122"/>
      <c r="D904" s="122"/>
      <c r="E904" s="84"/>
      <c r="F904" s="77"/>
      <c r="G904" s="77"/>
      <c r="H904" s="37"/>
      <c r="I904" s="37"/>
      <c r="J904" s="37"/>
      <c r="K904" s="122"/>
      <c r="L904" s="37"/>
      <c r="M904" s="37"/>
      <c r="N904" s="139"/>
      <c r="O904" s="37"/>
      <c r="P904" s="37"/>
      <c r="Q904" s="37"/>
      <c r="R904" s="37"/>
      <c r="S904" s="37"/>
      <c r="T904" s="37"/>
      <c r="U904" s="37"/>
      <c r="V904" s="37"/>
      <c r="W904" s="37"/>
      <c r="X904" s="37"/>
      <c r="Y904" s="37"/>
      <c r="Z904" s="37"/>
    </row>
    <row r="905" spans="1:26" ht="12.5">
      <c r="A905" s="37"/>
      <c r="B905" s="151"/>
      <c r="C905" s="122"/>
      <c r="D905" s="122"/>
      <c r="E905" s="84"/>
      <c r="F905" s="77"/>
      <c r="G905" s="77"/>
      <c r="H905" s="37"/>
      <c r="I905" s="37"/>
      <c r="J905" s="37"/>
      <c r="K905" s="122"/>
      <c r="L905" s="37"/>
      <c r="M905" s="37"/>
      <c r="N905" s="139"/>
      <c r="O905" s="37"/>
      <c r="P905" s="37"/>
      <c r="Q905" s="37"/>
      <c r="R905" s="37"/>
      <c r="S905" s="37"/>
      <c r="T905" s="37"/>
      <c r="U905" s="37"/>
      <c r="V905" s="37"/>
      <c r="W905" s="37"/>
      <c r="X905" s="37"/>
      <c r="Y905" s="37"/>
      <c r="Z905" s="37"/>
    </row>
    <row r="906" spans="1:26" ht="12.5">
      <c r="A906" s="37"/>
      <c r="B906" s="151"/>
      <c r="C906" s="122"/>
      <c r="D906" s="122"/>
      <c r="E906" s="84"/>
      <c r="F906" s="77"/>
      <c r="G906" s="77"/>
      <c r="H906" s="37"/>
      <c r="I906" s="37"/>
      <c r="J906" s="37"/>
      <c r="K906" s="122"/>
      <c r="L906" s="37"/>
      <c r="M906" s="37"/>
      <c r="N906" s="139"/>
      <c r="O906" s="37"/>
      <c r="P906" s="37"/>
      <c r="Q906" s="37"/>
      <c r="R906" s="37"/>
      <c r="S906" s="37"/>
      <c r="T906" s="37"/>
      <c r="U906" s="37"/>
      <c r="V906" s="37"/>
      <c r="W906" s="37"/>
      <c r="X906" s="37"/>
      <c r="Y906" s="37"/>
      <c r="Z906" s="37"/>
    </row>
    <row r="907" spans="1:26" ht="12.5">
      <c r="A907" s="37"/>
      <c r="B907" s="151"/>
      <c r="C907" s="122"/>
      <c r="D907" s="122"/>
      <c r="E907" s="84"/>
      <c r="F907" s="77"/>
      <c r="G907" s="77"/>
      <c r="H907" s="37"/>
      <c r="I907" s="37"/>
      <c r="J907" s="37"/>
      <c r="K907" s="122"/>
      <c r="L907" s="37"/>
      <c r="M907" s="37"/>
      <c r="N907" s="139"/>
      <c r="O907" s="37"/>
      <c r="P907" s="37"/>
      <c r="Q907" s="37"/>
      <c r="R907" s="37"/>
      <c r="S907" s="37"/>
      <c r="T907" s="37"/>
      <c r="U907" s="37"/>
      <c r="V907" s="37"/>
      <c r="W907" s="37"/>
      <c r="X907" s="37"/>
      <c r="Y907" s="37"/>
      <c r="Z907" s="37"/>
    </row>
    <row r="908" spans="1:26" ht="12.5">
      <c r="A908" s="37"/>
      <c r="B908" s="151"/>
      <c r="C908" s="122"/>
      <c r="D908" s="122"/>
      <c r="E908" s="84"/>
      <c r="F908" s="77"/>
      <c r="G908" s="77"/>
      <c r="H908" s="37"/>
      <c r="I908" s="37"/>
      <c r="J908" s="37"/>
      <c r="K908" s="122"/>
      <c r="L908" s="37"/>
      <c r="M908" s="37"/>
      <c r="N908" s="139"/>
      <c r="O908" s="37"/>
      <c r="P908" s="37"/>
      <c r="Q908" s="37"/>
      <c r="R908" s="37"/>
      <c r="S908" s="37"/>
      <c r="T908" s="37"/>
      <c r="U908" s="37"/>
      <c r="V908" s="37"/>
      <c r="W908" s="37"/>
      <c r="X908" s="37"/>
      <c r="Y908" s="37"/>
      <c r="Z908" s="37"/>
    </row>
    <row r="909" spans="1:26" ht="12.5">
      <c r="A909" s="37"/>
      <c r="B909" s="151"/>
      <c r="C909" s="122"/>
      <c r="D909" s="122"/>
      <c r="E909" s="84"/>
      <c r="F909" s="77"/>
      <c r="G909" s="77"/>
      <c r="H909" s="37"/>
      <c r="I909" s="37"/>
      <c r="J909" s="37"/>
      <c r="K909" s="122"/>
      <c r="L909" s="37"/>
      <c r="M909" s="37"/>
      <c r="N909" s="139"/>
      <c r="O909" s="37"/>
      <c r="P909" s="37"/>
      <c r="Q909" s="37"/>
      <c r="R909" s="37"/>
      <c r="S909" s="37"/>
      <c r="T909" s="37"/>
      <c r="U909" s="37"/>
      <c r="V909" s="37"/>
      <c r="W909" s="37"/>
      <c r="X909" s="37"/>
      <c r="Y909" s="37"/>
      <c r="Z909" s="37"/>
    </row>
    <row r="910" spans="1:26" ht="12.5">
      <c r="A910" s="37"/>
      <c r="B910" s="151"/>
      <c r="C910" s="122"/>
      <c r="D910" s="122"/>
      <c r="E910" s="84"/>
      <c r="F910" s="77"/>
      <c r="G910" s="77"/>
      <c r="H910" s="37"/>
      <c r="I910" s="37"/>
      <c r="J910" s="37"/>
      <c r="K910" s="122"/>
      <c r="L910" s="37"/>
      <c r="M910" s="37"/>
      <c r="N910" s="139"/>
      <c r="O910" s="37"/>
      <c r="P910" s="37"/>
      <c r="Q910" s="37"/>
      <c r="R910" s="37"/>
      <c r="S910" s="37"/>
      <c r="T910" s="37"/>
      <c r="U910" s="37"/>
      <c r="V910" s="37"/>
      <c r="W910" s="37"/>
      <c r="X910" s="37"/>
      <c r="Y910" s="37"/>
      <c r="Z910" s="37"/>
    </row>
    <row r="911" spans="1:26" ht="12.5">
      <c r="A911" s="37"/>
      <c r="B911" s="151"/>
      <c r="C911" s="122"/>
      <c r="D911" s="122"/>
      <c r="E911" s="84"/>
      <c r="F911" s="77"/>
      <c r="G911" s="77"/>
      <c r="H911" s="37"/>
      <c r="I911" s="37"/>
      <c r="J911" s="37"/>
      <c r="K911" s="122"/>
      <c r="L911" s="37"/>
      <c r="M911" s="37"/>
      <c r="N911" s="139"/>
      <c r="O911" s="37"/>
      <c r="P911" s="37"/>
      <c r="Q911" s="37"/>
      <c r="R911" s="37"/>
      <c r="S911" s="37"/>
      <c r="T911" s="37"/>
      <c r="U911" s="37"/>
      <c r="V911" s="37"/>
      <c r="W911" s="37"/>
      <c r="X911" s="37"/>
      <c r="Y911" s="37"/>
      <c r="Z911" s="37"/>
    </row>
    <row r="912" spans="1:26" ht="12.5">
      <c r="A912" s="37"/>
      <c r="B912" s="151"/>
      <c r="C912" s="122"/>
      <c r="D912" s="122"/>
      <c r="E912" s="84"/>
      <c r="F912" s="77"/>
      <c r="G912" s="77"/>
      <c r="H912" s="37"/>
      <c r="I912" s="37"/>
      <c r="J912" s="37"/>
      <c r="K912" s="122"/>
      <c r="L912" s="37"/>
      <c r="M912" s="37"/>
      <c r="N912" s="139"/>
      <c r="O912" s="37"/>
      <c r="P912" s="37"/>
      <c r="Q912" s="37"/>
      <c r="R912" s="37"/>
      <c r="S912" s="37"/>
      <c r="T912" s="37"/>
      <c r="U912" s="37"/>
      <c r="V912" s="37"/>
      <c r="W912" s="37"/>
      <c r="X912" s="37"/>
      <c r="Y912" s="37"/>
      <c r="Z912" s="37"/>
    </row>
    <row r="913" spans="1:26" ht="12.5">
      <c r="A913" s="37"/>
      <c r="B913" s="151"/>
      <c r="C913" s="122"/>
      <c r="D913" s="122"/>
      <c r="E913" s="84"/>
      <c r="F913" s="77"/>
      <c r="G913" s="77"/>
      <c r="H913" s="37"/>
      <c r="I913" s="37"/>
      <c r="J913" s="37"/>
      <c r="K913" s="122"/>
      <c r="L913" s="37"/>
      <c r="M913" s="37"/>
      <c r="N913" s="139"/>
      <c r="O913" s="37"/>
      <c r="P913" s="37"/>
      <c r="Q913" s="37"/>
      <c r="R913" s="37"/>
      <c r="S913" s="37"/>
      <c r="T913" s="37"/>
      <c r="U913" s="37"/>
      <c r="V913" s="37"/>
      <c r="W913" s="37"/>
      <c r="X913" s="37"/>
      <c r="Y913" s="37"/>
      <c r="Z913" s="37"/>
    </row>
    <row r="914" spans="1:26" ht="12.5">
      <c r="A914" s="37"/>
      <c r="B914" s="151"/>
      <c r="C914" s="122"/>
      <c r="D914" s="122"/>
      <c r="E914" s="84"/>
      <c r="F914" s="77"/>
      <c r="G914" s="77"/>
      <c r="H914" s="37"/>
      <c r="I914" s="37"/>
      <c r="J914" s="37"/>
      <c r="K914" s="122"/>
      <c r="L914" s="37"/>
      <c r="M914" s="37"/>
      <c r="N914" s="139"/>
      <c r="O914" s="37"/>
      <c r="P914" s="37"/>
      <c r="Q914" s="37"/>
      <c r="R914" s="37"/>
      <c r="S914" s="37"/>
      <c r="T914" s="37"/>
      <c r="U914" s="37"/>
      <c r="V914" s="37"/>
      <c r="W914" s="37"/>
      <c r="X914" s="37"/>
      <c r="Y914" s="37"/>
      <c r="Z914" s="37"/>
    </row>
    <row r="915" spans="1:26" ht="12.5">
      <c r="A915" s="37"/>
      <c r="B915" s="151"/>
      <c r="C915" s="122"/>
      <c r="D915" s="122"/>
      <c r="E915" s="84"/>
      <c r="F915" s="77"/>
      <c r="G915" s="77"/>
      <c r="H915" s="37"/>
      <c r="I915" s="37"/>
      <c r="J915" s="37"/>
      <c r="K915" s="122"/>
      <c r="L915" s="37"/>
      <c r="M915" s="37"/>
      <c r="N915" s="139"/>
      <c r="O915" s="37"/>
      <c r="P915" s="37"/>
      <c r="Q915" s="37"/>
      <c r="R915" s="37"/>
      <c r="S915" s="37"/>
      <c r="T915" s="37"/>
      <c r="U915" s="37"/>
      <c r="V915" s="37"/>
      <c r="W915" s="37"/>
      <c r="X915" s="37"/>
      <c r="Y915" s="37"/>
      <c r="Z915" s="37"/>
    </row>
    <row r="916" spans="1:26" ht="12.5">
      <c r="A916" s="37"/>
      <c r="B916" s="151"/>
      <c r="C916" s="122"/>
      <c r="D916" s="122"/>
      <c r="E916" s="84"/>
      <c r="F916" s="77"/>
      <c r="G916" s="77"/>
      <c r="H916" s="37"/>
      <c r="I916" s="37"/>
      <c r="J916" s="37"/>
      <c r="K916" s="122"/>
      <c r="L916" s="37"/>
      <c r="M916" s="37"/>
      <c r="N916" s="139"/>
      <c r="O916" s="37"/>
      <c r="P916" s="37"/>
      <c r="Q916" s="37"/>
      <c r="R916" s="37"/>
      <c r="S916" s="37"/>
      <c r="T916" s="37"/>
      <c r="U916" s="37"/>
      <c r="V916" s="37"/>
      <c r="W916" s="37"/>
      <c r="X916" s="37"/>
      <c r="Y916" s="37"/>
      <c r="Z916" s="37"/>
    </row>
    <row r="917" spans="1:26" ht="12.5">
      <c r="A917" s="37"/>
      <c r="B917" s="151"/>
      <c r="C917" s="122"/>
      <c r="D917" s="122"/>
      <c r="E917" s="84"/>
      <c r="F917" s="77"/>
      <c r="G917" s="77"/>
      <c r="H917" s="37"/>
      <c r="I917" s="37"/>
      <c r="J917" s="37"/>
      <c r="K917" s="122"/>
      <c r="L917" s="37"/>
      <c r="M917" s="37"/>
      <c r="N917" s="139"/>
      <c r="O917" s="37"/>
      <c r="P917" s="37"/>
      <c r="Q917" s="37"/>
      <c r="R917" s="37"/>
      <c r="S917" s="37"/>
      <c r="T917" s="37"/>
      <c r="U917" s="37"/>
      <c r="V917" s="37"/>
      <c r="W917" s="37"/>
      <c r="X917" s="37"/>
      <c r="Y917" s="37"/>
      <c r="Z917" s="37"/>
    </row>
    <row r="918" spans="1:26" ht="12.5">
      <c r="A918" s="37"/>
      <c r="B918" s="151"/>
      <c r="C918" s="122"/>
      <c r="D918" s="122"/>
      <c r="E918" s="84"/>
      <c r="F918" s="77"/>
      <c r="G918" s="77"/>
      <c r="H918" s="37"/>
      <c r="I918" s="37"/>
      <c r="J918" s="37"/>
      <c r="K918" s="122"/>
      <c r="L918" s="37"/>
      <c r="M918" s="37"/>
      <c r="N918" s="139"/>
      <c r="O918" s="37"/>
      <c r="P918" s="37"/>
      <c r="Q918" s="37"/>
      <c r="R918" s="37"/>
      <c r="S918" s="37"/>
      <c r="T918" s="37"/>
      <c r="U918" s="37"/>
      <c r="V918" s="37"/>
      <c r="W918" s="37"/>
      <c r="X918" s="37"/>
      <c r="Y918" s="37"/>
      <c r="Z918" s="37"/>
    </row>
    <row r="919" spans="1:26" ht="12.5">
      <c r="A919" s="37"/>
      <c r="B919" s="151"/>
      <c r="C919" s="122"/>
      <c r="D919" s="122"/>
      <c r="E919" s="84"/>
      <c r="F919" s="77"/>
      <c r="G919" s="77"/>
      <c r="H919" s="37"/>
      <c r="I919" s="37"/>
      <c r="J919" s="37"/>
      <c r="K919" s="122"/>
      <c r="L919" s="37"/>
      <c r="M919" s="37"/>
      <c r="N919" s="139"/>
      <c r="O919" s="37"/>
      <c r="P919" s="37"/>
      <c r="Q919" s="37"/>
      <c r="R919" s="37"/>
      <c r="S919" s="37"/>
      <c r="T919" s="37"/>
      <c r="U919" s="37"/>
      <c r="V919" s="37"/>
      <c r="W919" s="37"/>
      <c r="X919" s="37"/>
      <c r="Y919" s="37"/>
      <c r="Z919" s="37"/>
    </row>
    <row r="920" spans="1:26" ht="12.5">
      <c r="A920" s="37"/>
      <c r="B920" s="151"/>
      <c r="C920" s="122"/>
      <c r="D920" s="122"/>
      <c r="E920" s="84"/>
      <c r="F920" s="77"/>
      <c r="G920" s="77"/>
      <c r="H920" s="37"/>
      <c r="I920" s="37"/>
      <c r="J920" s="37"/>
      <c r="K920" s="122"/>
      <c r="L920" s="37"/>
      <c r="M920" s="37"/>
      <c r="N920" s="139"/>
      <c r="O920" s="37"/>
      <c r="P920" s="37"/>
      <c r="Q920" s="37"/>
      <c r="R920" s="37"/>
      <c r="S920" s="37"/>
      <c r="T920" s="37"/>
      <c r="U920" s="37"/>
      <c r="V920" s="37"/>
      <c r="W920" s="37"/>
      <c r="X920" s="37"/>
      <c r="Y920" s="37"/>
      <c r="Z920" s="37"/>
    </row>
    <row r="921" spans="1:26" ht="12.5">
      <c r="A921" s="37"/>
      <c r="B921" s="151"/>
      <c r="C921" s="122"/>
      <c r="D921" s="122"/>
      <c r="E921" s="84"/>
      <c r="F921" s="77"/>
      <c r="G921" s="77"/>
      <c r="H921" s="37"/>
      <c r="I921" s="37"/>
      <c r="J921" s="37"/>
      <c r="K921" s="122"/>
      <c r="L921" s="37"/>
      <c r="M921" s="37"/>
      <c r="N921" s="139"/>
      <c r="O921" s="37"/>
      <c r="P921" s="37"/>
      <c r="Q921" s="37"/>
      <c r="R921" s="37"/>
      <c r="S921" s="37"/>
      <c r="T921" s="37"/>
      <c r="U921" s="37"/>
      <c r="V921" s="37"/>
      <c r="W921" s="37"/>
      <c r="X921" s="37"/>
      <c r="Y921" s="37"/>
      <c r="Z921" s="37"/>
    </row>
    <row r="922" spans="1:26" ht="12.5">
      <c r="A922" s="37"/>
      <c r="B922" s="151"/>
      <c r="C922" s="122"/>
      <c r="D922" s="122"/>
      <c r="E922" s="84"/>
      <c r="F922" s="77"/>
      <c r="G922" s="77"/>
      <c r="H922" s="37"/>
      <c r="I922" s="37"/>
      <c r="J922" s="37"/>
      <c r="K922" s="122"/>
      <c r="L922" s="37"/>
      <c r="M922" s="37"/>
      <c r="N922" s="139"/>
      <c r="O922" s="37"/>
      <c r="P922" s="37"/>
      <c r="Q922" s="37"/>
      <c r="R922" s="37"/>
      <c r="S922" s="37"/>
      <c r="T922" s="37"/>
      <c r="U922" s="37"/>
      <c r="V922" s="37"/>
      <c r="W922" s="37"/>
      <c r="X922" s="37"/>
      <c r="Y922" s="37"/>
      <c r="Z922" s="37"/>
    </row>
    <row r="923" spans="1:26" ht="12.5">
      <c r="A923" s="37"/>
      <c r="B923" s="151"/>
      <c r="C923" s="122"/>
      <c r="D923" s="122"/>
      <c r="E923" s="84"/>
      <c r="F923" s="77"/>
      <c r="G923" s="77"/>
      <c r="H923" s="37"/>
      <c r="I923" s="37"/>
      <c r="J923" s="37"/>
      <c r="K923" s="122"/>
      <c r="L923" s="37"/>
      <c r="M923" s="37"/>
      <c r="N923" s="139"/>
      <c r="O923" s="37"/>
      <c r="P923" s="37"/>
      <c r="Q923" s="37"/>
      <c r="R923" s="37"/>
      <c r="S923" s="37"/>
      <c r="T923" s="37"/>
      <c r="U923" s="37"/>
      <c r="V923" s="37"/>
      <c r="W923" s="37"/>
      <c r="X923" s="37"/>
      <c r="Y923" s="37"/>
      <c r="Z923" s="37"/>
    </row>
    <row r="924" spans="1:26" ht="12.5">
      <c r="A924" s="37"/>
      <c r="B924" s="151"/>
      <c r="C924" s="122"/>
      <c r="D924" s="122"/>
      <c r="E924" s="84"/>
      <c r="F924" s="77"/>
      <c r="G924" s="77"/>
      <c r="H924" s="37"/>
      <c r="I924" s="37"/>
      <c r="J924" s="37"/>
      <c r="K924" s="122"/>
      <c r="L924" s="37"/>
      <c r="M924" s="37"/>
      <c r="N924" s="139"/>
      <c r="O924" s="37"/>
      <c r="P924" s="37"/>
      <c r="Q924" s="37"/>
      <c r="R924" s="37"/>
      <c r="S924" s="37"/>
      <c r="T924" s="37"/>
      <c r="U924" s="37"/>
      <c r="V924" s="37"/>
      <c r="W924" s="37"/>
      <c r="X924" s="37"/>
      <c r="Y924" s="37"/>
      <c r="Z924" s="37"/>
    </row>
    <row r="925" spans="1:26" ht="12.5">
      <c r="A925" s="37"/>
      <c r="B925" s="151"/>
      <c r="C925" s="122"/>
      <c r="D925" s="122"/>
      <c r="E925" s="84"/>
      <c r="F925" s="77"/>
      <c r="G925" s="77"/>
      <c r="H925" s="37"/>
      <c r="I925" s="37"/>
      <c r="J925" s="37"/>
      <c r="K925" s="122"/>
      <c r="L925" s="37"/>
      <c r="M925" s="37"/>
      <c r="N925" s="139"/>
      <c r="O925" s="37"/>
      <c r="P925" s="37"/>
      <c r="Q925" s="37"/>
      <c r="R925" s="37"/>
      <c r="S925" s="37"/>
      <c r="T925" s="37"/>
      <c r="U925" s="37"/>
      <c r="V925" s="37"/>
      <c r="W925" s="37"/>
      <c r="X925" s="37"/>
      <c r="Y925" s="37"/>
      <c r="Z925" s="37"/>
    </row>
    <row r="926" spans="1:26" ht="12.5">
      <c r="A926" s="37"/>
      <c r="B926" s="151"/>
      <c r="C926" s="122"/>
      <c r="D926" s="122"/>
      <c r="E926" s="84"/>
      <c r="F926" s="77"/>
      <c r="G926" s="77"/>
      <c r="H926" s="37"/>
      <c r="I926" s="37"/>
      <c r="J926" s="37"/>
      <c r="K926" s="122"/>
      <c r="L926" s="37"/>
      <c r="M926" s="37"/>
      <c r="N926" s="139"/>
      <c r="O926" s="37"/>
      <c r="P926" s="37"/>
      <c r="Q926" s="37"/>
      <c r="R926" s="37"/>
      <c r="S926" s="37"/>
      <c r="T926" s="37"/>
      <c r="U926" s="37"/>
      <c r="V926" s="37"/>
      <c r="W926" s="37"/>
      <c r="X926" s="37"/>
      <c r="Y926" s="37"/>
      <c r="Z926" s="37"/>
    </row>
    <row r="927" spans="1:26" ht="12.5">
      <c r="A927" s="37"/>
      <c r="B927" s="151"/>
      <c r="C927" s="122"/>
      <c r="D927" s="122"/>
      <c r="E927" s="84"/>
      <c r="F927" s="77"/>
      <c r="G927" s="77"/>
      <c r="H927" s="37"/>
      <c r="I927" s="37"/>
      <c r="J927" s="37"/>
      <c r="K927" s="122"/>
      <c r="L927" s="37"/>
      <c r="M927" s="37"/>
      <c r="N927" s="139"/>
      <c r="O927" s="37"/>
      <c r="P927" s="37"/>
      <c r="Q927" s="37"/>
      <c r="R927" s="37"/>
      <c r="S927" s="37"/>
      <c r="T927" s="37"/>
      <c r="U927" s="37"/>
      <c r="V927" s="37"/>
      <c r="W927" s="37"/>
      <c r="X927" s="37"/>
      <c r="Y927" s="37"/>
      <c r="Z927" s="3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87"/>
  <sheetViews>
    <sheetView workbookViewId="0">
      <pane ySplit="1" topLeftCell="A13" activePane="bottomLeft" state="frozen"/>
      <selection pane="bottomLeft" activeCell="B15" sqref="B15"/>
    </sheetView>
  </sheetViews>
  <sheetFormatPr baseColWidth="10" defaultColWidth="12.6328125" defaultRowHeight="15.75" customHeight="1"/>
  <cols>
    <col min="1" max="3" width="29.36328125" customWidth="1"/>
    <col min="4" max="4" width="33" customWidth="1"/>
    <col min="5" max="10" width="29.36328125" customWidth="1"/>
    <col min="11" max="11" width="57.7265625" customWidth="1"/>
    <col min="12" max="22" width="29.36328125" customWidth="1"/>
    <col min="23" max="24" width="29.36328125" style="368" customWidth="1"/>
    <col min="25" max="26" width="29.36328125" customWidth="1"/>
  </cols>
  <sheetData>
    <row r="1" spans="1:26" ht="45.75" customHeight="1">
      <c r="A1" s="177" t="s">
        <v>0</v>
      </c>
      <c r="B1" s="178" t="s">
        <v>531</v>
      </c>
      <c r="C1" s="177" t="s">
        <v>538</v>
      </c>
      <c r="D1" s="177" t="s">
        <v>2</v>
      </c>
      <c r="E1" s="177" t="s">
        <v>3</v>
      </c>
      <c r="F1" s="179" t="s">
        <v>4</v>
      </c>
      <c r="G1" s="177" t="s">
        <v>721</v>
      </c>
      <c r="H1" s="177" t="s">
        <v>5</v>
      </c>
      <c r="I1" s="177" t="s">
        <v>655</v>
      </c>
      <c r="J1" s="177" t="s">
        <v>532</v>
      </c>
      <c r="K1" s="177" t="s">
        <v>7</v>
      </c>
      <c r="L1" s="177" t="s">
        <v>893</v>
      </c>
      <c r="M1" s="177" t="s">
        <v>10</v>
      </c>
      <c r="N1" s="177" t="s">
        <v>12</v>
      </c>
      <c r="O1" s="177" t="s">
        <v>13</v>
      </c>
      <c r="P1" s="177" t="s">
        <v>14</v>
      </c>
      <c r="Q1" s="177" t="s">
        <v>656</v>
      </c>
      <c r="R1" s="177" t="s">
        <v>657</v>
      </c>
      <c r="S1" s="177" t="s">
        <v>658</v>
      </c>
      <c r="T1" s="177" t="s">
        <v>659</v>
      </c>
      <c r="U1" s="123" t="s">
        <v>803</v>
      </c>
      <c r="V1" s="123"/>
      <c r="W1" s="77" t="s">
        <v>2583</v>
      </c>
      <c r="X1" s="77" t="s">
        <v>2670</v>
      </c>
      <c r="Y1" s="180"/>
      <c r="Z1" s="180"/>
    </row>
    <row r="2" spans="1:26" ht="69" customHeight="1">
      <c r="A2" s="181" t="s">
        <v>894</v>
      </c>
      <c r="B2" s="182">
        <v>320000</v>
      </c>
      <c r="C2" s="123" t="s">
        <v>895</v>
      </c>
      <c r="D2" s="123" t="s">
        <v>896</v>
      </c>
      <c r="E2" s="123" t="s">
        <v>897</v>
      </c>
      <c r="F2" s="183">
        <v>3106014893</v>
      </c>
      <c r="G2" s="123" t="s">
        <v>898</v>
      </c>
      <c r="H2" s="184" t="s">
        <v>540</v>
      </c>
      <c r="I2" s="185">
        <v>44844</v>
      </c>
      <c r="J2" s="128">
        <v>45264</v>
      </c>
      <c r="K2" s="123" t="s">
        <v>899</v>
      </c>
      <c r="L2" s="186">
        <v>45295</v>
      </c>
      <c r="M2" s="187" t="s">
        <v>900</v>
      </c>
      <c r="N2" s="188" t="s">
        <v>901</v>
      </c>
      <c r="O2" s="123" t="s">
        <v>902</v>
      </c>
      <c r="P2" s="123"/>
      <c r="Q2" s="130"/>
      <c r="R2" s="180"/>
      <c r="S2" s="123" t="s">
        <v>849</v>
      </c>
      <c r="T2" s="123" t="s">
        <v>773</v>
      </c>
      <c r="U2" s="123" t="s">
        <v>813</v>
      </c>
      <c r="V2" s="123" t="s">
        <v>814</v>
      </c>
      <c r="W2" s="123" t="s">
        <v>2573</v>
      </c>
      <c r="X2" s="77" t="s">
        <v>2573</v>
      </c>
      <c r="Y2" s="180"/>
      <c r="Z2" s="180"/>
    </row>
    <row r="3" spans="1:26" ht="45.75" customHeight="1">
      <c r="A3" s="181" t="s">
        <v>903</v>
      </c>
      <c r="B3" s="182">
        <v>260000</v>
      </c>
      <c r="C3" s="123" t="s">
        <v>568</v>
      </c>
      <c r="D3" s="189" t="s">
        <v>904</v>
      </c>
      <c r="E3" s="123" t="s">
        <v>905</v>
      </c>
      <c r="F3" s="181">
        <v>3218094751</v>
      </c>
      <c r="G3" s="123" t="s">
        <v>906</v>
      </c>
      <c r="H3" s="184" t="s">
        <v>540</v>
      </c>
      <c r="I3" s="190" t="s">
        <v>907</v>
      </c>
      <c r="J3" s="128">
        <v>45267</v>
      </c>
      <c r="K3" s="123" t="s">
        <v>908</v>
      </c>
      <c r="L3" s="186">
        <v>45298</v>
      </c>
      <c r="M3" s="180" t="s">
        <v>909</v>
      </c>
      <c r="N3" s="123" t="s">
        <v>910</v>
      </c>
      <c r="O3" s="123" t="s">
        <v>911</v>
      </c>
      <c r="P3" s="123" t="s">
        <v>912</v>
      </c>
      <c r="Q3" s="130" t="s">
        <v>764</v>
      </c>
      <c r="R3" s="180"/>
      <c r="S3" s="123" t="s">
        <v>849</v>
      </c>
      <c r="T3" s="123" t="s">
        <v>773</v>
      </c>
      <c r="U3" s="123" t="s">
        <v>813</v>
      </c>
      <c r="V3" s="123" t="s">
        <v>814</v>
      </c>
      <c r="W3" s="123" t="s">
        <v>2573</v>
      </c>
      <c r="X3" s="123" t="s">
        <v>2573</v>
      </c>
      <c r="Y3" s="180"/>
      <c r="Z3" s="180"/>
    </row>
    <row r="4" spans="1:26" ht="45.75" customHeight="1">
      <c r="A4" s="191" t="s">
        <v>913</v>
      </c>
      <c r="B4" s="182">
        <v>260000</v>
      </c>
      <c r="C4" s="123" t="s">
        <v>914</v>
      </c>
      <c r="D4" s="189" t="s">
        <v>915</v>
      </c>
      <c r="E4" s="123" t="s">
        <v>905</v>
      </c>
      <c r="F4" s="181">
        <v>3218094751</v>
      </c>
      <c r="G4" s="123" t="s">
        <v>906</v>
      </c>
      <c r="H4" s="184" t="s">
        <v>540</v>
      </c>
      <c r="I4" s="190" t="s">
        <v>907</v>
      </c>
      <c r="J4" s="128">
        <v>45267</v>
      </c>
      <c r="K4" s="123" t="s">
        <v>908</v>
      </c>
      <c r="L4" s="186">
        <v>45298</v>
      </c>
      <c r="M4" s="180" t="s">
        <v>909</v>
      </c>
      <c r="N4" s="123" t="s">
        <v>910</v>
      </c>
      <c r="O4" s="123" t="s">
        <v>911</v>
      </c>
      <c r="P4" s="123" t="s">
        <v>912</v>
      </c>
      <c r="Q4" s="130" t="s">
        <v>764</v>
      </c>
      <c r="R4" s="180"/>
      <c r="S4" s="123" t="s">
        <v>849</v>
      </c>
      <c r="T4" s="123" t="s">
        <v>773</v>
      </c>
      <c r="U4" s="123" t="s">
        <v>813</v>
      </c>
      <c r="V4" s="123" t="s">
        <v>814</v>
      </c>
      <c r="W4" s="123" t="s">
        <v>2573</v>
      </c>
      <c r="X4" s="123" t="s">
        <v>2573</v>
      </c>
      <c r="Y4" s="180"/>
      <c r="Z4" s="180"/>
    </row>
    <row r="5" spans="1:26" ht="59.25" customHeight="1">
      <c r="A5" s="192" t="s">
        <v>916</v>
      </c>
      <c r="B5" s="193">
        <v>420000</v>
      </c>
      <c r="C5" s="194" t="s">
        <v>597</v>
      </c>
      <c r="D5" s="194" t="s">
        <v>917</v>
      </c>
      <c r="E5" s="194" t="s">
        <v>918</v>
      </c>
      <c r="F5" s="189">
        <v>4480344</v>
      </c>
      <c r="G5" s="194" t="s">
        <v>919</v>
      </c>
      <c r="H5" s="184" t="s">
        <v>540</v>
      </c>
      <c r="I5" s="194" t="s">
        <v>920</v>
      </c>
      <c r="J5" s="128">
        <v>45275</v>
      </c>
      <c r="K5" s="194" t="s">
        <v>921</v>
      </c>
      <c r="L5" s="186">
        <v>45306</v>
      </c>
      <c r="M5" s="194" t="s">
        <v>922</v>
      </c>
      <c r="N5" s="194" t="s">
        <v>923</v>
      </c>
      <c r="O5" s="195" t="s">
        <v>924</v>
      </c>
      <c r="P5" s="194"/>
      <c r="Q5" s="196" t="s">
        <v>925</v>
      </c>
      <c r="R5" s="194"/>
      <c r="S5" s="194" t="s">
        <v>849</v>
      </c>
      <c r="T5" s="194" t="s">
        <v>773</v>
      </c>
      <c r="U5" s="194" t="s">
        <v>813</v>
      </c>
      <c r="V5" s="194" t="s">
        <v>814</v>
      </c>
      <c r="W5" s="194" t="s">
        <v>2574</v>
      </c>
      <c r="X5" s="194" t="s">
        <v>2681</v>
      </c>
      <c r="Y5" s="194"/>
      <c r="Z5" s="194"/>
    </row>
    <row r="6" spans="1:26" ht="57.75" customHeight="1">
      <c r="A6" s="123" t="s">
        <v>926</v>
      </c>
      <c r="B6" s="193">
        <v>420000</v>
      </c>
      <c r="C6" s="130" t="s">
        <v>833</v>
      </c>
      <c r="D6" s="123" t="s">
        <v>927</v>
      </c>
      <c r="E6" s="123" t="s">
        <v>928</v>
      </c>
      <c r="F6" s="197" t="s">
        <v>929</v>
      </c>
      <c r="G6" s="123" t="s">
        <v>930</v>
      </c>
      <c r="H6" s="184" t="s">
        <v>540</v>
      </c>
      <c r="I6" s="198">
        <v>45170</v>
      </c>
      <c r="J6" s="128">
        <v>45281</v>
      </c>
      <c r="K6" s="194" t="s">
        <v>931</v>
      </c>
      <c r="L6" s="186">
        <v>45312</v>
      </c>
      <c r="M6" s="123" t="s">
        <v>932</v>
      </c>
      <c r="N6" s="123" t="s">
        <v>809</v>
      </c>
      <c r="O6" s="123"/>
      <c r="P6" s="123"/>
      <c r="Q6" s="130" t="s">
        <v>925</v>
      </c>
      <c r="R6" s="123"/>
      <c r="S6" s="123" t="s">
        <v>858</v>
      </c>
      <c r="T6" s="123" t="s">
        <v>857</v>
      </c>
      <c r="U6" s="123" t="s">
        <v>813</v>
      </c>
      <c r="V6" s="123" t="s">
        <v>814</v>
      </c>
      <c r="W6" s="77" t="s">
        <v>2575</v>
      </c>
      <c r="X6" s="123" t="s">
        <v>2672</v>
      </c>
      <c r="Y6" s="123"/>
      <c r="Z6" s="123"/>
    </row>
    <row r="7" spans="1:26" ht="83.25" customHeight="1">
      <c r="A7" s="199" t="s">
        <v>680</v>
      </c>
      <c r="B7" s="193">
        <v>350000</v>
      </c>
      <c r="C7" s="194" t="s">
        <v>914</v>
      </c>
      <c r="D7" s="197" t="s">
        <v>683</v>
      </c>
      <c r="E7" s="194" t="s">
        <v>933</v>
      </c>
      <c r="F7" s="199">
        <v>3159284030</v>
      </c>
      <c r="G7" s="194" t="s">
        <v>934</v>
      </c>
      <c r="H7" s="184" t="s">
        <v>540</v>
      </c>
      <c r="I7" s="181" t="s">
        <v>907</v>
      </c>
      <c r="J7" s="128">
        <v>45281</v>
      </c>
      <c r="K7" s="194" t="s">
        <v>935</v>
      </c>
      <c r="L7" s="186">
        <v>45312</v>
      </c>
      <c r="M7" s="184" t="s">
        <v>932</v>
      </c>
      <c r="N7" s="184" t="s">
        <v>809</v>
      </c>
      <c r="O7" s="184"/>
      <c r="P7" s="194"/>
      <c r="Q7" s="196" t="s">
        <v>764</v>
      </c>
      <c r="R7" s="184"/>
      <c r="S7" s="184" t="s">
        <v>720</v>
      </c>
      <c r="T7" s="184" t="s">
        <v>720</v>
      </c>
      <c r="U7" s="194" t="s">
        <v>936</v>
      </c>
      <c r="V7" s="194" t="s">
        <v>814</v>
      </c>
      <c r="W7" s="194" t="s">
        <v>2576</v>
      </c>
      <c r="X7" s="194" t="s">
        <v>2637</v>
      </c>
      <c r="Y7" s="184"/>
      <c r="Z7" s="184"/>
    </row>
    <row r="8" spans="1:26" ht="45.75" customHeight="1">
      <c r="A8" s="200" t="s">
        <v>937</v>
      </c>
      <c r="B8" s="182">
        <v>510000</v>
      </c>
      <c r="C8" s="180" t="s">
        <v>580</v>
      </c>
      <c r="D8" s="201" t="s">
        <v>938</v>
      </c>
      <c r="E8" s="194" t="s">
        <v>939</v>
      </c>
      <c r="F8" s="189">
        <v>320922259</v>
      </c>
      <c r="G8" s="194" t="s">
        <v>940</v>
      </c>
      <c r="H8" s="184" t="s">
        <v>540</v>
      </c>
      <c r="I8" s="202">
        <v>44355</v>
      </c>
      <c r="J8" s="128">
        <v>45286</v>
      </c>
      <c r="K8" s="184" t="s">
        <v>941</v>
      </c>
      <c r="L8" s="186">
        <v>45317</v>
      </c>
      <c r="M8" s="203">
        <v>45292</v>
      </c>
      <c r="N8" s="123" t="s">
        <v>809</v>
      </c>
      <c r="O8" s="204" t="s">
        <v>942</v>
      </c>
      <c r="P8" s="123"/>
      <c r="Q8" s="130"/>
      <c r="R8" s="180"/>
      <c r="S8" s="180"/>
      <c r="T8" s="180"/>
      <c r="U8" s="180"/>
      <c r="V8" s="123"/>
      <c r="W8" s="123" t="s">
        <v>2573</v>
      </c>
      <c r="X8" s="77" t="s">
        <v>2573</v>
      </c>
      <c r="Y8" s="180"/>
      <c r="Z8" s="180"/>
    </row>
    <row r="9" spans="1:26" ht="45.75" customHeight="1">
      <c r="A9" s="201" t="s">
        <v>943</v>
      </c>
      <c r="B9" s="193">
        <v>400000</v>
      </c>
      <c r="C9" s="194" t="s">
        <v>944</v>
      </c>
      <c r="D9" s="201" t="s">
        <v>945</v>
      </c>
      <c r="E9" s="194" t="s">
        <v>946</v>
      </c>
      <c r="F9" s="189">
        <v>3137687165</v>
      </c>
      <c r="G9" s="194" t="s">
        <v>947</v>
      </c>
      <c r="H9" s="194" t="s">
        <v>540</v>
      </c>
      <c r="I9" s="194" t="s">
        <v>948</v>
      </c>
      <c r="J9" s="128">
        <v>45288</v>
      </c>
      <c r="K9" s="194" t="s">
        <v>949</v>
      </c>
      <c r="L9" s="186">
        <v>45319</v>
      </c>
      <c r="M9" s="205">
        <v>45292</v>
      </c>
      <c r="N9" s="194" t="s">
        <v>950</v>
      </c>
      <c r="O9" s="195" t="s">
        <v>951</v>
      </c>
      <c r="P9" s="194"/>
      <c r="Q9" s="196" t="s">
        <v>952</v>
      </c>
      <c r="R9" s="194"/>
      <c r="S9" s="194" t="s">
        <v>849</v>
      </c>
      <c r="T9" s="194" t="s">
        <v>773</v>
      </c>
      <c r="U9" s="194"/>
      <c r="V9" s="194" t="s">
        <v>953</v>
      </c>
      <c r="W9" s="194" t="s">
        <v>2577</v>
      </c>
      <c r="X9" s="194" t="s">
        <v>2594</v>
      </c>
      <c r="Y9" s="194"/>
      <c r="Z9" s="194"/>
    </row>
    <row r="10" spans="1:26" ht="54.75" customHeight="1">
      <c r="A10" s="199" t="s">
        <v>954</v>
      </c>
      <c r="B10" s="124">
        <v>348000</v>
      </c>
      <c r="C10" s="123" t="s">
        <v>604</v>
      </c>
      <c r="D10" s="194" t="s">
        <v>955</v>
      </c>
      <c r="E10" s="194" t="s">
        <v>956</v>
      </c>
      <c r="F10" s="199">
        <v>3102189947</v>
      </c>
      <c r="G10" s="194" t="s">
        <v>957</v>
      </c>
      <c r="H10" s="194" t="s">
        <v>540</v>
      </c>
      <c r="I10" s="206" t="s">
        <v>958</v>
      </c>
      <c r="J10" s="128">
        <v>45295</v>
      </c>
      <c r="K10" s="123" t="s">
        <v>959</v>
      </c>
      <c r="L10" s="186">
        <v>45326</v>
      </c>
      <c r="M10" s="123" t="s">
        <v>932</v>
      </c>
      <c r="N10" s="123" t="s">
        <v>809</v>
      </c>
      <c r="O10" s="123" t="s">
        <v>809</v>
      </c>
      <c r="P10" s="123"/>
      <c r="Q10" s="130" t="s">
        <v>764</v>
      </c>
      <c r="R10" s="123"/>
      <c r="S10" s="123" t="s">
        <v>960</v>
      </c>
      <c r="T10" s="123" t="s">
        <v>858</v>
      </c>
      <c r="U10" s="123" t="s">
        <v>813</v>
      </c>
      <c r="V10" s="123"/>
      <c r="W10" s="123" t="s">
        <v>2578</v>
      </c>
      <c r="X10" s="123" t="s">
        <v>2673</v>
      </c>
      <c r="Y10" s="123"/>
      <c r="Z10" s="123"/>
    </row>
    <row r="11" spans="1:26" ht="64.5" customHeight="1">
      <c r="A11" s="123">
        <v>900122541</v>
      </c>
      <c r="B11" s="124">
        <v>300000</v>
      </c>
      <c r="C11" s="130" t="s">
        <v>833</v>
      </c>
      <c r="D11" s="196" t="s">
        <v>961</v>
      </c>
      <c r="E11" s="194" t="s">
        <v>962</v>
      </c>
      <c r="F11" s="199">
        <v>3226114128</v>
      </c>
      <c r="G11" s="194" t="s">
        <v>963</v>
      </c>
      <c r="H11" s="194" t="s">
        <v>540</v>
      </c>
      <c r="I11" s="123" t="s">
        <v>964</v>
      </c>
      <c r="J11" s="128">
        <v>45295</v>
      </c>
      <c r="K11" s="123" t="s">
        <v>965</v>
      </c>
      <c r="L11" s="186">
        <v>45326</v>
      </c>
      <c r="M11" s="195" t="s">
        <v>966</v>
      </c>
      <c r="N11" s="123" t="s">
        <v>809</v>
      </c>
      <c r="O11" s="123" t="s">
        <v>809</v>
      </c>
      <c r="P11" s="123"/>
      <c r="Q11" s="130" t="s">
        <v>841</v>
      </c>
      <c r="R11" s="123"/>
      <c r="S11" s="130" t="s">
        <v>967</v>
      </c>
      <c r="T11" s="130" t="s">
        <v>968</v>
      </c>
      <c r="U11" s="123"/>
      <c r="V11" s="123"/>
      <c r="W11" s="77" t="s">
        <v>2579</v>
      </c>
      <c r="X11" s="123" t="s">
        <v>2673</v>
      </c>
      <c r="Y11" s="123"/>
      <c r="Z11" s="123"/>
    </row>
    <row r="12" spans="1:26" ht="73.5" customHeight="1">
      <c r="A12" s="180" t="s">
        <v>969</v>
      </c>
      <c r="B12" s="182">
        <v>116000</v>
      </c>
      <c r="C12" s="123" t="s">
        <v>637</v>
      </c>
      <c r="D12" s="201" t="s">
        <v>970</v>
      </c>
      <c r="E12" s="194" t="s">
        <v>971</v>
      </c>
      <c r="F12" s="199">
        <v>3113820413</v>
      </c>
      <c r="G12" s="194" t="s">
        <v>972</v>
      </c>
      <c r="H12" s="194" t="s">
        <v>540</v>
      </c>
      <c r="I12" s="203">
        <v>44655</v>
      </c>
      <c r="J12" s="128">
        <v>45288</v>
      </c>
      <c r="K12" s="123" t="s">
        <v>973</v>
      </c>
      <c r="L12" s="186">
        <v>45319</v>
      </c>
      <c r="M12" s="123" t="s">
        <v>974</v>
      </c>
      <c r="N12" s="180" t="s">
        <v>975</v>
      </c>
      <c r="O12" s="180"/>
      <c r="P12" s="123"/>
      <c r="Q12" s="130" t="s">
        <v>749</v>
      </c>
      <c r="R12" s="180"/>
      <c r="S12" s="180" t="s">
        <v>849</v>
      </c>
      <c r="T12" s="180" t="s">
        <v>773</v>
      </c>
      <c r="U12" s="123" t="s">
        <v>813</v>
      </c>
      <c r="V12" s="123" t="s">
        <v>814</v>
      </c>
      <c r="W12" s="123" t="s">
        <v>2580</v>
      </c>
      <c r="X12" s="123" t="s">
        <v>2681</v>
      </c>
      <c r="Y12" s="180"/>
      <c r="Z12" s="180"/>
    </row>
    <row r="13" spans="1:26" ht="75" customHeight="1">
      <c r="A13" s="184" t="s">
        <v>976</v>
      </c>
      <c r="B13" s="207">
        <v>150000</v>
      </c>
      <c r="C13" s="194" t="s">
        <v>580</v>
      </c>
      <c r="D13" s="194" t="s">
        <v>977</v>
      </c>
      <c r="E13" s="194" t="s">
        <v>978</v>
      </c>
      <c r="F13" s="208">
        <v>3143568364</v>
      </c>
      <c r="G13" s="194" t="s">
        <v>979</v>
      </c>
      <c r="H13" s="184" t="s">
        <v>540</v>
      </c>
      <c r="I13" s="194" t="s">
        <v>980</v>
      </c>
      <c r="J13" s="128">
        <v>45276</v>
      </c>
      <c r="K13" s="194" t="s">
        <v>981</v>
      </c>
      <c r="L13" s="186">
        <v>45307</v>
      </c>
      <c r="M13" s="194"/>
      <c r="N13" s="194" t="s">
        <v>901</v>
      </c>
      <c r="O13" s="194" t="s">
        <v>727</v>
      </c>
      <c r="P13" s="194"/>
      <c r="Q13" s="196" t="s">
        <v>982</v>
      </c>
      <c r="R13" s="194"/>
      <c r="S13" s="194" t="s">
        <v>983</v>
      </c>
      <c r="T13" s="194" t="s">
        <v>858</v>
      </c>
      <c r="U13" s="194" t="s">
        <v>813</v>
      </c>
      <c r="V13" s="194" t="s">
        <v>814</v>
      </c>
      <c r="W13" s="194" t="s">
        <v>2581</v>
      </c>
      <c r="X13" s="91" t="s">
        <v>2673</v>
      </c>
      <c r="Y13" s="194"/>
      <c r="Z13" s="194"/>
    </row>
    <row r="14" spans="1:26" ht="45.75" customHeight="1">
      <c r="A14" s="184" t="s">
        <v>984</v>
      </c>
      <c r="B14" s="182">
        <v>340444</v>
      </c>
      <c r="C14" s="180" t="s">
        <v>637</v>
      </c>
      <c r="D14" s="209" t="s">
        <v>985</v>
      </c>
      <c r="E14" s="180" t="s">
        <v>986</v>
      </c>
      <c r="F14" s="210">
        <v>7439638</v>
      </c>
      <c r="G14" s="180" t="s">
        <v>987</v>
      </c>
      <c r="H14" s="180" t="s">
        <v>540</v>
      </c>
      <c r="I14" s="180" t="s">
        <v>988</v>
      </c>
      <c r="J14" s="211" t="s">
        <v>989</v>
      </c>
      <c r="K14" s="91" t="s">
        <v>990</v>
      </c>
      <c r="L14" s="212"/>
      <c r="M14" s="180" t="s">
        <v>991</v>
      </c>
      <c r="N14" s="180" t="s">
        <v>950</v>
      </c>
      <c r="O14" s="180"/>
      <c r="P14" s="123"/>
      <c r="Q14" s="130" t="s">
        <v>992</v>
      </c>
      <c r="R14" s="180"/>
      <c r="S14" s="180"/>
      <c r="T14" s="180"/>
      <c r="U14" s="123" t="s">
        <v>813</v>
      </c>
      <c r="V14" s="194" t="s">
        <v>814</v>
      </c>
      <c r="W14" s="123" t="s">
        <v>2578</v>
      </c>
      <c r="X14" s="77" t="s">
        <v>2673</v>
      </c>
      <c r="Y14" s="180"/>
      <c r="Z14" s="180"/>
    </row>
    <row r="15" spans="1:26" ht="45.75" customHeight="1">
      <c r="A15" s="213" t="s">
        <v>993</v>
      </c>
      <c r="B15" s="214">
        <v>560000</v>
      </c>
      <c r="C15" s="180" t="s">
        <v>914</v>
      </c>
      <c r="D15" s="215" t="s">
        <v>994</v>
      </c>
      <c r="E15" s="180" t="s">
        <v>995</v>
      </c>
      <c r="F15" s="210" t="s">
        <v>996</v>
      </c>
      <c r="G15" s="180" t="s">
        <v>997</v>
      </c>
      <c r="H15" s="180" t="s">
        <v>540</v>
      </c>
      <c r="I15" s="180" t="s">
        <v>998</v>
      </c>
      <c r="J15" s="211" t="s">
        <v>999</v>
      </c>
      <c r="K15" s="91" t="s">
        <v>1000</v>
      </c>
      <c r="L15" s="212"/>
      <c r="M15" s="180" t="s">
        <v>991</v>
      </c>
      <c r="N15" s="180" t="s">
        <v>809</v>
      </c>
      <c r="O15" s="180"/>
      <c r="P15" s="123"/>
      <c r="Q15" s="130" t="s">
        <v>1001</v>
      </c>
      <c r="R15" s="180"/>
      <c r="S15" s="180"/>
      <c r="T15" s="180"/>
      <c r="U15" s="123" t="s">
        <v>813</v>
      </c>
      <c r="V15" s="194" t="s">
        <v>814</v>
      </c>
      <c r="W15" s="77" t="s">
        <v>2582</v>
      </c>
      <c r="X15" s="123" t="s">
        <v>2654</v>
      </c>
      <c r="Y15" s="180"/>
      <c r="Z15" s="180"/>
    </row>
    <row r="16" spans="1:26" ht="24.75" customHeight="1">
      <c r="A16" s="216"/>
      <c r="B16" s="217">
        <f>SUM(B2:B15)</f>
        <v>4754444</v>
      </c>
      <c r="C16" s="216"/>
      <c r="D16" s="216"/>
      <c r="E16" s="216"/>
      <c r="F16" s="218"/>
      <c r="G16" s="216"/>
      <c r="H16" s="216"/>
      <c r="I16" s="216"/>
      <c r="J16" s="216"/>
      <c r="K16" s="219"/>
      <c r="L16" s="216"/>
      <c r="M16" s="216"/>
      <c r="N16" s="216"/>
      <c r="O16" s="216"/>
      <c r="P16" s="216"/>
      <c r="Q16" s="216"/>
      <c r="R16" s="216"/>
      <c r="S16" s="216"/>
      <c r="T16" s="216"/>
      <c r="U16" s="216"/>
      <c r="V16" s="220"/>
      <c r="W16" s="220"/>
      <c r="X16" s="220"/>
      <c r="Y16" s="221"/>
      <c r="Z16" s="221"/>
    </row>
    <row r="17" spans="1:26" ht="24.75" customHeight="1">
      <c r="A17" s="222"/>
      <c r="B17" s="222"/>
      <c r="C17" s="222"/>
      <c r="D17" s="222"/>
      <c r="E17" s="222"/>
      <c r="F17" s="223"/>
      <c r="G17" s="222"/>
      <c r="H17" s="222"/>
      <c r="I17" s="222"/>
      <c r="J17" s="222"/>
      <c r="K17" s="215"/>
      <c r="L17" s="222"/>
      <c r="M17" s="222"/>
      <c r="N17" s="222"/>
      <c r="O17" s="222"/>
      <c r="P17" s="222"/>
      <c r="Q17" s="222"/>
      <c r="R17" s="222"/>
      <c r="S17" s="222"/>
      <c r="T17" s="222"/>
      <c r="U17" s="222"/>
      <c r="V17" s="194"/>
      <c r="W17" s="194"/>
      <c r="X17" s="194"/>
      <c r="Y17" s="184"/>
      <c r="Z17" s="184"/>
    </row>
    <row r="18" spans="1:26" ht="45.75" customHeight="1">
      <c r="A18" s="180"/>
      <c r="B18" s="124"/>
      <c r="C18" s="37"/>
      <c r="D18" s="224"/>
      <c r="E18" s="180"/>
      <c r="F18" s="225"/>
      <c r="G18" s="180"/>
      <c r="H18" s="180"/>
      <c r="I18" s="184"/>
      <c r="J18" s="211"/>
      <c r="K18" s="194"/>
      <c r="L18" s="212"/>
      <c r="M18" s="180"/>
      <c r="N18" s="180"/>
      <c r="O18" s="180"/>
      <c r="P18" s="123"/>
      <c r="Q18" s="130"/>
      <c r="R18" s="180"/>
      <c r="S18" s="180"/>
      <c r="T18" s="180"/>
      <c r="U18" s="123"/>
      <c r="V18" s="123"/>
      <c r="W18" s="123"/>
      <c r="X18" s="123"/>
      <c r="Y18" s="180"/>
      <c r="Z18" s="180"/>
    </row>
    <row r="19" spans="1:26" ht="81" customHeight="1">
      <c r="A19" s="180"/>
      <c r="B19" s="226"/>
      <c r="C19" s="180"/>
      <c r="D19" s="180"/>
      <c r="E19" s="180"/>
      <c r="F19" s="225"/>
      <c r="G19" s="180"/>
      <c r="H19" s="180"/>
      <c r="I19" s="180"/>
      <c r="J19" s="211"/>
      <c r="K19" s="194"/>
      <c r="L19" s="212"/>
      <c r="M19" s="180"/>
      <c r="N19" s="180"/>
      <c r="O19" s="180"/>
      <c r="P19" s="123"/>
      <c r="Q19" s="130"/>
      <c r="R19" s="180"/>
      <c r="S19" s="180"/>
      <c r="T19" s="180"/>
      <c r="U19" s="123"/>
      <c r="V19" s="123"/>
      <c r="W19" s="123"/>
      <c r="X19" s="123"/>
      <c r="Y19" s="180"/>
      <c r="Z19" s="180"/>
    </row>
    <row r="20" spans="1:26" ht="51.75" customHeight="1">
      <c r="A20" s="88"/>
      <c r="B20" s="88"/>
      <c r="C20" s="88"/>
      <c r="D20" s="88"/>
      <c r="E20" s="88"/>
      <c r="F20" s="227"/>
      <c r="G20" s="88"/>
      <c r="H20" s="88"/>
      <c r="I20" s="88"/>
      <c r="J20" s="184"/>
      <c r="K20" s="88"/>
      <c r="L20" s="88"/>
      <c r="M20" s="88"/>
      <c r="N20" s="88"/>
      <c r="O20" s="88"/>
      <c r="P20" s="88"/>
      <c r="Q20" s="88"/>
      <c r="R20" s="88"/>
      <c r="S20" s="88"/>
      <c r="T20" s="88"/>
      <c r="U20" s="88"/>
      <c r="V20" s="88"/>
      <c r="W20" s="90"/>
      <c r="X20" s="90"/>
      <c r="Y20" s="88"/>
      <c r="Z20" s="88"/>
    </row>
    <row r="21" spans="1:26" ht="45.75" customHeight="1">
      <c r="A21" s="180"/>
      <c r="B21" s="180"/>
      <c r="C21" s="180"/>
      <c r="D21" s="180"/>
      <c r="E21" s="180"/>
      <c r="F21" s="225"/>
      <c r="G21" s="180"/>
      <c r="H21" s="180"/>
      <c r="I21" s="180"/>
      <c r="J21" s="211"/>
      <c r="K21" s="180"/>
      <c r="L21" s="212"/>
      <c r="M21" s="180"/>
      <c r="N21" s="180"/>
      <c r="O21" s="180"/>
      <c r="P21" s="123"/>
      <c r="Q21" s="130"/>
      <c r="R21" s="180"/>
      <c r="S21" s="180"/>
      <c r="T21" s="180"/>
      <c r="U21" s="180"/>
      <c r="V21" s="123"/>
      <c r="W21" s="123"/>
      <c r="X21" s="123"/>
      <c r="Y21" s="180"/>
      <c r="Z21" s="180"/>
    </row>
    <row r="22" spans="1:26" ht="45.75" customHeight="1">
      <c r="A22" s="180"/>
      <c r="B22" s="180"/>
      <c r="C22" s="180"/>
      <c r="D22" s="180"/>
      <c r="E22" s="180"/>
      <c r="F22" s="225"/>
      <c r="G22" s="180"/>
      <c r="H22" s="180"/>
      <c r="I22" s="180"/>
      <c r="J22" s="211"/>
      <c r="K22" s="180"/>
      <c r="L22" s="212"/>
      <c r="M22" s="180"/>
      <c r="N22" s="180"/>
      <c r="O22" s="180"/>
      <c r="P22" s="123"/>
      <c r="Q22" s="130"/>
      <c r="R22" s="180"/>
      <c r="S22" s="180"/>
      <c r="T22" s="180"/>
      <c r="U22" s="180"/>
      <c r="V22" s="123"/>
      <c r="W22" s="123"/>
      <c r="X22" s="123"/>
      <c r="Y22" s="180"/>
      <c r="Z22" s="180"/>
    </row>
    <row r="23" spans="1:26" ht="45.75" customHeight="1">
      <c r="A23" s="180"/>
      <c r="B23" s="180"/>
      <c r="C23" s="180"/>
      <c r="D23" s="180"/>
      <c r="E23" s="180"/>
      <c r="F23" s="225"/>
      <c r="G23" s="180"/>
      <c r="H23" s="180"/>
      <c r="I23" s="180"/>
      <c r="J23" s="211"/>
      <c r="K23" s="180"/>
      <c r="L23" s="212"/>
      <c r="M23" s="180"/>
      <c r="N23" s="180"/>
      <c r="O23" s="180"/>
      <c r="P23" s="123"/>
      <c r="Q23" s="130"/>
      <c r="R23" s="180"/>
      <c r="S23" s="180"/>
      <c r="T23" s="180"/>
      <c r="U23" s="180"/>
      <c r="V23" s="123"/>
      <c r="W23" s="123"/>
      <c r="X23" s="123"/>
      <c r="Y23" s="180"/>
      <c r="Z23" s="180"/>
    </row>
    <row r="24" spans="1:26" ht="45.75" customHeight="1">
      <c r="A24" s="180"/>
      <c r="B24" s="180"/>
      <c r="C24" s="180"/>
      <c r="D24" s="180"/>
      <c r="E24" s="180"/>
      <c r="F24" s="225"/>
      <c r="G24" s="180"/>
      <c r="H24" s="180"/>
      <c r="I24" s="180"/>
      <c r="J24" s="211"/>
      <c r="K24" s="180"/>
      <c r="L24" s="212"/>
      <c r="M24" s="180"/>
      <c r="N24" s="180"/>
      <c r="O24" s="180"/>
      <c r="P24" s="123"/>
      <c r="Q24" s="130"/>
      <c r="R24" s="180"/>
      <c r="S24" s="180"/>
      <c r="T24" s="180"/>
      <c r="U24" s="180"/>
      <c r="V24" s="123"/>
      <c r="W24" s="123"/>
      <c r="X24" s="123"/>
      <c r="Y24" s="180"/>
      <c r="Z24" s="180"/>
    </row>
    <row r="25" spans="1:26" ht="45.75" customHeight="1">
      <c r="A25" s="180"/>
      <c r="B25" s="180"/>
      <c r="C25" s="180"/>
      <c r="D25" s="180"/>
      <c r="E25" s="180"/>
      <c r="F25" s="225"/>
      <c r="G25" s="180"/>
      <c r="H25" s="180"/>
      <c r="I25" s="180"/>
      <c r="J25" s="211"/>
      <c r="K25" s="180"/>
      <c r="L25" s="212"/>
      <c r="M25" s="180"/>
      <c r="N25" s="180"/>
      <c r="O25" s="180"/>
      <c r="P25" s="123"/>
      <c r="Q25" s="130"/>
      <c r="R25" s="180"/>
      <c r="S25" s="180"/>
      <c r="T25" s="180"/>
      <c r="U25" s="180"/>
      <c r="V25" s="123"/>
      <c r="W25" s="123"/>
      <c r="X25" s="123"/>
      <c r="Y25" s="180"/>
      <c r="Z25" s="180"/>
    </row>
    <row r="26" spans="1:26" ht="45.75" customHeight="1">
      <c r="A26" s="180"/>
      <c r="B26" s="180"/>
      <c r="C26" s="180"/>
      <c r="D26" s="180"/>
      <c r="E26" s="180"/>
      <c r="F26" s="225"/>
      <c r="G26" s="180"/>
      <c r="H26" s="180"/>
      <c r="I26" s="180"/>
      <c r="J26" s="211"/>
      <c r="K26" s="180"/>
      <c r="L26" s="212"/>
      <c r="M26" s="180"/>
      <c r="N26" s="180"/>
      <c r="O26" s="180"/>
      <c r="P26" s="123"/>
      <c r="Q26" s="130"/>
      <c r="R26" s="180"/>
      <c r="S26" s="180"/>
      <c r="T26" s="180"/>
      <c r="U26" s="180"/>
      <c r="V26" s="123"/>
      <c r="W26" s="123"/>
      <c r="X26" s="123"/>
      <c r="Y26" s="180"/>
      <c r="Z26" s="180"/>
    </row>
    <row r="27" spans="1:26" ht="45.75" customHeight="1">
      <c r="A27" s="180"/>
      <c r="B27" s="180"/>
      <c r="C27" s="180"/>
      <c r="D27" s="180"/>
      <c r="E27" s="180"/>
      <c r="F27" s="225"/>
      <c r="G27" s="180"/>
      <c r="H27" s="180"/>
      <c r="I27" s="180"/>
      <c r="J27" s="211"/>
      <c r="K27" s="180"/>
      <c r="L27" s="212"/>
      <c r="M27" s="180"/>
      <c r="N27" s="180"/>
      <c r="O27" s="180"/>
      <c r="P27" s="123"/>
      <c r="Q27" s="130"/>
      <c r="R27" s="180"/>
      <c r="S27" s="180"/>
      <c r="T27" s="180"/>
      <c r="U27" s="180"/>
      <c r="V27" s="123"/>
      <c r="W27" s="123"/>
      <c r="X27" s="123"/>
      <c r="Y27" s="180"/>
      <c r="Z27" s="180"/>
    </row>
    <row r="28" spans="1:26" ht="45.75" customHeight="1">
      <c r="A28" s="180"/>
      <c r="B28" s="180"/>
      <c r="C28" s="180"/>
      <c r="D28" s="180"/>
      <c r="E28" s="180"/>
      <c r="F28" s="225"/>
      <c r="G28" s="180"/>
      <c r="H28" s="180"/>
      <c r="I28" s="180"/>
      <c r="J28" s="211"/>
      <c r="K28" s="180"/>
      <c r="L28" s="212"/>
      <c r="M28" s="180"/>
      <c r="N28" s="180"/>
      <c r="O28" s="180"/>
      <c r="P28" s="123"/>
      <c r="Q28" s="130"/>
      <c r="R28" s="180"/>
      <c r="S28" s="180"/>
      <c r="T28" s="180"/>
      <c r="U28" s="180"/>
      <c r="V28" s="123"/>
      <c r="W28" s="123"/>
      <c r="X28" s="123"/>
      <c r="Y28" s="180"/>
      <c r="Z28" s="180"/>
    </row>
    <row r="29" spans="1:26" ht="45.75" customHeight="1">
      <c r="A29" s="180"/>
      <c r="B29" s="180"/>
      <c r="C29" s="180"/>
      <c r="D29" s="180"/>
      <c r="E29" s="180"/>
      <c r="F29" s="225"/>
      <c r="G29" s="180"/>
      <c r="H29" s="180"/>
      <c r="I29" s="180"/>
      <c r="J29" s="211"/>
      <c r="K29" s="180"/>
      <c r="L29" s="212"/>
      <c r="M29" s="180"/>
      <c r="N29" s="180"/>
      <c r="O29" s="180"/>
      <c r="P29" s="123"/>
      <c r="Q29" s="130"/>
      <c r="R29" s="180"/>
      <c r="S29" s="180"/>
      <c r="T29" s="180"/>
      <c r="U29" s="180"/>
      <c r="V29" s="123"/>
      <c r="W29" s="123"/>
      <c r="X29" s="123"/>
      <c r="Y29" s="180"/>
      <c r="Z29" s="180"/>
    </row>
    <row r="30" spans="1:26" ht="45.75" customHeight="1">
      <c r="A30" s="180"/>
      <c r="B30" s="180"/>
      <c r="C30" s="180"/>
      <c r="D30" s="180"/>
      <c r="E30" s="180"/>
      <c r="F30" s="225"/>
      <c r="G30" s="180"/>
      <c r="H30" s="180"/>
      <c r="I30" s="180"/>
      <c r="J30" s="211"/>
      <c r="K30" s="180"/>
      <c r="L30" s="212"/>
      <c r="M30" s="180"/>
      <c r="N30" s="180"/>
      <c r="O30" s="180"/>
      <c r="P30" s="123"/>
      <c r="Q30" s="130"/>
      <c r="R30" s="180"/>
      <c r="S30" s="180"/>
      <c r="T30" s="180"/>
      <c r="U30" s="180"/>
      <c r="V30" s="123"/>
      <c r="W30" s="123"/>
      <c r="X30" s="123"/>
      <c r="Y30" s="180"/>
      <c r="Z30" s="180"/>
    </row>
    <row r="31" spans="1:26" ht="45.75" customHeight="1">
      <c r="A31" s="180"/>
      <c r="B31" s="180"/>
      <c r="C31" s="180"/>
      <c r="D31" s="180"/>
      <c r="E31" s="180"/>
      <c r="F31" s="225"/>
      <c r="G31" s="180"/>
      <c r="H31" s="180"/>
      <c r="I31" s="180"/>
      <c r="J31" s="211"/>
      <c r="K31" s="180"/>
      <c r="L31" s="212"/>
      <c r="M31" s="180"/>
      <c r="N31" s="180"/>
      <c r="O31" s="180"/>
      <c r="P31" s="123"/>
      <c r="Q31" s="130"/>
      <c r="R31" s="180"/>
      <c r="S31" s="180"/>
      <c r="T31" s="180"/>
      <c r="U31" s="180"/>
      <c r="V31" s="123"/>
      <c r="W31" s="123"/>
      <c r="X31" s="123"/>
      <c r="Y31" s="180"/>
      <c r="Z31" s="180"/>
    </row>
    <row r="32" spans="1:26" ht="12.5">
      <c r="A32" s="37"/>
      <c r="B32" s="37"/>
      <c r="C32" s="37"/>
      <c r="D32" s="37"/>
      <c r="E32" s="37"/>
      <c r="F32" s="228"/>
      <c r="G32" s="37"/>
      <c r="H32" s="37"/>
      <c r="I32" s="37"/>
      <c r="J32" s="229"/>
      <c r="K32" s="37"/>
      <c r="L32" s="230"/>
      <c r="M32" s="37"/>
      <c r="N32" s="37"/>
      <c r="O32" s="37"/>
      <c r="P32" s="37"/>
      <c r="Q32" s="37"/>
      <c r="R32" s="37"/>
      <c r="S32" s="37"/>
      <c r="T32" s="37"/>
      <c r="U32" s="37"/>
      <c r="V32" s="37"/>
      <c r="W32" s="122"/>
      <c r="X32" s="122"/>
      <c r="Y32" s="37"/>
      <c r="Z32" s="37"/>
    </row>
    <row r="33" spans="1:26" ht="45.75" customHeight="1">
      <c r="A33" s="180"/>
      <c r="B33" s="180"/>
      <c r="C33" s="180"/>
      <c r="D33" s="180"/>
      <c r="E33" s="180"/>
      <c r="F33" s="225"/>
      <c r="G33" s="180"/>
      <c r="H33" s="180"/>
      <c r="I33" s="180"/>
      <c r="J33" s="211"/>
      <c r="K33" s="180"/>
      <c r="L33" s="212"/>
      <c r="M33" s="180"/>
      <c r="N33" s="180"/>
      <c r="O33" s="180"/>
      <c r="P33" s="123"/>
      <c r="Q33" s="130"/>
      <c r="R33" s="180"/>
      <c r="S33" s="180"/>
      <c r="T33" s="180"/>
      <c r="U33" s="180"/>
      <c r="V33" s="123"/>
      <c r="W33" s="123"/>
      <c r="X33" s="123"/>
      <c r="Y33" s="180"/>
      <c r="Z33" s="180"/>
    </row>
    <row r="34" spans="1:26" ht="45.75" customHeight="1">
      <c r="A34" s="180"/>
      <c r="B34" s="180"/>
      <c r="C34" s="180"/>
      <c r="D34" s="180"/>
      <c r="E34" s="180"/>
      <c r="F34" s="225"/>
      <c r="G34" s="180"/>
      <c r="H34" s="180"/>
      <c r="I34" s="180"/>
      <c r="J34" s="211"/>
      <c r="K34" s="180"/>
      <c r="L34" s="212"/>
      <c r="M34" s="180"/>
      <c r="N34" s="180"/>
      <c r="O34" s="180"/>
      <c r="P34" s="123"/>
      <c r="Q34" s="130"/>
      <c r="R34" s="180"/>
      <c r="S34" s="180"/>
      <c r="T34" s="180"/>
      <c r="U34" s="180"/>
      <c r="V34" s="123"/>
      <c r="W34" s="123"/>
      <c r="X34" s="123"/>
      <c r="Y34" s="180"/>
      <c r="Z34" s="180"/>
    </row>
    <row r="35" spans="1:26" ht="45.75" customHeight="1">
      <c r="A35" s="180"/>
      <c r="B35" s="180"/>
      <c r="C35" s="180"/>
      <c r="D35" s="180"/>
      <c r="E35" s="180"/>
      <c r="F35" s="225"/>
      <c r="G35" s="180"/>
      <c r="H35" s="180"/>
      <c r="I35" s="180"/>
      <c r="J35" s="211"/>
      <c r="K35" s="180"/>
      <c r="L35" s="212"/>
      <c r="M35" s="180"/>
      <c r="N35" s="180"/>
      <c r="O35" s="180"/>
      <c r="P35" s="123"/>
      <c r="Q35" s="130"/>
      <c r="R35" s="180"/>
      <c r="S35" s="180"/>
      <c r="T35" s="180"/>
      <c r="U35" s="180"/>
      <c r="V35" s="123"/>
      <c r="W35" s="123"/>
      <c r="X35" s="123"/>
      <c r="Y35" s="180"/>
      <c r="Z35" s="180"/>
    </row>
    <row r="36" spans="1:26" ht="45.75" customHeight="1">
      <c r="A36" s="180"/>
      <c r="B36" s="180"/>
      <c r="C36" s="180"/>
      <c r="D36" s="180"/>
      <c r="E36" s="180"/>
      <c r="F36" s="225"/>
      <c r="G36" s="180"/>
      <c r="H36" s="180"/>
      <c r="I36" s="180"/>
      <c r="J36" s="211"/>
      <c r="K36" s="180"/>
      <c r="L36" s="212"/>
      <c r="M36" s="180"/>
      <c r="N36" s="180"/>
      <c r="O36" s="180"/>
      <c r="P36" s="123"/>
      <c r="Q36" s="130"/>
      <c r="R36" s="180"/>
      <c r="S36" s="180"/>
      <c r="T36" s="180"/>
      <c r="U36" s="180"/>
      <c r="V36" s="123"/>
      <c r="W36" s="123"/>
      <c r="X36" s="123"/>
      <c r="Y36" s="180"/>
      <c r="Z36" s="180"/>
    </row>
    <row r="37" spans="1:26" ht="45.75" customHeight="1">
      <c r="A37" s="180"/>
      <c r="B37" s="180"/>
      <c r="C37" s="180"/>
      <c r="D37" s="180"/>
      <c r="E37" s="180"/>
      <c r="F37" s="225"/>
      <c r="G37" s="180"/>
      <c r="H37" s="180"/>
      <c r="I37" s="180"/>
      <c r="J37" s="211"/>
      <c r="K37" s="180"/>
      <c r="L37" s="212"/>
      <c r="M37" s="180"/>
      <c r="N37" s="180"/>
      <c r="O37" s="180"/>
      <c r="P37" s="123"/>
      <c r="Q37" s="130"/>
      <c r="R37" s="180"/>
      <c r="S37" s="180"/>
      <c r="T37" s="180"/>
      <c r="U37" s="180"/>
      <c r="V37" s="123"/>
      <c r="W37" s="123"/>
      <c r="X37" s="123"/>
      <c r="Y37" s="180"/>
      <c r="Z37" s="180"/>
    </row>
    <row r="38" spans="1:26" ht="45.75" customHeight="1">
      <c r="A38" s="180"/>
      <c r="B38" s="180"/>
      <c r="C38" s="180"/>
      <c r="D38" s="180"/>
      <c r="E38" s="180"/>
      <c r="F38" s="225"/>
      <c r="G38" s="180"/>
      <c r="H38" s="180"/>
      <c r="I38" s="180"/>
      <c r="J38" s="211"/>
      <c r="K38" s="180"/>
      <c r="L38" s="212"/>
      <c r="M38" s="180"/>
      <c r="N38" s="180"/>
      <c r="O38" s="180"/>
      <c r="P38" s="123"/>
      <c r="Q38" s="130"/>
      <c r="R38" s="180"/>
      <c r="S38" s="180"/>
      <c r="T38" s="180"/>
      <c r="U38" s="180"/>
      <c r="V38" s="123"/>
      <c r="W38" s="123"/>
      <c r="X38" s="123"/>
      <c r="Y38" s="180"/>
      <c r="Z38" s="180"/>
    </row>
    <row r="39" spans="1:26" ht="45.75" customHeight="1">
      <c r="A39" s="180"/>
      <c r="B39" s="180"/>
      <c r="C39" s="180"/>
      <c r="D39" s="180"/>
      <c r="E39" s="180"/>
      <c r="F39" s="225"/>
      <c r="G39" s="180"/>
      <c r="H39" s="180"/>
      <c r="I39" s="180"/>
      <c r="J39" s="211"/>
      <c r="K39" s="180"/>
      <c r="L39" s="212"/>
      <c r="M39" s="180"/>
      <c r="N39" s="180"/>
      <c r="O39" s="180"/>
      <c r="P39" s="123"/>
      <c r="Q39" s="130"/>
      <c r="R39" s="180"/>
      <c r="S39" s="180"/>
      <c r="T39" s="180"/>
      <c r="U39" s="180"/>
      <c r="V39" s="123"/>
      <c r="W39" s="123"/>
      <c r="X39" s="123"/>
      <c r="Y39" s="180"/>
      <c r="Z39" s="180"/>
    </row>
    <row r="40" spans="1:26" ht="45.75" customHeight="1">
      <c r="A40" s="180"/>
      <c r="B40" s="180"/>
      <c r="C40" s="180"/>
      <c r="D40" s="180"/>
      <c r="E40" s="180"/>
      <c r="F40" s="225"/>
      <c r="G40" s="180"/>
      <c r="H40" s="180"/>
      <c r="I40" s="180"/>
      <c r="J40" s="211"/>
      <c r="K40" s="180"/>
      <c r="L40" s="212"/>
      <c r="M40" s="180"/>
      <c r="N40" s="180"/>
      <c r="O40" s="180"/>
      <c r="P40" s="123"/>
      <c r="Q40" s="130"/>
      <c r="R40" s="180"/>
      <c r="S40" s="180"/>
      <c r="T40" s="180"/>
      <c r="U40" s="180"/>
      <c r="V40" s="123"/>
      <c r="W40" s="123"/>
      <c r="X40" s="123"/>
      <c r="Y40" s="180"/>
      <c r="Z40" s="180"/>
    </row>
    <row r="41" spans="1:26" ht="45.75" customHeight="1">
      <c r="A41" s="180"/>
      <c r="B41" s="180"/>
      <c r="C41" s="180"/>
      <c r="D41" s="180"/>
      <c r="E41" s="180"/>
      <c r="F41" s="225"/>
      <c r="G41" s="180"/>
      <c r="H41" s="180"/>
      <c r="I41" s="180"/>
      <c r="J41" s="211"/>
      <c r="K41" s="180"/>
      <c r="L41" s="212"/>
      <c r="M41" s="180"/>
      <c r="N41" s="180"/>
      <c r="O41" s="180"/>
      <c r="P41" s="123"/>
      <c r="Q41" s="130"/>
      <c r="R41" s="180"/>
      <c r="S41" s="180"/>
      <c r="T41" s="180"/>
      <c r="U41" s="180"/>
      <c r="V41" s="123"/>
      <c r="W41" s="123"/>
      <c r="X41" s="123"/>
      <c r="Y41" s="180"/>
      <c r="Z41" s="180"/>
    </row>
    <row r="42" spans="1:26" ht="45.75" customHeight="1">
      <c r="A42" s="180"/>
      <c r="B42" s="180"/>
      <c r="C42" s="180"/>
      <c r="D42" s="180"/>
      <c r="E42" s="180"/>
      <c r="F42" s="225"/>
      <c r="G42" s="180"/>
      <c r="H42" s="180"/>
      <c r="I42" s="180"/>
      <c r="J42" s="211"/>
      <c r="K42" s="180"/>
      <c r="L42" s="212"/>
      <c r="M42" s="180"/>
      <c r="N42" s="180"/>
      <c r="O42" s="180"/>
      <c r="P42" s="123"/>
      <c r="Q42" s="130"/>
      <c r="R42" s="180"/>
      <c r="S42" s="180"/>
      <c r="T42" s="180"/>
      <c r="U42" s="180"/>
      <c r="V42" s="123"/>
      <c r="W42" s="123"/>
      <c r="X42" s="123"/>
      <c r="Y42" s="180"/>
      <c r="Z42" s="180"/>
    </row>
    <row r="43" spans="1:26" ht="45.75" customHeight="1">
      <c r="A43" s="180"/>
      <c r="B43" s="180"/>
      <c r="C43" s="180"/>
      <c r="D43" s="180"/>
      <c r="E43" s="180"/>
      <c r="F43" s="225"/>
      <c r="G43" s="180"/>
      <c r="H43" s="180"/>
      <c r="I43" s="180"/>
      <c r="J43" s="211"/>
      <c r="K43" s="180"/>
      <c r="L43" s="212"/>
      <c r="M43" s="180"/>
      <c r="N43" s="180"/>
      <c r="O43" s="180"/>
      <c r="P43" s="123"/>
      <c r="Q43" s="130"/>
      <c r="R43" s="180"/>
      <c r="S43" s="180"/>
      <c r="T43" s="180"/>
      <c r="U43" s="180"/>
      <c r="V43" s="123"/>
      <c r="W43" s="123"/>
      <c r="X43" s="123"/>
      <c r="Y43" s="180"/>
      <c r="Z43" s="180"/>
    </row>
    <row r="44" spans="1:26" ht="45.75" customHeight="1">
      <c r="A44" s="180"/>
      <c r="B44" s="180"/>
      <c r="C44" s="180"/>
      <c r="D44" s="180"/>
      <c r="E44" s="180"/>
      <c r="F44" s="225"/>
      <c r="G44" s="180"/>
      <c r="H44" s="180"/>
      <c r="I44" s="180"/>
      <c r="J44" s="211"/>
      <c r="K44" s="180"/>
      <c r="L44" s="212"/>
      <c r="M44" s="180"/>
      <c r="N44" s="180"/>
      <c r="O44" s="180"/>
      <c r="P44" s="123"/>
      <c r="Q44" s="130"/>
      <c r="R44" s="180"/>
      <c r="S44" s="180"/>
      <c r="T44" s="180"/>
      <c r="U44" s="180"/>
      <c r="V44" s="123"/>
      <c r="W44" s="123"/>
      <c r="X44" s="123"/>
      <c r="Y44" s="180"/>
      <c r="Z44" s="180"/>
    </row>
    <row r="45" spans="1:26" ht="45.75" customHeight="1">
      <c r="A45" s="180"/>
      <c r="B45" s="180"/>
      <c r="C45" s="180"/>
      <c r="D45" s="180"/>
      <c r="E45" s="180"/>
      <c r="F45" s="225"/>
      <c r="G45" s="180"/>
      <c r="H45" s="180"/>
      <c r="I45" s="180"/>
      <c r="J45" s="211"/>
      <c r="K45" s="180"/>
      <c r="L45" s="212"/>
      <c r="M45" s="180"/>
      <c r="N45" s="180"/>
      <c r="O45" s="180"/>
      <c r="P45" s="123"/>
      <c r="Q45" s="130"/>
      <c r="R45" s="180"/>
      <c r="S45" s="180"/>
      <c r="T45" s="180"/>
      <c r="U45" s="180"/>
      <c r="V45" s="123"/>
      <c r="W45" s="123"/>
      <c r="X45" s="123"/>
      <c r="Y45" s="180"/>
      <c r="Z45" s="180"/>
    </row>
    <row r="46" spans="1:26" ht="45.75" customHeight="1">
      <c r="A46" s="180"/>
      <c r="B46" s="180"/>
      <c r="C46" s="180"/>
      <c r="D46" s="180"/>
      <c r="E46" s="180"/>
      <c r="F46" s="225"/>
      <c r="G46" s="180"/>
      <c r="H46" s="180"/>
      <c r="I46" s="180"/>
      <c r="J46" s="211"/>
      <c r="K46" s="180"/>
      <c r="L46" s="212"/>
      <c r="M46" s="180"/>
      <c r="N46" s="180"/>
      <c r="O46" s="180"/>
      <c r="P46" s="123"/>
      <c r="Q46" s="130"/>
      <c r="R46" s="180"/>
      <c r="S46" s="180"/>
      <c r="T46" s="180"/>
      <c r="U46" s="180"/>
      <c r="V46" s="123"/>
      <c r="W46" s="123"/>
      <c r="X46" s="123"/>
      <c r="Y46" s="180"/>
      <c r="Z46" s="180"/>
    </row>
    <row r="47" spans="1:26" ht="45.75" customHeight="1">
      <c r="A47" s="180"/>
      <c r="B47" s="180"/>
      <c r="C47" s="180"/>
      <c r="D47" s="180"/>
      <c r="E47" s="180"/>
      <c r="F47" s="225"/>
      <c r="G47" s="180"/>
      <c r="H47" s="180"/>
      <c r="I47" s="180"/>
      <c r="J47" s="211"/>
      <c r="K47" s="180"/>
      <c r="L47" s="212"/>
      <c r="M47" s="180"/>
      <c r="N47" s="180"/>
      <c r="O47" s="180"/>
      <c r="P47" s="123"/>
      <c r="Q47" s="130"/>
      <c r="R47" s="180"/>
      <c r="S47" s="180"/>
      <c r="T47" s="180"/>
      <c r="U47" s="180"/>
      <c r="V47" s="123"/>
      <c r="W47" s="123"/>
      <c r="X47" s="123"/>
      <c r="Y47" s="180"/>
      <c r="Z47" s="180"/>
    </row>
    <row r="48" spans="1:26" ht="45.75" customHeight="1">
      <c r="A48" s="180"/>
      <c r="B48" s="180"/>
      <c r="C48" s="180"/>
      <c r="D48" s="180"/>
      <c r="E48" s="180"/>
      <c r="F48" s="225"/>
      <c r="G48" s="180"/>
      <c r="H48" s="180"/>
      <c r="I48" s="180"/>
      <c r="J48" s="211"/>
      <c r="K48" s="180"/>
      <c r="L48" s="212"/>
      <c r="M48" s="180"/>
      <c r="N48" s="180"/>
      <c r="O48" s="180"/>
      <c r="P48" s="123"/>
      <c r="Q48" s="130"/>
      <c r="R48" s="180"/>
      <c r="S48" s="180"/>
      <c r="T48" s="180"/>
      <c r="U48" s="180"/>
      <c r="V48" s="123"/>
      <c r="W48" s="123"/>
      <c r="X48" s="123"/>
      <c r="Y48" s="180"/>
      <c r="Z48" s="180"/>
    </row>
    <row r="49" spans="1:26" ht="45.75" customHeight="1">
      <c r="A49" s="180"/>
      <c r="B49" s="180"/>
      <c r="C49" s="180"/>
      <c r="D49" s="180"/>
      <c r="E49" s="180"/>
      <c r="F49" s="225"/>
      <c r="G49" s="180"/>
      <c r="H49" s="180"/>
      <c r="I49" s="180"/>
      <c r="J49" s="211"/>
      <c r="K49" s="180"/>
      <c r="L49" s="212"/>
      <c r="M49" s="180"/>
      <c r="N49" s="180"/>
      <c r="O49" s="180"/>
      <c r="P49" s="123"/>
      <c r="Q49" s="130"/>
      <c r="R49" s="180"/>
      <c r="S49" s="180"/>
      <c r="T49" s="180"/>
      <c r="U49" s="180"/>
      <c r="V49" s="123"/>
      <c r="W49" s="123"/>
      <c r="X49" s="123"/>
      <c r="Y49" s="180"/>
      <c r="Z49" s="180"/>
    </row>
    <row r="50" spans="1:26" ht="45.75" customHeight="1">
      <c r="A50" s="180"/>
      <c r="B50" s="180"/>
      <c r="C50" s="180"/>
      <c r="D50" s="180"/>
      <c r="E50" s="180"/>
      <c r="F50" s="225"/>
      <c r="G50" s="180"/>
      <c r="H50" s="180"/>
      <c r="I50" s="180"/>
      <c r="J50" s="211"/>
      <c r="K50" s="180"/>
      <c r="L50" s="212"/>
      <c r="M50" s="180"/>
      <c r="N50" s="180"/>
      <c r="O50" s="180"/>
      <c r="P50" s="123"/>
      <c r="Q50" s="130"/>
      <c r="R50" s="180"/>
      <c r="S50" s="180"/>
      <c r="T50" s="180"/>
      <c r="U50" s="180"/>
      <c r="V50" s="123"/>
      <c r="W50" s="123"/>
      <c r="X50" s="123"/>
      <c r="Y50" s="180"/>
      <c r="Z50" s="180"/>
    </row>
    <row r="51" spans="1:26" ht="45.75" customHeight="1">
      <c r="A51" s="180"/>
      <c r="B51" s="180"/>
      <c r="C51" s="180"/>
      <c r="D51" s="180"/>
      <c r="E51" s="180"/>
      <c r="F51" s="225"/>
      <c r="G51" s="180"/>
      <c r="H51" s="180"/>
      <c r="I51" s="180"/>
      <c r="J51" s="211"/>
      <c r="K51" s="180"/>
      <c r="L51" s="212"/>
      <c r="M51" s="180"/>
      <c r="N51" s="180"/>
      <c r="O51" s="180"/>
      <c r="P51" s="123"/>
      <c r="Q51" s="130"/>
      <c r="R51" s="180"/>
      <c r="S51" s="180"/>
      <c r="T51" s="180"/>
      <c r="U51" s="180"/>
      <c r="V51" s="123"/>
      <c r="W51" s="123"/>
      <c r="X51" s="123"/>
      <c r="Y51" s="180"/>
      <c r="Z51" s="180"/>
    </row>
    <row r="52" spans="1:26" ht="45.75" customHeight="1">
      <c r="A52" s="180"/>
      <c r="B52" s="180"/>
      <c r="C52" s="180"/>
      <c r="D52" s="180"/>
      <c r="E52" s="180"/>
      <c r="F52" s="225"/>
      <c r="G52" s="180"/>
      <c r="H52" s="180"/>
      <c r="I52" s="180"/>
      <c r="J52" s="211"/>
      <c r="K52" s="180"/>
      <c r="L52" s="212"/>
      <c r="M52" s="180"/>
      <c r="N52" s="180"/>
      <c r="O52" s="180"/>
      <c r="P52" s="123"/>
      <c r="Q52" s="130"/>
      <c r="R52" s="180"/>
      <c r="S52" s="180"/>
      <c r="T52" s="180"/>
      <c r="U52" s="180"/>
      <c r="V52" s="123"/>
      <c r="W52" s="123"/>
      <c r="X52" s="123"/>
      <c r="Y52" s="180"/>
      <c r="Z52" s="180"/>
    </row>
    <row r="53" spans="1:26" ht="45.75" customHeight="1">
      <c r="A53" s="180"/>
      <c r="B53" s="180"/>
      <c r="C53" s="180"/>
      <c r="D53" s="180"/>
      <c r="E53" s="180"/>
      <c r="F53" s="225"/>
      <c r="G53" s="180"/>
      <c r="H53" s="180"/>
      <c r="I53" s="180"/>
      <c r="J53" s="211"/>
      <c r="K53" s="180"/>
      <c r="L53" s="212"/>
      <c r="M53" s="180"/>
      <c r="N53" s="180"/>
      <c r="O53" s="180"/>
      <c r="P53" s="123"/>
      <c r="Q53" s="130"/>
      <c r="R53" s="180"/>
      <c r="S53" s="180"/>
      <c r="T53" s="180"/>
      <c r="U53" s="180"/>
      <c r="V53" s="123"/>
      <c r="W53" s="123"/>
      <c r="X53" s="123"/>
      <c r="Y53" s="180"/>
      <c r="Z53" s="180"/>
    </row>
    <row r="54" spans="1:26" ht="45.75" customHeight="1">
      <c r="A54" s="180"/>
      <c r="B54" s="180"/>
      <c r="C54" s="180"/>
      <c r="D54" s="180"/>
      <c r="E54" s="180"/>
      <c r="F54" s="225"/>
      <c r="G54" s="180"/>
      <c r="H54" s="180"/>
      <c r="I54" s="180"/>
      <c r="J54" s="211"/>
      <c r="K54" s="180"/>
      <c r="L54" s="212"/>
      <c r="M54" s="180"/>
      <c r="N54" s="180"/>
      <c r="O54" s="180"/>
      <c r="P54" s="123"/>
      <c r="Q54" s="130"/>
      <c r="R54" s="180"/>
      <c r="S54" s="180"/>
      <c r="T54" s="180"/>
      <c r="U54" s="180"/>
      <c r="V54" s="123"/>
      <c r="W54" s="123"/>
      <c r="X54" s="123"/>
      <c r="Y54" s="180"/>
      <c r="Z54" s="180"/>
    </row>
    <row r="55" spans="1:26" ht="45.75" customHeight="1">
      <c r="A55" s="180"/>
      <c r="B55" s="180"/>
      <c r="C55" s="180"/>
      <c r="D55" s="180"/>
      <c r="E55" s="180"/>
      <c r="F55" s="225"/>
      <c r="G55" s="180"/>
      <c r="H55" s="180"/>
      <c r="I55" s="180"/>
      <c r="J55" s="211"/>
      <c r="K55" s="180"/>
      <c r="L55" s="212"/>
      <c r="M55" s="180"/>
      <c r="N55" s="180"/>
      <c r="O55" s="180"/>
      <c r="P55" s="123"/>
      <c r="Q55" s="130"/>
      <c r="R55" s="180"/>
      <c r="S55" s="180"/>
      <c r="T55" s="180"/>
      <c r="U55" s="180"/>
      <c r="V55" s="123"/>
      <c r="W55" s="123"/>
      <c r="X55" s="123"/>
      <c r="Y55" s="180"/>
      <c r="Z55" s="180"/>
    </row>
    <row r="56" spans="1:26" ht="45.75" customHeight="1">
      <c r="A56" s="180"/>
      <c r="B56" s="180"/>
      <c r="C56" s="180"/>
      <c r="D56" s="180"/>
      <c r="E56" s="180"/>
      <c r="F56" s="225"/>
      <c r="G56" s="180"/>
      <c r="H56" s="180"/>
      <c r="I56" s="180"/>
      <c r="J56" s="211"/>
      <c r="K56" s="180"/>
      <c r="L56" s="212"/>
      <c r="M56" s="180"/>
      <c r="N56" s="180"/>
      <c r="O56" s="180"/>
      <c r="P56" s="123"/>
      <c r="Q56" s="130"/>
      <c r="R56" s="180"/>
      <c r="S56" s="180"/>
      <c r="T56" s="180"/>
      <c r="U56" s="180"/>
      <c r="V56" s="123"/>
      <c r="W56" s="123"/>
      <c r="X56" s="123"/>
      <c r="Y56" s="180"/>
      <c r="Z56" s="180"/>
    </row>
    <row r="57" spans="1:26" ht="45.75" customHeight="1">
      <c r="A57" s="180"/>
      <c r="B57" s="180"/>
      <c r="C57" s="180"/>
      <c r="D57" s="180"/>
      <c r="E57" s="180"/>
      <c r="F57" s="225"/>
      <c r="G57" s="180"/>
      <c r="H57" s="180"/>
      <c r="I57" s="180"/>
      <c r="J57" s="211"/>
      <c r="K57" s="180"/>
      <c r="L57" s="212"/>
      <c r="M57" s="180"/>
      <c r="N57" s="180"/>
      <c r="O57" s="180"/>
      <c r="P57" s="123"/>
      <c r="Q57" s="130"/>
      <c r="R57" s="180"/>
      <c r="S57" s="180"/>
      <c r="T57" s="180"/>
      <c r="U57" s="180"/>
      <c r="V57" s="123"/>
      <c r="W57" s="123"/>
      <c r="X57" s="123"/>
      <c r="Y57" s="180"/>
      <c r="Z57" s="180"/>
    </row>
    <row r="58" spans="1:26" ht="45.75" customHeight="1">
      <c r="A58" s="180"/>
      <c r="B58" s="180"/>
      <c r="C58" s="180"/>
      <c r="D58" s="180"/>
      <c r="E58" s="180"/>
      <c r="F58" s="225"/>
      <c r="G58" s="180"/>
      <c r="H58" s="180"/>
      <c r="I58" s="180"/>
      <c r="J58" s="211"/>
      <c r="K58" s="180"/>
      <c r="L58" s="212"/>
      <c r="M58" s="180"/>
      <c r="N58" s="180"/>
      <c r="O58" s="180"/>
      <c r="P58" s="123"/>
      <c r="Q58" s="130"/>
      <c r="R58" s="180"/>
      <c r="S58" s="180"/>
      <c r="T58" s="180"/>
      <c r="U58" s="180"/>
      <c r="V58" s="123"/>
      <c r="W58" s="123"/>
      <c r="X58" s="123"/>
      <c r="Y58" s="180"/>
      <c r="Z58" s="180"/>
    </row>
    <row r="59" spans="1:26" ht="45.75" customHeight="1">
      <c r="A59" s="180"/>
      <c r="B59" s="180"/>
      <c r="C59" s="180"/>
      <c r="D59" s="180"/>
      <c r="E59" s="180"/>
      <c r="F59" s="225"/>
      <c r="G59" s="180"/>
      <c r="H59" s="180"/>
      <c r="I59" s="180"/>
      <c r="J59" s="211"/>
      <c r="K59" s="180"/>
      <c r="L59" s="212"/>
      <c r="M59" s="180"/>
      <c r="N59" s="180"/>
      <c r="O59" s="180"/>
      <c r="P59" s="123"/>
      <c r="Q59" s="130"/>
      <c r="R59" s="180"/>
      <c r="S59" s="180"/>
      <c r="T59" s="180"/>
      <c r="U59" s="180"/>
      <c r="V59" s="123"/>
      <c r="W59" s="123"/>
      <c r="X59" s="123"/>
      <c r="Y59" s="180"/>
      <c r="Z59" s="180"/>
    </row>
    <row r="60" spans="1:26" ht="45.75" customHeight="1">
      <c r="A60" s="180"/>
      <c r="B60" s="180"/>
      <c r="C60" s="180"/>
      <c r="D60" s="180"/>
      <c r="E60" s="180"/>
      <c r="F60" s="225"/>
      <c r="G60" s="180"/>
      <c r="H60" s="180"/>
      <c r="I60" s="180"/>
      <c r="J60" s="211"/>
      <c r="K60" s="180"/>
      <c r="L60" s="212"/>
      <c r="M60" s="180"/>
      <c r="N60" s="180"/>
      <c r="O60" s="180"/>
      <c r="P60" s="123"/>
      <c r="Q60" s="130"/>
      <c r="R60" s="180"/>
      <c r="S60" s="180"/>
      <c r="T60" s="180"/>
      <c r="U60" s="180"/>
      <c r="V60" s="123"/>
      <c r="W60" s="123"/>
      <c r="X60" s="123"/>
      <c r="Y60" s="180"/>
      <c r="Z60" s="180"/>
    </row>
    <row r="61" spans="1:26" ht="45.75" customHeight="1">
      <c r="A61" s="180"/>
      <c r="B61" s="180"/>
      <c r="C61" s="180"/>
      <c r="D61" s="180"/>
      <c r="E61" s="180"/>
      <c r="F61" s="225"/>
      <c r="G61" s="180"/>
      <c r="H61" s="180"/>
      <c r="I61" s="180"/>
      <c r="J61" s="211"/>
      <c r="K61" s="180"/>
      <c r="L61" s="212"/>
      <c r="M61" s="180"/>
      <c r="N61" s="180"/>
      <c r="O61" s="180"/>
      <c r="P61" s="123"/>
      <c r="Q61" s="130"/>
      <c r="R61" s="180"/>
      <c r="S61" s="180"/>
      <c r="T61" s="180"/>
      <c r="U61" s="180"/>
      <c r="V61" s="123"/>
      <c r="W61" s="123"/>
      <c r="X61" s="123"/>
      <c r="Y61" s="180"/>
      <c r="Z61" s="180"/>
    </row>
    <row r="62" spans="1:26" ht="45.75" customHeight="1">
      <c r="A62" s="180"/>
      <c r="B62" s="180"/>
      <c r="C62" s="180"/>
      <c r="D62" s="180"/>
      <c r="E62" s="180"/>
      <c r="F62" s="225"/>
      <c r="G62" s="180"/>
      <c r="H62" s="180"/>
      <c r="I62" s="180"/>
      <c r="J62" s="211"/>
      <c r="K62" s="180"/>
      <c r="L62" s="212"/>
      <c r="M62" s="180"/>
      <c r="N62" s="180"/>
      <c r="O62" s="180"/>
      <c r="P62" s="123"/>
      <c r="Q62" s="130"/>
      <c r="R62" s="180"/>
      <c r="S62" s="180"/>
      <c r="T62" s="180"/>
      <c r="U62" s="180"/>
      <c r="V62" s="123"/>
      <c r="W62" s="123"/>
      <c r="X62" s="123"/>
      <c r="Y62" s="180"/>
      <c r="Z62" s="180"/>
    </row>
    <row r="63" spans="1:26" ht="45.75" customHeight="1">
      <c r="A63" s="180"/>
      <c r="B63" s="180"/>
      <c r="C63" s="180"/>
      <c r="D63" s="180"/>
      <c r="E63" s="180"/>
      <c r="F63" s="225"/>
      <c r="G63" s="180"/>
      <c r="H63" s="180"/>
      <c r="I63" s="180"/>
      <c r="J63" s="211"/>
      <c r="K63" s="180"/>
      <c r="L63" s="212"/>
      <c r="M63" s="180"/>
      <c r="N63" s="180"/>
      <c r="O63" s="180"/>
      <c r="P63" s="123"/>
      <c r="Q63" s="130"/>
      <c r="R63" s="180"/>
      <c r="S63" s="180"/>
      <c r="T63" s="180"/>
      <c r="U63" s="180"/>
      <c r="V63" s="123"/>
      <c r="W63" s="123"/>
      <c r="X63" s="123"/>
      <c r="Y63" s="180"/>
      <c r="Z63" s="180"/>
    </row>
    <row r="64" spans="1:26" ht="45.75" customHeight="1">
      <c r="A64" s="180"/>
      <c r="B64" s="180"/>
      <c r="C64" s="180"/>
      <c r="D64" s="180"/>
      <c r="E64" s="180"/>
      <c r="F64" s="225"/>
      <c r="G64" s="180"/>
      <c r="H64" s="180"/>
      <c r="I64" s="180"/>
      <c r="J64" s="211"/>
      <c r="K64" s="180"/>
      <c r="L64" s="212"/>
      <c r="M64" s="180"/>
      <c r="N64" s="180"/>
      <c r="O64" s="180"/>
      <c r="P64" s="123"/>
      <c r="Q64" s="130"/>
      <c r="R64" s="180"/>
      <c r="S64" s="180"/>
      <c r="T64" s="180"/>
      <c r="U64" s="180"/>
      <c r="V64" s="123"/>
      <c r="W64" s="123"/>
      <c r="X64" s="123"/>
      <c r="Y64" s="180"/>
      <c r="Z64" s="180"/>
    </row>
    <row r="65" spans="1:26" ht="45.75" customHeight="1">
      <c r="A65" s="180"/>
      <c r="B65" s="180"/>
      <c r="C65" s="180"/>
      <c r="D65" s="180"/>
      <c r="E65" s="180"/>
      <c r="F65" s="225"/>
      <c r="G65" s="180"/>
      <c r="H65" s="180"/>
      <c r="I65" s="180"/>
      <c r="J65" s="211"/>
      <c r="K65" s="180"/>
      <c r="L65" s="212"/>
      <c r="M65" s="180"/>
      <c r="N65" s="180"/>
      <c r="O65" s="180"/>
      <c r="P65" s="123"/>
      <c r="Q65" s="130"/>
      <c r="R65" s="180"/>
      <c r="S65" s="180"/>
      <c r="T65" s="180"/>
      <c r="U65" s="180"/>
      <c r="V65" s="123"/>
      <c r="W65" s="123"/>
      <c r="X65" s="123"/>
      <c r="Y65" s="180"/>
      <c r="Z65" s="180"/>
    </row>
    <row r="66" spans="1:26" ht="45.75" customHeight="1">
      <c r="A66" s="180"/>
      <c r="B66" s="180"/>
      <c r="C66" s="180"/>
      <c r="D66" s="180"/>
      <c r="E66" s="180"/>
      <c r="F66" s="225"/>
      <c r="G66" s="180"/>
      <c r="H66" s="180"/>
      <c r="I66" s="180"/>
      <c r="J66" s="211"/>
      <c r="K66" s="180"/>
      <c r="L66" s="212"/>
      <c r="M66" s="180"/>
      <c r="N66" s="180"/>
      <c r="O66" s="180"/>
      <c r="P66" s="123"/>
      <c r="Q66" s="130"/>
      <c r="R66" s="180"/>
      <c r="S66" s="180"/>
      <c r="T66" s="180"/>
      <c r="U66" s="180"/>
      <c r="V66" s="123"/>
      <c r="W66" s="123"/>
      <c r="X66" s="123"/>
      <c r="Y66" s="180"/>
      <c r="Z66" s="180"/>
    </row>
    <row r="67" spans="1:26" ht="45.75" customHeight="1">
      <c r="A67" s="180"/>
      <c r="B67" s="180"/>
      <c r="C67" s="180"/>
      <c r="D67" s="180"/>
      <c r="E67" s="180"/>
      <c r="F67" s="225"/>
      <c r="G67" s="180"/>
      <c r="H67" s="180"/>
      <c r="I67" s="180"/>
      <c r="J67" s="211"/>
      <c r="K67" s="180"/>
      <c r="L67" s="212"/>
      <c r="M67" s="180"/>
      <c r="N67" s="180"/>
      <c r="O67" s="180"/>
      <c r="P67" s="123"/>
      <c r="Q67" s="130"/>
      <c r="R67" s="180"/>
      <c r="S67" s="180"/>
      <c r="T67" s="180"/>
      <c r="U67" s="180"/>
      <c r="V67" s="123"/>
      <c r="W67" s="123"/>
      <c r="X67" s="123"/>
      <c r="Y67" s="180"/>
      <c r="Z67" s="180"/>
    </row>
    <row r="68" spans="1:26" ht="45.75" customHeight="1">
      <c r="A68" s="180"/>
      <c r="B68" s="180"/>
      <c r="C68" s="180"/>
      <c r="D68" s="180"/>
      <c r="E68" s="180"/>
      <c r="F68" s="225"/>
      <c r="G68" s="180"/>
      <c r="H68" s="180"/>
      <c r="I68" s="180"/>
      <c r="J68" s="211"/>
      <c r="K68" s="180"/>
      <c r="L68" s="212"/>
      <c r="M68" s="180"/>
      <c r="N68" s="180"/>
      <c r="O68" s="180"/>
      <c r="P68" s="123"/>
      <c r="Q68" s="130"/>
      <c r="R68" s="180"/>
      <c r="S68" s="180"/>
      <c r="T68" s="180"/>
      <c r="U68" s="180"/>
      <c r="V68" s="123"/>
      <c r="W68" s="123"/>
      <c r="X68" s="123"/>
      <c r="Y68" s="180"/>
      <c r="Z68" s="180"/>
    </row>
    <row r="69" spans="1:26" ht="45.75" customHeight="1">
      <c r="A69" s="180"/>
      <c r="B69" s="180"/>
      <c r="C69" s="180"/>
      <c r="D69" s="180"/>
      <c r="E69" s="180"/>
      <c r="F69" s="225"/>
      <c r="G69" s="180"/>
      <c r="H69" s="180"/>
      <c r="I69" s="180"/>
      <c r="J69" s="211"/>
      <c r="K69" s="180"/>
      <c r="L69" s="212"/>
      <c r="M69" s="180"/>
      <c r="N69" s="180"/>
      <c r="O69" s="180"/>
      <c r="P69" s="123"/>
      <c r="Q69" s="130"/>
      <c r="R69" s="180"/>
      <c r="S69" s="180"/>
      <c r="T69" s="180"/>
      <c r="U69" s="180"/>
      <c r="V69" s="123"/>
      <c r="W69" s="123"/>
      <c r="X69" s="123"/>
      <c r="Y69" s="180"/>
      <c r="Z69" s="180"/>
    </row>
    <row r="70" spans="1:26" ht="45.75" customHeight="1">
      <c r="A70" s="180"/>
      <c r="B70" s="180"/>
      <c r="C70" s="180"/>
      <c r="D70" s="180"/>
      <c r="E70" s="180"/>
      <c r="F70" s="225"/>
      <c r="G70" s="180"/>
      <c r="H70" s="180"/>
      <c r="I70" s="180"/>
      <c r="J70" s="211"/>
      <c r="K70" s="180"/>
      <c r="L70" s="212"/>
      <c r="M70" s="180"/>
      <c r="N70" s="180"/>
      <c r="O70" s="180"/>
      <c r="P70" s="123"/>
      <c r="Q70" s="130"/>
      <c r="R70" s="180"/>
      <c r="S70" s="180"/>
      <c r="T70" s="180"/>
      <c r="U70" s="180"/>
      <c r="V70" s="123"/>
      <c r="W70" s="123"/>
      <c r="X70" s="123"/>
      <c r="Y70" s="180"/>
      <c r="Z70" s="180"/>
    </row>
    <row r="71" spans="1:26" ht="45.75" customHeight="1">
      <c r="A71" s="180"/>
      <c r="B71" s="180"/>
      <c r="C71" s="180"/>
      <c r="D71" s="180"/>
      <c r="E71" s="180"/>
      <c r="F71" s="225"/>
      <c r="G71" s="180"/>
      <c r="H71" s="180"/>
      <c r="I71" s="180"/>
      <c r="J71" s="211"/>
      <c r="K71" s="180"/>
      <c r="L71" s="212"/>
      <c r="M71" s="180"/>
      <c r="N71" s="180"/>
      <c r="O71" s="180"/>
      <c r="P71" s="123"/>
      <c r="Q71" s="130"/>
      <c r="R71" s="180"/>
      <c r="S71" s="180"/>
      <c r="T71" s="180"/>
      <c r="U71" s="180"/>
      <c r="V71" s="123"/>
      <c r="W71" s="123"/>
      <c r="X71" s="123"/>
      <c r="Y71" s="180"/>
      <c r="Z71" s="180"/>
    </row>
    <row r="72" spans="1:26" ht="45.75" customHeight="1">
      <c r="A72" s="180"/>
      <c r="B72" s="180"/>
      <c r="C72" s="180"/>
      <c r="D72" s="180"/>
      <c r="E72" s="180"/>
      <c r="F72" s="225"/>
      <c r="G72" s="180"/>
      <c r="H72" s="180"/>
      <c r="I72" s="180"/>
      <c r="J72" s="211"/>
      <c r="K72" s="180"/>
      <c r="L72" s="212"/>
      <c r="M72" s="180"/>
      <c r="N72" s="180"/>
      <c r="O72" s="180"/>
      <c r="P72" s="123"/>
      <c r="Q72" s="130"/>
      <c r="R72" s="180"/>
      <c r="S72" s="180"/>
      <c r="T72" s="180"/>
      <c r="U72" s="180"/>
      <c r="V72" s="123"/>
      <c r="W72" s="123"/>
      <c r="X72" s="123"/>
      <c r="Y72" s="180"/>
      <c r="Z72" s="180"/>
    </row>
    <row r="73" spans="1:26" ht="45.75" customHeight="1">
      <c r="A73" s="180"/>
      <c r="B73" s="180"/>
      <c r="C73" s="180"/>
      <c r="D73" s="180"/>
      <c r="E73" s="180"/>
      <c r="F73" s="225"/>
      <c r="G73" s="180"/>
      <c r="H73" s="180"/>
      <c r="I73" s="180"/>
      <c r="J73" s="211"/>
      <c r="K73" s="180"/>
      <c r="L73" s="212"/>
      <c r="M73" s="180"/>
      <c r="N73" s="180"/>
      <c r="O73" s="180"/>
      <c r="P73" s="123"/>
      <c r="Q73" s="130"/>
      <c r="R73" s="180"/>
      <c r="S73" s="180"/>
      <c r="T73" s="180"/>
      <c r="U73" s="180"/>
      <c r="V73" s="123"/>
      <c r="W73" s="123"/>
      <c r="X73" s="123"/>
      <c r="Y73" s="180"/>
      <c r="Z73" s="180"/>
    </row>
    <row r="74" spans="1:26" ht="45.75" customHeight="1">
      <c r="A74" s="180"/>
      <c r="B74" s="180"/>
      <c r="C74" s="180"/>
      <c r="D74" s="180"/>
      <c r="E74" s="180"/>
      <c r="F74" s="225"/>
      <c r="G74" s="180"/>
      <c r="H74" s="180"/>
      <c r="I74" s="180"/>
      <c r="J74" s="211"/>
      <c r="K74" s="180"/>
      <c r="L74" s="212"/>
      <c r="M74" s="180"/>
      <c r="N74" s="180"/>
      <c r="O74" s="180"/>
      <c r="P74" s="123"/>
      <c r="Q74" s="130"/>
      <c r="R74" s="180"/>
      <c r="S74" s="180"/>
      <c r="T74" s="180"/>
      <c r="U74" s="180"/>
      <c r="V74" s="123"/>
      <c r="W74" s="123"/>
      <c r="X74" s="123"/>
      <c r="Y74" s="180"/>
      <c r="Z74" s="180"/>
    </row>
    <row r="75" spans="1:26" ht="45.75" customHeight="1">
      <c r="A75" s="180"/>
      <c r="B75" s="180"/>
      <c r="C75" s="180"/>
      <c r="D75" s="180"/>
      <c r="E75" s="180"/>
      <c r="F75" s="225"/>
      <c r="G75" s="180"/>
      <c r="H75" s="180"/>
      <c r="I75" s="180"/>
      <c r="J75" s="211"/>
      <c r="K75" s="180"/>
      <c r="L75" s="212"/>
      <c r="M75" s="180"/>
      <c r="N75" s="180"/>
      <c r="O75" s="180"/>
      <c r="P75" s="123"/>
      <c r="Q75" s="130"/>
      <c r="R75" s="180"/>
      <c r="S75" s="180"/>
      <c r="T75" s="180"/>
      <c r="U75" s="180"/>
      <c r="V75" s="123"/>
      <c r="W75" s="123"/>
      <c r="X75" s="123"/>
      <c r="Y75" s="180"/>
      <c r="Z75" s="180"/>
    </row>
    <row r="76" spans="1:26" ht="45.75" customHeight="1">
      <c r="A76" s="180"/>
      <c r="B76" s="180"/>
      <c r="C76" s="180"/>
      <c r="D76" s="180"/>
      <c r="E76" s="180"/>
      <c r="F76" s="225"/>
      <c r="G76" s="180"/>
      <c r="H76" s="180"/>
      <c r="I76" s="180"/>
      <c r="J76" s="211"/>
      <c r="K76" s="180"/>
      <c r="L76" s="212"/>
      <c r="M76" s="180"/>
      <c r="N76" s="180"/>
      <c r="O76" s="180"/>
      <c r="P76" s="123"/>
      <c r="Q76" s="130"/>
      <c r="R76" s="180"/>
      <c r="S76" s="180"/>
      <c r="T76" s="180"/>
      <c r="U76" s="180"/>
      <c r="V76" s="123"/>
      <c r="W76" s="123"/>
      <c r="X76" s="123"/>
      <c r="Y76" s="180"/>
      <c r="Z76" s="180"/>
    </row>
    <row r="77" spans="1:26" ht="45.75" customHeight="1">
      <c r="A77" s="180"/>
      <c r="B77" s="180"/>
      <c r="C77" s="180"/>
      <c r="D77" s="180"/>
      <c r="E77" s="180"/>
      <c r="F77" s="225"/>
      <c r="G77" s="180"/>
      <c r="H77" s="180"/>
      <c r="I77" s="180"/>
      <c r="J77" s="211"/>
      <c r="K77" s="180"/>
      <c r="L77" s="212"/>
      <c r="M77" s="180"/>
      <c r="N77" s="180"/>
      <c r="O77" s="180"/>
      <c r="P77" s="123"/>
      <c r="Q77" s="130"/>
      <c r="R77" s="180"/>
      <c r="S77" s="180"/>
      <c r="T77" s="180"/>
      <c r="U77" s="180"/>
      <c r="V77" s="123"/>
      <c r="W77" s="123"/>
      <c r="X77" s="123"/>
      <c r="Y77" s="180"/>
      <c r="Z77" s="180"/>
    </row>
    <row r="78" spans="1:26" ht="45.75" customHeight="1">
      <c r="A78" s="180"/>
      <c r="B78" s="180"/>
      <c r="C78" s="180"/>
      <c r="D78" s="180"/>
      <c r="E78" s="180"/>
      <c r="F78" s="225"/>
      <c r="G78" s="180"/>
      <c r="H78" s="180"/>
      <c r="I78" s="180"/>
      <c r="J78" s="211"/>
      <c r="K78" s="180"/>
      <c r="L78" s="212"/>
      <c r="M78" s="180"/>
      <c r="N78" s="180"/>
      <c r="O78" s="180"/>
      <c r="P78" s="123"/>
      <c r="Q78" s="130"/>
      <c r="R78" s="180"/>
      <c r="S78" s="180"/>
      <c r="T78" s="180"/>
      <c r="U78" s="180"/>
      <c r="V78" s="123"/>
      <c r="W78" s="123"/>
      <c r="X78" s="123"/>
      <c r="Y78" s="180"/>
      <c r="Z78" s="180"/>
    </row>
    <row r="79" spans="1:26" ht="45.75" customHeight="1">
      <c r="A79" s="180"/>
      <c r="B79" s="180"/>
      <c r="C79" s="180"/>
      <c r="D79" s="180"/>
      <c r="E79" s="180"/>
      <c r="F79" s="225"/>
      <c r="G79" s="180"/>
      <c r="H79" s="180"/>
      <c r="I79" s="180"/>
      <c r="J79" s="211"/>
      <c r="K79" s="180"/>
      <c r="L79" s="212"/>
      <c r="M79" s="180"/>
      <c r="N79" s="180"/>
      <c r="O79" s="180"/>
      <c r="P79" s="123"/>
      <c r="Q79" s="130"/>
      <c r="R79" s="180"/>
      <c r="S79" s="180"/>
      <c r="T79" s="180"/>
      <c r="U79" s="180"/>
      <c r="V79" s="123"/>
      <c r="W79" s="123"/>
      <c r="X79" s="123"/>
      <c r="Y79" s="180"/>
      <c r="Z79" s="180"/>
    </row>
    <row r="80" spans="1:26" ht="45.75" customHeight="1">
      <c r="A80" s="180"/>
      <c r="B80" s="180"/>
      <c r="C80" s="180"/>
      <c r="D80" s="180"/>
      <c r="E80" s="180"/>
      <c r="F80" s="225"/>
      <c r="G80" s="180"/>
      <c r="H80" s="180"/>
      <c r="I80" s="180"/>
      <c r="J80" s="211"/>
      <c r="K80" s="180"/>
      <c r="L80" s="212"/>
      <c r="M80" s="180"/>
      <c r="N80" s="180"/>
      <c r="O80" s="180"/>
      <c r="P80" s="123"/>
      <c r="Q80" s="130"/>
      <c r="R80" s="180"/>
      <c r="S80" s="180"/>
      <c r="T80" s="180"/>
      <c r="U80" s="180"/>
      <c r="V80" s="123"/>
      <c r="W80" s="123"/>
      <c r="X80" s="123"/>
      <c r="Y80" s="180"/>
      <c r="Z80" s="180"/>
    </row>
    <row r="81" spans="1:26" ht="45.75" customHeight="1">
      <c r="A81" s="180"/>
      <c r="B81" s="180"/>
      <c r="C81" s="180"/>
      <c r="D81" s="180"/>
      <c r="E81" s="180"/>
      <c r="F81" s="225"/>
      <c r="G81" s="180"/>
      <c r="H81" s="180"/>
      <c r="I81" s="180"/>
      <c r="J81" s="211"/>
      <c r="K81" s="180"/>
      <c r="L81" s="212"/>
      <c r="M81" s="180"/>
      <c r="N81" s="180"/>
      <c r="O81" s="180"/>
      <c r="P81" s="123"/>
      <c r="Q81" s="130"/>
      <c r="R81" s="180"/>
      <c r="S81" s="180"/>
      <c r="T81" s="180"/>
      <c r="U81" s="180"/>
      <c r="V81" s="123"/>
      <c r="W81" s="123"/>
      <c r="X81" s="123"/>
      <c r="Y81" s="180"/>
      <c r="Z81" s="180"/>
    </row>
    <row r="82" spans="1:26" ht="45.75" customHeight="1">
      <c r="A82" s="180"/>
      <c r="B82" s="180"/>
      <c r="C82" s="180"/>
      <c r="D82" s="180"/>
      <c r="E82" s="180"/>
      <c r="F82" s="225"/>
      <c r="G82" s="180"/>
      <c r="H82" s="180"/>
      <c r="I82" s="180"/>
      <c r="J82" s="211"/>
      <c r="K82" s="180"/>
      <c r="L82" s="212"/>
      <c r="M82" s="180"/>
      <c r="N82" s="180"/>
      <c r="O82" s="180"/>
      <c r="P82" s="123"/>
      <c r="Q82" s="130"/>
      <c r="R82" s="180"/>
      <c r="S82" s="180"/>
      <c r="T82" s="180"/>
      <c r="U82" s="180"/>
      <c r="V82" s="123"/>
      <c r="W82" s="123"/>
      <c r="X82" s="123"/>
      <c r="Y82" s="180"/>
      <c r="Z82" s="180"/>
    </row>
    <row r="83" spans="1:26" ht="45.75" customHeight="1">
      <c r="A83" s="180"/>
      <c r="B83" s="180"/>
      <c r="C83" s="180"/>
      <c r="D83" s="180"/>
      <c r="E83" s="180"/>
      <c r="F83" s="225"/>
      <c r="G83" s="180"/>
      <c r="H83" s="180"/>
      <c r="I83" s="180"/>
      <c r="J83" s="211"/>
      <c r="K83" s="180"/>
      <c r="L83" s="212"/>
      <c r="M83" s="180"/>
      <c r="N83" s="180"/>
      <c r="O83" s="180"/>
      <c r="P83" s="123"/>
      <c r="Q83" s="130"/>
      <c r="R83" s="180"/>
      <c r="S83" s="180"/>
      <c r="T83" s="180"/>
      <c r="U83" s="180"/>
      <c r="V83" s="123"/>
      <c r="W83" s="123"/>
      <c r="X83" s="123"/>
      <c r="Y83" s="180"/>
      <c r="Z83" s="180"/>
    </row>
    <row r="84" spans="1:26" ht="45.75" customHeight="1">
      <c r="A84" s="180"/>
      <c r="B84" s="180"/>
      <c r="C84" s="180"/>
      <c r="D84" s="180"/>
      <c r="E84" s="180"/>
      <c r="F84" s="225"/>
      <c r="G84" s="180"/>
      <c r="H84" s="180"/>
      <c r="I84" s="180"/>
      <c r="J84" s="211"/>
      <c r="K84" s="180"/>
      <c r="L84" s="212"/>
      <c r="M84" s="180"/>
      <c r="N84" s="180"/>
      <c r="O84" s="180"/>
      <c r="P84" s="123"/>
      <c r="Q84" s="130"/>
      <c r="R84" s="180"/>
      <c r="S84" s="180"/>
      <c r="T84" s="180"/>
      <c r="U84" s="180"/>
      <c r="V84" s="123"/>
      <c r="W84" s="123"/>
      <c r="X84" s="123"/>
      <c r="Y84" s="180"/>
      <c r="Z84" s="180"/>
    </row>
    <row r="85" spans="1:26" ht="45.75" customHeight="1">
      <c r="A85" s="180"/>
      <c r="B85" s="180"/>
      <c r="C85" s="180"/>
      <c r="D85" s="180"/>
      <c r="E85" s="180"/>
      <c r="F85" s="225"/>
      <c r="G85" s="180"/>
      <c r="H85" s="180"/>
      <c r="I85" s="180"/>
      <c r="J85" s="211"/>
      <c r="K85" s="180"/>
      <c r="L85" s="212"/>
      <c r="M85" s="180"/>
      <c r="N85" s="180"/>
      <c r="O85" s="180"/>
      <c r="P85" s="123"/>
      <c r="Q85" s="130"/>
      <c r="R85" s="180"/>
      <c r="S85" s="180"/>
      <c r="T85" s="180"/>
      <c r="U85" s="180"/>
      <c r="V85" s="123"/>
      <c r="W85" s="123"/>
      <c r="X85" s="123"/>
      <c r="Y85" s="180"/>
      <c r="Z85" s="180"/>
    </row>
    <row r="86" spans="1:26" ht="45.75" customHeight="1">
      <c r="A86" s="180"/>
      <c r="B86" s="180"/>
      <c r="C86" s="180"/>
      <c r="D86" s="180"/>
      <c r="E86" s="180"/>
      <c r="F86" s="225"/>
      <c r="G86" s="180"/>
      <c r="H86" s="180"/>
      <c r="I86" s="180"/>
      <c r="J86" s="211"/>
      <c r="K86" s="180"/>
      <c r="L86" s="212"/>
      <c r="M86" s="180"/>
      <c r="N86" s="180"/>
      <c r="O86" s="180"/>
      <c r="P86" s="123"/>
      <c r="Q86" s="130"/>
      <c r="R86" s="180"/>
      <c r="S86" s="180"/>
      <c r="T86" s="180"/>
      <c r="U86" s="180"/>
      <c r="V86" s="123"/>
      <c r="W86" s="123"/>
      <c r="X86" s="123"/>
      <c r="Y86" s="180"/>
      <c r="Z86" s="180"/>
    </row>
    <row r="87" spans="1:26" ht="45.75" customHeight="1">
      <c r="A87" s="180"/>
      <c r="B87" s="180"/>
      <c r="C87" s="180"/>
      <c r="D87" s="180"/>
      <c r="E87" s="180"/>
      <c r="F87" s="225"/>
      <c r="G87" s="180"/>
      <c r="H87" s="180"/>
      <c r="I87" s="180"/>
      <c r="J87" s="211"/>
      <c r="K87" s="180"/>
      <c r="L87" s="212"/>
      <c r="M87" s="180"/>
      <c r="N87" s="180"/>
      <c r="O87" s="180"/>
      <c r="P87" s="123"/>
      <c r="Q87" s="130"/>
      <c r="R87" s="180"/>
      <c r="S87" s="180"/>
      <c r="T87" s="180"/>
      <c r="U87" s="180"/>
      <c r="V87" s="123"/>
      <c r="W87" s="123"/>
      <c r="X87" s="123"/>
      <c r="Y87" s="180"/>
      <c r="Z87" s="180"/>
    </row>
    <row r="88" spans="1:26" ht="45.75" customHeight="1">
      <c r="A88" s="180"/>
      <c r="B88" s="180"/>
      <c r="C88" s="180"/>
      <c r="D88" s="180"/>
      <c r="E88" s="180"/>
      <c r="F88" s="225"/>
      <c r="G88" s="180"/>
      <c r="H88" s="180"/>
      <c r="I88" s="180"/>
      <c r="J88" s="211"/>
      <c r="K88" s="180"/>
      <c r="L88" s="212"/>
      <c r="M88" s="180"/>
      <c r="N88" s="180"/>
      <c r="O88" s="180"/>
      <c r="P88" s="123"/>
      <c r="Q88" s="130"/>
      <c r="R88" s="180"/>
      <c r="S88" s="180"/>
      <c r="T88" s="180"/>
      <c r="U88" s="180"/>
      <c r="V88" s="123"/>
      <c r="W88" s="123"/>
      <c r="X88" s="123"/>
      <c r="Y88" s="180"/>
      <c r="Z88" s="180"/>
    </row>
    <row r="89" spans="1:26" ht="45.75" customHeight="1">
      <c r="A89" s="180"/>
      <c r="B89" s="180"/>
      <c r="C89" s="180"/>
      <c r="D89" s="180"/>
      <c r="E89" s="180"/>
      <c r="F89" s="225"/>
      <c r="G89" s="180"/>
      <c r="H89" s="180"/>
      <c r="I89" s="180"/>
      <c r="J89" s="211"/>
      <c r="K89" s="180"/>
      <c r="L89" s="212"/>
      <c r="M89" s="180"/>
      <c r="N89" s="180"/>
      <c r="O89" s="180"/>
      <c r="P89" s="123"/>
      <c r="Q89" s="130"/>
      <c r="R89" s="180"/>
      <c r="S89" s="180"/>
      <c r="T89" s="180"/>
      <c r="U89" s="180"/>
      <c r="V89" s="123"/>
      <c r="W89" s="123"/>
      <c r="X89" s="123"/>
      <c r="Y89" s="180"/>
      <c r="Z89" s="180"/>
    </row>
    <row r="90" spans="1:26" ht="45.75" customHeight="1">
      <c r="A90" s="180"/>
      <c r="B90" s="180"/>
      <c r="C90" s="180"/>
      <c r="D90" s="180"/>
      <c r="E90" s="180"/>
      <c r="F90" s="225"/>
      <c r="G90" s="180"/>
      <c r="H90" s="180"/>
      <c r="I90" s="180"/>
      <c r="J90" s="211"/>
      <c r="K90" s="180"/>
      <c r="L90" s="212"/>
      <c r="M90" s="180"/>
      <c r="N90" s="180"/>
      <c r="O90" s="180"/>
      <c r="P90" s="123"/>
      <c r="Q90" s="130"/>
      <c r="R90" s="180"/>
      <c r="S90" s="180"/>
      <c r="T90" s="180"/>
      <c r="U90" s="180"/>
      <c r="V90" s="123"/>
      <c r="W90" s="123"/>
      <c r="X90" s="123"/>
      <c r="Y90" s="180"/>
      <c r="Z90" s="180"/>
    </row>
    <row r="91" spans="1:26" ht="45.75" customHeight="1">
      <c r="A91" s="180"/>
      <c r="B91" s="180"/>
      <c r="C91" s="180"/>
      <c r="D91" s="180"/>
      <c r="E91" s="180"/>
      <c r="F91" s="225"/>
      <c r="G91" s="180"/>
      <c r="H91" s="180"/>
      <c r="I91" s="180"/>
      <c r="J91" s="211"/>
      <c r="K91" s="180"/>
      <c r="L91" s="212"/>
      <c r="M91" s="180"/>
      <c r="N91" s="180"/>
      <c r="O91" s="180"/>
      <c r="P91" s="123"/>
      <c r="Q91" s="130"/>
      <c r="R91" s="180"/>
      <c r="S91" s="180"/>
      <c r="T91" s="180"/>
      <c r="U91" s="180"/>
      <c r="V91" s="123"/>
      <c r="W91" s="123"/>
      <c r="X91" s="123"/>
      <c r="Y91" s="180"/>
      <c r="Z91" s="180"/>
    </row>
    <row r="92" spans="1:26" ht="45.75" customHeight="1">
      <c r="A92" s="180"/>
      <c r="B92" s="180"/>
      <c r="C92" s="180"/>
      <c r="D92" s="180"/>
      <c r="E92" s="180"/>
      <c r="F92" s="225"/>
      <c r="G92" s="180"/>
      <c r="H92" s="180"/>
      <c r="I92" s="180"/>
      <c r="J92" s="211"/>
      <c r="K92" s="180"/>
      <c r="L92" s="212"/>
      <c r="M92" s="180"/>
      <c r="N92" s="180"/>
      <c r="O92" s="180"/>
      <c r="P92" s="123"/>
      <c r="Q92" s="130"/>
      <c r="R92" s="180"/>
      <c r="S92" s="180"/>
      <c r="T92" s="180"/>
      <c r="U92" s="180"/>
      <c r="V92" s="123"/>
      <c r="W92" s="123"/>
      <c r="X92" s="123"/>
      <c r="Y92" s="180"/>
      <c r="Z92" s="180"/>
    </row>
    <row r="93" spans="1:26" ht="45.75" customHeight="1">
      <c r="A93" s="180"/>
      <c r="B93" s="180"/>
      <c r="C93" s="180"/>
      <c r="D93" s="180"/>
      <c r="E93" s="180"/>
      <c r="F93" s="225"/>
      <c r="G93" s="180"/>
      <c r="H93" s="180"/>
      <c r="I93" s="180"/>
      <c r="J93" s="211"/>
      <c r="K93" s="180"/>
      <c r="L93" s="212"/>
      <c r="M93" s="180"/>
      <c r="N93" s="180"/>
      <c r="O93" s="180"/>
      <c r="P93" s="123"/>
      <c r="Q93" s="130"/>
      <c r="R93" s="180"/>
      <c r="S93" s="180"/>
      <c r="T93" s="180"/>
      <c r="U93" s="180"/>
      <c r="V93" s="123"/>
      <c r="W93" s="123"/>
      <c r="X93" s="123"/>
      <c r="Y93" s="180"/>
      <c r="Z93" s="180"/>
    </row>
    <row r="94" spans="1:26" ht="45.75" customHeight="1">
      <c r="A94" s="180"/>
      <c r="B94" s="180"/>
      <c r="C94" s="180"/>
      <c r="D94" s="180"/>
      <c r="E94" s="180"/>
      <c r="F94" s="225"/>
      <c r="G94" s="180"/>
      <c r="H94" s="180"/>
      <c r="I94" s="180"/>
      <c r="J94" s="211"/>
      <c r="K94" s="180"/>
      <c r="L94" s="212"/>
      <c r="M94" s="180"/>
      <c r="N94" s="180"/>
      <c r="O94" s="180"/>
      <c r="P94" s="123"/>
      <c r="Q94" s="130"/>
      <c r="R94" s="180"/>
      <c r="S94" s="180"/>
      <c r="T94" s="180"/>
      <c r="U94" s="180"/>
      <c r="V94" s="123"/>
      <c r="W94" s="123"/>
      <c r="X94" s="123"/>
      <c r="Y94" s="180"/>
      <c r="Z94" s="180"/>
    </row>
    <row r="95" spans="1:26" ht="45.75" customHeight="1">
      <c r="A95" s="180"/>
      <c r="B95" s="180"/>
      <c r="C95" s="180"/>
      <c r="D95" s="180"/>
      <c r="E95" s="180"/>
      <c r="F95" s="225"/>
      <c r="G95" s="180"/>
      <c r="H95" s="180"/>
      <c r="I95" s="180"/>
      <c r="J95" s="211"/>
      <c r="K95" s="180"/>
      <c r="L95" s="212"/>
      <c r="M95" s="180"/>
      <c r="N95" s="180"/>
      <c r="O95" s="180"/>
      <c r="P95" s="123"/>
      <c r="Q95" s="130"/>
      <c r="R95" s="180"/>
      <c r="S95" s="180"/>
      <c r="T95" s="180"/>
      <c r="U95" s="180"/>
      <c r="V95" s="123"/>
      <c r="W95" s="123"/>
      <c r="X95" s="123"/>
      <c r="Y95" s="180"/>
      <c r="Z95" s="180"/>
    </row>
    <row r="96" spans="1:26" ht="45.75" customHeight="1">
      <c r="A96" s="180"/>
      <c r="B96" s="180"/>
      <c r="C96" s="180"/>
      <c r="D96" s="180"/>
      <c r="E96" s="180"/>
      <c r="F96" s="225"/>
      <c r="G96" s="180"/>
      <c r="H96" s="180"/>
      <c r="I96" s="180"/>
      <c r="J96" s="211"/>
      <c r="K96" s="180"/>
      <c r="L96" s="212"/>
      <c r="M96" s="180"/>
      <c r="N96" s="180"/>
      <c r="O96" s="180"/>
      <c r="P96" s="123"/>
      <c r="Q96" s="130"/>
      <c r="R96" s="180"/>
      <c r="S96" s="180"/>
      <c r="T96" s="180"/>
      <c r="U96" s="180"/>
      <c r="V96" s="123"/>
      <c r="W96" s="123"/>
      <c r="X96" s="123"/>
      <c r="Y96" s="180"/>
      <c r="Z96" s="180"/>
    </row>
    <row r="97" spans="1:26" ht="45.75" customHeight="1">
      <c r="A97" s="180"/>
      <c r="B97" s="180"/>
      <c r="C97" s="180"/>
      <c r="D97" s="180"/>
      <c r="E97" s="180"/>
      <c r="F97" s="225"/>
      <c r="G97" s="180"/>
      <c r="H97" s="180"/>
      <c r="I97" s="180"/>
      <c r="J97" s="211"/>
      <c r="K97" s="180"/>
      <c r="L97" s="212"/>
      <c r="M97" s="180"/>
      <c r="N97" s="180"/>
      <c r="O97" s="180"/>
      <c r="P97" s="123"/>
      <c r="Q97" s="130"/>
      <c r="R97" s="180"/>
      <c r="S97" s="180"/>
      <c r="T97" s="180"/>
      <c r="U97" s="180"/>
      <c r="V97" s="123"/>
      <c r="W97" s="123"/>
      <c r="X97" s="123"/>
      <c r="Y97" s="180"/>
      <c r="Z97" s="180"/>
    </row>
    <row r="98" spans="1:26" ht="45.75" customHeight="1">
      <c r="A98" s="180"/>
      <c r="B98" s="180"/>
      <c r="C98" s="180"/>
      <c r="D98" s="180"/>
      <c r="E98" s="180"/>
      <c r="F98" s="225"/>
      <c r="G98" s="180"/>
      <c r="H98" s="180"/>
      <c r="I98" s="180"/>
      <c r="J98" s="211"/>
      <c r="K98" s="180"/>
      <c r="L98" s="212"/>
      <c r="M98" s="180"/>
      <c r="N98" s="180"/>
      <c r="O98" s="180"/>
      <c r="P98" s="123"/>
      <c r="Q98" s="130"/>
      <c r="R98" s="180"/>
      <c r="S98" s="180"/>
      <c r="T98" s="180"/>
      <c r="U98" s="180"/>
      <c r="V98" s="123"/>
      <c r="W98" s="123"/>
      <c r="X98" s="123"/>
      <c r="Y98" s="180"/>
      <c r="Z98" s="180"/>
    </row>
    <row r="99" spans="1:26" ht="45.75" customHeight="1">
      <c r="A99" s="180"/>
      <c r="B99" s="180"/>
      <c r="C99" s="180"/>
      <c r="D99" s="180"/>
      <c r="E99" s="180"/>
      <c r="F99" s="225"/>
      <c r="G99" s="180"/>
      <c r="H99" s="180"/>
      <c r="I99" s="180"/>
      <c r="J99" s="211"/>
      <c r="K99" s="180"/>
      <c r="L99" s="212"/>
      <c r="M99" s="180"/>
      <c r="N99" s="180"/>
      <c r="O99" s="180"/>
      <c r="P99" s="123"/>
      <c r="Q99" s="130"/>
      <c r="R99" s="180"/>
      <c r="S99" s="180"/>
      <c r="T99" s="180"/>
      <c r="U99" s="180"/>
      <c r="V99" s="123"/>
      <c r="W99" s="123"/>
      <c r="X99" s="123"/>
      <c r="Y99" s="180"/>
      <c r="Z99" s="180"/>
    </row>
    <row r="100" spans="1:26" ht="45.75" customHeight="1">
      <c r="A100" s="180"/>
      <c r="B100" s="180"/>
      <c r="C100" s="180"/>
      <c r="D100" s="180"/>
      <c r="E100" s="180"/>
      <c r="F100" s="225"/>
      <c r="G100" s="180"/>
      <c r="H100" s="180"/>
      <c r="I100" s="180"/>
      <c r="J100" s="211"/>
      <c r="K100" s="180"/>
      <c r="L100" s="212"/>
      <c r="M100" s="180"/>
      <c r="N100" s="180"/>
      <c r="O100" s="180"/>
      <c r="P100" s="123"/>
      <c r="Q100" s="130"/>
      <c r="R100" s="180"/>
      <c r="S100" s="180"/>
      <c r="T100" s="180"/>
      <c r="U100" s="180"/>
      <c r="V100" s="123"/>
      <c r="W100" s="123"/>
      <c r="X100" s="123"/>
      <c r="Y100" s="180"/>
      <c r="Z100" s="180"/>
    </row>
    <row r="101" spans="1:26" ht="45.75" customHeight="1">
      <c r="A101" s="180"/>
      <c r="B101" s="180"/>
      <c r="C101" s="180"/>
      <c r="D101" s="180"/>
      <c r="E101" s="180"/>
      <c r="F101" s="225"/>
      <c r="G101" s="180"/>
      <c r="H101" s="180"/>
      <c r="I101" s="180"/>
      <c r="J101" s="211"/>
      <c r="K101" s="180"/>
      <c r="L101" s="212"/>
      <c r="M101" s="180"/>
      <c r="N101" s="180"/>
      <c r="O101" s="180"/>
      <c r="P101" s="123"/>
      <c r="Q101" s="130"/>
      <c r="R101" s="180"/>
      <c r="S101" s="180"/>
      <c r="T101" s="180"/>
      <c r="U101" s="180"/>
      <c r="V101" s="123"/>
      <c r="W101" s="123"/>
      <c r="X101" s="123"/>
      <c r="Y101" s="180"/>
      <c r="Z101" s="180"/>
    </row>
    <row r="102" spans="1:26" ht="45.75" customHeight="1">
      <c r="A102" s="180"/>
      <c r="B102" s="180"/>
      <c r="C102" s="180"/>
      <c r="D102" s="180"/>
      <c r="E102" s="180"/>
      <c r="F102" s="225"/>
      <c r="G102" s="180"/>
      <c r="H102" s="180"/>
      <c r="I102" s="180"/>
      <c r="J102" s="211"/>
      <c r="K102" s="180"/>
      <c r="L102" s="212"/>
      <c r="M102" s="180"/>
      <c r="N102" s="180"/>
      <c r="O102" s="180"/>
      <c r="P102" s="123"/>
      <c r="Q102" s="130"/>
      <c r="R102" s="180"/>
      <c r="S102" s="180"/>
      <c r="T102" s="180"/>
      <c r="U102" s="180"/>
      <c r="V102" s="123"/>
      <c r="W102" s="123"/>
      <c r="X102" s="123"/>
      <c r="Y102" s="180"/>
      <c r="Z102" s="180"/>
    </row>
    <row r="103" spans="1:26" ht="45.75" customHeight="1">
      <c r="A103" s="180"/>
      <c r="B103" s="180"/>
      <c r="C103" s="180"/>
      <c r="D103" s="180"/>
      <c r="E103" s="180"/>
      <c r="F103" s="225"/>
      <c r="G103" s="180"/>
      <c r="H103" s="180"/>
      <c r="I103" s="180"/>
      <c r="J103" s="211"/>
      <c r="K103" s="180"/>
      <c r="L103" s="212"/>
      <c r="M103" s="180"/>
      <c r="N103" s="180"/>
      <c r="O103" s="180"/>
      <c r="P103" s="123"/>
      <c r="Q103" s="130"/>
      <c r="R103" s="180"/>
      <c r="S103" s="180"/>
      <c r="T103" s="180"/>
      <c r="U103" s="180"/>
      <c r="V103" s="123"/>
      <c r="W103" s="123"/>
      <c r="X103" s="123"/>
      <c r="Y103" s="180"/>
      <c r="Z103" s="180"/>
    </row>
    <row r="104" spans="1:26" ht="45.75" customHeight="1">
      <c r="A104" s="180"/>
      <c r="B104" s="180"/>
      <c r="C104" s="180"/>
      <c r="D104" s="180"/>
      <c r="E104" s="180"/>
      <c r="F104" s="225"/>
      <c r="G104" s="180"/>
      <c r="H104" s="180"/>
      <c r="I104" s="180"/>
      <c r="J104" s="211"/>
      <c r="K104" s="180"/>
      <c r="L104" s="212"/>
      <c r="M104" s="180"/>
      <c r="N104" s="180"/>
      <c r="O104" s="180"/>
      <c r="P104" s="123"/>
      <c r="Q104" s="130"/>
      <c r="R104" s="180"/>
      <c r="S104" s="180"/>
      <c r="T104" s="180"/>
      <c r="U104" s="180"/>
      <c r="V104" s="123"/>
      <c r="W104" s="123"/>
      <c r="X104" s="123"/>
      <c r="Y104" s="180"/>
      <c r="Z104" s="180"/>
    </row>
    <row r="105" spans="1:26" ht="45.75" customHeight="1">
      <c r="A105" s="180"/>
      <c r="B105" s="180"/>
      <c r="C105" s="180"/>
      <c r="D105" s="180"/>
      <c r="E105" s="180"/>
      <c r="F105" s="225"/>
      <c r="G105" s="180"/>
      <c r="H105" s="180"/>
      <c r="I105" s="180"/>
      <c r="J105" s="211"/>
      <c r="K105" s="180"/>
      <c r="L105" s="212"/>
      <c r="M105" s="180"/>
      <c r="N105" s="180"/>
      <c r="O105" s="180"/>
      <c r="P105" s="123"/>
      <c r="Q105" s="130"/>
      <c r="R105" s="180"/>
      <c r="S105" s="180"/>
      <c r="T105" s="180"/>
      <c r="U105" s="180"/>
      <c r="V105" s="123"/>
      <c r="W105" s="123"/>
      <c r="X105" s="123"/>
      <c r="Y105" s="180"/>
      <c r="Z105" s="180"/>
    </row>
    <row r="106" spans="1:26" ht="45.75" customHeight="1">
      <c r="A106" s="180"/>
      <c r="B106" s="180"/>
      <c r="C106" s="180"/>
      <c r="D106" s="180"/>
      <c r="E106" s="180"/>
      <c r="F106" s="225"/>
      <c r="G106" s="180"/>
      <c r="H106" s="180"/>
      <c r="I106" s="180"/>
      <c r="J106" s="211"/>
      <c r="K106" s="180"/>
      <c r="L106" s="212"/>
      <c r="M106" s="180"/>
      <c r="N106" s="180"/>
      <c r="O106" s="180"/>
      <c r="P106" s="123"/>
      <c r="Q106" s="130"/>
      <c r="R106" s="180"/>
      <c r="S106" s="180"/>
      <c r="T106" s="180"/>
      <c r="U106" s="180"/>
      <c r="V106" s="123"/>
      <c r="W106" s="123"/>
      <c r="X106" s="123"/>
      <c r="Y106" s="180"/>
      <c r="Z106" s="180"/>
    </row>
    <row r="107" spans="1:26" ht="45.75" customHeight="1">
      <c r="A107" s="180"/>
      <c r="B107" s="180"/>
      <c r="C107" s="180"/>
      <c r="D107" s="180"/>
      <c r="E107" s="180"/>
      <c r="F107" s="225"/>
      <c r="G107" s="180"/>
      <c r="H107" s="180"/>
      <c r="I107" s="180"/>
      <c r="J107" s="211"/>
      <c r="K107" s="180"/>
      <c r="L107" s="212"/>
      <c r="M107" s="180"/>
      <c r="N107" s="180"/>
      <c r="O107" s="180"/>
      <c r="P107" s="123"/>
      <c r="Q107" s="130"/>
      <c r="R107" s="180"/>
      <c r="S107" s="180"/>
      <c r="T107" s="180"/>
      <c r="U107" s="180"/>
      <c r="V107" s="123"/>
      <c r="W107" s="123"/>
      <c r="X107" s="123"/>
      <c r="Y107" s="180"/>
      <c r="Z107" s="180"/>
    </row>
    <row r="108" spans="1:26" ht="45.75" customHeight="1">
      <c r="A108" s="180"/>
      <c r="B108" s="180"/>
      <c r="C108" s="180"/>
      <c r="D108" s="180"/>
      <c r="E108" s="180"/>
      <c r="F108" s="225"/>
      <c r="G108" s="180"/>
      <c r="H108" s="180"/>
      <c r="I108" s="180"/>
      <c r="J108" s="211"/>
      <c r="K108" s="180"/>
      <c r="L108" s="212"/>
      <c r="M108" s="180"/>
      <c r="N108" s="180"/>
      <c r="O108" s="180"/>
      <c r="P108" s="123"/>
      <c r="Q108" s="130"/>
      <c r="R108" s="180"/>
      <c r="S108" s="180"/>
      <c r="T108" s="180"/>
      <c r="U108" s="180"/>
      <c r="V108" s="123"/>
      <c r="W108" s="123"/>
      <c r="X108" s="123"/>
      <c r="Y108" s="180"/>
      <c r="Z108" s="180"/>
    </row>
    <row r="109" spans="1:26" ht="45.75" customHeight="1">
      <c r="A109" s="180"/>
      <c r="B109" s="180"/>
      <c r="C109" s="180"/>
      <c r="D109" s="180"/>
      <c r="E109" s="180"/>
      <c r="F109" s="225"/>
      <c r="G109" s="180"/>
      <c r="H109" s="180"/>
      <c r="I109" s="180"/>
      <c r="J109" s="211"/>
      <c r="K109" s="180"/>
      <c r="L109" s="212"/>
      <c r="M109" s="180"/>
      <c r="N109" s="180"/>
      <c r="O109" s="180"/>
      <c r="P109" s="123"/>
      <c r="Q109" s="130"/>
      <c r="R109" s="180"/>
      <c r="S109" s="180"/>
      <c r="T109" s="180"/>
      <c r="U109" s="180"/>
      <c r="V109" s="123"/>
      <c r="W109" s="123"/>
      <c r="X109" s="123"/>
      <c r="Y109" s="180"/>
      <c r="Z109" s="180"/>
    </row>
    <row r="110" spans="1:26" ht="45.75" customHeight="1">
      <c r="A110" s="180"/>
      <c r="B110" s="180"/>
      <c r="C110" s="180"/>
      <c r="D110" s="180"/>
      <c r="E110" s="180"/>
      <c r="F110" s="225"/>
      <c r="G110" s="180"/>
      <c r="H110" s="180"/>
      <c r="I110" s="180"/>
      <c r="J110" s="211"/>
      <c r="K110" s="180"/>
      <c r="L110" s="212"/>
      <c r="M110" s="180"/>
      <c r="N110" s="180"/>
      <c r="O110" s="180"/>
      <c r="P110" s="123"/>
      <c r="Q110" s="130"/>
      <c r="R110" s="180"/>
      <c r="S110" s="180"/>
      <c r="T110" s="180"/>
      <c r="U110" s="180"/>
      <c r="V110" s="123"/>
      <c r="W110" s="123"/>
      <c r="X110" s="123"/>
      <c r="Y110" s="180"/>
      <c r="Z110" s="180"/>
    </row>
    <row r="111" spans="1:26" ht="45.75" customHeight="1">
      <c r="A111" s="180"/>
      <c r="B111" s="180"/>
      <c r="C111" s="180"/>
      <c r="D111" s="180"/>
      <c r="E111" s="180"/>
      <c r="F111" s="225"/>
      <c r="G111" s="180"/>
      <c r="H111" s="180"/>
      <c r="I111" s="180"/>
      <c r="J111" s="211"/>
      <c r="K111" s="180"/>
      <c r="L111" s="212"/>
      <c r="M111" s="180"/>
      <c r="N111" s="180"/>
      <c r="O111" s="180"/>
      <c r="P111" s="123"/>
      <c r="Q111" s="130"/>
      <c r="R111" s="180"/>
      <c r="S111" s="180"/>
      <c r="T111" s="180"/>
      <c r="U111" s="180"/>
      <c r="V111" s="123"/>
      <c r="W111" s="123"/>
      <c r="X111" s="123"/>
      <c r="Y111" s="180"/>
      <c r="Z111" s="180"/>
    </row>
    <row r="112" spans="1:26" ht="45.75" customHeight="1">
      <c r="A112" s="180"/>
      <c r="B112" s="180"/>
      <c r="C112" s="180"/>
      <c r="D112" s="180"/>
      <c r="E112" s="180"/>
      <c r="F112" s="225"/>
      <c r="G112" s="180"/>
      <c r="H112" s="180"/>
      <c r="I112" s="180"/>
      <c r="J112" s="211"/>
      <c r="K112" s="180"/>
      <c r="L112" s="212"/>
      <c r="M112" s="180"/>
      <c r="N112" s="180"/>
      <c r="O112" s="180"/>
      <c r="P112" s="123"/>
      <c r="Q112" s="130"/>
      <c r="R112" s="180"/>
      <c r="S112" s="180"/>
      <c r="T112" s="180"/>
      <c r="U112" s="180"/>
      <c r="V112" s="123"/>
      <c r="W112" s="123"/>
      <c r="X112" s="123"/>
      <c r="Y112" s="180"/>
      <c r="Z112" s="180"/>
    </row>
    <row r="113" spans="1:26" ht="45.75" customHeight="1">
      <c r="A113" s="180"/>
      <c r="B113" s="180"/>
      <c r="C113" s="180"/>
      <c r="D113" s="180"/>
      <c r="E113" s="180"/>
      <c r="F113" s="225"/>
      <c r="G113" s="180"/>
      <c r="H113" s="180"/>
      <c r="I113" s="180"/>
      <c r="J113" s="211"/>
      <c r="K113" s="180"/>
      <c r="L113" s="212"/>
      <c r="M113" s="180"/>
      <c r="N113" s="180"/>
      <c r="O113" s="180"/>
      <c r="P113" s="123"/>
      <c r="Q113" s="130"/>
      <c r="R113" s="180"/>
      <c r="S113" s="180"/>
      <c r="T113" s="180"/>
      <c r="U113" s="180"/>
      <c r="V113" s="123"/>
      <c r="W113" s="123"/>
      <c r="X113" s="123"/>
      <c r="Y113" s="180"/>
      <c r="Z113" s="180"/>
    </row>
    <row r="114" spans="1:26" ht="45.75" customHeight="1">
      <c r="A114" s="180"/>
      <c r="B114" s="180"/>
      <c r="C114" s="180"/>
      <c r="D114" s="180"/>
      <c r="E114" s="180"/>
      <c r="F114" s="225"/>
      <c r="G114" s="180"/>
      <c r="H114" s="180"/>
      <c r="I114" s="180"/>
      <c r="J114" s="211"/>
      <c r="K114" s="180"/>
      <c r="L114" s="212"/>
      <c r="M114" s="180"/>
      <c r="N114" s="180"/>
      <c r="O114" s="180"/>
      <c r="P114" s="123"/>
      <c r="Q114" s="130"/>
      <c r="R114" s="180"/>
      <c r="S114" s="180"/>
      <c r="T114" s="180"/>
      <c r="U114" s="180"/>
      <c r="V114" s="123"/>
      <c r="W114" s="123"/>
      <c r="X114" s="123"/>
      <c r="Y114" s="180"/>
      <c r="Z114" s="180"/>
    </row>
    <row r="115" spans="1:26" ht="45.75" customHeight="1">
      <c r="A115" s="180"/>
      <c r="B115" s="180"/>
      <c r="C115" s="180"/>
      <c r="D115" s="180"/>
      <c r="E115" s="180"/>
      <c r="F115" s="225"/>
      <c r="G115" s="180"/>
      <c r="H115" s="180"/>
      <c r="I115" s="180"/>
      <c r="J115" s="211"/>
      <c r="K115" s="180"/>
      <c r="L115" s="212"/>
      <c r="M115" s="180"/>
      <c r="N115" s="180"/>
      <c r="O115" s="180"/>
      <c r="P115" s="123"/>
      <c r="Q115" s="130"/>
      <c r="R115" s="180"/>
      <c r="S115" s="180"/>
      <c r="T115" s="180"/>
      <c r="U115" s="180"/>
      <c r="V115" s="123"/>
      <c r="W115" s="123"/>
      <c r="X115" s="123"/>
      <c r="Y115" s="180"/>
      <c r="Z115" s="180"/>
    </row>
    <row r="116" spans="1:26" ht="45.75" customHeight="1">
      <c r="A116" s="180"/>
      <c r="B116" s="180"/>
      <c r="C116" s="180"/>
      <c r="D116" s="180"/>
      <c r="E116" s="180"/>
      <c r="F116" s="225"/>
      <c r="G116" s="180"/>
      <c r="H116" s="180"/>
      <c r="I116" s="180"/>
      <c r="J116" s="211"/>
      <c r="K116" s="180"/>
      <c r="L116" s="212"/>
      <c r="M116" s="180"/>
      <c r="N116" s="180"/>
      <c r="O116" s="180"/>
      <c r="P116" s="123"/>
      <c r="Q116" s="130"/>
      <c r="R116" s="180"/>
      <c r="S116" s="180"/>
      <c r="T116" s="180"/>
      <c r="U116" s="180"/>
      <c r="V116" s="123"/>
      <c r="W116" s="123"/>
      <c r="X116" s="123"/>
      <c r="Y116" s="180"/>
      <c r="Z116" s="180"/>
    </row>
    <row r="117" spans="1:26" ht="45.75" customHeight="1">
      <c r="A117" s="180"/>
      <c r="B117" s="180"/>
      <c r="C117" s="180"/>
      <c r="D117" s="180"/>
      <c r="E117" s="180"/>
      <c r="F117" s="225"/>
      <c r="G117" s="180"/>
      <c r="H117" s="180"/>
      <c r="I117" s="180"/>
      <c r="J117" s="211"/>
      <c r="K117" s="180"/>
      <c r="L117" s="212"/>
      <c r="M117" s="180"/>
      <c r="N117" s="180"/>
      <c r="O117" s="180"/>
      <c r="P117" s="123"/>
      <c r="Q117" s="130"/>
      <c r="R117" s="180"/>
      <c r="S117" s="180"/>
      <c r="T117" s="180"/>
      <c r="U117" s="180"/>
      <c r="V117" s="123"/>
      <c r="W117" s="123"/>
      <c r="X117" s="123"/>
      <c r="Y117" s="180"/>
      <c r="Z117" s="180"/>
    </row>
    <row r="118" spans="1:26" ht="45.75" customHeight="1">
      <c r="A118" s="180"/>
      <c r="B118" s="180"/>
      <c r="C118" s="180"/>
      <c r="D118" s="180"/>
      <c r="E118" s="180"/>
      <c r="F118" s="225"/>
      <c r="G118" s="180"/>
      <c r="H118" s="180"/>
      <c r="I118" s="180"/>
      <c r="J118" s="211"/>
      <c r="K118" s="180"/>
      <c r="L118" s="212"/>
      <c r="M118" s="180"/>
      <c r="N118" s="180"/>
      <c r="O118" s="180"/>
      <c r="P118" s="123"/>
      <c r="Q118" s="130"/>
      <c r="R118" s="180"/>
      <c r="S118" s="180"/>
      <c r="T118" s="180"/>
      <c r="U118" s="180"/>
      <c r="V118" s="123"/>
      <c r="W118" s="123"/>
      <c r="X118" s="123"/>
      <c r="Y118" s="180"/>
      <c r="Z118" s="180"/>
    </row>
    <row r="119" spans="1:26" ht="45.75" customHeight="1">
      <c r="A119" s="180"/>
      <c r="B119" s="180"/>
      <c r="C119" s="180"/>
      <c r="D119" s="180"/>
      <c r="E119" s="180"/>
      <c r="F119" s="225"/>
      <c r="G119" s="180"/>
      <c r="H119" s="180"/>
      <c r="I119" s="180"/>
      <c r="J119" s="211"/>
      <c r="K119" s="180"/>
      <c r="L119" s="212"/>
      <c r="M119" s="180"/>
      <c r="N119" s="180"/>
      <c r="O119" s="180"/>
      <c r="P119" s="123"/>
      <c r="Q119" s="130"/>
      <c r="R119" s="180"/>
      <c r="S119" s="180"/>
      <c r="T119" s="180"/>
      <c r="U119" s="180"/>
      <c r="V119" s="123"/>
      <c r="W119" s="123"/>
      <c r="X119" s="123"/>
      <c r="Y119" s="180"/>
      <c r="Z119" s="180"/>
    </row>
    <row r="120" spans="1:26" ht="45.75" customHeight="1">
      <c r="A120" s="180"/>
      <c r="B120" s="180"/>
      <c r="C120" s="180"/>
      <c r="D120" s="180"/>
      <c r="E120" s="180"/>
      <c r="F120" s="225"/>
      <c r="G120" s="180"/>
      <c r="H120" s="180"/>
      <c r="I120" s="180"/>
      <c r="J120" s="211"/>
      <c r="K120" s="180"/>
      <c r="L120" s="212"/>
      <c r="M120" s="180"/>
      <c r="N120" s="180"/>
      <c r="O120" s="180"/>
      <c r="P120" s="123"/>
      <c r="Q120" s="130"/>
      <c r="R120" s="180"/>
      <c r="S120" s="180"/>
      <c r="T120" s="180"/>
      <c r="U120" s="180"/>
      <c r="V120" s="123"/>
      <c r="W120" s="123"/>
      <c r="X120" s="123"/>
      <c r="Y120" s="180"/>
      <c r="Z120" s="180"/>
    </row>
    <row r="121" spans="1:26" ht="45.75" customHeight="1">
      <c r="A121" s="180"/>
      <c r="B121" s="180"/>
      <c r="C121" s="180"/>
      <c r="D121" s="180"/>
      <c r="E121" s="180"/>
      <c r="F121" s="225"/>
      <c r="G121" s="180"/>
      <c r="H121" s="180"/>
      <c r="I121" s="180"/>
      <c r="J121" s="211"/>
      <c r="K121" s="180"/>
      <c r="L121" s="212"/>
      <c r="M121" s="180"/>
      <c r="N121" s="180"/>
      <c r="O121" s="180"/>
      <c r="P121" s="123"/>
      <c r="Q121" s="130"/>
      <c r="R121" s="180"/>
      <c r="S121" s="180"/>
      <c r="T121" s="180"/>
      <c r="U121" s="180"/>
      <c r="V121" s="123"/>
      <c r="W121" s="123"/>
      <c r="X121" s="123"/>
      <c r="Y121" s="180"/>
      <c r="Z121" s="180"/>
    </row>
    <row r="122" spans="1:26" ht="45.75" customHeight="1">
      <c r="A122" s="180"/>
      <c r="B122" s="180"/>
      <c r="C122" s="180"/>
      <c r="D122" s="180"/>
      <c r="E122" s="180"/>
      <c r="F122" s="225"/>
      <c r="G122" s="180"/>
      <c r="H122" s="180"/>
      <c r="I122" s="180"/>
      <c r="J122" s="211"/>
      <c r="K122" s="180"/>
      <c r="L122" s="212"/>
      <c r="M122" s="180"/>
      <c r="N122" s="180"/>
      <c r="O122" s="180"/>
      <c r="P122" s="123"/>
      <c r="Q122" s="130"/>
      <c r="R122" s="180"/>
      <c r="S122" s="180"/>
      <c r="T122" s="180"/>
      <c r="U122" s="180"/>
      <c r="V122" s="123"/>
      <c r="W122" s="123"/>
      <c r="X122" s="123"/>
      <c r="Y122" s="180"/>
      <c r="Z122" s="180"/>
    </row>
    <row r="123" spans="1:26" ht="45.75" customHeight="1">
      <c r="A123" s="180"/>
      <c r="B123" s="180"/>
      <c r="C123" s="180"/>
      <c r="D123" s="180"/>
      <c r="E123" s="180"/>
      <c r="F123" s="225"/>
      <c r="G123" s="180"/>
      <c r="H123" s="180"/>
      <c r="I123" s="180"/>
      <c r="J123" s="211"/>
      <c r="K123" s="180"/>
      <c r="L123" s="212"/>
      <c r="M123" s="180"/>
      <c r="N123" s="180"/>
      <c r="O123" s="180"/>
      <c r="P123" s="123"/>
      <c r="Q123" s="130"/>
      <c r="R123" s="180"/>
      <c r="S123" s="180"/>
      <c r="T123" s="180"/>
      <c r="U123" s="180"/>
      <c r="V123" s="123"/>
      <c r="W123" s="123"/>
      <c r="X123" s="123"/>
      <c r="Y123" s="180"/>
      <c r="Z123" s="180"/>
    </row>
    <row r="124" spans="1:26" ht="45.75" customHeight="1">
      <c r="A124" s="180"/>
      <c r="B124" s="180"/>
      <c r="C124" s="180"/>
      <c r="D124" s="180"/>
      <c r="E124" s="180"/>
      <c r="F124" s="225"/>
      <c r="G124" s="180"/>
      <c r="H124" s="180"/>
      <c r="I124" s="180"/>
      <c r="J124" s="211"/>
      <c r="K124" s="180"/>
      <c r="L124" s="212"/>
      <c r="M124" s="180"/>
      <c r="N124" s="180"/>
      <c r="O124" s="180"/>
      <c r="P124" s="123"/>
      <c r="Q124" s="130"/>
      <c r="R124" s="180"/>
      <c r="S124" s="180"/>
      <c r="T124" s="180"/>
      <c r="U124" s="180"/>
      <c r="V124" s="123"/>
      <c r="W124" s="123"/>
      <c r="X124" s="123"/>
      <c r="Y124" s="180"/>
      <c r="Z124" s="180"/>
    </row>
    <row r="125" spans="1:26" ht="45.75" customHeight="1">
      <c r="A125" s="180"/>
      <c r="B125" s="180"/>
      <c r="C125" s="180"/>
      <c r="D125" s="180"/>
      <c r="E125" s="180"/>
      <c r="F125" s="225"/>
      <c r="G125" s="180"/>
      <c r="H125" s="180"/>
      <c r="I125" s="180"/>
      <c r="J125" s="211"/>
      <c r="K125" s="180"/>
      <c r="L125" s="212"/>
      <c r="M125" s="180"/>
      <c r="N125" s="180"/>
      <c r="O125" s="180"/>
      <c r="P125" s="123"/>
      <c r="Q125" s="130"/>
      <c r="R125" s="180"/>
      <c r="S125" s="180"/>
      <c r="T125" s="180"/>
      <c r="U125" s="180"/>
      <c r="V125" s="123"/>
      <c r="W125" s="123"/>
      <c r="X125" s="123"/>
      <c r="Y125" s="180"/>
      <c r="Z125" s="180"/>
    </row>
    <row r="126" spans="1:26" ht="45.75" customHeight="1">
      <c r="A126" s="180"/>
      <c r="B126" s="180"/>
      <c r="C126" s="180"/>
      <c r="D126" s="180"/>
      <c r="E126" s="180"/>
      <c r="F126" s="225"/>
      <c r="G126" s="180"/>
      <c r="H126" s="180"/>
      <c r="I126" s="180"/>
      <c r="J126" s="211"/>
      <c r="K126" s="180"/>
      <c r="L126" s="212"/>
      <c r="M126" s="180"/>
      <c r="N126" s="180"/>
      <c r="O126" s="180"/>
      <c r="P126" s="123"/>
      <c r="Q126" s="130"/>
      <c r="R126" s="180"/>
      <c r="S126" s="180"/>
      <c r="T126" s="180"/>
      <c r="U126" s="180"/>
      <c r="V126" s="123"/>
      <c r="W126" s="123"/>
      <c r="X126" s="123"/>
      <c r="Y126" s="180"/>
      <c r="Z126" s="180"/>
    </row>
    <row r="127" spans="1:26" ht="45.75" customHeight="1">
      <c r="A127" s="180"/>
      <c r="B127" s="180"/>
      <c r="C127" s="180"/>
      <c r="D127" s="180"/>
      <c r="E127" s="180"/>
      <c r="F127" s="225"/>
      <c r="G127" s="180"/>
      <c r="H127" s="180"/>
      <c r="I127" s="180"/>
      <c r="J127" s="211"/>
      <c r="K127" s="180"/>
      <c r="L127" s="212"/>
      <c r="M127" s="180"/>
      <c r="N127" s="180"/>
      <c r="O127" s="180"/>
      <c r="P127" s="123"/>
      <c r="Q127" s="130"/>
      <c r="R127" s="180"/>
      <c r="S127" s="180"/>
      <c r="T127" s="180"/>
      <c r="U127" s="180"/>
      <c r="V127" s="123"/>
      <c r="W127" s="123"/>
      <c r="X127" s="123"/>
      <c r="Y127" s="180"/>
      <c r="Z127" s="180"/>
    </row>
    <row r="128" spans="1:26" ht="45.75" customHeight="1">
      <c r="A128" s="180"/>
      <c r="B128" s="180"/>
      <c r="C128" s="180"/>
      <c r="D128" s="180"/>
      <c r="E128" s="180"/>
      <c r="F128" s="225"/>
      <c r="G128" s="180"/>
      <c r="H128" s="180"/>
      <c r="I128" s="180"/>
      <c r="J128" s="211"/>
      <c r="K128" s="180"/>
      <c r="L128" s="212"/>
      <c r="M128" s="180"/>
      <c r="N128" s="180"/>
      <c r="O128" s="180"/>
      <c r="P128" s="123"/>
      <c r="Q128" s="130"/>
      <c r="R128" s="180"/>
      <c r="S128" s="180"/>
      <c r="T128" s="180"/>
      <c r="U128" s="180"/>
      <c r="V128" s="123"/>
      <c r="W128" s="123"/>
      <c r="X128" s="123"/>
      <c r="Y128" s="180"/>
      <c r="Z128" s="180"/>
    </row>
    <row r="129" spans="1:26" ht="45.75" customHeight="1">
      <c r="A129" s="180"/>
      <c r="B129" s="180"/>
      <c r="C129" s="180"/>
      <c r="D129" s="180"/>
      <c r="E129" s="180"/>
      <c r="F129" s="225"/>
      <c r="G129" s="180"/>
      <c r="H129" s="180"/>
      <c r="I129" s="180"/>
      <c r="J129" s="211"/>
      <c r="K129" s="180"/>
      <c r="L129" s="212"/>
      <c r="M129" s="180"/>
      <c r="N129" s="180"/>
      <c r="O129" s="180"/>
      <c r="P129" s="123"/>
      <c r="Q129" s="130"/>
      <c r="R129" s="180"/>
      <c r="S129" s="180"/>
      <c r="T129" s="180"/>
      <c r="U129" s="180"/>
      <c r="V129" s="123"/>
      <c r="W129" s="123"/>
      <c r="X129" s="123"/>
      <c r="Y129" s="180"/>
      <c r="Z129" s="180"/>
    </row>
    <row r="130" spans="1:26" ht="45.75" customHeight="1">
      <c r="A130" s="180"/>
      <c r="B130" s="180"/>
      <c r="C130" s="180"/>
      <c r="D130" s="180"/>
      <c r="E130" s="180"/>
      <c r="F130" s="225"/>
      <c r="G130" s="180"/>
      <c r="H130" s="180"/>
      <c r="I130" s="180"/>
      <c r="J130" s="211"/>
      <c r="K130" s="180"/>
      <c r="L130" s="212"/>
      <c r="M130" s="180"/>
      <c r="N130" s="180"/>
      <c r="O130" s="180"/>
      <c r="P130" s="123"/>
      <c r="Q130" s="130"/>
      <c r="R130" s="180"/>
      <c r="S130" s="180"/>
      <c r="T130" s="180"/>
      <c r="U130" s="180"/>
      <c r="V130" s="123"/>
      <c r="W130" s="123"/>
      <c r="X130" s="123"/>
      <c r="Y130" s="180"/>
      <c r="Z130" s="180"/>
    </row>
    <row r="131" spans="1:26" ht="45.75" customHeight="1">
      <c r="A131" s="180"/>
      <c r="B131" s="180"/>
      <c r="C131" s="180"/>
      <c r="D131" s="180"/>
      <c r="E131" s="180"/>
      <c r="F131" s="225"/>
      <c r="G131" s="180"/>
      <c r="H131" s="180"/>
      <c r="I131" s="180"/>
      <c r="J131" s="211"/>
      <c r="K131" s="180"/>
      <c r="L131" s="212"/>
      <c r="M131" s="180"/>
      <c r="N131" s="180"/>
      <c r="O131" s="180"/>
      <c r="P131" s="123"/>
      <c r="Q131" s="130"/>
      <c r="R131" s="180"/>
      <c r="S131" s="180"/>
      <c r="T131" s="180"/>
      <c r="U131" s="180"/>
      <c r="V131" s="123"/>
      <c r="W131" s="123"/>
      <c r="X131" s="123"/>
      <c r="Y131" s="180"/>
      <c r="Z131" s="180"/>
    </row>
    <row r="132" spans="1:26" ht="45.75" customHeight="1">
      <c r="A132" s="180"/>
      <c r="B132" s="180"/>
      <c r="C132" s="180"/>
      <c r="D132" s="180"/>
      <c r="E132" s="180"/>
      <c r="F132" s="225"/>
      <c r="G132" s="180"/>
      <c r="H132" s="180"/>
      <c r="I132" s="180"/>
      <c r="J132" s="211"/>
      <c r="K132" s="180"/>
      <c r="L132" s="212"/>
      <c r="M132" s="180"/>
      <c r="N132" s="180"/>
      <c r="O132" s="180"/>
      <c r="P132" s="123"/>
      <c r="Q132" s="130"/>
      <c r="R132" s="180"/>
      <c r="S132" s="180"/>
      <c r="T132" s="180"/>
      <c r="U132" s="180"/>
      <c r="V132" s="123"/>
      <c r="W132" s="123"/>
      <c r="X132" s="123"/>
      <c r="Y132" s="180"/>
      <c r="Z132" s="180"/>
    </row>
    <row r="133" spans="1:26" ht="45.75" customHeight="1">
      <c r="A133" s="180"/>
      <c r="B133" s="180"/>
      <c r="C133" s="180"/>
      <c r="D133" s="180"/>
      <c r="E133" s="180"/>
      <c r="F133" s="225"/>
      <c r="G133" s="180"/>
      <c r="H133" s="180"/>
      <c r="I133" s="180"/>
      <c r="J133" s="211"/>
      <c r="K133" s="180"/>
      <c r="L133" s="212"/>
      <c r="M133" s="180"/>
      <c r="N133" s="180"/>
      <c r="O133" s="180"/>
      <c r="P133" s="123"/>
      <c r="Q133" s="130"/>
      <c r="R133" s="180"/>
      <c r="S133" s="180"/>
      <c r="T133" s="180"/>
      <c r="U133" s="180"/>
      <c r="V133" s="123"/>
      <c r="W133" s="123"/>
      <c r="X133" s="123"/>
      <c r="Y133" s="180"/>
      <c r="Z133" s="180"/>
    </row>
    <row r="134" spans="1:26" ht="45.75" customHeight="1">
      <c r="A134" s="180"/>
      <c r="B134" s="180"/>
      <c r="C134" s="180"/>
      <c r="D134" s="180"/>
      <c r="E134" s="180"/>
      <c r="F134" s="225"/>
      <c r="G134" s="180"/>
      <c r="H134" s="180"/>
      <c r="I134" s="180"/>
      <c r="J134" s="211"/>
      <c r="K134" s="180"/>
      <c r="L134" s="212"/>
      <c r="M134" s="180"/>
      <c r="N134" s="180"/>
      <c r="O134" s="180"/>
      <c r="P134" s="123"/>
      <c r="Q134" s="130"/>
      <c r="R134" s="180"/>
      <c r="S134" s="180"/>
      <c r="T134" s="180"/>
      <c r="U134" s="180"/>
      <c r="V134" s="123"/>
      <c r="W134" s="123"/>
      <c r="X134" s="123"/>
      <c r="Y134" s="180"/>
      <c r="Z134" s="180"/>
    </row>
    <row r="135" spans="1:26" ht="45.75" customHeight="1">
      <c r="A135" s="180"/>
      <c r="B135" s="180"/>
      <c r="C135" s="180"/>
      <c r="D135" s="180"/>
      <c r="E135" s="180"/>
      <c r="F135" s="225"/>
      <c r="G135" s="180"/>
      <c r="H135" s="180"/>
      <c r="I135" s="180"/>
      <c r="J135" s="211"/>
      <c r="K135" s="180"/>
      <c r="L135" s="212"/>
      <c r="M135" s="180"/>
      <c r="N135" s="180"/>
      <c r="O135" s="180"/>
      <c r="P135" s="123"/>
      <c r="Q135" s="130"/>
      <c r="R135" s="180"/>
      <c r="S135" s="180"/>
      <c r="T135" s="180"/>
      <c r="U135" s="180"/>
      <c r="V135" s="123"/>
      <c r="W135" s="123"/>
      <c r="X135" s="123"/>
      <c r="Y135" s="180"/>
      <c r="Z135" s="180"/>
    </row>
    <row r="136" spans="1:26" ht="45.75" customHeight="1">
      <c r="A136" s="180"/>
      <c r="B136" s="180"/>
      <c r="C136" s="180"/>
      <c r="D136" s="180"/>
      <c r="E136" s="180"/>
      <c r="F136" s="225"/>
      <c r="G136" s="180"/>
      <c r="H136" s="180"/>
      <c r="I136" s="180"/>
      <c r="J136" s="211"/>
      <c r="K136" s="180"/>
      <c r="L136" s="212"/>
      <c r="M136" s="180"/>
      <c r="N136" s="180"/>
      <c r="O136" s="180"/>
      <c r="P136" s="123"/>
      <c r="Q136" s="130"/>
      <c r="R136" s="180"/>
      <c r="S136" s="180"/>
      <c r="T136" s="180"/>
      <c r="U136" s="180"/>
      <c r="V136" s="123"/>
      <c r="W136" s="123"/>
      <c r="X136" s="123"/>
      <c r="Y136" s="180"/>
      <c r="Z136" s="180"/>
    </row>
    <row r="137" spans="1:26" ht="45.75" customHeight="1">
      <c r="A137" s="180"/>
      <c r="B137" s="180"/>
      <c r="C137" s="180"/>
      <c r="D137" s="180"/>
      <c r="E137" s="180"/>
      <c r="F137" s="225"/>
      <c r="G137" s="180"/>
      <c r="H137" s="180"/>
      <c r="I137" s="180"/>
      <c r="J137" s="211"/>
      <c r="K137" s="180"/>
      <c r="L137" s="212"/>
      <c r="M137" s="180"/>
      <c r="N137" s="180"/>
      <c r="O137" s="180"/>
      <c r="P137" s="123"/>
      <c r="Q137" s="130"/>
      <c r="R137" s="180"/>
      <c r="S137" s="180"/>
      <c r="T137" s="180"/>
      <c r="U137" s="180"/>
      <c r="V137" s="123"/>
      <c r="W137" s="123"/>
      <c r="X137" s="123"/>
      <c r="Y137" s="180"/>
      <c r="Z137" s="180"/>
    </row>
    <row r="138" spans="1:26" ht="45.75" customHeight="1">
      <c r="A138" s="180"/>
      <c r="B138" s="180"/>
      <c r="C138" s="180"/>
      <c r="D138" s="180"/>
      <c r="E138" s="180"/>
      <c r="F138" s="225"/>
      <c r="G138" s="180"/>
      <c r="H138" s="180"/>
      <c r="I138" s="180"/>
      <c r="J138" s="211"/>
      <c r="K138" s="180"/>
      <c r="L138" s="212"/>
      <c r="M138" s="180"/>
      <c r="N138" s="180"/>
      <c r="O138" s="180"/>
      <c r="P138" s="123"/>
      <c r="Q138" s="130"/>
      <c r="R138" s="180"/>
      <c r="S138" s="180"/>
      <c r="T138" s="180"/>
      <c r="U138" s="180"/>
      <c r="V138" s="123"/>
      <c r="W138" s="123"/>
      <c r="X138" s="123"/>
      <c r="Y138" s="180"/>
      <c r="Z138" s="180"/>
    </row>
    <row r="139" spans="1:26" ht="45.75" customHeight="1">
      <c r="A139" s="180"/>
      <c r="B139" s="180"/>
      <c r="C139" s="180"/>
      <c r="D139" s="180"/>
      <c r="E139" s="180"/>
      <c r="F139" s="225"/>
      <c r="G139" s="180"/>
      <c r="H139" s="180"/>
      <c r="I139" s="180"/>
      <c r="J139" s="211"/>
      <c r="K139" s="180"/>
      <c r="L139" s="212"/>
      <c r="M139" s="180"/>
      <c r="N139" s="180"/>
      <c r="O139" s="180"/>
      <c r="P139" s="123"/>
      <c r="Q139" s="130"/>
      <c r="R139" s="180"/>
      <c r="S139" s="180"/>
      <c r="T139" s="180"/>
      <c r="U139" s="180"/>
      <c r="V139" s="123"/>
      <c r="W139" s="123"/>
      <c r="X139" s="123"/>
      <c r="Y139" s="180"/>
      <c r="Z139" s="180"/>
    </row>
    <row r="140" spans="1:26" ht="45.75" customHeight="1">
      <c r="A140" s="180"/>
      <c r="B140" s="180"/>
      <c r="C140" s="180"/>
      <c r="D140" s="180"/>
      <c r="E140" s="180"/>
      <c r="F140" s="225"/>
      <c r="G140" s="180"/>
      <c r="H140" s="180"/>
      <c r="I140" s="180"/>
      <c r="J140" s="211"/>
      <c r="K140" s="180"/>
      <c r="L140" s="212"/>
      <c r="M140" s="180"/>
      <c r="N140" s="180"/>
      <c r="O140" s="180"/>
      <c r="P140" s="123"/>
      <c r="Q140" s="130"/>
      <c r="R140" s="180"/>
      <c r="S140" s="180"/>
      <c r="T140" s="180"/>
      <c r="U140" s="180"/>
      <c r="V140" s="123"/>
      <c r="W140" s="123"/>
      <c r="X140" s="123"/>
      <c r="Y140" s="180"/>
      <c r="Z140" s="180"/>
    </row>
    <row r="141" spans="1:26" ht="45.75" customHeight="1">
      <c r="A141" s="180"/>
      <c r="B141" s="180"/>
      <c r="C141" s="180"/>
      <c r="D141" s="180"/>
      <c r="E141" s="180"/>
      <c r="F141" s="225"/>
      <c r="G141" s="180"/>
      <c r="H141" s="180"/>
      <c r="I141" s="180"/>
      <c r="J141" s="211"/>
      <c r="K141" s="180"/>
      <c r="L141" s="212"/>
      <c r="M141" s="180"/>
      <c r="N141" s="180"/>
      <c r="O141" s="180"/>
      <c r="P141" s="123"/>
      <c r="Q141" s="130"/>
      <c r="R141" s="180"/>
      <c r="S141" s="180"/>
      <c r="T141" s="180"/>
      <c r="U141" s="180"/>
      <c r="V141" s="123"/>
      <c r="W141" s="123"/>
      <c r="X141" s="123"/>
      <c r="Y141" s="180"/>
      <c r="Z141" s="180"/>
    </row>
    <row r="142" spans="1:26" ht="45.75" customHeight="1">
      <c r="A142" s="180"/>
      <c r="B142" s="180"/>
      <c r="C142" s="180"/>
      <c r="D142" s="180"/>
      <c r="E142" s="180"/>
      <c r="F142" s="225"/>
      <c r="G142" s="180"/>
      <c r="H142" s="180"/>
      <c r="I142" s="180"/>
      <c r="J142" s="211"/>
      <c r="K142" s="180"/>
      <c r="L142" s="212"/>
      <c r="M142" s="180"/>
      <c r="N142" s="180"/>
      <c r="O142" s="180"/>
      <c r="P142" s="123"/>
      <c r="Q142" s="130"/>
      <c r="R142" s="180"/>
      <c r="S142" s="180"/>
      <c r="T142" s="180"/>
      <c r="U142" s="180"/>
      <c r="V142" s="123"/>
      <c r="W142" s="123"/>
      <c r="X142" s="123"/>
      <c r="Y142" s="180"/>
      <c r="Z142" s="180"/>
    </row>
    <row r="143" spans="1:26" ht="45.75" customHeight="1">
      <c r="A143" s="180"/>
      <c r="B143" s="180"/>
      <c r="C143" s="180"/>
      <c r="D143" s="180"/>
      <c r="E143" s="180"/>
      <c r="F143" s="225"/>
      <c r="G143" s="180"/>
      <c r="H143" s="180"/>
      <c r="I143" s="180"/>
      <c r="J143" s="211"/>
      <c r="K143" s="180"/>
      <c r="L143" s="212"/>
      <c r="M143" s="180"/>
      <c r="N143" s="180"/>
      <c r="O143" s="180"/>
      <c r="P143" s="123"/>
      <c r="Q143" s="130"/>
      <c r="R143" s="180"/>
      <c r="S143" s="180"/>
      <c r="T143" s="180"/>
      <c r="U143" s="180"/>
      <c r="V143" s="123"/>
      <c r="W143" s="123"/>
      <c r="X143" s="123"/>
      <c r="Y143" s="180"/>
      <c r="Z143" s="180"/>
    </row>
    <row r="144" spans="1:26" ht="45.75" customHeight="1">
      <c r="A144" s="180"/>
      <c r="B144" s="180"/>
      <c r="C144" s="180"/>
      <c r="D144" s="180"/>
      <c r="E144" s="180"/>
      <c r="F144" s="225"/>
      <c r="G144" s="180"/>
      <c r="H144" s="180"/>
      <c r="I144" s="180"/>
      <c r="J144" s="211"/>
      <c r="K144" s="180"/>
      <c r="L144" s="212"/>
      <c r="M144" s="180"/>
      <c r="N144" s="180"/>
      <c r="O144" s="180"/>
      <c r="P144" s="123"/>
      <c r="Q144" s="130"/>
      <c r="R144" s="180"/>
      <c r="S144" s="180"/>
      <c r="T144" s="180"/>
      <c r="U144" s="180"/>
      <c r="V144" s="123"/>
      <c r="W144" s="123"/>
      <c r="X144" s="123"/>
      <c r="Y144" s="180"/>
      <c r="Z144" s="180"/>
    </row>
    <row r="145" spans="1:26" ht="45.75" customHeight="1">
      <c r="A145" s="180"/>
      <c r="B145" s="180"/>
      <c r="C145" s="180"/>
      <c r="D145" s="180"/>
      <c r="E145" s="180"/>
      <c r="F145" s="225"/>
      <c r="G145" s="180"/>
      <c r="H145" s="180"/>
      <c r="I145" s="180"/>
      <c r="J145" s="211"/>
      <c r="K145" s="180"/>
      <c r="L145" s="212"/>
      <c r="M145" s="180"/>
      <c r="N145" s="180"/>
      <c r="O145" s="180"/>
      <c r="P145" s="123"/>
      <c r="Q145" s="130"/>
      <c r="R145" s="180"/>
      <c r="S145" s="180"/>
      <c r="T145" s="180"/>
      <c r="U145" s="180"/>
      <c r="V145" s="123"/>
      <c r="W145" s="123"/>
      <c r="X145" s="123"/>
      <c r="Y145" s="180"/>
      <c r="Z145" s="180"/>
    </row>
    <row r="146" spans="1:26" ht="45.75" customHeight="1">
      <c r="A146" s="180"/>
      <c r="B146" s="180"/>
      <c r="C146" s="180"/>
      <c r="D146" s="180"/>
      <c r="E146" s="180"/>
      <c r="F146" s="225"/>
      <c r="G146" s="180"/>
      <c r="H146" s="180"/>
      <c r="I146" s="180"/>
      <c r="J146" s="211"/>
      <c r="K146" s="180"/>
      <c r="L146" s="212"/>
      <c r="M146" s="180"/>
      <c r="N146" s="180"/>
      <c r="O146" s="180"/>
      <c r="P146" s="123"/>
      <c r="Q146" s="130"/>
      <c r="R146" s="180"/>
      <c r="S146" s="180"/>
      <c r="T146" s="180"/>
      <c r="U146" s="180"/>
      <c r="V146" s="123"/>
      <c r="W146" s="123"/>
      <c r="X146" s="123"/>
      <c r="Y146" s="180"/>
      <c r="Z146" s="180"/>
    </row>
    <row r="147" spans="1:26" ht="45.75" customHeight="1">
      <c r="A147" s="180"/>
      <c r="B147" s="180"/>
      <c r="C147" s="180"/>
      <c r="D147" s="180"/>
      <c r="E147" s="180"/>
      <c r="F147" s="225"/>
      <c r="G147" s="180"/>
      <c r="H147" s="180"/>
      <c r="I147" s="180"/>
      <c r="J147" s="211"/>
      <c r="K147" s="180"/>
      <c r="L147" s="212"/>
      <c r="M147" s="180"/>
      <c r="N147" s="180"/>
      <c r="O147" s="180"/>
      <c r="P147" s="123"/>
      <c r="Q147" s="130"/>
      <c r="R147" s="180"/>
      <c r="S147" s="180"/>
      <c r="T147" s="180"/>
      <c r="U147" s="180"/>
      <c r="V147" s="123"/>
      <c r="W147" s="123"/>
      <c r="X147" s="123"/>
      <c r="Y147" s="180"/>
      <c r="Z147" s="180"/>
    </row>
    <row r="148" spans="1:26" ht="45.75" customHeight="1">
      <c r="A148" s="180"/>
      <c r="B148" s="180"/>
      <c r="C148" s="180"/>
      <c r="D148" s="180"/>
      <c r="E148" s="180"/>
      <c r="F148" s="225"/>
      <c r="G148" s="180"/>
      <c r="H148" s="180"/>
      <c r="I148" s="180"/>
      <c r="J148" s="211"/>
      <c r="K148" s="180"/>
      <c r="L148" s="212"/>
      <c r="M148" s="180"/>
      <c r="N148" s="180"/>
      <c r="O148" s="180"/>
      <c r="P148" s="123"/>
      <c r="Q148" s="130"/>
      <c r="R148" s="180"/>
      <c r="S148" s="180"/>
      <c r="T148" s="180"/>
      <c r="U148" s="180"/>
      <c r="V148" s="123"/>
      <c r="W148" s="123"/>
      <c r="X148" s="123"/>
      <c r="Y148" s="180"/>
      <c r="Z148" s="180"/>
    </row>
    <row r="149" spans="1:26" ht="45.75" customHeight="1">
      <c r="A149" s="180"/>
      <c r="B149" s="180"/>
      <c r="C149" s="180"/>
      <c r="D149" s="180"/>
      <c r="E149" s="180"/>
      <c r="F149" s="225"/>
      <c r="G149" s="180"/>
      <c r="H149" s="180"/>
      <c r="I149" s="180"/>
      <c r="J149" s="211"/>
      <c r="K149" s="180"/>
      <c r="L149" s="212"/>
      <c r="M149" s="180"/>
      <c r="N149" s="180"/>
      <c r="O149" s="180"/>
      <c r="P149" s="123"/>
      <c r="Q149" s="130"/>
      <c r="R149" s="180"/>
      <c r="S149" s="180"/>
      <c r="T149" s="180"/>
      <c r="U149" s="180"/>
      <c r="V149" s="123"/>
      <c r="W149" s="123"/>
      <c r="X149" s="123"/>
      <c r="Y149" s="180"/>
      <c r="Z149" s="180"/>
    </row>
    <row r="150" spans="1:26" ht="45.75" customHeight="1">
      <c r="A150" s="180"/>
      <c r="B150" s="180"/>
      <c r="C150" s="180"/>
      <c r="D150" s="180"/>
      <c r="E150" s="180"/>
      <c r="F150" s="225"/>
      <c r="G150" s="180"/>
      <c r="H150" s="180"/>
      <c r="I150" s="180"/>
      <c r="J150" s="211"/>
      <c r="K150" s="180"/>
      <c r="L150" s="212"/>
      <c r="M150" s="180"/>
      <c r="N150" s="180"/>
      <c r="O150" s="180"/>
      <c r="P150" s="123"/>
      <c r="Q150" s="130"/>
      <c r="R150" s="180"/>
      <c r="S150" s="180"/>
      <c r="T150" s="180"/>
      <c r="U150" s="180"/>
      <c r="V150" s="123"/>
      <c r="W150" s="123"/>
      <c r="X150" s="123"/>
      <c r="Y150" s="180"/>
      <c r="Z150" s="180"/>
    </row>
    <row r="151" spans="1:26" ht="45.75" customHeight="1">
      <c r="A151" s="180"/>
      <c r="B151" s="180"/>
      <c r="C151" s="180"/>
      <c r="D151" s="180"/>
      <c r="E151" s="180"/>
      <c r="F151" s="225"/>
      <c r="G151" s="180"/>
      <c r="H151" s="180"/>
      <c r="I151" s="180"/>
      <c r="J151" s="211"/>
      <c r="K151" s="180"/>
      <c r="L151" s="212"/>
      <c r="M151" s="180"/>
      <c r="N151" s="180"/>
      <c r="O151" s="180"/>
      <c r="P151" s="123"/>
      <c r="Q151" s="130"/>
      <c r="R151" s="180"/>
      <c r="S151" s="180"/>
      <c r="T151" s="180"/>
      <c r="U151" s="180"/>
      <c r="V151" s="123"/>
      <c r="W151" s="123"/>
      <c r="X151" s="123"/>
      <c r="Y151" s="180"/>
      <c r="Z151" s="180"/>
    </row>
    <row r="152" spans="1:26" ht="45.75" customHeight="1">
      <c r="A152" s="180"/>
      <c r="B152" s="180"/>
      <c r="C152" s="180"/>
      <c r="D152" s="180"/>
      <c r="E152" s="180"/>
      <c r="F152" s="225"/>
      <c r="G152" s="180"/>
      <c r="H152" s="180"/>
      <c r="I152" s="180"/>
      <c r="J152" s="211"/>
      <c r="K152" s="180"/>
      <c r="L152" s="212"/>
      <c r="M152" s="180"/>
      <c r="N152" s="180"/>
      <c r="O152" s="180"/>
      <c r="P152" s="123"/>
      <c r="Q152" s="130"/>
      <c r="R152" s="180"/>
      <c r="S152" s="180"/>
      <c r="T152" s="180"/>
      <c r="U152" s="180"/>
      <c r="V152" s="123"/>
      <c r="W152" s="123"/>
      <c r="X152" s="123"/>
      <c r="Y152" s="180"/>
      <c r="Z152" s="180"/>
    </row>
    <row r="153" spans="1:26" ht="45.75" customHeight="1">
      <c r="A153" s="180"/>
      <c r="B153" s="180"/>
      <c r="C153" s="180"/>
      <c r="D153" s="180"/>
      <c r="E153" s="180"/>
      <c r="F153" s="225"/>
      <c r="G153" s="180"/>
      <c r="H153" s="180"/>
      <c r="I153" s="180"/>
      <c r="J153" s="211"/>
      <c r="K153" s="180"/>
      <c r="L153" s="212"/>
      <c r="M153" s="180"/>
      <c r="N153" s="180"/>
      <c r="O153" s="180"/>
      <c r="P153" s="123"/>
      <c r="Q153" s="130"/>
      <c r="R153" s="180"/>
      <c r="S153" s="180"/>
      <c r="T153" s="180"/>
      <c r="U153" s="180"/>
      <c r="V153" s="123"/>
      <c r="W153" s="123"/>
      <c r="X153" s="123"/>
      <c r="Y153" s="180"/>
      <c r="Z153" s="180"/>
    </row>
    <row r="154" spans="1:26" ht="45.75" customHeight="1">
      <c r="A154" s="180"/>
      <c r="B154" s="180"/>
      <c r="C154" s="180"/>
      <c r="D154" s="180"/>
      <c r="E154" s="180"/>
      <c r="F154" s="225"/>
      <c r="G154" s="180"/>
      <c r="H154" s="180"/>
      <c r="I154" s="180"/>
      <c r="J154" s="211"/>
      <c r="K154" s="180"/>
      <c r="L154" s="212"/>
      <c r="M154" s="180"/>
      <c r="N154" s="180"/>
      <c r="O154" s="180"/>
      <c r="P154" s="123"/>
      <c r="Q154" s="130"/>
      <c r="R154" s="180"/>
      <c r="S154" s="180"/>
      <c r="T154" s="180"/>
      <c r="U154" s="180"/>
      <c r="V154" s="123"/>
      <c r="W154" s="123"/>
      <c r="X154" s="123"/>
      <c r="Y154" s="180"/>
      <c r="Z154" s="180"/>
    </row>
    <row r="155" spans="1:26" ht="45.75" customHeight="1">
      <c r="A155" s="180"/>
      <c r="B155" s="180"/>
      <c r="C155" s="180"/>
      <c r="D155" s="180"/>
      <c r="E155" s="180"/>
      <c r="F155" s="225"/>
      <c r="G155" s="180"/>
      <c r="H155" s="180"/>
      <c r="I155" s="180"/>
      <c r="J155" s="211"/>
      <c r="K155" s="180"/>
      <c r="L155" s="212"/>
      <c r="M155" s="180"/>
      <c r="N155" s="180"/>
      <c r="O155" s="180"/>
      <c r="P155" s="123"/>
      <c r="Q155" s="130"/>
      <c r="R155" s="180"/>
      <c r="S155" s="180"/>
      <c r="T155" s="180"/>
      <c r="U155" s="180"/>
      <c r="V155" s="123"/>
      <c r="W155" s="123"/>
      <c r="X155" s="123"/>
      <c r="Y155" s="180"/>
      <c r="Z155" s="180"/>
    </row>
    <row r="156" spans="1:26" ht="45.75" customHeight="1">
      <c r="A156" s="180"/>
      <c r="B156" s="180"/>
      <c r="C156" s="180"/>
      <c r="D156" s="180"/>
      <c r="E156" s="180"/>
      <c r="F156" s="225"/>
      <c r="G156" s="180"/>
      <c r="H156" s="180"/>
      <c r="I156" s="180"/>
      <c r="J156" s="211"/>
      <c r="K156" s="180"/>
      <c r="L156" s="212"/>
      <c r="M156" s="180"/>
      <c r="N156" s="180"/>
      <c r="O156" s="180"/>
      <c r="P156" s="123"/>
      <c r="Q156" s="130"/>
      <c r="R156" s="180"/>
      <c r="S156" s="180"/>
      <c r="T156" s="180"/>
      <c r="U156" s="180"/>
      <c r="V156" s="123"/>
      <c r="W156" s="123"/>
      <c r="X156" s="123"/>
      <c r="Y156" s="180"/>
      <c r="Z156" s="180"/>
    </row>
    <row r="157" spans="1:26" ht="45.75" customHeight="1">
      <c r="A157" s="180"/>
      <c r="B157" s="180"/>
      <c r="C157" s="180"/>
      <c r="D157" s="180"/>
      <c r="E157" s="180"/>
      <c r="F157" s="225"/>
      <c r="G157" s="180"/>
      <c r="H157" s="180"/>
      <c r="I157" s="180"/>
      <c r="J157" s="211"/>
      <c r="K157" s="180"/>
      <c r="L157" s="212"/>
      <c r="M157" s="180"/>
      <c r="N157" s="180"/>
      <c r="O157" s="180"/>
      <c r="P157" s="123"/>
      <c r="Q157" s="130"/>
      <c r="R157" s="180"/>
      <c r="S157" s="180"/>
      <c r="T157" s="180"/>
      <c r="U157" s="180"/>
      <c r="V157" s="123"/>
      <c r="W157" s="123"/>
      <c r="X157" s="123"/>
      <c r="Y157" s="180"/>
      <c r="Z157" s="180"/>
    </row>
    <row r="158" spans="1:26" ht="45.75" customHeight="1">
      <c r="A158" s="180"/>
      <c r="B158" s="180"/>
      <c r="C158" s="180"/>
      <c r="D158" s="180"/>
      <c r="E158" s="180"/>
      <c r="F158" s="225"/>
      <c r="G158" s="180"/>
      <c r="H158" s="180"/>
      <c r="I158" s="180"/>
      <c r="J158" s="211"/>
      <c r="K158" s="180"/>
      <c r="L158" s="212"/>
      <c r="M158" s="180"/>
      <c r="N158" s="180"/>
      <c r="O158" s="180"/>
      <c r="P158" s="123"/>
      <c r="Q158" s="130"/>
      <c r="R158" s="180"/>
      <c r="S158" s="180"/>
      <c r="T158" s="180"/>
      <c r="U158" s="180"/>
      <c r="V158" s="123"/>
      <c r="W158" s="123"/>
      <c r="X158" s="123"/>
      <c r="Y158" s="180"/>
      <c r="Z158" s="180"/>
    </row>
    <row r="159" spans="1:26" ht="45.75" customHeight="1">
      <c r="A159" s="180"/>
      <c r="B159" s="180"/>
      <c r="C159" s="180"/>
      <c r="D159" s="180"/>
      <c r="E159" s="180"/>
      <c r="F159" s="225"/>
      <c r="G159" s="180"/>
      <c r="H159" s="180"/>
      <c r="I159" s="180"/>
      <c r="J159" s="211"/>
      <c r="K159" s="180"/>
      <c r="L159" s="212"/>
      <c r="M159" s="180"/>
      <c r="N159" s="180"/>
      <c r="O159" s="180"/>
      <c r="P159" s="123"/>
      <c r="Q159" s="130"/>
      <c r="R159" s="180"/>
      <c r="S159" s="180"/>
      <c r="T159" s="180"/>
      <c r="U159" s="180"/>
      <c r="V159" s="123"/>
      <c r="W159" s="123"/>
      <c r="X159" s="123"/>
      <c r="Y159" s="180"/>
      <c r="Z159" s="180"/>
    </row>
    <row r="160" spans="1:26" ht="45.75" customHeight="1">
      <c r="A160" s="180"/>
      <c r="B160" s="180"/>
      <c r="C160" s="180"/>
      <c r="D160" s="180"/>
      <c r="E160" s="180"/>
      <c r="F160" s="225"/>
      <c r="G160" s="180"/>
      <c r="H160" s="180"/>
      <c r="I160" s="180"/>
      <c r="J160" s="211"/>
      <c r="K160" s="180"/>
      <c r="L160" s="212"/>
      <c r="M160" s="180"/>
      <c r="N160" s="180"/>
      <c r="O160" s="180"/>
      <c r="P160" s="123"/>
      <c r="Q160" s="130"/>
      <c r="R160" s="180"/>
      <c r="S160" s="180"/>
      <c r="T160" s="180"/>
      <c r="U160" s="180"/>
      <c r="V160" s="123"/>
      <c r="W160" s="123"/>
      <c r="X160" s="123"/>
      <c r="Y160" s="180"/>
      <c r="Z160" s="180"/>
    </row>
    <row r="161" spans="1:26" ht="45.75" customHeight="1">
      <c r="A161" s="180"/>
      <c r="B161" s="180"/>
      <c r="C161" s="180"/>
      <c r="D161" s="180"/>
      <c r="E161" s="180"/>
      <c r="F161" s="225"/>
      <c r="G161" s="180"/>
      <c r="H161" s="180"/>
      <c r="I161" s="180"/>
      <c r="J161" s="211"/>
      <c r="K161" s="180"/>
      <c r="L161" s="212"/>
      <c r="M161" s="180"/>
      <c r="N161" s="180"/>
      <c r="O161" s="180"/>
      <c r="P161" s="123"/>
      <c r="Q161" s="130"/>
      <c r="R161" s="180"/>
      <c r="S161" s="180"/>
      <c r="T161" s="180"/>
      <c r="U161" s="180"/>
      <c r="V161" s="123"/>
      <c r="W161" s="123"/>
      <c r="X161" s="123"/>
      <c r="Y161" s="180"/>
      <c r="Z161" s="180"/>
    </row>
    <row r="162" spans="1:26" ht="45.75" customHeight="1">
      <c r="A162" s="180"/>
      <c r="B162" s="180"/>
      <c r="C162" s="180"/>
      <c r="D162" s="180"/>
      <c r="E162" s="180"/>
      <c r="F162" s="225"/>
      <c r="G162" s="180"/>
      <c r="H162" s="180"/>
      <c r="I162" s="180"/>
      <c r="J162" s="211"/>
      <c r="K162" s="180"/>
      <c r="L162" s="212"/>
      <c r="M162" s="180"/>
      <c r="N162" s="180"/>
      <c r="O162" s="180"/>
      <c r="P162" s="123"/>
      <c r="Q162" s="130"/>
      <c r="R162" s="180"/>
      <c r="S162" s="180"/>
      <c r="T162" s="180"/>
      <c r="U162" s="180"/>
      <c r="V162" s="123"/>
      <c r="W162" s="123"/>
      <c r="X162" s="123"/>
      <c r="Y162" s="180"/>
      <c r="Z162" s="180"/>
    </row>
    <row r="163" spans="1:26" ht="45.75" customHeight="1">
      <c r="A163" s="180"/>
      <c r="B163" s="180"/>
      <c r="C163" s="180"/>
      <c r="D163" s="180"/>
      <c r="E163" s="180"/>
      <c r="F163" s="225"/>
      <c r="G163" s="180"/>
      <c r="H163" s="180"/>
      <c r="I163" s="180"/>
      <c r="J163" s="211"/>
      <c r="K163" s="180"/>
      <c r="L163" s="212"/>
      <c r="M163" s="180"/>
      <c r="N163" s="180"/>
      <c r="O163" s="180"/>
      <c r="P163" s="123"/>
      <c r="Q163" s="130"/>
      <c r="R163" s="180"/>
      <c r="S163" s="180"/>
      <c r="T163" s="180"/>
      <c r="U163" s="180"/>
      <c r="V163" s="123"/>
      <c r="W163" s="123"/>
      <c r="X163" s="123"/>
      <c r="Y163" s="180"/>
      <c r="Z163" s="180"/>
    </row>
    <row r="164" spans="1:26" ht="45.75" customHeight="1">
      <c r="A164" s="180"/>
      <c r="B164" s="180"/>
      <c r="C164" s="180"/>
      <c r="D164" s="180"/>
      <c r="E164" s="180"/>
      <c r="F164" s="225"/>
      <c r="G164" s="180"/>
      <c r="H164" s="180"/>
      <c r="I164" s="180"/>
      <c r="J164" s="211"/>
      <c r="K164" s="180"/>
      <c r="L164" s="212"/>
      <c r="M164" s="180"/>
      <c r="N164" s="180"/>
      <c r="O164" s="180"/>
      <c r="P164" s="123"/>
      <c r="Q164" s="130"/>
      <c r="R164" s="180"/>
      <c r="S164" s="180"/>
      <c r="T164" s="180"/>
      <c r="U164" s="180"/>
      <c r="V164" s="123"/>
      <c r="W164" s="123"/>
      <c r="X164" s="123"/>
      <c r="Y164" s="180"/>
      <c r="Z164" s="180"/>
    </row>
    <row r="165" spans="1:26" ht="45.75" customHeight="1">
      <c r="A165" s="180"/>
      <c r="B165" s="180"/>
      <c r="C165" s="180"/>
      <c r="D165" s="180"/>
      <c r="E165" s="180"/>
      <c r="F165" s="225"/>
      <c r="G165" s="180"/>
      <c r="H165" s="180"/>
      <c r="I165" s="180"/>
      <c r="J165" s="211"/>
      <c r="K165" s="180"/>
      <c r="L165" s="212"/>
      <c r="M165" s="180"/>
      <c r="N165" s="180"/>
      <c r="O165" s="180"/>
      <c r="P165" s="123"/>
      <c r="Q165" s="130"/>
      <c r="R165" s="180"/>
      <c r="S165" s="180"/>
      <c r="T165" s="180"/>
      <c r="U165" s="180"/>
      <c r="V165" s="123"/>
      <c r="W165" s="123"/>
      <c r="X165" s="123"/>
      <c r="Y165" s="180"/>
      <c r="Z165" s="180"/>
    </row>
    <row r="166" spans="1:26" ht="45.75" customHeight="1">
      <c r="A166" s="180"/>
      <c r="B166" s="180"/>
      <c r="C166" s="180"/>
      <c r="D166" s="180"/>
      <c r="E166" s="180"/>
      <c r="F166" s="225"/>
      <c r="G166" s="180"/>
      <c r="H166" s="180"/>
      <c r="I166" s="180"/>
      <c r="J166" s="211"/>
      <c r="K166" s="180"/>
      <c r="L166" s="212"/>
      <c r="M166" s="180"/>
      <c r="N166" s="180"/>
      <c r="O166" s="180"/>
      <c r="P166" s="123"/>
      <c r="Q166" s="130"/>
      <c r="R166" s="180"/>
      <c r="S166" s="180"/>
      <c r="T166" s="180"/>
      <c r="U166" s="180"/>
      <c r="V166" s="123"/>
      <c r="W166" s="123"/>
      <c r="X166" s="123"/>
      <c r="Y166" s="180"/>
      <c r="Z166" s="180"/>
    </row>
    <row r="167" spans="1:26" ht="45.75" customHeight="1">
      <c r="A167" s="180"/>
      <c r="B167" s="180"/>
      <c r="C167" s="180"/>
      <c r="D167" s="180"/>
      <c r="E167" s="180"/>
      <c r="F167" s="225"/>
      <c r="G167" s="180"/>
      <c r="H167" s="180"/>
      <c r="I167" s="180"/>
      <c r="J167" s="211"/>
      <c r="K167" s="180"/>
      <c r="L167" s="212"/>
      <c r="M167" s="180"/>
      <c r="N167" s="180"/>
      <c r="O167" s="180"/>
      <c r="P167" s="123"/>
      <c r="Q167" s="130"/>
      <c r="R167" s="180"/>
      <c r="S167" s="180"/>
      <c r="T167" s="180"/>
      <c r="U167" s="180"/>
      <c r="V167" s="123"/>
      <c r="W167" s="123"/>
      <c r="X167" s="123"/>
      <c r="Y167" s="180"/>
      <c r="Z167" s="180"/>
    </row>
    <row r="168" spans="1:26" ht="45.75" customHeight="1">
      <c r="A168" s="180"/>
      <c r="B168" s="180"/>
      <c r="C168" s="180"/>
      <c r="D168" s="180"/>
      <c r="E168" s="180"/>
      <c r="F168" s="225"/>
      <c r="G168" s="180"/>
      <c r="H168" s="180"/>
      <c r="I168" s="180"/>
      <c r="J168" s="211"/>
      <c r="K168" s="180"/>
      <c r="L168" s="212"/>
      <c r="M168" s="180"/>
      <c r="N168" s="180"/>
      <c r="O168" s="180"/>
      <c r="P168" s="123"/>
      <c r="Q168" s="130"/>
      <c r="R168" s="180"/>
      <c r="S168" s="180"/>
      <c r="T168" s="180"/>
      <c r="U168" s="180"/>
      <c r="V168" s="123"/>
      <c r="W168" s="123"/>
      <c r="X168" s="123"/>
      <c r="Y168" s="180"/>
      <c r="Z168" s="180"/>
    </row>
    <row r="169" spans="1:26" ht="45.75" customHeight="1">
      <c r="A169" s="180"/>
      <c r="B169" s="180"/>
      <c r="C169" s="180"/>
      <c r="D169" s="180"/>
      <c r="E169" s="180"/>
      <c r="F169" s="225"/>
      <c r="G169" s="180"/>
      <c r="H169" s="180"/>
      <c r="I169" s="180"/>
      <c r="J169" s="211"/>
      <c r="K169" s="180"/>
      <c r="L169" s="212"/>
      <c r="M169" s="180"/>
      <c r="N169" s="180"/>
      <c r="O169" s="180"/>
      <c r="P169" s="123"/>
      <c r="Q169" s="130"/>
      <c r="R169" s="180"/>
      <c r="S169" s="180"/>
      <c r="T169" s="180"/>
      <c r="U169" s="180"/>
      <c r="V169" s="123"/>
      <c r="W169" s="123"/>
      <c r="X169" s="123"/>
      <c r="Y169" s="180"/>
      <c r="Z169" s="180"/>
    </row>
    <row r="170" spans="1:26" ht="45.75" customHeight="1">
      <c r="A170" s="180"/>
      <c r="B170" s="180"/>
      <c r="C170" s="180"/>
      <c r="D170" s="180"/>
      <c r="E170" s="180"/>
      <c r="F170" s="225"/>
      <c r="G170" s="180"/>
      <c r="H170" s="180"/>
      <c r="I170" s="180"/>
      <c r="J170" s="211"/>
      <c r="K170" s="180"/>
      <c r="L170" s="212"/>
      <c r="M170" s="180"/>
      <c r="N170" s="180"/>
      <c r="O170" s="180"/>
      <c r="P170" s="123"/>
      <c r="Q170" s="130"/>
      <c r="R170" s="180"/>
      <c r="S170" s="180"/>
      <c r="T170" s="180"/>
      <c r="U170" s="180"/>
      <c r="V170" s="123"/>
      <c r="W170" s="123"/>
      <c r="X170" s="123"/>
      <c r="Y170" s="180"/>
      <c r="Z170" s="180"/>
    </row>
    <row r="171" spans="1:26" ht="45.75" customHeight="1">
      <c r="A171" s="180"/>
      <c r="B171" s="180"/>
      <c r="C171" s="180"/>
      <c r="D171" s="180"/>
      <c r="E171" s="180"/>
      <c r="F171" s="225"/>
      <c r="G171" s="180"/>
      <c r="H171" s="180"/>
      <c r="I171" s="180"/>
      <c r="J171" s="211"/>
      <c r="K171" s="180"/>
      <c r="L171" s="212"/>
      <c r="M171" s="180"/>
      <c r="N171" s="180"/>
      <c r="O171" s="180"/>
      <c r="P171" s="123"/>
      <c r="Q171" s="130"/>
      <c r="R171" s="180"/>
      <c r="S171" s="180"/>
      <c r="T171" s="180"/>
      <c r="U171" s="180"/>
      <c r="V171" s="123"/>
      <c r="W171" s="123"/>
      <c r="X171" s="123"/>
      <c r="Y171" s="180"/>
      <c r="Z171" s="180"/>
    </row>
    <row r="172" spans="1:26" ht="45.75" customHeight="1">
      <c r="A172" s="180"/>
      <c r="B172" s="180"/>
      <c r="C172" s="180"/>
      <c r="D172" s="180"/>
      <c r="E172" s="180"/>
      <c r="F172" s="225"/>
      <c r="G172" s="180"/>
      <c r="H172" s="180"/>
      <c r="I172" s="180"/>
      <c r="J172" s="211"/>
      <c r="K172" s="180"/>
      <c r="L172" s="212"/>
      <c r="M172" s="180"/>
      <c r="N172" s="180"/>
      <c r="O172" s="180"/>
      <c r="P172" s="123"/>
      <c r="Q172" s="130"/>
      <c r="R172" s="180"/>
      <c r="S172" s="180"/>
      <c r="T172" s="180"/>
      <c r="U172" s="180"/>
      <c r="V172" s="123"/>
      <c r="W172" s="123"/>
      <c r="X172" s="123"/>
      <c r="Y172" s="180"/>
      <c r="Z172" s="180"/>
    </row>
    <row r="173" spans="1:26" ht="45.75" customHeight="1">
      <c r="A173" s="180"/>
      <c r="B173" s="180"/>
      <c r="C173" s="180"/>
      <c r="D173" s="180"/>
      <c r="E173" s="180"/>
      <c r="F173" s="225"/>
      <c r="G173" s="180"/>
      <c r="H173" s="180"/>
      <c r="I173" s="180"/>
      <c r="J173" s="211"/>
      <c r="K173" s="180"/>
      <c r="L173" s="212"/>
      <c r="M173" s="180"/>
      <c r="N173" s="180"/>
      <c r="O173" s="180"/>
      <c r="P173" s="123"/>
      <c r="Q173" s="130"/>
      <c r="R173" s="180"/>
      <c r="S173" s="180"/>
      <c r="T173" s="180"/>
      <c r="U173" s="180"/>
      <c r="V173" s="123"/>
      <c r="W173" s="123"/>
      <c r="X173" s="123"/>
      <c r="Y173" s="180"/>
      <c r="Z173" s="180"/>
    </row>
    <row r="174" spans="1:26" ht="45.75" customHeight="1">
      <c r="A174" s="180"/>
      <c r="B174" s="180"/>
      <c r="C174" s="180"/>
      <c r="D174" s="180"/>
      <c r="E174" s="180"/>
      <c r="F174" s="225"/>
      <c r="G174" s="180"/>
      <c r="H174" s="180"/>
      <c r="I174" s="180"/>
      <c r="J174" s="211"/>
      <c r="K174" s="180"/>
      <c r="L174" s="212"/>
      <c r="M174" s="180"/>
      <c r="N174" s="180"/>
      <c r="O174" s="180"/>
      <c r="P174" s="123"/>
      <c r="Q174" s="130"/>
      <c r="R174" s="180"/>
      <c r="S174" s="180"/>
      <c r="T174" s="180"/>
      <c r="U174" s="180"/>
      <c r="V174" s="123"/>
      <c r="W174" s="123"/>
      <c r="X174" s="123"/>
      <c r="Y174" s="180"/>
      <c r="Z174" s="180"/>
    </row>
    <row r="175" spans="1:26" ht="45.75" customHeight="1">
      <c r="A175" s="180"/>
      <c r="B175" s="180"/>
      <c r="C175" s="180"/>
      <c r="D175" s="180"/>
      <c r="E175" s="180"/>
      <c r="F175" s="225"/>
      <c r="G175" s="180"/>
      <c r="H175" s="180"/>
      <c r="I175" s="180"/>
      <c r="J175" s="211"/>
      <c r="K175" s="180"/>
      <c r="L175" s="212"/>
      <c r="M175" s="180"/>
      <c r="N175" s="180"/>
      <c r="O175" s="180"/>
      <c r="P175" s="123"/>
      <c r="Q175" s="130"/>
      <c r="R175" s="180"/>
      <c r="S175" s="180"/>
      <c r="T175" s="180"/>
      <c r="U175" s="180"/>
      <c r="V175" s="123"/>
      <c r="W175" s="123"/>
      <c r="X175" s="123"/>
      <c r="Y175" s="180"/>
      <c r="Z175" s="180"/>
    </row>
    <row r="176" spans="1:26" ht="45.75" customHeight="1">
      <c r="A176" s="180"/>
      <c r="B176" s="180"/>
      <c r="C176" s="180"/>
      <c r="D176" s="180"/>
      <c r="E176" s="180"/>
      <c r="F176" s="225"/>
      <c r="G176" s="180"/>
      <c r="H176" s="180"/>
      <c r="I176" s="180"/>
      <c r="J176" s="211"/>
      <c r="K176" s="180"/>
      <c r="L176" s="212"/>
      <c r="M176" s="180"/>
      <c r="N176" s="180"/>
      <c r="O176" s="180"/>
      <c r="P176" s="123"/>
      <c r="Q176" s="130"/>
      <c r="R176" s="180"/>
      <c r="S176" s="180"/>
      <c r="T176" s="180"/>
      <c r="U176" s="180"/>
      <c r="V176" s="123"/>
      <c r="W176" s="123"/>
      <c r="X176" s="123"/>
      <c r="Y176" s="180"/>
      <c r="Z176" s="180"/>
    </row>
    <row r="177" spans="1:26" ht="45.75" customHeight="1">
      <c r="A177" s="180"/>
      <c r="B177" s="180"/>
      <c r="C177" s="180"/>
      <c r="D177" s="180"/>
      <c r="E177" s="180"/>
      <c r="F177" s="225"/>
      <c r="G177" s="180"/>
      <c r="H177" s="180"/>
      <c r="I177" s="180"/>
      <c r="J177" s="211"/>
      <c r="K177" s="180"/>
      <c r="L177" s="212"/>
      <c r="M177" s="180"/>
      <c r="N177" s="180"/>
      <c r="O177" s="180"/>
      <c r="P177" s="123"/>
      <c r="Q177" s="130"/>
      <c r="R177" s="180"/>
      <c r="S177" s="180"/>
      <c r="T177" s="180"/>
      <c r="U177" s="180"/>
      <c r="V177" s="123"/>
      <c r="W177" s="123"/>
      <c r="X177" s="123"/>
      <c r="Y177" s="180"/>
      <c r="Z177" s="180"/>
    </row>
    <row r="178" spans="1:26" ht="45.75" customHeight="1">
      <c r="A178" s="180"/>
      <c r="B178" s="180"/>
      <c r="C178" s="180"/>
      <c r="D178" s="180"/>
      <c r="E178" s="180"/>
      <c r="F178" s="225"/>
      <c r="G178" s="180"/>
      <c r="H178" s="180"/>
      <c r="I178" s="180"/>
      <c r="J178" s="211"/>
      <c r="K178" s="180"/>
      <c r="L178" s="212"/>
      <c r="M178" s="180"/>
      <c r="N178" s="180"/>
      <c r="O178" s="180"/>
      <c r="P178" s="123"/>
      <c r="Q178" s="130"/>
      <c r="R178" s="180"/>
      <c r="S178" s="180"/>
      <c r="T178" s="180"/>
      <c r="U178" s="180"/>
      <c r="V178" s="123"/>
      <c r="W178" s="123"/>
      <c r="X178" s="123"/>
      <c r="Y178" s="180"/>
      <c r="Z178" s="180"/>
    </row>
    <row r="179" spans="1:26" ht="45.75" customHeight="1">
      <c r="A179" s="180"/>
      <c r="B179" s="180"/>
      <c r="C179" s="180"/>
      <c r="D179" s="180"/>
      <c r="E179" s="180"/>
      <c r="F179" s="225"/>
      <c r="G179" s="180"/>
      <c r="H179" s="180"/>
      <c r="I179" s="180"/>
      <c r="J179" s="211"/>
      <c r="K179" s="180"/>
      <c r="L179" s="212"/>
      <c r="M179" s="180"/>
      <c r="N179" s="180"/>
      <c r="O179" s="180"/>
      <c r="P179" s="123"/>
      <c r="Q179" s="130"/>
      <c r="R179" s="180"/>
      <c r="S179" s="180"/>
      <c r="T179" s="180"/>
      <c r="U179" s="180"/>
      <c r="V179" s="123"/>
      <c r="W179" s="123"/>
      <c r="X179" s="123"/>
      <c r="Y179" s="180"/>
      <c r="Z179" s="180"/>
    </row>
    <row r="180" spans="1:26" ht="45.75" customHeight="1">
      <c r="A180" s="180"/>
      <c r="B180" s="180"/>
      <c r="C180" s="180"/>
      <c r="D180" s="180"/>
      <c r="E180" s="180"/>
      <c r="F180" s="225"/>
      <c r="G180" s="180"/>
      <c r="H180" s="180"/>
      <c r="I180" s="180"/>
      <c r="J180" s="211"/>
      <c r="K180" s="180"/>
      <c r="L180" s="212"/>
      <c r="M180" s="180"/>
      <c r="N180" s="180"/>
      <c r="O180" s="180"/>
      <c r="P180" s="123"/>
      <c r="Q180" s="130"/>
      <c r="R180" s="180"/>
      <c r="S180" s="180"/>
      <c r="T180" s="180"/>
      <c r="U180" s="180"/>
      <c r="V180" s="123"/>
      <c r="W180" s="123"/>
      <c r="X180" s="123"/>
      <c r="Y180" s="180"/>
      <c r="Z180" s="180"/>
    </row>
    <row r="181" spans="1:26" ht="45.75" customHeight="1">
      <c r="A181" s="180"/>
      <c r="B181" s="180"/>
      <c r="C181" s="180"/>
      <c r="D181" s="180"/>
      <c r="E181" s="180"/>
      <c r="F181" s="225"/>
      <c r="G181" s="180"/>
      <c r="H181" s="180"/>
      <c r="I181" s="180"/>
      <c r="J181" s="211"/>
      <c r="K181" s="180"/>
      <c r="L181" s="212"/>
      <c r="M181" s="180"/>
      <c r="N181" s="180"/>
      <c r="O181" s="180"/>
      <c r="P181" s="123"/>
      <c r="Q181" s="130"/>
      <c r="R181" s="180"/>
      <c r="S181" s="180"/>
      <c r="T181" s="180"/>
      <c r="U181" s="180"/>
      <c r="V181" s="123"/>
      <c r="W181" s="123"/>
      <c r="X181" s="123"/>
      <c r="Y181" s="180"/>
      <c r="Z181" s="180"/>
    </row>
    <row r="182" spans="1:26" ht="45.75" customHeight="1">
      <c r="A182" s="180"/>
      <c r="B182" s="180"/>
      <c r="C182" s="180"/>
      <c r="D182" s="180"/>
      <c r="E182" s="180"/>
      <c r="F182" s="225"/>
      <c r="G182" s="180"/>
      <c r="H182" s="180"/>
      <c r="I182" s="180"/>
      <c r="J182" s="211"/>
      <c r="K182" s="180"/>
      <c r="L182" s="212"/>
      <c r="M182" s="180"/>
      <c r="N182" s="180"/>
      <c r="O182" s="180"/>
      <c r="P182" s="123"/>
      <c r="Q182" s="130"/>
      <c r="R182" s="180"/>
      <c r="S182" s="180"/>
      <c r="T182" s="180"/>
      <c r="U182" s="180"/>
      <c r="V182" s="123"/>
      <c r="W182" s="123"/>
      <c r="X182" s="123"/>
      <c r="Y182" s="180"/>
      <c r="Z182" s="180"/>
    </row>
    <row r="183" spans="1:26" ht="45.75" customHeight="1">
      <c r="A183" s="180"/>
      <c r="B183" s="180"/>
      <c r="C183" s="180"/>
      <c r="D183" s="180"/>
      <c r="E183" s="180"/>
      <c r="F183" s="225"/>
      <c r="G183" s="180"/>
      <c r="H183" s="180"/>
      <c r="I183" s="180"/>
      <c r="J183" s="211"/>
      <c r="K183" s="180"/>
      <c r="L183" s="212"/>
      <c r="M183" s="180"/>
      <c r="N183" s="180"/>
      <c r="O183" s="180"/>
      <c r="P183" s="123"/>
      <c r="Q183" s="130"/>
      <c r="R183" s="180"/>
      <c r="S183" s="180"/>
      <c r="T183" s="180"/>
      <c r="U183" s="180"/>
      <c r="V183" s="123"/>
      <c r="W183" s="123"/>
      <c r="X183" s="123"/>
      <c r="Y183" s="180"/>
      <c r="Z183" s="180"/>
    </row>
    <row r="184" spans="1:26" ht="45.75" customHeight="1">
      <c r="A184" s="180"/>
      <c r="B184" s="180"/>
      <c r="C184" s="180"/>
      <c r="D184" s="180"/>
      <c r="E184" s="180"/>
      <c r="F184" s="225"/>
      <c r="G184" s="180"/>
      <c r="H184" s="180"/>
      <c r="I184" s="180"/>
      <c r="J184" s="211"/>
      <c r="K184" s="180"/>
      <c r="L184" s="212"/>
      <c r="M184" s="180"/>
      <c r="N184" s="180"/>
      <c r="O184" s="180"/>
      <c r="P184" s="123"/>
      <c r="Q184" s="130"/>
      <c r="R184" s="180"/>
      <c r="S184" s="180"/>
      <c r="T184" s="180"/>
      <c r="U184" s="180"/>
      <c r="V184" s="123"/>
      <c r="W184" s="123"/>
      <c r="X184" s="123"/>
      <c r="Y184" s="180"/>
      <c r="Z184" s="180"/>
    </row>
    <row r="185" spans="1:26" ht="45.75" customHeight="1">
      <c r="A185" s="180"/>
      <c r="B185" s="180"/>
      <c r="C185" s="180"/>
      <c r="D185" s="180"/>
      <c r="E185" s="180"/>
      <c r="F185" s="225"/>
      <c r="G185" s="180"/>
      <c r="H185" s="180"/>
      <c r="I185" s="180"/>
      <c r="J185" s="211"/>
      <c r="K185" s="180"/>
      <c r="L185" s="212"/>
      <c r="M185" s="180"/>
      <c r="N185" s="180"/>
      <c r="O185" s="180"/>
      <c r="P185" s="123"/>
      <c r="Q185" s="130"/>
      <c r="R185" s="180"/>
      <c r="S185" s="180"/>
      <c r="T185" s="180"/>
      <c r="U185" s="180"/>
      <c r="V185" s="123"/>
      <c r="W185" s="123"/>
      <c r="X185" s="123"/>
      <c r="Y185" s="180"/>
      <c r="Z185" s="180"/>
    </row>
    <row r="186" spans="1:26" ht="45.75" customHeight="1">
      <c r="A186" s="180"/>
      <c r="B186" s="180"/>
      <c r="C186" s="180"/>
      <c r="D186" s="180"/>
      <c r="E186" s="180"/>
      <c r="F186" s="225"/>
      <c r="G186" s="180"/>
      <c r="H186" s="180"/>
      <c r="I186" s="180"/>
      <c r="J186" s="211"/>
      <c r="K186" s="180"/>
      <c r="L186" s="212"/>
      <c r="M186" s="180"/>
      <c r="N186" s="180"/>
      <c r="O186" s="180"/>
      <c r="P186" s="123"/>
      <c r="Q186" s="130"/>
      <c r="R186" s="180"/>
      <c r="S186" s="180"/>
      <c r="T186" s="180"/>
      <c r="U186" s="180"/>
      <c r="V186" s="123"/>
      <c r="W186" s="123"/>
      <c r="X186" s="123"/>
      <c r="Y186" s="180"/>
      <c r="Z186" s="180"/>
    </row>
    <row r="187" spans="1:26" ht="45.75" customHeight="1">
      <c r="A187" s="180"/>
      <c r="B187" s="180"/>
      <c r="C187" s="180"/>
      <c r="D187" s="180"/>
      <c r="E187" s="180"/>
      <c r="F187" s="225"/>
      <c r="G187" s="180"/>
      <c r="H187" s="180"/>
      <c r="I187" s="180"/>
      <c r="J187" s="211"/>
      <c r="K187" s="180"/>
      <c r="L187" s="212"/>
      <c r="M187" s="180"/>
      <c r="N187" s="180"/>
      <c r="O187" s="180"/>
      <c r="P187" s="123"/>
      <c r="Q187" s="130"/>
      <c r="R187" s="180"/>
      <c r="S187" s="180"/>
      <c r="T187" s="180"/>
      <c r="U187" s="180"/>
      <c r="V187" s="123"/>
      <c r="W187" s="123"/>
      <c r="X187" s="123"/>
      <c r="Y187" s="180"/>
      <c r="Z187" s="180"/>
    </row>
    <row r="188" spans="1:26" ht="45.75" customHeight="1">
      <c r="A188" s="180"/>
      <c r="B188" s="180"/>
      <c r="C188" s="180"/>
      <c r="D188" s="180"/>
      <c r="E188" s="180"/>
      <c r="F188" s="225"/>
      <c r="G188" s="180"/>
      <c r="H188" s="180"/>
      <c r="I188" s="180"/>
      <c r="J188" s="211"/>
      <c r="K188" s="180"/>
      <c r="L188" s="212"/>
      <c r="M188" s="180"/>
      <c r="N188" s="180"/>
      <c r="O188" s="180"/>
      <c r="P188" s="123"/>
      <c r="Q188" s="130"/>
      <c r="R188" s="180"/>
      <c r="S188" s="180"/>
      <c r="T188" s="180"/>
      <c r="U188" s="180"/>
      <c r="V188" s="123"/>
      <c r="W188" s="123"/>
      <c r="X188" s="123"/>
      <c r="Y188" s="180"/>
      <c r="Z188" s="180"/>
    </row>
    <row r="189" spans="1:26" ht="45.75" customHeight="1">
      <c r="A189" s="180"/>
      <c r="B189" s="180"/>
      <c r="C189" s="180"/>
      <c r="D189" s="180"/>
      <c r="E189" s="180"/>
      <c r="F189" s="225"/>
      <c r="G189" s="180"/>
      <c r="H189" s="180"/>
      <c r="I189" s="180"/>
      <c r="J189" s="211"/>
      <c r="K189" s="180"/>
      <c r="L189" s="212"/>
      <c r="M189" s="180"/>
      <c r="N189" s="180"/>
      <c r="O189" s="180"/>
      <c r="P189" s="123"/>
      <c r="Q189" s="130"/>
      <c r="R189" s="180"/>
      <c r="S189" s="180"/>
      <c r="T189" s="180"/>
      <c r="U189" s="180"/>
      <c r="V189" s="123"/>
      <c r="W189" s="123"/>
      <c r="X189" s="123"/>
      <c r="Y189" s="180"/>
      <c r="Z189" s="180"/>
    </row>
    <row r="190" spans="1:26" ht="45.75" customHeight="1">
      <c r="A190" s="180"/>
      <c r="B190" s="180"/>
      <c r="C190" s="180"/>
      <c r="D190" s="180"/>
      <c r="E190" s="180"/>
      <c r="F190" s="225"/>
      <c r="G190" s="180"/>
      <c r="H190" s="180"/>
      <c r="I190" s="180"/>
      <c r="J190" s="211"/>
      <c r="K190" s="180"/>
      <c r="L190" s="212"/>
      <c r="M190" s="180"/>
      <c r="N190" s="180"/>
      <c r="O190" s="180"/>
      <c r="P190" s="123"/>
      <c r="Q190" s="130"/>
      <c r="R190" s="180"/>
      <c r="S190" s="180"/>
      <c r="T190" s="180"/>
      <c r="U190" s="180"/>
      <c r="V190" s="123"/>
      <c r="W190" s="123"/>
      <c r="X190" s="123"/>
      <c r="Y190" s="180"/>
      <c r="Z190" s="180"/>
    </row>
    <row r="191" spans="1:26" ht="45.75" customHeight="1">
      <c r="A191" s="180"/>
      <c r="B191" s="180"/>
      <c r="C191" s="180"/>
      <c r="D191" s="180"/>
      <c r="E191" s="180"/>
      <c r="F191" s="225"/>
      <c r="G191" s="180"/>
      <c r="H191" s="180"/>
      <c r="I191" s="180"/>
      <c r="J191" s="211"/>
      <c r="K191" s="180"/>
      <c r="L191" s="212"/>
      <c r="M191" s="180"/>
      <c r="N191" s="180"/>
      <c r="O191" s="180"/>
      <c r="P191" s="123"/>
      <c r="Q191" s="130"/>
      <c r="R191" s="180"/>
      <c r="S191" s="180"/>
      <c r="T191" s="180"/>
      <c r="U191" s="180"/>
      <c r="V191" s="123"/>
      <c r="W191" s="123"/>
      <c r="X191" s="123"/>
      <c r="Y191" s="180"/>
      <c r="Z191" s="180"/>
    </row>
    <row r="192" spans="1:26" ht="45.75" customHeight="1">
      <c r="A192" s="180"/>
      <c r="B192" s="180"/>
      <c r="C192" s="180"/>
      <c r="D192" s="180"/>
      <c r="E192" s="180"/>
      <c r="F192" s="225"/>
      <c r="G192" s="180"/>
      <c r="H192" s="180"/>
      <c r="I192" s="180"/>
      <c r="J192" s="211"/>
      <c r="K192" s="180"/>
      <c r="L192" s="212"/>
      <c r="M192" s="180"/>
      <c r="N192" s="180"/>
      <c r="O192" s="180"/>
      <c r="P192" s="123"/>
      <c r="Q192" s="130"/>
      <c r="R192" s="180"/>
      <c r="S192" s="180"/>
      <c r="T192" s="180"/>
      <c r="U192" s="180"/>
      <c r="V192" s="123"/>
      <c r="W192" s="123"/>
      <c r="X192" s="123"/>
      <c r="Y192" s="180"/>
      <c r="Z192" s="180"/>
    </row>
    <row r="193" spans="1:26" ht="45.75" customHeight="1">
      <c r="A193" s="180"/>
      <c r="B193" s="180"/>
      <c r="C193" s="180"/>
      <c r="D193" s="180"/>
      <c r="E193" s="180"/>
      <c r="F193" s="225"/>
      <c r="G193" s="180"/>
      <c r="H193" s="180"/>
      <c r="I193" s="180"/>
      <c r="J193" s="211"/>
      <c r="K193" s="180"/>
      <c r="L193" s="212"/>
      <c r="M193" s="180"/>
      <c r="N193" s="180"/>
      <c r="O193" s="180"/>
      <c r="P193" s="123"/>
      <c r="Q193" s="130"/>
      <c r="R193" s="180"/>
      <c r="S193" s="180"/>
      <c r="T193" s="180"/>
      <c r="U193" s="180"/>
      <c r="V193" s="123"/>
      <c r="W193" s="123"/>
      <c r="X193" s="123"/>
      <c r="Y193" s="180"/>
      <c r="Z193" s="180"/>
    </row>
    <row r="194" spans="1:26" ht="45.75" customHeight="1">
      <c r="A194" s="180"/>
      <c r="B194" s="180"/>
      <c r="C194" s="180"/>
      <c r="D194" s="180"/>
      <c r="E194" s="180"/>
      <c r="F194" s="225"/>
      <c r="G194" s="180"/>
      <c r="H194" s="180"/>
      <c r="I194" s="180"/>
      <c r="J194" s="211"/>
      <c r="K194" s="180"/>
      <c r="L194" s="212"/>
      <c r="M194" s="180"/>
      <c r="N194" s="180"/>
      <c r="O194" s="180"/>
      <c r="P194" s="123"/>
      <c r="Q194" s="130"/>
      <c r="R194" s="180"/>
      <c r="S194" s="180"/>
      <c r="T194" s="180"/>
      <c r="U194" s="180"/>
      <c r="V194" s="123"/>
      <c r="W194" s="123"/>
      <c r="X194" s="123"/>
      <c r="Y194" s="180"/>
      <c r="Z194" s="180"/>
    </row>
    <row r="195" spans="1:26" ht="45.75" customHeight="1">
      <c r="A195" s="180"/>
      <c r="B195" s="180"/>
      <c r="C195" s="180"/>
      <c r="D195" s="180"/>
      <c r="E195" s="180"/>
      <c r="F195" s="225"/>
      <c r="G195" s="180"/>
      <c r="H195" s="180"/>
      <c r="I195" s="180"/>
      <c r="J195" s="211"/>
      <c r="K195" s="180"/>
      <c r="L195" s="212"/>
      <c r="M195" s="180"/>
      <c r="N195" s="180"/>
      <c r="O195" s="180"/>
      <c r="P195" s="123"/>
      <c r="Q195" s="130"/>
      <c r="R195" s="180"/>
      <c r="S195" s="180"/>
      <c r="T195" s="180"/>
      <c r="U195" s="180"/>
      <c r="V195" s="123"/>
      <c r="W195" s="123"/>
      <c r="X195" s="123"/>
      <c r="Y195" s="180"/>
      <c r="Z195" s="180"/>
    </row>
    <row r="196" spans="1:26" ht="45.75" customHeight="1">
      <c r="A196" s="180"/>
      <c r="B196" s="180"/>
      <c r="C196" s="180"/>
      <c r="D196" s="180"/>
      <c r="E196" s="180"/>
      <c r="F196" s="225"/>
      <c r="G196" s="180"/>
      <c r="H196" s="180"/>
      <c r="I196" s="180"/>
      <c r="J196" s="211"/>
      <c r="K196" s="180"/>
      <c r="L196" s="212"/>
      <c r="M196" s="180"/>
      <c r="N196" s="180"/>
      <c r="O196" s="180"/>
      <c r="P196" s="123"/>
      <c r="Q196" s="130"/>
      <c r="R196" s="180"/>
      <c r="S196" s="180"/>
      <c r="T196" s="180"/>
      <c r="U196" s="180"/>
      <c r="V196" s="123"/>
      <c r="W196" s="123"/>
      <c r="X196" s="123"/>
      <c r="Y196" s="180"/>
      <c r="Z196" s="180"/>
    </row>
    <row r="197" spans="1:26" ht="45.75" customHeight="1">
      <c r="A197" s="180"/>
      <c r="B197" s="180"/>
      <c r="C197" s="180"/>
      <c r="D197" s="180"/>
      <c r="E197" s="180"/>
      <c r="F197" s="225"/>
      <c r="G197" s="180"/>
      <c r="H197" s="180"/>
      <c r="I197" s="180"/>
      <c r="J197" s="211"/>
      <c r="K197" s="180"/>
      <c r="L197" s="212"/>
      <c r="M197" s="180"/>
      <c r="N197" s="180"/>
      <c r="O197" s="180"/>
      <c r="P197" s="123"/>
      <c r="Q197" s="130"/>
      <c r="R197" s="180"/>
      <c r="S197" s="180"/>
      <c r="T197" s="180"/>
      <c r="U197" s="180"/>
      <c r="V197" s="123"/>
      <c r="W197" s="123"/>
      <c r="X197" s="123"/>
      <c r="Y197" s="180"/>
      <c r="Z197" s="180"/>
    </row>
    <row r="198" spans="1:26" ht="45.75" customHeight="1">
      <c r="A198" s="180"/>
      <c r="B198" s="180"/>
      <c r="C198" s="180"/>
      <c r="D198" s="180"/>
      <c r="E198" s="180"/>
      <c r="F198" s="225"/>
      <c r="G198" s="180"/>
      <c r="H198" s="180"/>
      <c r="I198" s="180"/>
      <c r="J198" s="211"/>
      <c r="K198" s="180"/>
      <c r="L198" s="212"/>
      <c r="M198" s="180"/>
      <c r="N198" s="180"/>
      <c r="O198" s="180"/>
      <c r="P198" s="123"/>
      <c r="Q198" s="130"/>
      <c r="R198" s="180"/>
      <c r="S198" s="180"/>
      <c r="T198" s="180"/>
      <c r="U198" s="180"/>
      <c r="V198" s="123"/>
      <c r="W198" s="123"/>
      <c r="X198" s="123"/>
      <c r="Y198" s="180"/>
      <c r="Z198" s="180"/>
    </row>
    <row r="199" spans="1:26" ht="45.75" customHeight="1">
      <c r="A199" s="180"/>
      <c r="B199" s="180"/>
      <c r="C199" s="180"/>
      <c r="D199" s="180"/>
      <c r="E199" s="180"/>
      <c r="F199" s="225"/>
      <c r="G199" s="180"/>
      <c r="H199" s="180"/>
      <c r="I199" s="180"/>
      <c r="J199" s="211"/>
      <c r="K199" s="180"/>
      <c r="L199" s="212"/>
      <c r="M199" s="180"/>
      <c r="N199" s="180"/>
      <c r="O199" s="180"/>
      <c r="P199" s="123"/>
      <c r="Q199" s="130"/>
      <c r="R199" s="180"/>
      <c r="S199" s="180"/>
      <c r="T199" s="180"/>
      <c r="U199" s="180"/>
      <c r="V199" s="123"/>
      <c r="W199" s="123"/>
      <c r="X199" s="123"/>
      <c r="Y199" s="180"/>
      <c r="Z199" s="180"/>
    </row>
    <row r="200" spans="1:26" ht="45.75" customHeight="1">
      <c r="A200" s="180"/>
      <c r="B200" s="180"/>
      <c r="C200" s="180"/>
      <c r="D200" s="180"/>
      <c r="E200" s="180"/>
      <c r="F200" s="225"/>
      <c r="G200" s="180"/>
      <c r="H200" s="180"/>
      <c r="I200" s="180"/>
      <c r="J200" s="211"/>
      <c r="K200" s="180"/>
      <c r="L200" s="212"/>
      <c r="M200" s="180"/>
      <c r="N200" s="180"/>
      <c r="O200" s="180"/>
      <c r="P200" s="123"/>
      <c r="Q200" s="130"/>
      <c r="R200" s="180"/>
      <c r="S200" s="180"/>
      <c r="T200" s="180"/>
      <c r="U200" s="180"/>
      <c r="V200" s="123"/>
      <c r="W200" s="123"/>
      <c r="X200" s="123"/>
      <c r="Y200" s="180"/>
      <c r="Z200" s="180"/>
    </row>
    <row r="201" spans="1:26" ht="45.75" customHeight="1">
      <c r="A201" s="180"/>
      <c r="B201" s="180"/>
      <c r="C201" s="180"/>
      <c r="D201" s="180"/>
      <c r="E201" s="180"/>
      <c r="F201" s="225"/>
      <c r="G201" s="180"/>
      <c r="H201" s="180"/>
      <c r="I201" s="180"/>
      <c r="J201" s="211"/>
      <c r="K201" s="180"/>
      <c r="L201" s="212"/>
      <c r="M201" s="180"/>
      <c r="N201" s="180"/>
      <c r="O201" s="180"/>
      <c r="P201" s="123"/>
      <c r="Q201" s="130"/>
      <c r="R201" s="180"/>
      <c r="S201" s="180"/>
      <c r="T201" s="180"/>
      <c r="U201" s="180"/>
      <c r="V201" s="123"/>
      <c r="W201" s="123"/>
      <c r="X201" s="123"/>
      <c r="Y201" s="180"/>
      <c r="Z201" s="180"/>
    </row>
    <row r="202" spans="1:26" ht="45.75" customHeight="1">
      <c r="A202" s="180"/>
      <c r="B202" s="180"/>
      <c r="C202" s="180"/>
      <c r="D202" s="180"/>
      <c r="E202" s="180"/>
      <c r="F202" s="225"/>
      <c r="G202" s="180"/>
      <c r="H202" s="180"/>
      <c r="I202" s="180"/>
      <c r="J202" s="211"/>
      <c r="K202" s="180"/>
      <c r="L202" s="212"/>
      <c r="M202" s="180"/>
      <c r="N202" s="180"/>
      <c r="O202" s="180"/>
      <c r="P202" s="123"/>
      <c r="Q202" s="130"/>
      <c r="R202" s="180"/>
      <c r="S202" s="180"/>
      <c r="T202" s="180"/>
      <c r="U202" s="180"/>
      <c r="V202" s="123"/>
      <c r="W202" s="123"/>
      <c r="X202" s="123"/>
      <c r="Y202" s="180"/>
      <c r="Z202" s="180"/>
    </row>
    <row r="203" spans="1:26" ht="45.75" customHeight="1">
      <c r="A203" s="180"/>
      <c r="B203" s="180"/>
      <c r="C203" s="180"/>
      <c r="D203" s="180"/>
      <c r="E203" s="180"/>
      <c r="F203" s="225"/>
      <c r="G203" s="180"/>
      <c r="H203" s="180"/>
      <c r="I203" s="180"/>
      <c r="J203" s="211"/>
      <c r="K203" s="180"/>
      <c r="L203" s="212"/>
      <c r="M203" s="180"/>
      <c r="N203" s="180"/>
      <c r="O203" s="180"/>
      <c r="P203" s="123"/>
      <c r="Q203" s="130"/>
      <c r="R203" s="180"/>
      <c r="S203" s="180"/>
      <c r="T203" s="180"/>
      <c r="U203" s="180"/>
      <c r="V203" s="123"/>
      <c r="W203" s="123"/>
      <c r="X203" s="123"/>
      <c r="Y203" s="180"/>
      <c r="Z203" s="180"/>
    </row>
    <row r="204" spans="1:26" ht="45.75" customHeight="1">
      <c r="A204" s="180"/>
      <c r="B204" s="180"/>
      <c r="C204" s="180"/>
      <c r="D204" s="180"/>
      <c r="E204" s="180"/>
      <c r="F204" s="225"/>
      <c r="G204" s="180"/>
      <c r="H204" s="180"/>
      <c r="I204" s="180"/>
      <c r="J204" s="211"/>
      <c r="K204" s="180"/>
      <c r="L204" s="212"/>
      <c r="M204" s="180"/>
      <c r="N204" s="180"/>
      <c r="O204" s="180"/>
      <c r="P204" s="123"/>
      <c r="Q204" s="130"/>
      <c r="R204" s="180"/>
      <c r="S204" s="180"/>
      <c r="T204" s="180"/>
      <c r="U204" s="180"/>
      <c r="V204" s="123"/>
      <c r="W204" s="123"/>
      <c r="X204" s="123"/>
      <c r="Y204" s="180"/>
      <c r="Z204" s="180"/>
    </row>
    <row r="205" spans="1:26" ht="45.75" customHeight="1">
      <c r="A205" s="180"/>
      <c r="B205" s="180"/>
      <c r="C205" s="180"/>
      <c r="D205" s="180"/>
      <c r="E205" s="180"/>
      <c r="F205" s="225"/>
      <c r="G205" s="180"/>
      <c r="H205" s="180"/>
      <c r="I205" s="180"/>
      <c r="J205" s="211"/>
      <c r="K205" s="180"/>
      <c r="L205" s="212"/>
      <c r="M205" s="180"/>
      <c r="N205" s="180"/>
      <c r="O205" s="180"/>
      <c r="P205" s="123"/>
      <c r="Q205" s="130"/>
      <c r="R205" s="180"/>
      <c r="S205" s="180"/>
      <c r="T205" s="180"/>
      <c r="U205" s="180"/>
      <c r="V205" s="123"/>
      <c r="W205" s="123"/>
      <c r="X205" s="123"/>
      <c r="Y205" s="180"/>
      <c r="Z205" s="180"/>
    </row>
    <row r="206" spans="1:26" ht="45.75" customHeight="1">
      <c r="A206" s="180"/>
      <c r="B206" s="180"/>
      <c r="C206" s="180"/>
      <c r="D206" s="180"/>
      <c r="E206" s="180"/>
      <c r="F206" s="225"/>
      <c r="G206" s="180"/>
      <c r="H206" s="180"/>
      <c r="I206" s="180"/>
      <c r="J206" s="211"/>
      <c r="K206" s="180"/>
      <c r="L206" s="212"/>
      <c r="M206" s="180"/>
      <c r="N206" s="180"/>
      <c r="O206" s="180"/>
      <c r="P206" s="123"/>
      <c r="Q206" s="130"/>
      <c r="R206" s="180"/>
      <c r="S206" s="180"/>
      <c r="T206" s="180"/>
      <c r="U206" s="180"/>
      <c r="V206" s="123"/>
      <c r="W206" s="123"/>
      <c r="X206" s="123"/>
      <c r="Y206" s="180"/>
      <c r="Z206" s="180"/>
    </row>
    <row r="207" spans="1:26" ht="45.75" customHeight="1">
      <c r="A207" s="180"/>
      <c r="B207" s="180"/>
      <c r="C207" s="180"/>
      <c r="D207" s="180"/>
      <c r="E207" s="180"/>
      <c r="F207" s="225"/>
      <c r="G207" s="180"/>
      <c r="H207" s="180"/>
      <c r="I207" s="180"/>
      <c r="J207" s="211"/>
      <c r="K207" s="180"/>
      <c r="L207" s="212"/>
      <c r="M207" s="180"/>
      <c r="N207" s="180"/>
      <c r="O207" s="180"/>
      <c r="P207" s="123"/>
      <c r="Q207" s="130"/>
      <c r="R207" s="180"/>
      <c r="S207" s="180"/>
      <c r="T207" s="180"/>
      <c r="U207" s="180"/>
      <c r="V207" s="123"/>
      <c r="W207" s="123"/>
      <c r="X207" s="123"/>
      <c r="Y207" s="180"/>
      <c r="Z207" s="180"/>
    </row>
    <row r="208" spans="1:26" ht="45.75" customHeight="1">
      <c r="A208" s="180"/>
      <c r="B208" s="180"/>
      <c r="C208" s="180"/>
      <c r="D208" s="180"/>
      <c r="E208" s="180"/>
      <c r="F208" s="225"/>
      <c r="G208" s="180"/>
      <c r="H208" s="180"/>
      <c r="I208" s="180"/>
      <c r="J208" s="211"/>
      <c r="K208" s="180"/>
      <c r="L208" s="212"/>
      <c r="M208" s="180"/>
      <c r="N208" s="180"/>
      <c r="O208" s="180"/>
      <c r="P208" s="123"/>
      <c r="Q208" s="130"/>
      <c r="R208" s="180"/>
      <c r="S208" s="180"/>
      <c r="T208" s="180"/>
      <c r="U208" s="180"/>
      <c r="V208" s="123"/>
      <c r="W208" s="123"/>
      <c r="X208" s="123"/>
      <c r="Y208" s="180"/>
      <c r="Z208" s="180"/>
    </row>
    <row r="209" spans="1:26" ht="45.75" customHeight="1">
      <c r="A209" s="180"/>
      <c r="B209" s="180"/>
      <c r="C209" s="180"/>
      <c r="D209" s="180"/>
      <c r="E209" s="180"/>
      <c r="F209" s="225"/>
      <c r="G209" s="180"/>
      <c r="H209" s="180"/>
      <c r="I209" s="180"/>
      <c r="J209" s="211"/>
      <c r="K209" s="180"/>
      <c r="L209" s="212"/>
      <c r="M209" s="180"/>
      <c r="N209" s="180"/>
      <c r="O209" s="180"/>
      <c r="P209" s="123"/>
      <c r="Q209" s="130"/>
      <c r="R209" s="180"/>
      <c r="S209" s="180"/>
      <c r="T209" s="180"/>
      <c r="U209" s="180"/>
      <c r="V209" s="123"/>
      <c r="W209" s="123"/>
      <c r="X209" s="123"/>
      <c r="Y209" s="180"/>
      <c r="Z209" s="180"/>
    </row>
    <row r="210" spans="1:26" ht="45.75" customHeight="1">
      <c r="A210" s="180"/>
      <c r="B210" s="180"/>
      <c r="C210" s="180"/>
      <c r="D210" s="180"/>
      <c r="E210" s="180"/>
      <c r="F210" s="225"/>
      <c r="G210" s="180"/>
      <c r="H210" s="180"/>
      <c r="I210" s="180"/>
      <c r="J210" s="211"/>
      <c r="K210" s="180"/>
      <c r="L210" s="212"/>
      <c r="M210" s="180"/>
      <c r="N210" s="180"/>
      <c r="O210" s="180"/>
      <c r="P210" s="123"/>
      <c r="Q210" s="130"/>
      <c r="R210" s="180"/>
      <c r="S210" s="180"/>
      <c r="T210" s="180"/>
      <c r="U210" s="180"/>
      <c r="V210" s="123"/>
      <c r="W210" s="123"/>
      <c r="X210" s="123"/>
      <c r="Y210" s="180"/>
      <c r="Z210" s="180"/>
    </row>
    <row r="211" spans="1:26" ht="45.75" customHeight="1">
      <c r="A211" s="180"/>
      <c r="B211" s="180"/>
      <c r="C211" s="180"/>
      <c r="D211" s="180"/>
      <c r="E211" s="180"/>
      <c r="F211" s="225"/>
      <c r="G211" s="180"/>
      <c r="H211" s="180"/>
      <c r="I211" s="180"/>
      <c r="J211" s="211"/>
      <c r="K211" s="180"/>
      <c r="L211" s="212"/>
      <c r="M211" s="180"/>
      <c r="N211" s="180"/>
      <c r="O211" s="180"/>
      <c r="P211" s="123"/>
      <c r="Q211" s="130"/>
      <c r="R211" s="180"/>
      <c r="S211" s="180"/>
      <c r="T211" s="180"/>
      <c r="U211" s="180"/>
      <c r="V211" s="123"/>
      <c r="W211" s="123"/>
      <c r="X211" s="123"/>
      <c r="Y211" s="180"/>
      <c r="Z211" s="180"/>
    </row>
    <row r="212" spans="1:26" ht="45.75" customHeight="1">
      <c r="A212" s="180"/>
      <c r="B212" s="180"/>
      <c r="C212" s="180"/>
      <c r="D212" s="180"/>
      <c r="E212" s="180"/>
      <c r="F212" s="225"/>
      <c r="G212" s="180"/>
      <c r="H212" s="180"/>
      <c r="I212" s="180"/>
      <c r="J212" s="211"/>
      <c r="K212" s="180"/>
      <c r="L212" s="212"/>
      <c r="M212" s="180"/>
      <c r="N212" s="180"/>
      <c r="O212" s="180"/>
      <c r="P212" s="123"/>
      <c r="Q212" s="130"/>
      <c r="R212" s="180"/>
      <c r="S212" s="180"/>
      <c r="T212" s="180"/>
      <c r="U212" s="180"/>
      <c r="V212" s="123"/>
      <c r="W212" s="123"/>
      <c r="X212" s="123"/>
      <c r="Y212" s="180"/>
      <c r="Z212" s="180"/>
    </row>
    <row r="213" spans="1:26" ht="45.75" customHeight="1">
      <c r="A213" s="180"/>
      <c r="B213" s="180"/>
      <c r="C213" s="180"/>
      <c r="D213" s="180"/>
      <c r="E213" s="180"/>
      <c r="F213" s="225"/>
      <c r="G213" s="180"/>
      <c r="H213" s="180"/>
      <c r="I213" s="180"/>
      <c r="J213" s="211"/>
      <c r="K213" s="180"/>
      <c r="L213" s="212"/>
      <c r="M213" s="180"/>
      <c r="N213" s="180"/>
      <c r="O213" s="180"/>
      <c r="P213" s="123"/>
      <c r="Q213" s="130"/>
      <c r="R213" s="180"/>
      <c r="S213" s="180"/>
      <c r="T213" s="180"/>
      <c r="U213" s="180"/>
      <c r="V213" s="123"/>
      <c r="W213" s="123"/>
      <c r="X213" s="123"/>
      <c r="Y213" s="180"/>
      <c r="Z213" s="180"/>
    </row>
    <row r="214" spans="1:26" ht="45.75" customHeight="1">
      <c r="A214" s="180"/>
      <c r="B214" s="180"/>
      <c r="C214" s="180"/>
      <c r="D214" s="180"/>
      <c r="E214" s="180"/>
      <c r="F214" s="225"/>
      <c r="G214" s="180"/>
      <c r="H214" s="180"/>
      <c r="I214" s="180"/>
      <c r="J214" s="211"/>
      <c r="K214" s="180"/>
      <c r="L214" s="212"/>
      <c r="M214" s="180"/>
      <c r="N214" s="180"/>
      <c r="O214" s="180"/>
      <c r="P214" s="123"/>
      <c r="Q214" s="130"/>
      <c r="R214" s="180"/>
      <c r="S214" s="180"/>
      <c r="T214" s="180"/>
      <c r="U214" s="180"/>
      <c r="V214" s="123"/>
      <c r="W214" s="123"/>
      <c r="X214" s="123"/>
      <c r="Y214" s="180"/>
      <c r="Z214" s="180"/>
    </row>
    <row r="215" spans="1:26" ht="45.75" customHeight="1">
      <c r="A215" s="180"/>
      <c r="B215" s="180"/>
      <c r="C215" s="180"/>
      <c r="D215" s="180"/>
      <c r="E215" s="180"/>
      <c r="F215" s="225"/>
      <c r="G215" s="180"/>
      <c r="H215" s="180"/>
      <c r="I215" s="180"/>
      <c r="J215" s="211"/>
      <c r="K215" s="180"/>
      <c r="L215" s="212"/>
      <c r="M215" s="180"/>
      <c r="N215" s="180"/>
      <c r="O215" s="180"/>
      <c r="P215" s="123"/>
      <c r="Q215" s="130"/>
      <c r="R215" s="180"/>
      <c r="S215" s="180"/>
      <c r="T215" s="180"/>
      <c r="U215" s="180"/>
      <c r="V215" s="123"/>
      <c r="W215" s="123"/>
      <c r="X215" s="123"/>
      <c r="Y215" s="180"/>
      <c r="Z215" s="180"/>
    </row>
    <row r="216" spans="1:26" ht="45.75" customHeight="1">
      <c r="A216" s="180"/>
      <c r="B216" s="180"/>
      <c r="C216" s="180"/>
      <c r="D216" s="180"/>
      <c r="E216" s="180"/>
      <c r="F216" s="225"/>
      <c r="G216" s="180"/>
      <c r="H216" s="180"/>
      <c r="I216" s="180"/>
      <c r="J216" s="211"/>
      <c r="K216" s="180"/>
      <c r="L216" s="212"/>
      <c r="M216" s="180"/>
      <c r="N216" s="180"/>
      <c r="O216" s="180"/>
      <c r="P216" s="123"/>
      <c r="Q216" s="130"/>
      <c r="R216" s="180"/>
      <c r="S216" s="180"/>
      <c r="T216" s="180"/>
      <c r="U216" s="180"/>
      <c r="V216" s="123"/>
      <c r="W216" s="123"/>
      <c r="X216" s="123"/>
      <c r="Y216" s="180"/>
      <c r="Z216" s="180"/>
    </row>
    <row r="217" spans="1:26" ht="45.75" customHeight="1">
      <c r="A217" s="180"/>
      <c r="B217" s="180"/>
      <c r="C217" s="180"/>
      <c r="D217" s="180"/>
      <c r="E217" s="180"/>
      <c r="F217" s="225"/>
      <c r="G217" s="180"/>
      <c r="H217" s="180"/>
      <c r="I217" s="180"/>
      <c r="J217" s="211"/>
      <c r="K217" s="180"/>
      <c r="L217" s="212"/>
      <c r="M217" s="180"/>
      <c r="N217" s="180"/>
      <c r="O217" s="180"/>
      <c r="P217" s="123"/>
      <c r="Q217" s="130"/>
      <c r="R217" s="180"/>
      <c r="S217" s="180"/>
      <c r="T217" s="180"/>
      <c r="U217" s="180"/>
      <c r="V217" s="123"/>
      <c r="W217" s="123"/>
      <c r="X217" s="123"/>
      <c r="Y217" s="180"/>
      <c r="Z217" s="180"/>
    </row>
    <row r="218" spans="1:26" ht="45.75" customHeight="1">
      <c r="A218" s="180"/>
      <c r="B218" s="180"/>
      <c r="C218" s="180"/>
      <c r="D218" s="180"/>
      <c r="E218" s="180"/>
      <c r="F218" s="225"/>
      <c r="G218" s="180"/>
      <c r="H218" s="180"/>
      <c r="I218" s="180"/>
      <c r="J218" s="211"/>
      <c r="K218" s="180"/>
      <c r="L218" s="212"/>
      <c r="M218" s="180"/>
      <c r="N218" s="180"/>
      <c r="O218" s="180"/>
      <c r="P218" s="123"/>
      <c r="Q218" s="130"/>
      <c r="R218" s="180"/>
      <c r="S218" s="180"/>
      <c r="T218" s="180"/>
      <c r="U218" s="180"/>
      <c r="V218" s="123"/>
      <c r="W218" s="123"/>
      <c r="X218" s="123"/>
      <c r="Y218" s="180"/>
      <c r="Z218" s="180"/>
    </row>
    <row r="219" spans="1:26" ht="45.75" customHeight="1">
      <c r="A219" s="180"/>
      <c r="B219" s="180"/>
      <c r="C219" s="180"/>
      <c r="D219" s="180"/>
      <c r="E219" s="180"/>
      <c r="F219" s="225"/>
      <c r="G219" s="180"/>
      <c r="H219" s="180"/>
      <c r="I219" s="180"/>
      <c r="J219" s="211"/>
      <c r="K219" s="180"/>
      <c r="L219" s="212"/>
      <c r="M219" s="180"/>
      <c r="N219" s="180"/>
      <c r="O219" s="180"/>
      <c r="P219" s="123"/>
      <c r="Q219" s="130"/>
      <c r="R219" s="180"/>
      <c r="S219" s="180"/>
      <c r="T219" s="180"/>
      <c r="U219" s="180"/>
      <c r="V219" s="123"/>
      <c r="W219" s="123"/>
      <c r="X219" s="123"/>
      <c r="Y219" s="180"/>
      <c r="Z219" s="180"/>
    </row>
    <row r="220" spans="1:26" ht="45.75" customHeight="1">
      <c r="A220" s="180"/>
      <c r="B220" s="180"/>
      <c r="C220" s="180"/>
      <c r="D220" s="180"/>
      <c r="E220" s="180"/>
      <c r="F220" s="225"/>
      <c r="G220" s="180"/>
      <c r="H220" s="180"/>
      <c r="I220" s="180"/>
      <c r="J220" s="211"/>
      <c r="K220" s="180"/>
      <c r="L220" s="212"/>
      <c r="M220" s="180"/>
      <c r="N220" s="180"/>
      <c r="O220" s="180"/>
      <c r="P220" s="123"/>
      <c r="Q220" s="130"/>
      <c r="R220" s="180"/>
      <c r="S220" s="180"/>
      <c r="T220" s="180"/>
      <c r="U220" s="180"/>
      <c r="V220" s="123"/>
      <c r="W220" s="123"/>
      <c r="X220" s="123"/>
      <c r="Y220" s="180"/>
      <c r="Z220" s="180"/>
    </row>
    <row r="221" spans="1:26" ht="45.75" customHeight="1">
      <c r="A221" s="180"/>
      <c r="B221" s="180"/>
      <c r="C221" s="180"/>
      <c r="D221" s="180"/>
      <c r="E221" s="180"/>
      <c r="F221" s="225"/>
      <c r="G221" s="180"/>
      <c r="H221" s="180"/>
      <c r="I221" s="180"/>
      <c r="J221" s="211"/>
      <c r="K221" s="180"/>
      <c r="L221" s="212"/>
      <c r="M221" s="180"/>
      <c r="N221" s="180"/>
      <c r="O221" s="180"/>
      <c r="P221" s="123"/>
      <c r="Q221" s="130"/>
      <c r="R221" s="180"/>
      <c r="S221" s="180"/>
      <c r="T221" s="180"/>
      <c r="U221" s="180"/>
      <c r="V221" s="123"/>
      <c r="W221" s="123"/>
      <c r="X221" s="123"/>
      <c r="Y221" s="180"/>
      <c r="Z221" s="180"/>
    </row>
    <row r="222" spans="1:26" ht="45.75" customHeight="1">
      <c r="A222" s="180"/>
      <c r="B222" s="180"/>
      <c r="C222" s="180"/>
      <c r="D222" s="180"/>
      <c r="E222" s="180"/>
      <c r="F222" s="225"/>
      <c r="G222" s="180"/>
      <c r="H222" s="180"/>
      <c r="I222" s="180"/>
      <c r="J222" s="211"/>
      <c r="K222" s="180"/>
      <c r="L222" s="212"/>
      <c r="M222" s="180"/>
      <c r="N222" s="180"/>
      <c r="O222" s="180"/>
      <c r="P222" s="123"/>
      <c r="Q222" s="130"/>
      <c r="R222" s="180"/>
      <c r="S222" s="180"/>
      <c r="T222" s="180"/>
      <c r="U222" s="180"/>
      <c r="V222" s="123"/>
      <c r="W222" s="123"/>
      <c r="X222" s="123"/>
      <c r="Y222" s="180"/>
      <c r="Z222" s="180"/>
    </row>
    <row r="223" spans="1:26" ht="45.75" customHeight="1">
      <c r="A223" s="180"/>
      <c r="B223" s="180"/>
      <c r="C223" s="180"/>
      <c r="D223" s="180"/>
      <c r="E223" s="180"/>
      <c r="F223" s="225"/>
      <c r="G223" s="180"/>
      <c r="H223" s="180"/>
      <c r="I223" s="180"/>
      <c r="J223" s="211"/>
      <c r="K223" s="180"/>
      <c r="L223" s="212"/>
      <c r="M223" s="180"/>
      <c r="N223" s="180"/>
      <c r="O223" s="180"/>
      <c r="P223" s="123"/>
      <c r="Q223" s="130"/>
      <c r="R223" s="180"/>
      <c r="S223" s="180"/>
      <c r="T223" s="180"/>
      <c r="U223" s="180"/>
      <c r="V223" s="123"/>
      <c r="W223" s="123"/>
      <c r="X223" s="123"/>
      <c r="Y223" s="180"/>
      <c r="Z223" s="180"/>
    </row>
    <row r="224" spans="1:26" ht="45.75" customHeight="1">
      <c r="A224" s="180"/>
      <c r="B224" s="180"/>
      <c r="C224" s="180"/>
      <c r="D224" s="180"/>
      <c r="E224" s="180"/>
      <c r="F224" s="225"/>
      <c r="G224" s="180"/>
      <c r="H224" s="180"/>
      <c r="I224" s="180"/>
      <c r="J224" s="211"/>
      <c r="K224" s="180"/>
      <c r="L224" s="212"/>
      <c r="M224" s="180"/>
      <c r="N224" s="180"/>
      <c r="O224" s="180"/>
      <c r="P224" s="123"/>
      <c r="Q224" s="130"/>
      <c r="R224" s="180"/>
      <c r="S224" s="180"/>
      <c r="T224" s="180"/>
      <c r="U224" s="180"/>
      <c r="V224" s="123"/>
      <c r="W224" s="123"/>
      <c r="X224" s="123"/>
      <c r="Y224" s="180"/>
      <c r="Z224" s="180"/>
    </row>
    <row r="225" spans="1:26" ht="45.75" customHeight="1">
      <c r="A225" s="180"/>
      <c r="B225" s="180"/>
      <c r="C225" s="180"/>
      <c r="D225" s="180"/>
      <c r="E225" s="180"/>
      <c r="F225" s="225"/>
      <c r="G225" s="180"/>
      <c r="H225" s="180"/>
      <c r="I225" s="180"/>
      <c r="J225" s="211"/>
      <c r="K225" s="180"/>
      <c r="L225" s="212"/>
      <c r="M225" s="180"/>
      <c r="N225" s="180"/>
      <c r="O225" s="180"/>
      <c r="P225" s="123"/>
      <c r="Q225" s="130"/>
      <c r="R225" s="180"/>
      <c r="S225" s="180"/>
      <c r="T225" s="180"/>
      <c r="U225" s="180"/>
      <c r="V225" s="123"/>
      <c r="W225" s="123"/>
      <c r="X225" s="123"/>
      <c r="Y225" s="180"/>
      <c r="Z225" s="180"/>
    </row>
    <row r="226" spans="1:26" ht="45.75" customHeight="1">
      <c r="A226" s="180"/>
      <c r="B226" s="180"/>
      <c r="C226" s="180"/>
      <c r="D226" s="180"/>
      <c r="E226" s="180"/>
      <c r="F226" s="225"/>
      <c r="G226" s="180"/>
      <c r="H226" s="180"/>
      <c r="I226" s="180"/>
      <c r="J226" s="211"/>
      <c r="K226" s="180"/>
      <c r="L226" s="212"/>
      <c r="M226" s="180"/>
      <c r="N226" s="180"/>
      <c r="O226" s="180"/>
      <c r="P226" s="123"/>
      <c r="Q226" s="130"/>
      <c r="R226" s="180"/>
      <c r="S226" s="180"/>
      <c r="T226" s="180"/>
      <c r="U226" s="180"/>
      <c r="V226" s="123"/>
      <c r="W226" s="123"/>
      <c r="X226" s="123"/>
      <c r="Y226" s="180"/>
      <c r="Z226" s="180"/>
    </row>
    <row r="227" spans="1:26" ht="45.75" customHeight="1">
      <c r="A227" s="180"/>
      <c r="B227" s="180"/>
      <c r="C227" s="180"/>
      <c r="D227" s="180"/>
      <c r="E227" s="180"/>
      <c r="F227" s="225"/>
      <c r="G227" s="180"/>
      <c r="H227" s="180"/>
      <c r="I227" s="180"/>
      <c r="J227" s="211"/>
      <c r="K227" s="180"/>
      <c r="L227" s="212"/>
      <c r="M227" s="180"/>
      <c r="N227" s="180"/>
      <c r="O227" s="180"/>
      <c r="P227" s="123"/>
      <c r="Q227" s="130"/>
      <c r="R227" s="180"/>
      <c r="S227" s="180"/>
      <c r="T227" s="180"/>
      <c r="U227" s="180"/>
      <c r="V227" s="123"/>
      <c r="W227" s="123"/>
      <c r="X227" s="123"/>
      <c r="Y227" s="180"/>
      <c r="Z227" s="180"/>
    </row>
    <row r="228" spans="1:26" ht="45.75" customHeight="1">
      <c r="A228" s="180"/>
      <c r="B228" s="180"/>
      <c r="C228" s="180"/>
      <c r="D228" s="180"/>
      <c r="E228" s="180"/>
      <c r="F228" s="225"/>
      <c r="G228" s="180"/>
      <c r="H228" s="180"/>
      <c r="I228" s="180"/>
      <c r="J228" s="211"/>
      <c r="K228" s="180"/>
      <c r="L228" s="212"/>
      <c r="M228" s="180"/>
      <c r="N228" s="180"/>
      <c r="O228" s="180"/>
      <c r="P228" s="123"/>
      <c r="Q228" s="130"/>
      <c r="R228" s="180"/>
      <c r="S228" s="180"/>
      <c r="T228" s="180"/>
      <c r="U228" s="180"/>
      <c r="V228" s="123"/>
      <c r="W228" s="123"/>
      <c r="X228" s="123"/>
      <c r="Y228" s="180"/>
      <c r="Z228" s="180"/>
    </row>
    <row r="229" spans="1:26" ht="45.75" customHeight="1">
      <c r="A229" s="180"/>
      <c r="B229" s="180"/>
      <c r="C229" s="180"/>
      <c r="D229" s="180"/>
      <c r="E229" s="180"/>
      <c r="F229" s="225"/>
      <c r="G229" s="180"/>
      <c r="H229" s="180"/>
      <c r="I229" s="180"/>
      <c r="J229" s="211"/>
      <c r="K229" s="180"/>
      <c r="L229" s="212"/>
      <c r="M229" s="180"/>
      <c r="N229" s="180"/>
      <c r="O229" s="180"/>
      <c r="P229" s="123"/>
      <c r="Q229" s="130"/>
      <c r="R229" s="180"/>
      <c r="S229" s="180"/>
      <c r="T229" s="180"/>
      <c r="U229" s="180"/>
      <c r="V229" s="123"/>
      <c r="W229" s="123"/>
      <c r="X229" s="123"/>
      <c r="Y229" s="180"/>
      <c r="Z229" s="180"/>
    </row>
    <row r="230" spans="1:26" ht="45.75" customHeight="1">
      <c r="A230" s="180"/>
      <c r="B230" s="180"/>
      <c r="C230" s="180"/>
      <c r="D230" s="180"/>
      <c r="E230" s="180"/>
      <c r="F230" s="225"/>
      <c r="G230" s="180"/>
      <c r="H230" s="180"/>
      <c r="I230" s="180"/>
      <c r="J230" s="211"/>
      <c r="K230" s="180"/>
      <c r="L230" s="212"/>
      <c r="M230" s="180"/>
      <c r="N230" s="180"/>
      <c r="O230" s="180"/>
      <c r="P230" s="123"/>
      <c r="Q230" s="130"/>
      <c r="R230" s="180"/>
      <c r="S230" s="180"/>
      <c r="T230" s="180"/>
      <c r="U230" s="180"/>
      <c r="V230" s="123"/>
      <c r="W230" s="123"/>
      <c r="X230" s="123"/>
      <c r="Y230" s="180"/>
      <c r="Z230" s="180"/>
    </row>
    <row r="231" spans="1:26" ht="45.75" customHeight="1">
      <c r="A231" s="180"/>
      <c r="B231" s="180"/>
      <c r="C231" s="180"/>
      <c r="D231" s="180"/>
      <c r="E231" s="180"/>
      <c r="F231" s="225"/>
      <c r="G231" s="180"/>
      <c r="H231" s="180"/>
      <c r="I231" s="180"/>
      <c r="J231" s="211"/>
      <c r="K231" s="180"/>
      <c r="L231" s="212"/>
      <c r="M231" s="180"/>
      <c r="N231" s="180"/>
      <c r="O231" s="180"/>
      <c r="P231" s="123"/>
      <c r="Q231" s="130"/>
      <c r="R231" s="180"/>
      <c r="S231" s="180"/>
      <c r="T231" s="180"/>
      <c r="U231" s="180"/>
      <c r="V231" s="123"/>
      <c r="W231" s="123"/>
      <c r="X231" s="123"/>
      <c r="Y231" s="180"/>
      <c r="Z231" s="180"/>
    </row>
    <row r="232" spans="1:26" ht="45.75" customHeight="1">
      <c r="A232" s="180"/>
      <c r="B232" s="180"/>
      <c r="C232" s="180"/>
      <c r="D232" s="180"/>
      <c r="E232" s="180"/>
      <c r="F232" s="225"/>
      <c r="G232" s="180"/>
      <c r="H232" s="180"/>
      <c r="I232" s="180"/>
      <c r="J232" s="211"/>
      <c r="K232" s="180"/>
      <c r="L232" s="212"/>
      <c r="M232" s="180"/>
      <c r="N232" s="180"/>
      <c r="O232" s="180"/>
      <c r="P232" s="123"/>
      <c r="Q232" s="130"/>
      <c r="R232" s="180"/>
      <c r="S232" s="180"/>
      <c r="T232" s="180"/>
      <c r="U232" s="180"/>
      <c r="V232" s="123"/>
      <c r="W232" s="123"/>
      <c r="X232" s="123"/>
      <c r="Y232" s="180"/>
      <c r="Z232" s="180"/>
    </row>
    <row r="233" spans="1:26" ht="45.75" customHeight="1">
      <c r="A233" s="180"/>
      <c r="B233" s="180"/>
      <c r="C233" s="180"/>
      <c r="D233" s="180"/>
      <c r="E233" s="180"/>
      <c r="F233" s="225"/>
      <c r="G233" s="180"/>
      <c r="H233" s="180"/>
      <c r="I233" s="180"/>
      <c r="J233" s="211"/>
      <c r="K233" s="180"/>
      <c r="L233" s="212"/>
      <c r="M233" s="180"/>
      <c r="N233" s="180"/>
      <c r="O233" s="180"/>
      <c r="P233" s="123"/>
      <c r="Q233" s="130"/>
      <c r="R233" s="180"/>
      <c r="S233" s="180"/>
      <c r="T233" s="180"/>
      <c r="U233" s="180"/>
      <c r="V233" s="123"/>
      <c r="W233" s="123"/>
      <c r="X233" s="123"/>
      <c r="Y233" s="180"/>
      <c r="Z233" s="180"/>
    </row>
    <row r="234" spans="1:26" ht="45.75" customHeight="1">
      <c r="A234" s="180"/>
      <c r="B234" s="180"/>
      <c r="C234" s="180"/>
      <c r="D234" s="180"/>
      <c r="E234" s="180"/>
      <c r="F234" s="225"/>
      <c r="G234" s="180"/>
      <c r="H234" s="180"/>
      <c r="I234" s="180"/>
      <c r="J234" s="211"/>
      <c r="K234" s="180"/>
      <c r="L234" s="212"/>
      <c r="M234" s="180"/>
      <c r="N234" s="180"/>
      <c r="O234" s="180"/>
      <c r="P234" s="123"/>
      <c r="Q234" s="130"/>
      <c r="R234" s="180"/>
      <c r="S234" s="180"/>
      <c r="T234" s="180"/>
      <c r="U234" s="180"/>
      <c r="V234" s="123"/>
      <c r="W234" s="123"/>
      <c r="X234" s="123"/>
      <c r="Y234" s="180"/>
      <c r="Z234" s="180"/>
    </row>
    <row r="235" spans="1:26" ht="45.75" customHeight="1">
      <c r="A235" s="180"/>
      <c r="B235" s="180"/>
      <c r="C235" s="180"/>
      <c r="D235" s="180"/>
      <c r="E235" s="180"/>
      <c r="F235" s="225"/>
      <c r="G235" s="180"/>
      <c r="H235" s="180"/>
      <c r="I235" s="180"/>
      <c r="J235" s="211"/>
      <c r="K235" s="180"/>
      <c r="L235" s="212"/>
      <c r="M235" s="180"/>
      <c r="N235" s="180"/>
      <c r="O235" s="180"/>
      <c r="P235" s="123"/>
      <c r="Q235" s="130"/>
      <c r="R235" s="180"/>
      <c r="S235" s="180"/>
      <c r="T235" s="180"/>
      <c r="U235" s="180"/>
      <c r="V235" s="123"/>
      <c r="W235" s="123"/>
      <c r="X235" s="123"/>
      <c r="Y235" s="180"/>
      <c r="Z235" s="180"/>
    </row>
    <row r="236" spans="1:26" ht="45.75" customHeight="1">
      <c r="A236" s="180"/>
      <c r="B236" s="180"/>
      <c r="C236" s="180"/>
      <c r="D236" s="180"/>
      <c r="E236" s="180"/>
      <c r="F236" s="225"/>
      <c r="G236" s="180"/>
      <c r="H236" s="180"/>
      <c r="I236" s="180"/>
      <c r="J236" s="211"/>
      <c r="K236" s="180"/>
      <c r="L236" s="212"/>
      <c r="M236" s="180"/>
      <c r="N236" s="180"/>
      <c r="O236" s="180"/>
      <c r="P236" s="123"/>
      <c r="Q236" s="130"/>
      <c r="R236" s="180"/>
      <c r="S236" s="180"/>
      <c r="T236" s="180"/>
      <c r="U236" s="180"/>
      <c r="V236" s="123"/>
      <c r="W236" s="123"/>
      <c r="X236" s="123"/>
      <c r="Y236" s="180"/>
      <c r="Z236" s="180"/>
    </row>
    <row r="237" spans="1:26" ht="45.75" customHeight="1">
      <c r="A237" s="180"/>
      <c r="B237" s="180"/>
      <c r="C237" s="180"/>
      <c r="D237" s="180"/>
      <c r="E237" s="180"/>
      <c r="F237" s="225"/>
      <c r="G237" s="180"/>
      <c r="H237" s="180"/>
      <c r="I237" s="180"/>
      <c r="J237" s="211"/>
      <c r="K237" s="180"/>
      <c r="L237" s="212"/>
      <c r="M237" s="180"/>
      <c r="N237" s="180"/>
      <c r="O237" s="180"/>
      <c r="P237" s="123"/>
      <c r="Q237" s="130"/>
      <c r="R237" s="180"/>
      <c r="S237" s="180"/>
      <c r="T237" s="180"/>
      <c r="U237" s="180"/>
      <c r="V237" s="123"/>
      <c r="W237" s="123"/>
      <c r="X237" s="123"/>
      <c r="Y237" s="180"/>
      <c r="Z237" s="180"/>
    </row>
    <row r="238" spans="1:26" ht="45.75" customHeight="1">
      <c r="A238" s="180"/>
      <c r="B238" s="180"/>
      <c r="C238" s="180"/>
      <c r="D238" s="180"/>
      <c r="E238" s="180"/>
      <c r="F238" s="225"/>
      <c r="G238" s="180"/>
      <c r="H238" s="180"/>
      <c r="I238" s="180"/>
      <c r="J238" s="211"/>
      <c r="K238" s="180"/>
      <c r="L238" s="212"/>
      <c r="M238" s="180"/>
      <c r="N238" s="180"/>
      <c r="O238" s="180"/>
      <c r="P238" s="123"/>
      <c r="Q238" s="130"/>
      <c r="R238" s="180"/>
      <c r="S238" s="180"/>
      <c r="T238" s="180"/>
      <c r="U238" s="180"/>
      <c r="V238" s="123"/>
      <c r="W238" s="123"/>
      <c r="X238" s="123"/>
      <c r="Y238" s="180"/>
      <c r="Z238" s="180"/>
    </row>
    <row r="239" spans="1:26" ht="45.75" customHeight="1">
      <c r="A239" s="180"/>
      <c r="B239" s="180"/>
      <c r="C239" s="180"/>
      <c r="D239" s="180"/>
      <c r="E239" s="180"/>
      <c r="F239" s="225"/>
      <c r="G239" s="180"/>
      <c r="H239" s="180"/>
      <c r="I239" s="180"/>
      <c r="J239" s="211"/>
      <c r="K239" s="180"/>
      <c r="L239" s="212"/>
      <c r="M239" s="180"/>
      <c r="N239" s="180"/>
      <c r="O239" s="180"/>
      <c r="P239" s="123"/>
      <c r="Q239" s="130"/>
      <c r="R239" s="180"/>
      <c r="S239" s="180"/>
      <c r="T239" s="180"/>
      <c r="U239" s="180"/>
      <c r="V239" s="123"/>
      <c r="W239" s="123"/>
      <c r="X239" s="123"/>
      <c r="Y239" s="180"/>
      <c r="Z239" s="180"/>
    </row>
    <row r="240" spans="1:26" ht="45.75" customHeight="1">
      <c r="A240" s="180"/>
      <c r="B240" s="180"/>
      <c r="C240" s="180"/>
      <c r="D240" s="180"/>
      <c r="E240" s="180"/>
      <c r="F240" s="225"/>
      <c r="G240" s="180"/>
      <c r="H240" s="180"/>
      <c r="I240" s="180"/>
      <c r="J240" s="211"/>
      <c r="K240" s="180"/>
      <c r="L240" s="212"/>
      <c r="M240" s="180"/>
      <c r="N240" s="180"/>
      <c r="O240" s="180"/>
      <c r="P240" s="123"/>
      <c r="Q240" s="130"/>
      <c r="R240" s="180"/>
      <c r="S240" s="180"/>
      <c r="T240" s="180"/>
      <c r="U240" s="180"/>
      <c r="V240" s="123"/>
      <c r="W240" s="123"/>
      <c r="X240" s="123"/>
      <c r="Y240" s="180"/>
      <c r="Z240" s="180"/>
    </row>
    <row r="241" spans="1:26" ht="45.75" customHeight="1">
      <c r="A241" s="180"/>
      <c r="B241" s="180"/>
      <c r="C241" s="180"/>
      <c r="D241" s="180"/>
      <c r="E241" s="180"/>
      <c r="F241" s="225"/>
      <c r="G241" s="180"/>
      <c r="H241" s="180"/>
      <c r="I241" s="180"/>
      <c r="J241" s="211"/>
      <c r="K241" s="180"/>
      <c r="L241" s="212"/>
      <c r="M241" s="180"/>
      <c r="N241" s="180"/>
      <c r="O241" s="180"/>
      <c r="P241" s="123"/>
      <c r="Q241" s="130"/>
      <c r="R241" s="180"/>
      <c r="S241" s="180"/>
      <c r="T241" s="180"/>
      <c r="U241" s="180"/>
      <c r="V241" s="123"/>
      <c r="W241" s="123"/>
      <c r="X241" s="123"/>
      <c r="Y241" s="180"/>
      <c r="Z241" s="180"/>
    </row>
    <row r="242" spans="1:26" ht="45.75" customHeight="1">
      <c r="A242" s="180"/>
      <c r="B242" s="180"/>
      <c r="C242" s="180"/>
      <c r="D242" s="180"/>
      <c r="E242" s="180"/>
      <c r="F242" s="225"/>
      <c r="G242" s="180"/>
      <c r="H242" s="180"/>
      <c r="I242" s="180"/>
      <c r="J242" s="211"/>
      <c r="K242" s="180"/>
      <c r="L242" s="212"/>
      <c r="M242" s="180"/>
      <c r="N242" s="180"/>
      <c r="O242" s="180"/>
      <c r="P242" s="123"/>
      <c r="Q242" s="130"/>
      <c r="R242" s="180"/>
      <c r="S242" s="180"/>
      <c r="T242" s="180"/>
      <c r="U242" s="180"/>
      <c r="V242" s="123"/>
      <c r="W242" s="123"/>
      <c r="X242" s="123"/>
      <c r="Y242" s="180"/>
      <c r="Z242" s="180"/>
    </row>
    <row r="243" spans="1:26" ht="45.75" customHeight="1">
      <c r="A243" s="180"/>
      <c r="B243" s="180"/>
      <c r="C243" s="180"/>
      <c r="D243" s="180"/>
      <c r="E243" s="180"/>
      <c r="F243" s="225"/>
      <c r="G243" s="180"/>
      <c r="H243" s="180"/>
      <c r="I243" s="180"/>
      <c r="J243" s="211"/>
      <c r="K243" s="180"/>
      <c r="L243" s="212"/>
      <c r="M243" s="180"/>
      <c r="N243" s="180"/>
      <c r="O243" s="180"/>
      <c r="P243" s="123"/>
      <c r="Q243" s="130"/>
      <c r="R243" s="180"/>
      <c r="S243" s="180"/>
      <c r="T243" s="180"/>
      <c r="U243" s="180"/>
      <c r="V243" s="123"/>
      <c r="W243" s="123"/>
      <c r="X243" s="123"/>
      <c r="Y243" s="180"/>
      <c r="Z243" s="180"/>
    </row>
    <row r="244" spans="1:26" ht="45.75" customHeight="1">
      <c r="A244" s="180"/>
      <c r="B244" s="180"/>
      <c r="C244" s="180"/>
      <c r="D244" s="180"/>
      <c r="E244" s="180"/>
      <c r="F244" s="225"/>
      <c r="G244" s="180"/>
      <c r="H244" s="180"/>
      <c r="I244" s="180"/>
      <c r="J244" s="211"/>
      <c r="K244" s="180"/>
      <c r="L244" s="212"/>
      <c r="M244" s="180"/>
      <c r="N244" s="180"/>
      <c r="O244" s="180"/>
      <c r="P244" s="123"/>
      <c r="Q244" s="130"/>
      <c r="R244" s="180"/>
      <c r="S244" s="180"/>
      <c r="T244" s="180"/>
      <c r="U244" s="180"/>
      <c r="V244" s="123"/>
      <c r="W244" s="123"/>
      <c r="X244" s="123"/>
      <c r="Y244" s="180"/>
      <c r="Z244" s="180"/>
    </row>
    <row r="245" spans="1:26" ht="45.75" customHeight="1">
      <c r="A245" s="180"/>
      <c r="B245" s="180"/>
      <c r="C245" s="180"/>
      <c r="D245" s="180"/>
      <c r="E245" s="180"/>
      <c r="F245" s="225"/>
      <c r="G245" s="180"/>
      <c r="H245" s="180"/>
      <c r="I245" s="180"/>
      <c r="J245" s="211"/>
      <c r="K245" s="180"/>
      <c r="L245" s="212"/>
      <c r="M245" s="180"/>
      <c r="N245" s="180"/>
      <c r="O245" s="180"/>
      <c r="P245" s="123"/>
      <c r="Q245" s="130"/>
      <c r="R245" s="180"/>
      <c r="S245" s="180"/>
      <c r="T245" s="180"/>
      <c r="U245" s="180"/>
      <c r="V245" s="123"/>
      <c r="W245" s="123"/>
      <c r="X245" s="123"/>
      <c r="Y245" s="180"/>
      <c r="Z245" s="180"/>
    </row>
    <row r="246" spans="1:26" ht="45.75" customHeight="1">
      <c r="A246" s="180"/>
      <c r="B246" s="180"/>
      <c r="C246" s="180"/>
      <c r="D246" s="180"/>
      <c r="E246" s="180"/>
      <c r="F246" s="225"/>
      <c r="G246" s="180"/>
      <c r="H246" s="180"/>
      <c r="I246" s="180"/>
      <c r="J246" s="211"/>
      <c r="K246" s="180"/>
      <c r="L246" s="212"/>
      <c r="M246" s="180"/>
      <c r="N246" s="180"/>
      <c r="O246" s="180"/>
      <c r="P246" s="123"/>
      <c r="Q246" s="130"/>
      <c r="R246" s="180"/>
      <c r="S246" s="180"/>
      <c r="T246" s="180"/>
      <c r="U246" s="180"/>
      <c r="V246" s="123"/>
      <c r="W246" s="123"/>
      <c r="X246" s="123"/>
      <c r="Y246" s="180"/>
      <c r="Z246" s="180"/>
    </row>
    <row r="247" spans="1:26" ht="45.75" customHeight="1">
      <c r="A247" s="180"/>
      <c r="B247" s="180"/>
      <c r="C247" s="180"/>
      <c r="D247" s="180"/>
      <c r="E247" s="180"/>
      <c r="F247" s="225"/>
      <c r="G247" s="180"/>
      <c r="H247" s="180"/>
      <c r="I247" s="180"/>
      <c r="J247" s="211"/>
      <c r="K247" s="180"/>
      <c r="L247" s="212"/>
      <c r="M247" s="180"/>
      <c r="N247" s="180"/>
      <c r="O247" s="180"/>
      <c r="P247" s="123"/>
      <c r="Q247" s="130"/>
      <c r="R247" s="180"/>
      <c r="S247" s="180"/>
      <c r="T247" s="180"/>
      <c r="U247" s="180"/>
      <c r="V247" s="123"/>
      <c r="W247" s="123"/>
      <c r="X247" s="123"/>
      <c r="Y247" s="180"/>
      <c r="Z247" s="180"/>
    </row>
    <row r="248" spans="1:26" ht="45.75" customHeight="1">
      <c r="A248" s="180"/>
      <c r="B248" s="180"/>
      <c r="C248" s="180"/>
      <c r="D248" s="180"/>
      <c r="E248" s="180"/>
      <c r="F248" s="225"/>
      <c r="G248" s="180"/>
      <c r="H248" s="180"/>
      <c r="I248" s="180"/>
      <c r="J248" s="211"/>
      <c r="K248" s="180"/>
      <c r="L248" s="212"/>
      <c r="M248" s="180"/>
      <c r="N248" s="180"/>
      <c r="O248" s="180"/>
      <c r="P248" s="123"/>
      <c r="Q248" s="130"/>
      <c r="R248" s="180"/>
      <c r="S248" s="180"/>
      <c r="T248" s="180"/>
      <c r="U248" s="180"/>
      <c r="V248" s="123"/>
      <c r="W248" s="123"/>
      <c r="X248" s="123"/>
      <c r="Y248" s="180"/>
      <c r="Z248" s="180"/>
    </row>
    <row r="249" spans="1:26" ht="45.75" customHeight="1">
      <c r="A249" s="180"/>
      <c r="B249" s="180"/>
      <c r="C249" s="180"/>
      <c r="D249" s="180"/>
      <c r="E249" s="180"/>
      <c r="F249" s="225"/>
      <c r="G249" s="180"/>
      <c r="H249" s="180"/>
      <c r="I249" s="180"/>
      <c r="J249" s="211"/>
      <c r="K249" s="180"/>
      <c r="L249" s="212"/>
      <c r="M249" s="180"/>
      <c r="N249" s="180"/>
      <c r="O249" s="180"/>
      <c r="P249" s="123"/>
      <c r="Q249" s="130"/>
      <c r="R249" s="180"/>
      <c r="S249" s="180"/>
      <c r="T249" s="180"/>
      <c r="U249" s="180"/>
      <c r="V249" s="123"/>
      <c r="W249" s="123"/>
      <c r="X249" s="123"/>
      <c r="Y249" s="180"/>
      <c r="Z249" s="180"/>
    </row>
    <row r="250" spans="1:26" ht="45.75" customHeight="1">
      <c r="A250" s="180"/>
      <c r="B250" s="180"/>
      <c r="C250" s="180"/>
      <c r="D250" s="180"/>
      <c r="E250" s="180"/>
      <c r="F250" s="225"/>
      <c r="G250" s="180"/>
      <c r="H250" s="180"/>
      <c r="I250" s="180"/>
      <c r="J250" s="211"/>
      <c r="K250" s="180"/>
      <c r="L250" s="212"/>
      <c r="M250" s="180"/>
      <c r="N250" s="180"/>
      <c r="O250" s="180"/>
      <c r="P250" s="123"/>
      <c r="Q250" s="130"/>
      <c r="R250" s="180"/>
      <c r="S250" s="180"/>
      <c r="T250" s="180"/>
      <c r="U250" s="180"/>
      <c r="V250" s="123"/>
      <c r="W250" s="123"/>
      <c r="X250" s="123"/>
      <c r="Y250" s="180"/>
      <c r="Z250" s="180"/>
    </row>
    <row r="251" spans="1:26" ht="45.75" customHeight="1">
      <c r="A251" s="180"/>
      <c r="B251" s="180"/>
      <c r="C251" s="180"/>
      <c r="D251" s="180"/>
      <c r="E251" s="180"/>
      <c r="F251" s="225"/>
      <c r="G251" s="180"/>
      <c r="H251" s="180"/>
      <c r="I251" s="180"/>
      <c r="J251" s="211"/>
      <c r="K251" s="180"/>
      <c r="L251" s="212"/>
      <c r="M251" s="180"/>
      <c r="N251" s="180"/>
      <c r="O251" s="180"/>
      <c r="P251" s="123"/>
      <c r="Q251" s="130"/>
      <c r="R251" s="180"/>
      <c r="S251" s="180"/>
      <c r="T251" s="180"/>
      <c r="U251" s="180"/>
      <c r="V251" s="123"/>
      <c r="W251" s="123"/>
      <c r="X251" s="123"/>
      <c r="Y251" s="180"/>
      <c r="Z251" s="180"/>
    </row>
    <row r="252" spans="1:26" ht="45.75" customHeight="1">
      <c r="A252" s="180"/>
      <c r="B252" s="180"/>
      <c r="C252" s="180"/>
      <c r="D252" s="180"/>
      <c r="E252" s="180"/>
      <c r="F252" s="225"/>
      <c r="G252" s="180"/>
      <c r="H252" s="180"/>
      <c r="I252" s="180"/>
      <c r="J252" s="211"/>
      <c r="K252" s="180"/>
      <c r="L252" s="212"/>
      <c r="M252" s="180"/>
      <c r="N252" s="180"/>
      <c r="O252" s="180"/>
      <c r="P252" s="123"/>
      <c r="Q252" s="130"/>
      <c r="R252" s="180"/>
      <c r="S252" s="180"/>
      <c r="T252" s="180"/>
      <c r="U252" s="180"/>
      <c r="V252" s="123"/>
      <c r="W252" s="123"/>
      <c r="X252" s="123"/>
      <c r="Y252" s="180"/>
      <c r="Z252" s="180"/>
    </row>
    <row r="253" spans="1:26" ht="45.75" customHeight="1">
      <c r="A253" s="180"/>
      <c r="B253" s="180"/>
      <c r="C253" s="180"/>
      <c r="D253" s="180"/>
      <c r="E253" s="180"/>
      <c r="F253" s="225"/>
      <c r="G253" s="180"/>
      <c r="H253" s="180"/>
      <c r="I253" s="180"/>
      <c r="J253" s="211"/>
      <c r="K253" s="180"/>
      <c r="L253" s="212"/>
      <c r="M253" s="180"/>
      <c r="N253" s="180"/>
      <c r="O253" s="180"/>
      <c r="P253" s="123"/>
      <c r="Q253" s="130"/>
      <c r="R253" s="180"/>
      <c r="S253" s="180"/>
      <c r="T253" s="180"/>
      <c r="U253" s="180"/>
      <c r="V253" s="123"/>
      <c r="W253" s="123"/>
      <c r="X253" s="123"/>
      <c r="Y253" s="180"/>
      <c r="Z253" s="180"/>
    </row>
    <row r="254" spans="1:26" ht="45.75" customHeight="1">
      <c r="A254" s="180"/>
      <c r="B254" s="180"/>
      <c r="C254" s="180"/>
      <c r="D254" s="180"/>
      <c r="E254" s="180"/>
      <c r="F254" s="225"/>
      <c r="G254" s="180"/>
      <c r="H254" s="180"/>
      <c r="I254" s="180"/>
      <c r="J254" s="211"/>
      <c r="K254" s="180"/>
      <c r="L254" s="212"/>
      <c r="M254" s="180"/>
      <c r="N254" s="180"/>
      <c r="O254" s="180"/>
      <c r="P254" s="123"/>
      <c r="Q254" s="130"/>
      <c r="R254" s="180"/>
      <c r="S254" s="180"/>
      <c r="T254" s="180"/>
      <c r="U254" s="180"/>
      <c r="V254" s="123"/>
      <c r="W254" s="123"/>
      <c r="X254" s="123"/>
      <c r="Y254" s="180"/>
      <c r="Z254" s="180"/>
    </row>
    <row r="255" spans="1:26" ht="45.75" customHeight="1">
      <c r="A255" s="180"/>
      <c r="B255" s="180"/>
      <c r="C255" s="180"/>
      <c r="D255" s="180"/>
      <c r="E255" s="180"/>
      <c r="F255" s="225"/>
      <c r="G255" s="180"/>
      <c r="H255" s="180"/>
      <c r="I255" s="180"/>
      <c r="J255" s="211"/>
      <c r="K255" s="180"/>
      <c r="L255" s="212"/>
      <c r="M255" s="180"/>
      <c r="N255" s="180"/>
      <c r="O255" s="180"/>
      <c r="P255" s="123"/>
      <c r="Q255" s="130"/>
      <c r="R255" s="180"/>
      <c r="S255" s="180"/>
      <c r="T255" s="180"/>
      <c r="U255" s="180"/>
      <c r="V255" s="123"/>
      <c r="W255" s="123"/>
      <c r="X255" s="123"/>
      <c r="Y255" s="180"/>
      <c r="Z255" s="180"/>
    </row>
    <row r="256" spans="1:26" ht="45.75" customHeight="1">
      <c r="A256" s="180"/>
      <c r="B256" s="180"/>
      <c r="C256" s="180"/>
      <c r="D256" s="180"/>
      <c r="E256" s="180"/>
      <c r="F256" s="225"/>
      <c r="G256" s="180"/>
      <c r="H256" s="180"/>
      <c r="I256" s="180"/>
      <c r="J256" s="211"/>
      <c r="K256" s="180"/>
      <c r="L256" s="212"/>
      <c r="M256" s="180"/>
      <c r="N256" s="180"/>
      <c r="O256" s="180"/>
      <c r="P256" s="123"/>
      <c r="Q256" s="130"/>
      <c r="R256" s="180"/>
      <c r="S256" s="180"/>
      <c r="T256" s="180"/>
      <c r="U256" s="180"/>
      <c r="V256" s="123"/>
      <c r="W256" s="123"/>
      <c r="X256" s="123"/>
      <c r="Y256" s="180"/>
      <c r="Z256" s="180"/>
    </row>
    <row r="257" spans="1:26" ht="45.75" customHeight="1">
      <c r="A257" s="180"/>
      <c r="B257" s="180"/>
      <c r="C257" s="180"/>
      <c r="D257" s="180"/>
      <c r="E257" s="180"/>
      <c r="F257" s="225"/>
      <c r="G257" s="180"/>
      <c r="H257" s="180"/>
      <c r="I257" s="180"/>
      <c r="J257" s="211"/>
      <c r="K257" s="180"/>
      <c r="L257" s="212"/>
      <c r="M257" s="180"/>
      <c r="N257" s="180"/>
      <c r="O257" s="180"/>
      <c r="P257" s="123"/>
      <c r="Q257" s="130"/>
      <c r="R257" s="180"/>
      <c r="S257" s="180"/>
      <c r="T257" s="180"/>
      <c r="U257" s="180"/>
      <c r="V257" s="123"/>
      <c r="W257" s="123"/>
      <c r="X257" s="123"/>
      <c r="Y257" s="180"/>
      <c r="Z257" s="180"/>
    </row>
    <row r="258" spans="1:26" ht="45.75" customHeight="1">
      <c r="A258" s="180"/>
      <c r="B258" s="180"/>
      <c r="C258" s="180"/>
      <c r="D258" s="180"/>
      <c r="E258" s="180"/>
      <c r="F258" s="225"/>
      <c r="G258" s="180"/>
      <c r="H258" s="180"/>
      <c r="I258" s="180"/>
      <c r="J258" s="211"/>
      <c r="K258" s="180"/>
      <c r="L258" s="212"/>
      <c r="M258" s="180"/>
      <c r="N258" s="180"/>
      <c r="O258" s="180"/>
      <c r="P258" s="123"/>
      <c r="Q258" s="130"/>
      <c r="R258" s="180"/>
      <c r="S258" s="180"/>
      <c r="T258" s="180"/>
      <c r="U258" s="180"/>
      <c r="V258" s="123"/>
      <c r="W258" s="123"/>
      <c r="X258" s="123"/>
      <c r="Y258" s="180"/>
      <c r="Z258" s="180"/>
    </row>
    <row r="259" spans="1:26" ht="45.75" customHeight="1">
      <c r="A259" s="180"/>
      <c r="B259" s="180"/>
      <c r="C259" s="180"/>
      <c r="D259" s="180"/>
      <c r="E259" s="180"/>
      <c r="F259" s="225"/>
      <c r="G259" s="180"/>
      <c r="H259" s="180"/>
      <c r="I259" s="180"/>
      <c r="J259" s="211"/>
      <c r="K259" s="180"/>
      <c r="L259" s="212"/>
      <c r="M259" s="180"/>
      <c r="N259" s="180"/>
      <c r="O259" s="180"/>
      <c r="P259" s="123"/>
      <c r="Q259" s="130"/>
      <c r="R259" s="180"/>
      <c r="S259" s="180"/>
      <c r="T259" s="180"/>
      <c r="U259" s="180"/>
      <c r="V259" s="123"/>
      <c r="W259" s="123"/>
      <c r="X259" s="123"/>
      <c r="Y259" s="180"/>
      <c r="Z259" s="180"/>
    </row>
    <row r="260" spans="1:26" ht="45.75" customHeight="1">
      <c r="A260" s="180"/>
      <c r="B260" s="180"/>
      <c r="C260" s="180"/>
      <c r="D260" s="180"/>
      <c r="E260" s="180"/>
      <c r="F260" s="225"/>
      <c r="G260" s="180"/>
      <c r="H260" s="180"/>
      <c r="I260" s="180"/>
      <c r="J260" s="211"/>
      <c r="K260" s="180"/>
      <c r="L260" s="212"/>
      <c r="M260" s="180"/>
      <c r="N260" s="180"/>
      <c r="O260" s="180"/>
      <c r="P260" s="123"/>
      <c r="Q260" s="130"/>
      <c r="R260" s="180"/>
      <c r="S260" s="180"/>
      <c r="T260" s="180"/>
      <c r="U260" s="180"/>
      <c r="V260" s="123"/>
      <c r="W260" s="123"/>
      <c r="X260" s="123"/>
      <c r="Y260" s="180"/>
      <c r="Z260" s="180"/>
    </row>
    <row r="261" spans="1:26" ht="45.75" customHeight="1">
      <c r="A261" s="180"/>
      <c r="B261" s="180"/>
      <c r="C261" s="180"/>
      <c r="D261" s="180"/>
      <c r="E261" s="180"/>
      <c r="F261" s="225"/>
      <c r="G261" s="180"/>
      <c r="H261" s="180"/>
      <c r="I261" s="180"/>
      <c r="J261" s="211"/>
      <c r="K261" s="180"/>
      <c r="L261" s="212"/>
      <c r="M261" s="180"/>
      <c r="N261" s="180"/>
      <c r="O261" s="180"/>
      <c r="P261" s="123"/>
      <c r="Q261" s="130"/>
      <c r="R261" s="180"/>
      <c r="S261" s="180"/>
      <c r="T261" s="180"/>
      <c r="U261" s="180"/>
      <c r="V261" s="123"/>
      <c r="W261" s="123"/>
      <c r="X261" s="123"/>
      <c r="Y261" s="180"/>
      <c r="Z261" s="180"/>
    </row>
    <row r="262" spans="1:26" ht="45.75" customHeight="1">
      <c r="A262" s="180"/>
      <c r="B262" s="180"/>
      <c r="C262" s="180"/>
      <c r="D262" s="180"/>
      <c r="E262" s="180"/>
      <c r="F262" s="225"/>
      <c r="G262" s="180"/>
      <c r="H262" s="180"/>
      <c r="I262" s="180"/>
      <c r="J262" s="211"/>
      <c r="K262" s="180"/>
      <c r="L262" s="212"/>
      <c r="M262" s="180"/>
      <c r="N262" s="180"/>
      <c r="O262" s="180"/>
      <c r="P262" s="123"/>
      <c r="Q262" s="130"/>
      <c r="R262" s="180"/>
      <c r="S262" s="180"/>
      <c r="T262" s="180"/>
      <c r="U262" s="180"/>
      <c r="V262" s="123"/>
      <c r="W262" s="123"/>
      <c r="X262" s="123"/>
      <c r="Y262" s="180"/>
      <c r="Z262" s="180"/>
    </row>
    <row r="263" spans="1:26" ht="45.75" customHeight="1">
      <c r="A263" s="180"/>
      <c r="B263" s="180"/>
      <c r="C263" s="180"/>
      <c r="D263" s="180"/>
      <c r="E263" s="180"/>
      <c r="F263" s="225"/>
      <c r="G263" s="180"/>
      <c r="H263" s="180"/>
      <c r="I263" s="180"/>
      <c r="J263" s="211"/>
      <c r="K263" s="180"/>
      <c r="L263" s="212"/>
      <c r="M263" s="180"/>
      <c r="N263" s="180"/>
      <c r="O263" s="180"/>
      <c r="P263" s="123"/>
      <c r="Q263" s="130"/>
      <c r="R263" s="180"/>
      <c r="S263" s="180"/>
      <c r="T263" s="180"/>
      <c r="U263" s="180"/>
      <c r="V263" s="123"/>
      <c r="W263" s="123"/>
      <c r="X263" s="123"/>
      <c r="Y263" s="180"/>
      <c r="Z263" s="180"/>
    </row>
    <row r="264" spans="1:26" ht="45.75" customHeight="1">
      <c r="A264" s="180"/>
      <c r="B264" s="180"/>
      <c r="C264" s="180"/>
      <c r="D264" s="180"/>
      <c r="E264" s="180"/>
      <c r="F264" s="225"/>
      <c r="G264" s="180"/>
      <c r="H264" s="180"/>
      <c r="I264" s="180"/>
      <c r="J264" s="211"/>
      <c r="K264" s="180"/>
      <c r="L264" s="212"/>
      <c r="M264" s="180"/>
      <c r="N264" s="180"/>
      <c r="O264" s="180"/>
      <c r="P264" s="123"/>
      <c r="Q264" s="130"/>
      <c r="R264" s="180"/>
      <c r="S264" s="180"/>
      <c r="T264" s="180"/>
      <c r="U264" s="180"/>
      <c r="V264" s="123"/>
      <c r="W264" s="123"/>
      <c r="X264" s="123"/>
      <c r="Y264" s="180"/>
      <c r="Z264" s="180"/>
    </row>
    <row r="265" spans="1:26" ht="45.75" customHeight="1">
      <c r="A265" s="180"/>
      <c r="B265" s="180"/>
      <c r="C265" s="180"/>
      <c r="D265" s="180"/>
      <c r="E265" s="180"/>
      <c r="F265" s="225"/>
      <c r="G265" s="180"/>
      <c r="H265" s="180"/>
      <c r="I265" s="180"/>
      <c r="J265" s="211"/>
      <c r="K265" s="180"/>
      <c r="L265" s="212"/>
      <c r="M265" s="180"/>
      <c r="N265" s="180"/>
      <c r="O265" s="180"/>
      <c r="P265" s="123"/>
      <c r="Q265" s="130"/>
      <c r="R265" s="180"/>
      <c r="S265" s="180"/>
      <c r="T265" s="180"/>
      <c r="U265" s="180"/>
      <c r="V265" s="123"/>
      <c r="W265" s="123"/>
      <c r="X265" s="123"/>
      <c r="Y265" s="180"/>
      <c r="Z265" s="180"/>
    </row>
    <row r="266" spans="1:26" ht="45.75" customHeight="1">
      <c r="A266" s="180"/>
      <c r="B266" s="180"/>
      <c r="C266" s="180"/>
      <c r="D266" s="180"/>
      <c r="E266" s="180"/>
      <c r="F266" s="225"/>
      <c r="G266" s="180"/>
      <c r="H266" s="180"/>
      <c r="I266" s="180"/>
      <c r="J266" s="211"/>
      <c r="K266" s="180"/>
      <c r="L266" s="212"/>
      <c r="M266" s="180"/>
      <c r="N266" s="180"/>
      <c r="O266" s="180"/>
      <c r="P266" s="123"/>
      <c r="Q266" s="130"/>
      <c r="R266" s="180"/>
      <c r="S266" s="180"/>
      <c r="T266" s="180"/>
      <c r="U266" s="180"/>
      <c r="V266" s="123"/>
      <c r="W266" s="123"/>
      <c r="X266" s="123"/>
      <c r="Y266" s="180"/>
      <c r="Z266" s="180"/>
    </row>
    <row r="267" spans="1:26" ht="45.75" customHeight="1">
      <c r="A267" s="180"/>
      <c r="B267" s="180"/>
      <c r="C267" s="180"/>
      <c r="D267" s="180"/>
      <c r="E267" s="180"/>
      <c r="F267" s="225"/>
      <c r="G267" s="180"/>
      <c r="H267" s="180"/>
      <c r="I267" s="180"/>
      <c r="J267" s="211"/>
      <c r="K267" s="180"/>
      <c r="L267" s="212"/>
      <c r="M267" s="180"/>
      <c r="N267" s="180"/>
      <c r="O267" s="180"/>
      <c r="P267" s="123"/>
      <c r="Q267" s="130"/>
      <c r="R267" s="180"/>
      <c r="S267" s="180"/>
      <c r="T267" s="180"/>
      <c r="U267" s="180"/>
      <c r="V267" s="123"/>
      <c r="W267" s="123"/>
      <c r="X267" s="123"/>
      <c r="Y267" s="180"/>
      <c r="Z267" s="180"/>
    </row>
    <row r="268" spans="1:26" ht="45.75" customHeight="1">
      <c r="A268" s="180"/>
      <c r="B268" s="180"/>
      <c r="C268" s="180"/>
      <c r="D268" s="180"/>
      <c r="E268" s="180"/>
      <c r="F268" s="225"/>
      <c r="G268" s="180"/>
      <c r="H268" s="180"/>
      <c r="I268" s="180"/>
      <c r="J268" s="211"/>
      <c r="K268" s="180"/>
      <c r="L268" s="212"/>
      <c r="M268" s="180"/>
      <c r="N268" s="180"/>
      <c r="O268" s="180"/>
      <c r="P268" s="123"/>
      <c r="Q268" s="130"/>
      <c r="R268" s="180"/>
      <c r="S268" s="180"/>
      <c r="T268" s="180"/>
      <c r="U268" s="180"/>
      <c r="V268" s="123"/>
      <c r="W268" s="123"/>
      <c r="X268" s="123"/>
      <c r="Y268" s="180"/>
      <c r="Z268" s="180"/>
    </row>
    <row r="269" spans="1:26" ht="45.75" customHeight="1">
      <c r="A269" s="180"/>
      <c r="B269" s="180"/>
      <c r="C269" s="180"/>
      <c r="D269" s="180"/>
      <c r="E269" s="180"/>
      <c r="F269" s="225"/>
      <c r="G269" s="180"/>
      <c r="H269" s="180"/>
      <c r="I269" s="180"/>
      <c r="J269" s="211"/>
      <c r="K269" s="180"/>
      <c r="L269" s="212"/>
      <c r="M269" s="180"/>
      <c r="N269" s="180"/>
      <c r="O269" s="180"/>
      <c r="P269" s="123"/>
      <c r="Q269" s="130"/>
      <c r="R269" s="180"/>
      <c r="S269" s="180"/>
      <c r="T269" s="180"/>
      <c r="U269" s="180"/>
      <c r="V269" s="123"/>
      <c r="W269" s="123"/>
      <c r="X269" s="123"/>
      <c r="Y269" s="180"/>
      <c r="Z269" s="180"/>
    </row>
    <row r="270" spans="1:26" ht="45.75" customHeight="1">
      <c r="A270" s="180"/>
      <c r="B270" s="180"/>
      <c r="C270" s="180"/>
      <c r="D270" s="180"/>
      <c r="E270" s="180"/>
      <c r="F270" s="225"/>
      <c r="G270" s="180"/>
      <c r="H270" s="180"/>
      <c r="I270" s="180"/>
      <c r="J270" s="211"/>
      <c r="K270" s="180"/>
      <c r="L270" s="212"/>
      <c r="M270" s="180"/>
      <c r="N270" s="180"/>
      <c r="O270" s="180"/>
      <c r="P270" s="123"/>
      <c r="Q270" s="130"/>
      <c r="R270" s="180"/>
      <c r="S270" s="180"/>
      <c r="T270" s="180"/>
      <c r="U270" s="180"/>
      <c r="V270" s="123"/>
      <c r="W270" s="123"/>
      <c r="X270" s="123"/>
      <c r="Y270" s="180"/>
      <c r="Z270" s="180"/>
    </row>
    <row r="271" spans="1:26" ht="45.75" customHeight="1">
      <c r="A271" s="180"/>
      <c r="B271" s="180"/>
      <c r="C271" s="180"/>
      <c r="D271" s="180"/>
      <c r="E271" s="180"/>
      <c r="F271" s="225"/>
      <c r="G271" s="180"/>
      <c r="H271" s="180"/>
      <c r="I271" s="180"/>
      <c r="J271" s="211"/>
      <c r="K271" s="180"/>
      <c r="L271" s="212"/>
      <c r="M271" s="180"/>
      <c r="N271" s="180"/>
      <c r="O271" s="180"/>
      <c r="P271" s="123"/>
      <c r="Q271" s="130"/>
      <c r="R271" s="180"/>
      <c r="S271" s="180"/>
      <c r="T271" s="180"/>
      <c r="U271" s="180"/>
      <c r="V271" s="123"/>
      <c r="W271" s="123"/>
      <c r="X271" s="123"/>
      <c r="Y271" s="180"/>
      <c r="Z271" s="180"/>
    </row>
    <row r="272" spans="1:26" ht="45.75" customHeight="1">
      <c r="A272" s="180"/>
      <c r="B272" s="180"/>
      <c r="C272" s="180"/>
      <c r="D272" s="180"/>
      <c r="E272" s="180"/>
      <c r="F272" s="225"/>
      <c r="G272" s="180"/>
      <c r="H272" s="180"/>
      <c r="I272" s="180"/>
      <c r="J272" s="211"/>
      <c r="K272" s="180"/>
      <c r="L272" s="212"/>
      <c r="M272" s="180"/>
      <c r="N272" s="180"/>
      <c r="O272" s="180"/>
      <c r="P272" s="123"/>
      <c r="Q272" s="130"/>
      <c r="R272" s="180"/>
      <c r="S272" s="180"/>
      <c r="T272" s="180"/>
      <c r="U272" s="180"/>
      <c r="V272" s="123"/>
      <c r="W272" s="123"/>
      <c r="X272" s="123"/>
      <c r="Y272" s="180"/>
      <c r="Z272" s="180"/>
    </row>
    <row r="273" spans="1:26" ht="45.75" customHeight="1">
      <c r="A273" s="180"/>
      <c r="B273" s="180"/>
      <c r="C273" s="180"/>
      <c r="D273" s="180"/>
      <c r="E273" s="180"/>
      <c r="F273" s="225"/>
      <c r="G273" s="180"/>
      <c r="H273" s="180"/>
      <c r="I273" s="180"/>
      <c r="J273" s="211"/>
      <c r="K273" s="180"/>
      <c r="L273" s="212"/>
      <c r="M273" s="180"/>
      <c r="N273" s="180"/>
      <c r="O273" s="180"/>
      <c r="P273" s="123"/>
      <c r="Q273" s="130"/>
      <c r="R273" s="180"/>
      <c r="S273" s="180"/>
      <c r="T273" s="180"/>
      <c r="U273" s="180"/>
      <c r="V273" s="123"/>
      <c r="W273" s="123"/>
      <c r="X273" s="123"/>
      <c r="Y273" s="180"/>
      <c r="Z273" s="180"/>
    </row>
    <row r="274" spans="1:26" ht="45.75" customHeight="1">
      <c r="A274" s="180"/>
      <c r="B274" s="180"/>
      <c r="C274" s="180"/>
      <c r="D274" s="180"/>
      <c r="E274" s="180"/>
      <c r="F274" s="225"/>
      <c r="G274" s="180"/>
      <c r="H274" s="180"/>
      <c r="I274" s="180"/>
      <c r="J274" s="211"/>
      <c r="K274" s="180"/>
      <c r="L274" s="212"/>
      <c r="M274" s="180"/>
      <c r="N274" s="180"/>
      <c r="O274" s="180"/>
      <c r="P274" s="123"/>
      <c r="Q274" s="130"/>
      <c r="R274" s="180"/>
      <c r="S274" s="180"/>
      <c r="T274" s="180"/>
      <c r="U274" s="180"/>
      <c r="V274" s="123"/>
      <c r="W274" s="123"/>
      <c r="X274" s="123"/>
      <c r="Y274" s="180"/>
      <c r="Z274" s="180"/>
    </row>
    <row r="275" spans="1:26" ht="45.75" customHeight="1">
      <c r="A275" s="180"/>
      <c r="B275" s="180"/>
      <c r="C275" s="180"/>
      <c r="D275" s="180"/>
      <c r="E275" s="180"/>
      <c r="F275" s="225"/>
      <c r="G275" s="180"/>
      <c r="H275" s="180"/>
      <c r="I275" s="180"/>
      <c r="J275" s="211"/>
      <c r="K275" s="180"/>
      <c r="L275" s="212"/>
      <c r="M275" s="180"/>
      <c r="N275" s="180"/>
      <c r="O275" s="180"/>
      <c r="P275" s="123"/>
      <c r="Q275" s="130"/>
      <c r="R275" s="180"/>
      <c r="S275" s="180"/>
      <c r="T275" s="180"/>
      <c r="U275" s="180"/>
      <c r="V275" s="123"/>
      <c r="W275" s="123"/>
      <c r="X275" s="123"/>
      <c r="Y275" s="180"/>
      <c r="Z275" s="180"/>
    </row>
    <row r="276" spans="1:26" ht="45.75" customHeight="1">
      <c r="A276" s="180"/>
      <c r="B276" s="180"/>
      <c r="C276" s="180"/>
      <c r="D276" s="180"/>
      <c r="E276" s="180"/>
      <c r="F276" s="225"/>
      <c r="G276" s="180"/>
      <c r="H276" s="180"/>
      <c r="I276" s="180"/>
      <c r="J276" s="211"/>
      <c r="K276" s="180"/>
      <c r="L276" s="212"/>
      <c r="M276" s="180"/>
      <c r="N276" s="180"/>
      <c r="O276" s="180"/>
      <c r="P276" s="123"/>
      <c r="Q276" s="130"/>
      <c r="R276" s="180"/>
      <c r="S276" s="180"/>
      <c r="T276" s="180"/>
      <c r="U276" s="180"/>
      <c r="V276" s="123"/>
      <c r="W276" s="123"/>
      <c r="X276" s="123"/>
      <c r="Y276" s="180"/>
      <c r="Z276" s="180"/>
    </row>
    <row r="277" spans="1:26" ht="45.75" customHeight="1">
      <c r="A277" s="180"/>
      <c r="B277" s="180"/>
      <c r="C277" s="180"/>
      <c r="D277" s="180"/>
      <c r="E277" s="180"/>
      <c r="F277" s="225"/>
      <c r="G277" s="180"/>
      <c r="H277" s="180"/>
      <c r="I277" s="180"/>
      <c r="J277" s="211"/>
      <c r="K277" s="180"/>
      <c r="L277" s="212"/>
      <c r="M277" s="180"/>
      <c r="N277" s="180"/>
      <c r="O277" s="180"/>
      <c r="P277" s="123"/>
      <c r="Q277" s="130"/>
      <c r="R277" s="180"/>
      <c r="S277" s="180"/>
      <c r="T277" s="180"/>
      <c r="U277" s="180"/>
      <c r="V277" s="123"/>
      <c r="W277" s="123"/>
      <c r="X277" s="123"/>
      <c r="Y277" s="180"/>
      <c r="Z277" s="180"/>
    </row>
    <row r="278" spans="1:26" ht="45.75" customHeight="1">
      <c r="A278" s="180"/>
      <c r="B278" s="180"/>
      <c r="C278" s="180"/>
      <c r="D278" s="180"/>
      <c r="E278" s="180"/>
      <c r="F278" s="225"/>
      <c r="G278" s="180"/>
      <c r="H278" s="180"/>
      <c r="I278" s="180"/>
      <c r="J278" s="211"/>
      <c r="K278" s="180"/>
      <c r="L278" s="212"/>
      <c r="M278" s="180"/>
      <c r="N278" s="180"/>
      <c r="O278" s="180"/>
      <c r="P278" s="123"/>
      <c r="Q278" s="130"/>
      <c r="R278" s="180"/>
      <c r="S278" s="180"/>
      <c r="T278" s="180"/>
      <c r="U278" s="180"/>
      <c r="V278" s="123"/>
      <c r="W278" s="123"/>
      <c r="X278" s="123"/>
      <c r="Y278" s="180"/>
      <c r="Z278" s="180"/>
    </row>
    <row r="279" spans="1:26" ht="45.75" customHeight="1">
      <c r="A279" s="180"/>
      <c r="B279" s="180"/>
      <c r="C279" s="180"/>
      <c r="D279" s="180"/>
      <c r="E279" s="180"/>
      <c r="F279" s="225"/>
      <c r="G279" s="180"/>
      <c r="H279" s="180"/>
      <c r="I279" s="180"/>
      <c r="J279" s="211"/>
      <c r="K279" s="180"/>
      <c r="L279" s="212"/>
      <c r="M279" s="180"/>
      <c r="N279" s="180"/>
      <c r="O279" s="180"/>
      <c r="P279" s="123"/>
      <c r="Q279" s="130"/>
      <c r="R279" s="180"/>
      <c r="S279" s="180"/>
      <c r="T279" s="180"/>
      <c r="U279" s="180"/>
      <c r="V279" s="123"/>
      <c r="W279" s="123"/>
      <c r="X279" s="123"/>
      <c r="Y279" s="180"/>
      <c r="Z279" s="180"/>
    </row>
    <row r="280" spans="1:26" ht="45.75" customHeight="1">
      <c r="A280" s="180"/>
      <c r="B280" s="180"/>
      <c r="C280" s="180"/>
      <c r="D280" s="180"/>
      <c r="E280" s="180"/>
      <c r="F280" s="225"/>
      <c r="G280" s="180"/>
      <c r="H280" s="180"/>
      <c r="I280" s="180"/>
      <c r="J280" s="211"/>
      <c r="K280" s="180"/>
      <c r="L280" s="212"/>
      <c r="M280" s="180"/>
      <c r="N280" s="180"/>
      <c r="O280" s="180"/>
      <c r="P280" s="123"/>
      <c r="Q280" s="130"/>
      <c r="R280" s="180"/>
      <c r="S280" s="180"/>
      <c r="T280" s="180"/>
      <c r="U280" s="180"/>
      <c r="V280" s="123"/>
      <c r="W280" s="123"/>
      <c r="X280" s="123"/>
      <c r="Y280" s="180"/>
      <c r="Z280" s="180"/>
    </row>
    <row r="281" spans="1:26" ht="45.75" customHeight="1">
      <c r="A281" s="180"/>
      <c r="B281" s="180"/>
      <c r="C281" s="180"/>
      <c r="D281" s="180"/>
      <c r="E281" s="180"/>
      <c r="F281" s="225"/>
      <c r="G281" s="180"/>
      <c r="H281" s="180"/>
      <c r="I281" s="180"/>
      <c r="J281" s="211"/>
      <c r="K281" s="180"/>
      <c r="L281" s="212"/>
      <c r="M281" s="180"/>
      <c r="N281" s="180"/>
      <c r="O281" s="180"/>
      <c r="P281" s="123"/>
      <c r="Q281" s="130"/>
      <c r="R281" s="180"/>
      <c r="S281" s="180"/>
      <c r="T281" s="180"/>
      <c r="U281" s="180"/>
      <c r="V281" s="123"/>
      <c r="W281" s="123"/>
      <c r="X281" s="123"/>
      <c r="Y281" s="180"/>
      <c r="Z281" s="180"/>
    </row>
    <row r="282" spans="1:26" ht="45.75" customHeight="1">
      <c r="A282" s="180"/>
      <c r="B282" s="180"/>
      <c r="C282" s="180"/>
      <c r="D282" s="180"/>
      <c r="E282" s="180"/>
      <c r="F282" s="225"/>
      <c r="G282" s="180"/>
      <c r="H282" s="180"/>
      <c r="I282" s="180"/>
      <c r="J282" s="211"/>
      <c r="K282" s="180"/>
      <c r="L282" s="212"/>
      <c r="M282" s="180"/>
      <c r="N282" s="180"/>
      <c r="O282" s="180"/>
      <c r="P282" s="123"/>
      <c r="Q282" s="130"/>
      <c r="R282" s="180"/>
      <c r="S282" s="180"/>
      <c r="T282" s="180"/>
      <c r="U282" s="180"/>
      <c r="V282" s="123"/>
      <c r="W282" s="123"/>
      <c r="X282" s="123"/>
      <c r="Y282" s="180"/>
      <c r="Z282" s="180"/>
    </row>
    <row r="283" spans="1:26" ht="45.75" customHeight="1">
      <c r="A283" s="180"/>
      <c r="B283" s="180"/>
      <c r="C283" s="180"/>
      <c r="D283" s="180"/>
      <c r="E283" s="180"/>
      <c r="F283" s="225"/>
      <c r="G283" s="180"/>
      <c r="H283" s="180"/>
      <c r="I283" s="180"/>
      <c r="J283" s="211"/>
      <c r="K283" s="180"/>
      <c r="L283" s="212"/>
      <c r="M283" s="180"/>
      <c r="N283" s="180"/>
      <c r="O283" s="180"/>
      <c r="P283" s="123"/>
      <c r="Q283" s="130"/>
      <c r="R283" s="180"/>
      <c r="S283" s="180"/>
      <c r="T283" s="180"/>
      <c r="U283" s="180"/>
      <c r="V283" s="123"/>
      <c r="W283" s="123"/>
      <c r="X283" s="123"/>
      <c r="Y283" s="180"/>
      <c r="Z283" s="180"/>
    </row>
    <row r="284" spans="1:26" ht="45.75" customHeight="1">
      <c r="A284" s="180"/>
      <c r="B284" s="180"/>
      <c r="C284" s="180"/>
      <c r="D284" s="180"/>
      <c r="E284" s="180"/>
      <c r="F284" s="225"/>
      <c r="G284" s="180"/>
      <c r="H284" s="180"/>
      <c r="I284" s="180"/>
      <c r="J284" s="211"/>
      <c r="K284" s="180"/>
      <c r="L284" s="212"/>
      <c r="M284" s="180"/>
      <c r="N284" s="180"/>
      <c r="O284" s="180"/>
      <c r="P284" s="123"/>
      <c r="Q284" s="130"/>
      <c r="R284" s="180"/>
      <c r="S284" s="180"/>
      <c r="T284" s="180"/>
      <c r="U284" s="180"/>
      <c r="V284" s="123"/>
      <c r="W284" s="123"/>
      <c r="X284" s="123"/>
      <c r="Y284" s="180"/>
      <c r="Z284" s="180"/>
    </row>
    <row r="285" spans="1:26" ht="45.75" customHeight="1">
      <c r="A285" s="180"/>
      <c r="B285" s="180"/>
      <c r="C285" s="180"/>
      <c r="D285" s="180"/>
      <c r="E285" s="180"/>
      <c r="F285" s="225"/>
      <c r="G285" s="180"/>
      <c r="H285" s="180"/>
      <c r="I285" s="180"/>
      <c r="J285" s="211"/>
      <c r="K285" s="180"/>
      <c r="L285" s="212"/>
      <c r="M285" s="180"/>
      <c r="N285" s="180"/>
      <c r="O285" s="180"/>
      <c r="P285" s="123"/>
      <c r="Q285" s="130"/>
      <c r="R285" s="180"/>
      <c r="S285" s="180"/>
      <c r="T285" s="180"/>
      <c r="U285" s="180"/>
      <c r="V285" s="123"/>
      <c r="W285" s="123"/>
      <c r="X285" s="123"/>
      <c r="Y285" s="180"/>
      <c r="Z285" s="180"/>
    </row>
    <row r="286" spans="1:26" ht="45.75" customHeight="1">
      <c r="A286" s="180"/>
      <c r="B286" s="180"/>
      <c r="C286" s="180"/>
      <c r="D286" s="180"/>
      <c r="E286" s="180"/>
      <c r="F286" s="225"/>
      <c r="G286" s="180"/>
      <c r="H286" s="180"/>
      <c r="I286" s="180"/>
      <c r="J286" s="211"/>
      <c r="K286" s="180"/>
      <c r="L286" s="212"/>
      <c r="M286" s="180"/>
      <c r="N286" s="180"/>
      <c r="O286" s="180"/>
      <c r="P286" s="123"/>
      <c r="Q286" s="130"/>
      <c r="R286" s="180"/>
      <c r="S286" s="180"/>
      <c r="T286" s="180"/>
      <c r="U286" s="180"/>
      <c r="V286" s="123"/>
      <c r="W286" s="123"/>
      <c r="X286" s="123"/>
      <c r="Y286" s="180"/>
      <c r="Z286" s="180"/>
    </row>
    <row r="287" spans="1:26" ht="45.75" customHeight="1">
      <c r="A287" s="180"/>
      <c r="B287" s="180"/>
      <c r="C287" s="180"/>
      <c r="D287" s="180"/>
      <c r="E287" s="180"/>
      <c r="F287" s="225"/>
      <c r="G287" s="180"/>
      <c r="H287" s="180"/>
      <c r="I287" s="180"/>
      <c r="J287" s="211"/>
      <c r="K287" s="180"/>
      <c r="L287" s="212"/>
      <c r="M287" s="180"/>
      <c r="N287" s="180"/>
      <c r="O287" s="180"/>
      <c r="P287" s="123"/>
      <c r="Q287" s="130"/>
      <c r="R287" s="180"/>
      <c r="S287" s="180"/>
      <c r="T287" s="180"/>
      <c r="U287" s="180"/>
      <c r="V287" s="123"/>
      <c r="W287" s="123"/>
      <c r="X287" s="123"/>
      <c r="Y287" s="180"/>
      <c r="Z287" s="180"/>
    </row>
    <row r="288" spans="1:26" ht="45.75" customHeight="1">
      <c r="A288" s="180"/>
      <c r="B288" s="180"/>
      <c r="C288" s="180"/>
      <c r="D288" s="180"/>
      <c r="E288" s="180"/>
      <c r="F288" s="225"/>
      <c r="G288" s="180"/>
      <c r="H288" s="180"/>
      <c r="I288" s="180"/>
      <c r="J288" s="211"/>
      <c r="K288" s="180"/>
      <c r="L288" s="212"/>
      <c r="M288" s="180"/>
      <c r="N288" s="180"/>
      <c r="O288" s="180"/>
      <c r="P288" s="123"/>
      <c r="Q288" s="130"/>
      <c r="R288" s="180"/>
      <c r="S288" s="180"/>
      <c r="T288" s="180"/>
      <c r="U288" s="180"/>
      <c r="V288" s="123"/>
      <c r="W288" s="123"/>
      <c r="X288" s="123"/>
      <c r="Y288" s="180"/>
      <c r="Z288" s="180"/>
    </row>
    <row r="289" spans="1:26" ht="45.75" customHeight="1">
      <c r="A289" s="180"/>
      <c r="B289" s="180"/>
      <c r="C289" s="180"/>
      <c r="D289" s="180"/>
      <c r="E289" s="180"/>
      <c r="F289" s="225"/>
      <c r="G289" s="180"/>
      <c r="H289" s="180"/>
      <c r="I289" s="180"/>
      <c r="J289" s="211"/>
      <c r="K289" s="180"/>
      <c r="L289" s="212"/>
      <c r="M289" s="180"/>
      <c r="N289" s="180"/>
      <c r="O289" s="180"/>
      <c r="P289" s="123"/>
      <c r="Q289" s="130"/>
      <c r="R289" s="180"/>
      <c r="S289" s="180"/>
      <c r="T289" s="180"/>
      <c r="U289" s="180"/>
      <c r="V289" s="123"/>
      <c r="W289" s="123"/>
      <c r="X289" s="123"/>
      <c r="Y289" s="180"/>
      <c r="Z289" s="180"/>
    </row>
    <row r="290" spans="1:26" ht="45.75" customHeight="1">
      <c r="A290" s="180"/>
      <c r="B290" s="180"/>
      <c r="C290" s="180"/>
      <c r="D290" s="180"/>
      <c r="E290" s="180"/>
      <c r="F290" s="225"/>
      <c r="G290" s="180"/>
      <c r="H290" s="180"/>
      <c r="I290" s="180"/>
      <c r="J290" s="211"/>
      <c r="K290" s="180"/>
      <c r="L290" s="212"/>
      <c r="M290" s="180"/>
      <c r="N290" s="180"/>
      <c r="O290" s="180"/>
      <c r="P290" s="123"/>
      <c r="Q290" s="130"/>
      <c r="R290" s="180"/>
      <c r="S290" s="180"/>
      <c r="T290" s="180"/>
      <c r="U290" s="180"/>
      <c r="V290" s="123"/>
      <c r="W290" s="123"/>
      <c r="X290" s="123"/>
      <c r="Y290" s="180"/>
      <c r="Z290" s="180"/>
    </row>
    <row r="291" spans="1:26" ht="45.75" customHeight="1">
      <c r="A291" s="180"/>
      <c r="B291" s="180"/>
      <c r="C291" s="180"/>
      <c r="D291" s="180"/>
      <c r="E291" s="180"/>
      <c r="F291" s="225"/>
      <c r="G291" s="180"/>
      <c r="H291" s="180"/>
      <c r="I291" s="180"/>
      <c r="J291" s="211"/>
      <c r="K291" s="180"/>
      <c r="L291" s="212"/>
      <c r="M291" s="180"/>
      <c r="N291" s="180"/>
      <c r="O291" s="180"/>
      <c r="P291" s="123"/>
      <c r="Q291" s="130"/>
      <c r="R291" s="180"/>
      <c r="S291" s="180"/>
      <c r="T291" s="180"/>
      <c r="U291" s="180"/>
      <c r="V291" s="123"/>
      <c r="W291" s="123"/>
      <c r="X291" s="123"/>
      <c r="Y291" s="180"/>
      <c r="Z291" s="180"/>
    </row>
    <row r="292" spans="1:26" ht="45.75" customHeight="1">
      <c r="A292" s="180"/>
      <c r="B292" s="180"/>
      <c r="C292" s="180"/>
      <c r="D292" s="180"/>
      <c r="E292" s="180"/>
      <c r="F292" s="225"/>
      <c r="G292" s="180"/>
      <c r="H292" s="180"/>
      <c r="I292" s="180"/>
      <c r="J292" s="211"/>
      <c r="K292" s="180"/>
      <c r="L292" s="212"/>
      <c r="M292" s="180"/>
      <c r="N292" s="180"/>
      <c r="O292" s="180"/>
      <c r="P292" s="123"/>
      <c r="Q292" s="130"/>
      <c r="R292" s="180"/>
      <c r="S292" s="180"/>
      <c r="T292" s="180"/>
      <c r="U292" s="180"/>
      <c r="V292" s="123"/>
      <c r="W292" s="123"/>
      <c r="X292" s="123"/>
      <c r="Y292" s="180"/>
      <c r="Z292" s="180"/>
    </row>
    <row r="293" spans="1:26" ht="45.75" customHeight="1">
      <c r="A293" s="180"/>
      <c r="B293" s="180"/>
      <c r="C293" s="180"/>
      <c r="D293" s="180"/>
      <c r="E293" s="180"/>
      <c r="F293" s="225"/>
      <c r="G293" s="180"/>
      <c r="H293" s="180"/>
      <c r="I293" s="180"/>
      <c r="J293" s="211"/>
      <c r="K293" s="180"/>
      <c r="L293" s="212"/>
      <c r="M293" s="180"/>
      <c r="N293" s="180"/>
      <c r="O293" s="180"/>
      <c r="P293" s="123"/>
      <c r="Q293" s="130"/>
      <c r="R293" s="180"/>
      <c r="S293" s="180"/>
      <c r="T293" s="180"/>
      <c r="U293" s="180"/>
      <c r="V293" s="123"/>
      <c r="W293" s="123"/>
      <c r="X293" s="123"/>
      <c r="Y293" s="180"/>
      <c r="Z293" s="180"/>
    </row>
    <row r="294" spans="1:26" ht="45.75" customHeight="1">
      <c r="A294" s="180"/>
      <c r="B294" s="180"/>
      <c r="C294" s="180"/>
      <c r="D294" s="180"/>
      <c r="E294" s="180"/>
      <c r="F294" s="225"/>
      <c r="G294" s="180"/>
      <c r="H294" s="180"/>
      <c r="I294" s="180"/>
      <c r="J294" s="211"/>
      <c r="K294" s="180"/>
      <c r="L294" s="212"/>
      <c r="M294" s="180"/>
      <c r="N294" s="180"/>
      <c r="O294" s="180"/>
      <c r="P294" s="123"/>
      <c r="Q294" s="130"/>
      <c r="R294" s="180"/>
      <c r="S294" s="180"/>
      <c r="T294" s="180"/>
      <c r="U294" s="180"/>
      <c r="V294" s="123"/>
      <c r="W294" s="123"/>
      <c r="X294" s="123"/>
      <c r="Y294" s="180"/>
      <c r="Z294" s="180"/>
    </row>
    <row r="295" spans="1:26" ht="45.75" customHeight="1">
      <c r="A295" s="180"/>
      <c r="B295" s="180"/>
      <c r="C295" s="180"/>
      <c r="D295" s="180"/>
      <c r="E295" s="180"/>
      <c r="F295" s="225"/>
      <c r="G295" s="180"/>
      <c r="H295" s="180"/>
      <c r="I295" s="180"/>
      <c r="J295" s="211"/>
      <c r="K295" s="180"/>
      <c r="L295" s="212"/>
      <c r="M295" s="180"/>
      <c r="N295" s="180"/>
      <c r="O295" s="180"/>
      <c r="P295" s="123"/>
      <c r="Q295" s="130"/>
      <c r="R295" s="180"/>
      <c r="S295" s="180"/>
      <c r="T295" s="180"/>
      <c r="U295" s="180"/>
      <c r="V295" s="123"/>
      <c r="W295" s="123"/>
      <c r="X295" s="123"/>
      <c r="Y295" s="180"/>
      <c r="Z295" s="180"/>
    </row>
    <row r="296" spans="1:26" ht="45.75" customHeight="1">
      <c r="A296" s="180"/>
      <c r="B296" s="180"/>
      <c r="C296" s="180"/>
      <c r="D296" s="180"/>
      <c r="E296" s="180"/>
      <c r="F296" s="225"/>
      <c r="G296" s="180"/>
      <c r="H296" s="180"/>
      <c r="I296" s="180"/>
      <c r="J296" s="211"/>
      <c r="K296" s="180"/>
      <c r="L296" s="212"/>
      <c r="M296" s="180"/>
      <c r="N296" s="180"/>
      <c r="O296" s="180"/>
      <c r="P296" s="123"/>
      <c r="Q296" s="130"/>
      <c r="R296" s="180"/>
      <c r="S296" s="180"/>
      <c r="T296" s="180"/>
      <c r="U296" s="180"/>
      <c r="V296" s="123"/>
      <c r="W296" s="123"/>
      <c r="X296" s="123"/>
      <c r="Y296" s="180"/>
      <c r="Z296" s="180"/>
    </row>
    <row r="297" spans="1:26" ht="45.75" customHeight="1">
      <c r="A297" s="180"/>
      <c r="B297" s="180"/>
      <c r="C297" s="180"/>
      <c r="D297" s="180"/>
      <c r="E297" s="180"/>
      <c r="F297" s="225"/>
      <c r="G297" s="180"/>
      <c r="H297" s="180"/>
      <c r="I297" s="180"/>
      <c r="J297" s="211"/>
      <c r="K297" s="180"/>
      <c r="L297" s="212"/>
      <c r="M297" s="180"/>
      <c r="N297" s="180"/>
      <c r="O297" s="180"/>
      <c r="P297" s="123"/>
      <c r="Q297" s="130"/>
      <c r="R297" s="180"/>
      <c r="S297" s="180"/>
      <c r="T297" s="180"/>
      <c r="U297" s="180"/>
      <c r="V297" s="123"/>
      <c r="W297" s="123"/>
      <c r="X297" s="123"/>
      <c r="Y297" s="180"/>
      <c r="Z297" s="180"/>
    </row>
    <row r="298" spans="1:26" ht="45.75" customHeight="1">
      <c r="A298" s="180"/>
      <c r="B298" s="180"/>
      <c r="C298" s="180"/>
      <c r="D298" s="180"/>
      <c r="E298" s="180"/>
      <c r="F298" s="225"/>
      <c r="G298" s="180"/>
      <c r="H298" s="180"/>
      <c r="I298" s="180"/>
      <c r="J298" s="211"/>
      <c r="K298" s="180"/>
      <c r="L298" s="212"/>
      <c r="M298" s="180"/>
      <c r="N298" s="180"/>
      <c r="O298" s="180"/>
      <c r="P298" s="123"/>
      <c r="Q298" s="130"/>
      <c r="R298" s="180"/>
      <c r="S298" s="180"/>
      <c r="T298" s="180"/>
      <c r="U298" s="180"/>
      <c r="V298" s="123"/>
      <c r="W298" s="123"/>
      <c r="X298" s="123"/>
      <c r="Y298" s="180"/>
      <c r="Z298" s="180"/>
    </row>
    <row r="299" spans="1:26" ht="45.75" customHeight="1">
      <c r="A299" s="180"/>
      <c r="B299" s="180"/>
      <c r="C299" s="180"/>
      <c r="D299" s="180"/>
      <c r="E299" s="180"/>
      <c r="F299" s="225"/>
      <c r="G299" s="180"/>
      <c r="H299" s="180"/>
      <c r="I299" s="180"/>
      <c r="J299" s="211"/>
      <c r="K299" s="180"/>
      <c r="L299" s="212"/>
      <c r="M299" s="180"/>
      <c r="N299" s="180"/>
      <c r="O299" s="180"/>
      <c r="P299" s="123"/>
      <c r="Q299" s="130"/>
      <c r="R299" s="180"/>
      <c r="S299" s="180"/>
      <c r="T299" s="180"/>
      <c r="U299" s="180"/>
      <c r="V299" s="123"/>
      <c r="W299" s="123"/>
      <c r="X299" s="123"/>
      <c r="Y299" s="180"/>
      <c r="Z299" s="180"/>
    </row>
    <row r="300" spans="1:26" ht="45.75" customHeight="1">
      <c r="A300" s="180"/>
      <c r="B300" s="180"/>
      <c r="C300" s="180"/>
      <c r="D300" s="180"/>
      <c r="E300" s="180"/>
      <c r="F300" s="225"/>
      <c r="G300" s="180"/>
      <c r="H300" s="180"/>
      <c r="I300" s="180"/>
      <c r="J300" s="211"/>
      <c r="K300" s="180"/>
      <c r="L300" s="212"/>
      <c r="M300" s="180"/>
      <c r="N300" s="180"/>
      <c r="O300" s="180"/>
      <c r="P300" s="123"/>
      <c r="Q300" s="130"/>
      <c r="R300" s="180"/>
      <c r="S300" s="180"/>
      <c r="T300" s="180"/>
      <c r="U300" s="180"/>
      <c r="V300" s="123"/>
      <c r="W300" s="123"/>
      <c r="X300" s="123"/>
      <c r="Y300" s="180"/>
      <c r="Z300" s="180"/>
    </row>
    <row r="301" spans="1:26" ht="45.75" customHeight="1">
      <c r="A301" s="180"/>
      <c r="B301" s="180"/>
      <c r="C301" s="180"/>
      <c r="D301" s="180"/>
      <c r="E301" s="180"/>
      <c r="F301" s="225"/>
      <c r="G301" s="180"/>
      <c r="H301" s="180"/>
      <c r="I301" s="180"/>
      <c r="J301" s="211"/>
      <c r="K301" s="180"/>
      <c r="L301" s="212"/>
      <c r="M301" s="180"/>
      <c r="N301" s="180"/>
      <c r="O301" s="180"/>
      <c r="P301" s="123"/>
      <c r="Q301" s="130"/>
      <c r="R301" s="180"/>
      <c r="S301" s="180"/>
      <c r="T301" s="180"/>
      <c r="U301" s="180"/>
      <c r="V301" s="123"/>
      <c r="W301" s="123"/>
      <c r="X301" s="123"/>
      <c r="Y301" s="180"/>
      <c r="Z301" s="180"/>
    </row>
    <row r="302" spans="1:26" ht="45.75" customHeight="1">
      <c r="A302" s="180"/>
      <c r="B302" s="180"/>
      <c r="C302" s="180"/>
      <c r="D302" s="180"/>
      <c r="E302" s="180"/>
      <c r="F302" s="225"/>
      <c r="G302" s="180"/>
      <c r="H302" s="180"/>
      <c r="I302" s="180"/>
      <c r="J302" s="211"/>
      <c r="K302" s="180"/>
      <c r="L302" s="212"/>
      <c r="M302" s="180"/>
      <c r="N302" s="180"/>
      <c r="O302" s="180"/>
      <c r="P302" s="123"/>
      <c r="Q302" s="130"/>
      <c r="R302" s="180"/>
      <c r="S302" s="180"/>
      <c r="T302" s="180"/>
      <c r="U302" s="180"/>
      <c r="V302" s="123"/>
      <c r="W302" s="123"/>
      <c r="X302" s="123"/>
      <c r="Y302" s="180"/>
      <c r="Z302" s="180"/>
    </row>
    <row r="303" spans="1:26" ht="45.75" customHeight="1">
      <c r="A303" s="180"/>
      <c r="B303" s="180"/>
      <c r="C303" s="180"/>
      <c r="D303" s="180"/>
      <c r="E303" s="180"/>
      <c r="F303" s="225"/>
      <c r="G303" s="180"/>
      <c r="H303" s="180"/>
      <c r="I303" s="180"/>
      <c r="J303" s="211"/>
      <c r="K303" s="180"/>
      <c r="L303" s="212"/>
      <c r="M303" s="180"/>
      <c r="N303" s="180"/>
      <c r="O303" s="180"/>
      <c r="P303" s="123"/>
      <c r="Q303" s="130"/>
      <c r="R303" s="180"/>
      <c r="S303" s="180"/>
      <c r="T303" s="180"/>
      <c r="U303" s="180"/>
      <c r="V303" s="123"/>
      <c r="W303" s="123"/>
      <c r="X303" s="123"/>
      <c r="Y303" s="180"/>
      <c r="Z303" s="180"/>
    </row>
    <row r="304" spans="1:26" ht="45.75" customHeight="1">
      <c r="A304" s="180"/>
      <c r="B304" s="180"/>
      <c r="C304" s="180"/>
      <c r="D304" s="180"/>
      <c r="E304" s="180"/>
      <c r="F304" s="225"/>
      <c r="G304" s="180"/>
      <c r="H304" s="180"/>
      <c r="I304" s="180"/>
      <c r="J304" s="211"/>
      <c r="K304" s="180"/>
      <c r="L304" s="212"/>
      <c r="M304" s="180"/>
      <c r="N304" s="180"/>
      <c r="O304" s="180"/>
      <c r="P304" s="123"/>
      <c r="Q304" s="130"/>
      <c r="R304" s="180"/>
      <c r="S304" s="180"/>
      <c r="T304" s="180"/>
      <c r="U304" s="180"/>
      <c r="V304" s="123"/>
      <c r="W304" s="123"/>
      <c r="X304" s="123"/>
      <c r="Y304" s="180"/>
      <c r="Z304" s="180"/>
    </row>
    <row r="305" spans="1:26" ht="45.75" customHeight="1">
      <c r="A305" s="180"/>
      <c r="B305" s="180"/>
      <c r="C305" s="180"/>
      <c r="D305" s="180"/>
      <c r="E305" s="180"/>
      <c r="F305" s="225"/>
      <c r="G305" s="180"/>
      <c r="H305" s="180"/>
      <c r="I305" s="180"/>
      <c r="J305" s="211"/>
      <c r="K305" s="180"/>
      <c r="L305" s="212"/>
      <c r="M305" s="180"/>
      <c r="N305" s="180"/>
      <c r="O305" s="180"/>
      <c r="P305" s="123"/>
      <c r="Q305" s="130"/>
      <c r="R305" s="180"/>
      <c r="S305" s="180"/>
      <c r="T305" s="180"/>
      <c r="U305" s="180"/>
      <c r="V305" s="123"/>
      <c r="W305" s="123"/>
      <c r="X305" s="123"/>
      <c r="Y305" s="180"/>
      <c r="Z305" s="180"/>
    </row>
    <row r="306" spans="1:26" ht="45.75" customHeight="1">
      <c r="A306" s="180"/>
      <c r="B306" s="180"/>
      <c r="C306" s="180"/>
      <c r="D306" s="180"/>
      <c r="E306" s="180"/>
      <c r="F306" s="225"/>
      <c r="G306" s="180"/>
      <c r="H306" s="180"/>
      <c r="I306" s="180"/>
      <c r="J306" s="211"/>
      <c r="K306" s="180"/>
      <c r="L306" s="212"/>
      <c r="M306" s="180"/>
      <c r="N306" s="180"/>
      <c r="O306" s="180"/>
      <c r="P306" s="123"/>
      <c r="Q306" s="130"/>
      <c r="R306" s="180"/>
      <c r="S306" s="180"/>
      <c r="T306" s="180"/>
      <c r="U306" s="180"/>
      <c r="V306" s="123"/>
      <c r="W306" s="123"/>
      <c r="X306" s="123"/>
      <c r="Y306" s="180"/>
      <c r="Z306" s="180"/>
    </row>
    <row r="307" spans="1:26" ht="45.75" customHeight="1">
      <c r="A307" s="180"/>
      <c r="B307" s="180"/>
      <c r="C307" s="180"/>
      <c r="D307" s="180"/>
      <c r="E307" s="180"/>
      <c r="F307" s="225"/>
      <c r="G307" s="180"/>
      <c r="H307" s="180"/>
      <c r="I307" s="180"/>
      <c r="J307" s="211"/>
      <c r="K307" s="180"/>
      <c r="L307" s="212"/>
      <c r="M307" s="180"/>
      <c r="N307" s="180"/>
      <c r="O307" s="180"/>
      <c r="P307" s="123"/>
      <c r="Q307" s="130"/>
      <c r="R307" s="180"/>
      <c r="S307" s="180"/>
      <c r="T307" s="180"/>
      <c r="U307" s="180"/>
      <c r="V307" s="123"/>
      <c r="W307" s="123"/>
      <c r="X307" s="123"/>
      <c r="Y307" s="180"/>
      <c r="Z307" s="180"/>
    </row>
    <row r="308" spans="1:26" ht="45.75" customHeight="1">
      <c r="A308" s="180"/>
      <c r="B308" s="180"/>
      <c r="C308" s="180"/>
      <c r="D308" s="180"/>
      <c r="E308" s="180"/>
      <c r="F308" s="225"/>
      <c r="G308" s="180"/>
      <c r="H308" s="180"/>
      <c r="I308" s="180"/>
      <c r="J308" s="211"/>
      <c r="K308" s="180"/>
      <c r="L308" s="212"/>
      <c r="M308" s="180"/>
      <c r="N308" s="180"/>
      <c r="O308" s="180"/>
      <c r="P308" s="123"/>
      <c r="Q308" s="130"/>
      <c r="R308" s="180"/>
      <c r="S308" s="180"/>
      <c r="T308" s="180"/>
      <c r="U308" s="180"/>
      <c r="V308" s="123"/>
      <c r="W308" s="123"/>
      <c r="X308" s="123"/>
      <c r="Y308" s="180"/>
      <c r="Z308" s="180"/>
    </row>
    <row r="309" spans="1:26" ht="45.75" customHeight="1">
      <c r="A309" s="180"/>
      <c r="B309" s="180"/>
      <c r="C309" s="180"/>
      <c r="D309" s="180"/>
      <c r="E309" s="180"/>
      <c r="F309" s="225"/>
      <c r="G309" s="180"/>
      <c r="H309" s="180"/>
      <c r="I309" s="180"/>
      <c r="J309" s="211"/>
      <c r="K309" s="180"/>
      <c r="L309" s="212"/>
      <c r="M309" s="180"/>
      <c r="N309" s="180"/>
      <c r="O309" s="180"/>
      <c r="P309" s="123"/>
      <c r="Q309" s="130"/>
      <c r="R309" s="180"/>
      <c r="S309" s="180"/>
      <c r="T309" s="180"/>
      <c r="U309" s="180"/>
      <c r="V309" s="123"/>
      <c r="W309" s="123"/>
      <c r="X309" s="123"/>
      <c r="Y309" s="180"/>
      <c r="Z309" s="180"/>
    </row>
    <row r="310" spans="1:26" ht="45.75" customHeight="1">
      <c r="A310" s="180"/>
      <c r="B310" s="180"/>
      <c r="C310" s="180"/>
      <c r="D310" s="180"/>
      <c r="E310" s="180"/>
      <c r="F310" s="225"/>
      <c r="G310" s="180"/>
      <c r="H310" s="180"/>
      <c r="I310" s="180"/>
      <c r="J310" s="211"/>
      <c r="K310" s="180"/>
      <c r="L310" s="212"/>
      <c r="M310" s="180"/>
      <c r="N310" s="180"/>
      <c r="O310" s="180"/>
      <c r="P310" s="123"/>
      <c r="Q310" s="130"/>
      <c r="R310" s="180"/>
      <c r="S310" s="180"/>
      <c r="T310" s="180"/>
      <c r="U310" s="180"/>
      <c r="V310" s="123"/>
      <c r="W310" s="123"/>
      <c r="X310" s="123"/>
      <c r="Y310" s="180"/>
      <c r="Z310" s="180"/>
    </row>
    <row r="311" spans="1:26" ht="45.75" customHeight="1">
      <c r="A311" s="180"/>
      <c r="B311" s="180"/>
      <c r="C311" s="180"/>
      <c r="D311" s="180"/>
      <c r="E311" s="180"/>
      <c r="F311" s="225"/>
      <c r="G311" s="180"/>
      <c r="H311" s="180"/>
      <c r="I311" s="180"/>
      <c r="J311" s="211"/>
      <c r="K311" s="180"/>
      <c r="L311" s="212"/>
      <c r="M311" s="180"/>
      <c r="N311" s="180"/>
      <c r="O311" s="180"/>
      <c r="P311" s="123"/>
      <c r="Q311" s="130"/>
      <c r="R311" s="180"/>
      <c r="S311" s="180"/>
      <c r="T311" s="180"/>
      <c r="U311" s="180"/>
      <c r="V311" s="123"/>
      <c r="W311" s="123"/>
      <c r="X311" s="123"/>
      <c r="Y311" s="180"/>
      <c r="Z311" s="180"/>
    </row>
    <row r="312" spans="1:26" ht="45.75" customHeight="1">
      <c r="A312" s="180"/>
      <c r="B312" s="180"/>
      <c r="C312" s="180"/>
      <c r="D312" s="180"/>
      <c r="E312" s="180"/>
      <c r="F312" s="225"/>
      <c r="G312" s="180"/>
      <c r="H312" s="180"/>
      <c r="I312" s="180"/>
      <c r="J312" s="211"/>
      <c r="K312" s="180"/>
      <c r="L312" s="212"/>
      <c r="M312" s="180"/>
      <c r="N312" s="180"/>
      <c r="O312" s="180"/>
      <c r="P312" s="123"/>
      <c r="Q312" s="130"/>
      <c r="R312" s="180"/>
      <c r="S312" s="180"/>
      <c r="T312" s="180"/>
      <c r="U312" s="180"/>
      <c r="V312" s="123"/>
      <c r="W312" s="123"/>
      <c r="X312" s="123"/>
      <c r="Y312" s="180"/>
      <c r="Z312" s="180"/>
    </row>
    <row r="313" spans="1:26" ht="45.75" customHeight="1">
      <c r="A313" s="180"/>
      <c r="B313" s="180"/>
      <c r="C313" s="180"/>
      <c r="D313" s="180"/>
      <c r="E313" s="180"/>
      <c r="F313" s="225"/>
      <c r="G313" s="180"/>
      <c r="H313" s="180"/>
      <c r="I313" s="180"/>
      <c r="J313" s="211"/>
      <c r="K313" s="180"/>
      <c r="L313" s="212"/>
      <c r="M313" s="180"/>
      <c r="N313" s="180"/>
      <c r="O313" s="180"/>
      <c r="P313" s="123"/>
      <c r="Q313" s="130"/>
      <c r="R313" s="180"/>
      <c r="S313" s="180"/>
      <c r="T313" s="180"/>
      <c r="U313" s="180"/>
      <c r="V313" s="123"/>
      <c r="W313" s="123"/>
      <c r="X313" s="123"/>
      <c r="Y313" s="180"/>
      <c r="Z313" s="180"/>
    </row>
    <row r="314" spans="1:26" ht="45.75" customHeight="1">
      <c r="A314" s="180"/>
      <c r="B314" s="180"/>
      <c r="C314" s="180"/>
      <c r="D314" s="180"/>
      <c r="E314" s="180"/>
      <c r="F314" s="225"/>
      <c r="G314" s="180"/>
      <c r="H314" s="180"/>
      <c r="I314" s="180"/>
      <c r="J314" s="211"/>
      <c r="K314" s="180"/>
      <c r="L314" s="212"/>
      <c r="M314" s="180"/>
      <c r="N314" s="180"/>
      <c r="O314" s="180"/>
      <c r="P314" s="123"/>
      <c r="Q314" s="130"/>
      <c r="R314" s="180"/>
      <c r="S314" s="180"/>
      <c r="T314" s="180"/>
      <c r="U314" s="180"/>
      <c r="V314" s="123"/>
      <c r="W314" s="123"/>
      <c r="X314" s="123"/>
      <c r="Y314" s="180"/>
      <c r="Z314" s="180"/>
    </row>
    <row r="315" spans="1:26" ht="45.75" customHeight="1">
      <c r="A315" s="180"/>
      <c r="B315" s="180"/>
      <c r="C315" s="180"/>
      <c r="D315" s="180"/>
      <c r="E315" s="180"/>
      <c r="F315" s="225"/>
      <c r="G315" s="180"/>
      <c r="H315" s="180"/>
      <c r="I315" s="180"/>
      <c r="J315" s="211"/>
      <c r="K315" s="180"/>
      <c r="L315" s="212"/>
      <c r="M315" s="180"/>
      <c r="N315" s="180"/>
      <c r="O315" s="180"/>
      <c r="P315" s="123"/>
      <c r="Q315" s="130"/>
      <c r="R315" s="180"/>
      <c r="S315" s="180"/>
      <c r="T315" s="180"/>
      <c r="U315" s="180"/>
      <c r="V315" s="123"/>
      <c r="W315" s="123"/>
      <c r="X315" s="123"/>
      <c r="Y315" s="180"/>
      <c r="Z315" s="180"/>
    </row>
    <row r="316" spans="1:26" ht="45.75" customHeight="1">
      <c r="A316" s="180"/>
      <c r="B316" s="180"/>
      <c r="C316" s="180"/>
      <c r="D316" s="180"/>
      <c r="E316" s="180"/>
      <c r="F316" s="225"/>
      <c r="G316" s="180"/>
      <c r="H316" s="180"/>
      <c r="I316" s="180"/>
      <c r="J316" s="211"/>
      <c r="K316" s="180"/>
      <c r="L316" s="212"/>
      <c r="M316" s="180"/>
      <c r="N316" s="180"/>
      <c r="O316" s="180"/>
      <c r="P316" s="123"/>
      <c r="Q316" s="130"/>
      <c r="R316" s="180"/>
      <c r="S316" s="180"/>
      <c r="T316" s="180"/>
      <c r="U316" s="180"/>
      <c r="V316" s="123"/>
      <c r="W316" s="123"/>
      <c r="X316" s="123"/>
      <c r="Y316" s="180"/>
      <c r="Z316" s="180"/>
    </row>
    <row r="317" spans="1:26" ht="45.75" customHeight="1">
      <c r="A317" s="180"/>
      <c r="B317" s="180"/>
      <c r="C317" s="180"/>
      <c r="D317" s="180"/>
      <c r="E317" s="180"/>
      <c r="F317" s="225"/>
      <c r="G317" s="180"/>
      <c r="H317" s="180"/>
      <c r="I317" s="180"/>
      <c r="J317" s="211"/>
      <c r="K317" s="180"/>
      <c r="L317" s="212"/>
      <c r="M317" s="180"/>
      <c r="N317" s="180"/>
      <c r="O317" s="180"/>
      <c r="P317" s="123"/>
      <c r="Q317" s="130"/>
      <c r="R317" s="180"/>
      <c r="S317" s="180"/>
      <c r="T317" s="180"/>
      <c r="U317" s="180"/>
      <c r="V317" s="123"/>
      <c r="W317" s="123"/>
      <c r="X317" s="123"/>
      <c r="Y317" s="180"/>
      <c r="Z317" s="180"/>
    </row>
    <row r="318" spans="1:26" ht="45.75" customHeight="1">
      <c r="A318" s="180"/>
      <c r="B318" s="180"/>
      <c r="C318" s="180"/>
      <c r="D318" s="180"/>
      <c r="E318" s="180"/>
      <c r="F318" s="225"/>
      <c r="G318" s="180"/>
      <c r="H318" s="180"/>
      <c r="I318" s="180"/>
      <c r="J318" s="211"/>
      <c r="K318" s="180"/>
      <c r="L318" s="212"/>
      <c r="M318" s="180"/>
      <c r="N318" s="180"/>
      <c r="O318" s="180"/>
      <c r="P318" s="123"/>
      <c r="Q318" s="130"/>
      <c r="R318" s="180"/>
      <c r="S318" s="180"/>
      <c r="T318" s="180"/>
      <c r="U318" s="180"/>
      <c r="V318" s="123"/>
      <c r="W318" s="123"/>
      <c r="X318" s="123"/>
      <c r="Y318" s="180"/>
      <c r="Z318" s="180"/>
    </row>
    <row r="319" spans="1:26" ht="45.75" customHeight="1">
      <c r="A319" s="180"/>
      <c r="B319" s="180"/>
      <c r="C319" s="180"/>
      <c r="D319" s="180"/>
      <c r="E319" s="180"/>
      <c r="F319" s="225"/>
      <c r="G319" s="180"/>
      <c r="H319" s="180"/>
      <c r="I319" s="180"/>
      <c r="J319" s="211"/>
      <c r="K319" s="180"/>
      <c r="L319" s="212"/>
      <c r="M319" s="180"/>
      <c r="N319" s="180"/>
      <c r="O319" s="180"/>
      <c r="P319" s="123"/>
      <c r="Q319" s="130"/>
      <c r="R319" s="180"/>
      <c r="S319" s="180"/>
      <c r="T319" s="180"/>
      <c r="U319" s="180"/>
      <c r="V319" s="123"/>
      <c r="W319" s="123"/>
      <c r="X319" s="123"/>
      <c r="Y319" s="180"/>
      <c r="Z319" s="180"/>
    </row>
    <row r="320" spans="1:26" ht="45.75" customHeight="1">
      <c r="A320" s="180"/>
      <c r="B320" s="180"/>
      <c r="C320" s="180"/>
      <c r="D320" s="180"/>
      <c r="E320" s="180"/>
      <c r="F320" s="225"/>
      <c r="G320" s="180"/>
      <c r="H320" s="180"/>
      <c r="I320" s="180"/>
      <c r="J320" s="211"/>
      <c r="K320" s="180"/>
      <c r="L320" s="212"/>
      <c r="M320" s="180"/>
      <c r="N320" s="180"/>
      <c r="O320" s="180"/>
      <c r="P320" s="123"/>
      <c r="Q320" s="130"/>
      <c r="R320" s="180"/>
      <c r="S320" s="180"/>
      <c r="T320" s="180"/>
      <c r="U320" s="180"/>
      <c r="V320" s="123"/>
      <c r="W320" s="123"/>
      <c r="X320" s="123"/>
      <c r="Y320" s="180"/>
      <c r="Z320" s="180"/>
    </row>
    <row r="321" spans="1:26" ht="45.75" customHeight="1">
      <c r="A321" s="180"/>
      <c r="B321" s="180"/>
      <c r="C321" s="180"/>
      <c r="D321" s="180"/>
      <c r="E321" s="180"/>
      <c r="F321" s="225"/>
      <c r="G321" s="180"/>
      <c r="H321" s="180"/>
      <c r="I321" s="180"/>
      <c r="J321" s="211"/>
      <c r="K321" s="180"/>
      <c r="L321" s="212"/>
      <c r="M321" s="180"/>
      <c r="N321" s="180"/>
      <c r="O321" s="180"/>
      <c r="P321" s="123"/>
      <c r="Q321" s="130"/>
      <c r="R321" s="180"/>
      <c r="S321" s="180"/>
      <c r="T321" s="180"/>
      <c r="U321" s="180"/>
      <c r="V321" s="123"/>
      <c r="W321" s="123"/>
      <c r="X321" s="123"/>
      <c r="Y321" s="180"/>
      <c r="Z321" s="180"/>
    </row>
    <row r="322" spans="1:26" ht="45.75" customHeight="1">
      <c r="A322" s="180"/>
      <c r="B322" s="180"/>
      <c r="C322" s="180"/>
      <c r="D322" s="180"/>
      <c r="E322" s="180"/>
      <c r="F322" s="225"/>
      <c r="G322" s="180"/>
      <c r="H322" s="180"/>
      <c r="I322" s="180"/>
      <c r="J322" s="211"/>
      <c r="K322" s="180"/>
      <c r="L322" s="212"/>
      <c r="M322" s="180"/>
      <c r="N322" s="180"/>
      <c r="O322" s="180"/>
      <c r="P322" s="123"/>
      <c r="Q322" s="130"/>
      <c r="R322" s="180"/>
      <c r="S322" s="180"/>
      <c r="T322" s="180"/>
      <c r="U322" s="180"/>
      <c r="V322" s="123"/>
      <c r="W322" s="123"/>
      <c r="X322" s="123"/>
      <c r="Y322" s="180"/>
      <c r="Z322" s="180"/>
    </row>
    <row r="323" spans="1:26" ht="45.75" customHeight="1">
      <c r="A323" s="180"/>
      <c r="B323" s="180"/>
      <c r="C323" s="180"/>
      <c r="D323" s="180"/>
      <c r="E323" s="180"/>
      <c r="F323" s="225"/>
      <c r="G323" s="180"/>
      <c r="H323" s="180"/>
      <c r="I323" s="180"/>
      <c r="J323" s="211"/>
      <c r="K323" s="180"/>
      <c r="L323" s="212"/>
      <c r="M323" s="180"/>
      <c r="N323" s="180"/>
      <c r="O323" s="180"/>
      <c r="P323" s="123"/>
      <c r="Q323" s="130"/>
      <c r="R323" s="180"/>
      <c r="S323" s="180"/>
      <c r="T323" s="180"/>
      <c r="U323" s="180"/>
      <c r="V323" s="123"/>
      <c r="W323" s="123"/>
      <c r="X323" s="123"/>
      <c r="Y323" s="180"/>
      <c r="Z323" s="180"/>
    </row>
    <row r="324" spans="1:26" ht="45.75" customHeight="1">
      <c r="A324" s="180"/>
      <c r="B324" s="180"/>
      <c r="C324" s="180"/>
      <c r="D324" s="180"/>
      <c r="E324" s="180"/>
      <c r="F324" s="225"/>
      <c r="G324" s="180"/>
      <c r="H324" s="180"/>
      <c r="I324" s="180"/>
      <c r="J324" s="211"/>
      <c r="K324" s="180"/>
      <c r="L324" s="212"/>
      <c r="M324" s="180"/>
      <c r="N324" s="180"/>
      <c r="O324" s="180"/>
      <c r="P324" s="123"/>
      <c r="Q324" s="130"/>
      <c r="R324" s="180"/>
      <c r="S324" s="180"/>
      <c r="T324" s="180"/>
      <c r="U324" s="180"/>
      <c r="V324" s="123"/>
      <c r="W324" s="123"/>
      <c r="X324" s="123"/>
      <c r="Y324" s="180"/>
      <c r="Z324" s="180"/>
    </row>
    <row r="325" spans="1:26" ht="45.75" customHeight="1">
      <c r="A325" s="180"/>
      <c r="B325" s="180"/>
      <c r="C325" s="180"/>
      <c r="D325" s="180"/>
      <c r="E325" s="180"/>
      <c r="F325" s="225"/>
      <c r="G325" s="180"/>
      <c r="H325" s="180"/>
      <c r="I325" s="180"/>
      <c r="J325" s="211"/>
      <c r="K325" s="180"/>
      <c r="L325" s="212"/>
      <c r="M325" s="180"/>
      <c r="N325" s="180"/>
      <c r="O325" s="180"/>
      <c r="P325" s="123"/>
      <c r="Q325" s="130"/>
      <c r="R325" s="180"/>
      <c r="S325" s="180"/>
      <c r="T325" s="180"/>
      <c r="U325" s="180"/>
      <c r="V325" s="123"/>
      <c r="W325" s="123"/>
      <c r="X325" s="123"/>
      <c r="Y325" s="180"/>
      <c r="Z325" s="180"/>
    </row>
    <row r="326" spans="1:26" ht="45.75" customHeight="1">
      <c r="A326" s="180"/>
      <c r="B326" s="180"/>
      <c r="C326" s="180"/>
      <c r="D326" s="180"/>
      <c r="E326" s="180"/>
      <c r="F326" s="225"/>
      <c r="G326" s="180"/>
      <c r="H326" s="180"/>
      <c r="I326" s="180"/>
      <c r="J326" s="211"/>
      <c r="K326" s="180"/>
      <c r="L326" s="212"/>
      <c r="M326" s="180"/>
      <c r="N326" s="180"/>
      <c r="O326" s="180"/>
      <c r="P326" s="123"/>
      <c r="Q326" s="130"/>
      <c r="R326" s="180"/>
      <c r="S326" s="180"/>
      <c r="T326" s="180"/>
      <c r="U326" s="180"/>
      <c r="V326" s="123"/>
      <c r="W326" s="123"/>
      <c r="X326" s="123"/>
      <c r="Y326" s="180"/>
      <c r="Z326" s="180"/>
    </row>
    <row r="327" spans="1:26" ht="45.75" customHeight="1">
      <c r="A327" s="180"/>
      <c r="B327" s="180"/>
      <c r="C327" s="180"/>
      <c r="D327" s="180"/>
      <c r="E327" s="180"/>
      <c r="F327" s="225"/>
      <c r="G327" s="180"/>
      <c r="H327" s="180"/>
      <c r="I327" s="180"/>
      <c r="J327" s="211"/>
      <c r="K327" s="180"/>
      <c r="L327" s="212"/>
      <c r="M327" s="180"/>
      <c r="N327" s="180"/>
      <c r="O327" s="180"/>
      <c r="P327" s="123"/>
      <c r="Q327" s="130"/>
      <c r="R327" s="180"/>
      <c r="S327" s="180"/>
      <c r="T327" s="180"/>
      <c r="U327" s="180"/>
      <c r="V327" s="123"/>
      <c r="W327" s="123"/>
      <c r="X327" s="123"/>
      <c r="Y327" s="180"/>
      <c r="Z327" s="180"/>
    </row>
    <row r="328" spans="1:26" ht="45.75" customHeight="1">
      <c r="A328" s="180"/>
      <c r="B328" s="180"/>
      <c r="C328" s="180"/>
      <c r="D328" s="180"/>
      <c r="E328" s="180"/>
      <c r="F328" s="225"/>
      <c r="G328" s="180"/>
      <c r="H328" s="180"/>
      <c r="I328" s="180"/>
      <c r="J328" s="211"/>
      <c r="K328" s="180"/>
      <c r="L328" s="212"/>
      <c r="M328" s="180"/>
      <c r="N328" s="180"/>
      <c r="O328" s="180"/>
      <c r="P328" s="123"/>
      <c r="Q328" s="130"/>
      <c r="R328" s="180"/>
      <c r="S328" s="180"/>
      <c r="T328" s="180"/>
      <c r="U328" s="180"/>
      <c r="V328" s="123"/>
      <c r="W328" s="123"/>
      <c r="X328" s="123"/>
      <c r="Y328" s="180"/>
      <c r="Z328" s="180"/>
    </row>
    <row r="329" spans="1:26" ht="45.75" customHeight="1">
      <c r="A329" s="180"/>
      <c r="B329" s="180"/>
      <c r="C329" s="180"/>
      <c r="D329" s="180"/>
      <c r="E329" s="180"/>
      <c r="F329" s="225"/>
      <c r="G329" s="180"/>
      <c r="H329" s="180"/>
      <c r="I329" s="180"/>
      <c r="J329" s="211"/>
      <c r="K329" s="180"/>
      <c r="L329" s="212"/>
      <c r="M329" s="180"/>
      <c r="N329" s="180"/>
      <c r="O329" s="180"/>
      <c r="P329" s="123"/>
      <c r="Q329" s="130"/>
      <c r="R329" s="180"/>
      <c r="S329" s="180"/>
      <c r="T329" s="180"/>
      <c r="U329" s="180"/>
      <c r="V329" s="123"/>
      <c r="W329" s="123"/>
      <c r="X329" s="123"/>
      <c r="Y329" s="180"/>
      <c r="Z329" s="180"/>
    </row>
    <row r="330" spans="1:26" ht="45.75" customHeight="1">
      <c r="A330" s="180"/>
      <c r="B330" s="180"/>
      <c r="C330" s="180"/>
      <c r="D330" s="180"/>
      <c r="E330" s="180"/>
      <c r="F330" s="225"/>
      <c r="G330" s="180"/>
      <c r="H330" s="180"/>
      <c r="I330" s="180"/>
      <c r="J330" s="211"/>
      <c r="K330" s="180"/>
      <c r="L330" s="212"/>
      <c r="M330" s="180"/>
      <c r="N330" s="180"/>
      <c r="O330" s="180"/>
      <c r="P330" s="123"/>
      <c r="Q330" s="130"/>
      <c r="R330" s="180"/>
      <c r="S330" s="180"/>
      <c r="T330" s="180"/>
      <c r="U330" s="180"/>
      <c r="V330" s="123"/>
      <c r="W330" s="123"/>
      <c r="X330" s="123"/>
      <c r="Y330" s="180"/>
      <c r="Z330" s="180"/>
    </row>
    <row r="331" spans="1:26" ht="45.75" customHeight="1">
      <c r="A331" s="180"/>
      <c r="B331" s="180"/>
      <c r="C331" s="180"/>
      <c r="D331" s="180"/>
      <c r="E331" s="180"/>
      <c r="F331" s="225"/>
      <c r="G331" s="180"/>
      <c r="H331" s="180"/>
      <c r="I331" s="180"/>
      <c r="J331" s="211"/>
      <c r="K331" s="180"/>
      <c r="L331" s="212"/>
      <c r="M331" s="180"/>
      <c r="N331" s="180"/>
      <c r="O331" s="180"/>
      <c r="P331" s="123"/>
      <c r="Q331" s="130"/>
      <c r="R331" s="180"/>
      <c r="S331" s="180"/>
      <c r="T331" s="180"/>
      <c r="U331" s="180"/>
      <c r="V331" s="123"/>
      <c r="W331" s="123"/>
      <c r="X331" s="123"/>
      <c r="Y331" s="180"/>
      <c r="Z331" s="180"/>
    </row>
    <row r="332" spans="1:26" ht="45.75" customHeight="1">
      <c r="A332" s="180"/>
      <c r="B332" s="180"/>
      <c r="C332" s="180"/>
      <c r="D332" s="180"/>
      <c r="E332" s="180"/>
      <c r="F332" s="225"/>
      <c r="G332" s="180"/>
      <c r="H332" s="180"/>
      <c r="I332" s="180"/>
      <c r="J332" s="211"/>
      <c r="K332" s="180"/>
      <c r="L332" s="212"/>
      <c r="M332" s="180"/>
      <c r="N332" s="180"/>
      <c r="O332" s="180"/>
      <c r="P332" s="123"/>
      <c r="Q332" s="130"/>
      <c r="R332" s="180"/>
      <c r="S332" s="180"/>
      <c r="T332" s="180"/>
      <c r="U332" s="180"/>
      <c r="V332" s="123"/>
      <c r="W332" s="123"/>
      <c r="X332" s="123"/>
      <c r="Y332" s="180"/>
      <c r="Z332" s="180"/>
    </row>
    <row r="333" spans="1:26" ht="45.75" customHeight="1">
      <c r="A333" s="180"/>
      <c r="B333" s="180"/>
      <c r="C333" s="180"/>
      <c r="D333" s="180"/>
      <c r="E333" s="180"/>
      <c r="F333" s="225"/>
      <c r="G333" s="180"/>
      <c r="H333" s="180"/>
      <c r="I333" s="180"/>
      <c r="J333" s="211"/>
      <c r="K333" s="180"/>
      <c r="L333" s="212"/>
      <c r="M333" s="180"/>
      <c r="N333" s="180"/>
      <c r="O333" s="180"/>
      <c r="P333" s="123"/>
      <c r="Q333" s="130"/>
      <c r="R333" s="180"/>
      <c r="S333" s="180"/>
      <c r="T333" s="180"/>
      <c r="U333" s="180"/>
      <c r="V333" s="123"/>
      <c r="W333" s="123"/>
      <c r="X333" s="123"/>
      <c r="Y333" s="180"/>
      <c r="Z333" s="180"/>
    </row>
    <row r="334" spans="1:26" ht="45.75" customHeight="1">
      <c r="A334" s="180"/>
      <c r="B334" s="180"/>
      <c r="C334" s="180"/>
      <c r="D334" s="180"/>
      <c r="E334" s="180"/>
      <c r="F334" s="225"/>
      <c r="G334" s="180"/>
      <c r="H334" s="180"/>
      <c r="I334" s="180"/>
      <c r="J334" s="211"/>
      <c r="K334" s="180"/>
      <c r="L334" s="212"/>
      <c r="M334" s="180"/>
      <c r="N334" s="180"/>
      <c r="O334" s="180"/>
      <c r="P334" s="123"/>
      <c r="Q334" s="130"/>
      <c r="R334" s="180"/>
      <c r="S334" s="180"/>
      <c r="T334" s="180"/>
      <c r="U334" s="180"/>
      <c r="V334" s="123"/>
      <c r="W334" s="123"/>
      <c r="X334" s="123"/>
      <c r="Y334" s="180"/>
      <c r="Z334" s="180"/>
    </row>
    <row r="335" spans="1:26" ht="45.75" customHeight="1">
      <c r="A335" s="180"/>
      <c r="B335" s="180"/>
      <c r="C335" s="180"/>
      <c r="D335" s="180"/>
      <c r="E335" s="180"/>
      <c r="F335" s="225"/>
      <c r="G335" s="180"/>
      <c r="H335" s="180"/>
      <c r="I335" s="180"/>
      <c r="J335" s="211"/>
      <c r="K335" s="180"/>
      <c r="L335" s="212"/>
      <c r="M335" s="180"/>
      <c r="N335" s="180"/>
      <c r="O335" s="180"/>
      <c r="P335" s="123"/>
      <c r="Q335" s="130"/>
      <c r="R335" s="180"/>
      <c r="S335" s="180"/>
      <c r="T335" s="180"/>
      <c r="U335" s="180"/>
      <c r="V335" s="123"/>
      <c r="W335" s="123"/>
      <c r="X335" s="123"/>
      <c r="Y335" s="180"/>
      <c r="Z335" s="180"/>
    </row>
    <row r="336" spans="1:26" ht="45.75" customHeight="1">
      <c r="A336" s="180"/>
      <c r="B336" s="180"/>
      <c r="C336" s="180"/>
      <c r="D336" s="180"/>
      <c r="E336" s="180"/>
      <c r="F336" s="225"/>
      <c r="G336" s="180"/>
      <c r="H336" s="180"/>
      <c r="I336" s="180"/>
      <c r="J336" s="211"/>
      <c r="K336" s="180"/>
      <c r="L336" s="212"/>
      <c r="M336" s="180"/>
      <c r="N336" s="180"/>
      <c r="O336" s="180"/>
      <c r="P336" s="123"/>
      <c r="Q336" s="130"/>
      <c r="R336" s="180"/>
      <c r="S336" s="180"/>
      <c r="T336" s="180"/>
      <c r="U336" s="180"/>
      <c r="V336" s="123"/>
      <c r="W336" s="123"/>
      <c r="X336" s="123"/>
      <c r="Y336" s="180"/>
      <c r="Z336" s="180"/>
    </row>
    <row r="337" spans="1:26" ht="45.75" customHeight="1">
      <c r="A337" s="180"/>
      <c r="B337" s="180"/>
      <c r="C337" s="180"/>
      <c r="D337" s="180"/>
      <c r="E337" s="180"/>
      <c r="F337" s="225"/>
      <c r="G337" s="180"/>
      <c r="H337" s="180"/>
      <c r="I337" s="180"/>
      <c r="J337" s="211"/>
      <c r="K337" s="180"/>
      <c r="L337" s="212"/>
      <c r="M337" s="180"/>
      <c r="N337" s="180"/>
      <c r="O337" s="180"/>
      <c r="P337" s="123"/>
      <c r="Q337" s="130"/>
      <c r="R337" s="180"/>
      <c r="S337" s="180"/>
      <c r="T337" s="180"/>
      <c r="U337" s="180"/>
      <c r="V337" s="123"/>
      <c r="W337" s="123"/>
      <c r="X337" s="123"/>
      <c r="Y337" s="180"/>
      <c r="Z337" s="180"/>
    </row>
    <row r="338" spans="1:26" ht="45.75" customHeight="1">
      <c r="A338" s="180"/>
      <c r="B338" s="180"/>
      <c r="C338" s="180"/>
      <c r="D338" s="180"/>
      <c r="E338" s="180"/>
      <c r="F338" s="225"/>
      <c r="G338" s="180"/>
      <c r="H338" s="180"/>
      <c r="I338" s="180"/>
      <c r="J338" s="211"/>
      <c r="K338" s="180"/>
      <c r="L338" s="212"/>
      <c r="M338" s="180"/>
      <c r="N338" s="180"/>
      <c r="O338" s="180"/>
      <c r="P338" s="123"/>
      <c r="Q338" s="130"/>
      <c r="R338" s="180"/>
      <c r="S338" s="180"/>
      <c r="T338" s="180"/>
      <c r="U338" s="180"/>
      <c r="V338" s="123"/>
      <c r="W338" s="123"/>
      <c r="X338" s="123"/>
      <c r="Y338" s="180"/>
      <c r="Z338" s="180"/>
    </row>
    <row r="339" spans="1:26" ht="45.75" customHeight="1">
      <c r="A339" s="180"/>
      <c r="B339" s="180"/>
      <c r="C339" s="180"/>
      <c r="D339" s="180"/>
      <c r="E339" s="180"/>
      <c r="F339" s="225"/>
      <c r="G339" s="180"/>
      <c r="H339" s="180"/>
      <c r="I339" s="180"/>
      <c r="J339" s="211"/>
      <c r="K339" s="180"/>
      <c r="L339" s="212"/>
      <c r="M339" s="180"/>
      <c r="N339" s="180"/>
      <c r="O339" s="180"/>
      <c r="P339" s="123"/>
      <c r="Q339" s="130"/>
      <c r="R339" s="180"/>
      <c r="S339" s="180"/>
      <c r="T339" s="180"/>
      <c r="U339" s="180"/>
      <c r="V339" s="123"/>
      <c r="W339" s="123"/>
      <c r="X339" s="123"/>
      <c r="Y339" s="180"/>
      <c r="Z339" s="180"/>
    </row>
    <row r="340" spans="1:26" ht="45.75" customHeight="1">
      <c r="A340" s="180"/>
      <c r="B340" s="180"/>
      <c r="C340" s="180"/>
      <c r="D340" s="180"/>
      <c r="E340" s="180"/>
      <c r="F340" s="225"/>
      <c r="G340" s="180"/>
      <c r="H340" s="180"/>
      <c r="I340" s="180"/>
      <c r="J340" s="211"/>
      <c r="K340" s="180"/>
      <c r="L340" s="212"/>
      <c r="M340" s="180"/>
      <c r="N340" s="180"/>
      <c r="O340" s="180"/>
      <c r="P340" s="123"/>
      <c r="Q340" s="130"/>
      <c r="R340" s="180"/>
      <c r="S340" s="180"/>
      <c r="T340" s="180"/>
      <c r="U340" s="180"/>
      <c r="V340" s="123"/>
      <c r="W340" s="123"/>
      <c r="X340" s="123"/>
      <c r="Y340" s="180"/>
      <c r="Z340" s="180"/>
    </row>
    <row r="341" spans="1:26" ht="45.75" customHeight="1">
      <c r="A341" s="180"/>
      <c r="B341" s="180"/>
      <c r="C341" s="180"/>
      <c r="D341" s="180"/>
      <c r="E341" s="180"/>
      <c r="F341" s="225"/>
      <c r="G341" s="180"/>
      <c r="H341" s="180"/>
      <c r="I341" s="180"/>
      <c r="J341" s="211"/>
      <c r="K341" s="180"/>
      <c r="L341" s="212"/>
      <c r="M341" s="180"/>
      <c r="N341" s="180"/>
      <c r="O341" s="180"/>
      <c r="P341" s="123"/>
      <c r="Q341" s="130"/>
      <c r="R341" s="180"/>
      <c r="S341" s="180"/>
      <c r="T341" s="180"/>
      <c r="U341" s="180"/>
      <c r="V341" s="123"/>
      <c r="W341" s="123"/>
      <c r="X341" s="123"/>
      <c r="Y341" s="180"/>
      <c r="Z341" s="180"/>
    </row>
    <row r="342" spans="1:26" ht="45.75" customHeight="1">
      <c r="A342" s="180"/>
      <c r="B342" s="180"/>
      <c r="C342" s="180"/>
      <c r="D342" s="180"/>
      <c r="E342" s="180"/>
      <c r="F342" s="225"/>
      <c r="G342" s="180"/>
      <c r="H342" s="180"/>
      <c r="I342" s="180"/>
      <c r="J342" s="211"/>
      <c r="K342" s="180"/>
      <c r="L342" s="212"/>
      <c r="M342" s="180"/>
      <c r="N342" s="180"/>
      <c r="O342" s="180"/>
      <c r="P342" s="123"/>
      <c r="Q342" s="130"/>
      <c r="R342" s="180"/>
      <c r="S342" s="180"/>
      <c r="T342" s="180"/>
      <c r="U342" s="180"/>
      <c r="V342" s="123"/>
      <c r="W342" s="123"/>
      <c r="X342" s="123"/>
      <c r="Y342" s="180"/>
      <c r="Z342" s="180"/>
    </row>
    <row r="343" spans="1:26" ht="45.75" customHeight="1">
      <c r="A343" s="180"/>
      <c r="B343" s="180"/>
      <c r="C343" s="180"/>
      <c r="D343" s="180"/>
      <c r="E343" s="180"/>
      <c r="F343" s="225"/>
      <c r="G343" s="180"/>
      <c r="H343" s="180"/>
      <c r="I343" s="180"/>
      <c r="J343" s="211"/>
      <c r="K343" s="180"/>
      <c r="L343" s="212"/>
      <c r="M343" s="180"/>
      <c r="N343" s="180"/>
      <c r="O343" s="180"/>
      <c r="P343" s="123"/>
      <c r="Q343" s="130"/>
      <c r="R343" s="180"/>
      <c r="S343" s="180"/>
      <c r="T343" s="180"/>
      <c r="U343" s="180"/>
      <c r="V343" s="123"/>
      <c r="W343" s="123"/>
      <c r="X343" s="123"/>
      <c r="Y343" s="180"/>
      <c r="Z343" s="180"/>
    </row>
    <row r="344" spans="1:26" ht="45.75" customHeight="1">
      <c r="A344" s="180"/>
      <c r="B344" s="180"/>
      <c r="C344" s="180"/>
      <c r="D344" s="180"/>
      <c r="E344" s="180"/>
      <c r="F344" s="225"/>
      <c r="G344" s="180"/>
      <c r="H344" s="180"/>
      <c r="I344" s="180"/>
      <c r="J344" s="211"/>
      <c r="K344" s="180"/>
      <c r="L344" s="212"/>
      <c r="M344" s="180"/>
      <c r="N344" s="180"/>
      <c r="O344" s="180"/>
      <c r="P344" s="123"/>
      <c r="Q344" s="130"/>
      <c r="R344" s="180"/>
      <c r="S344" s="180"/>
      <c r="T344" s="180"/>
      <c r="U344" s="180"/>
      <c r="V344" s="123"/>
      <c r="W344" s="123"/>
      <c r="X344" s="123"/>
      <c r="Y344" s="180"/>
      <c r="Z344" s="180"/>
    </row>
    <row r="345" spans="1:26" ht="45.75" customHeight="1">
      <c r="A345" s="180"/>
      <c r="B345" s="180"/>
      <c r="C345" s="180"/>
      <c r="D345" s="180"/>
      <c r="E345" s="180"/>
      <c r="F345" s="225"/>
      <c r="G345" s="180"/>
      <c r="H345" s="180"/>
      <c r="I345" s="180"/>
      <c r="J345" s="211"/>
      <c r="K345" s="180"/>
      <c r="L345" s="212"/>
      <c r="M345" s="180"/>
      <c r="N345" s="180"/>
      <c r="O345" s="180"/>
      <c r="P345" s="123"/>
      <c r="Q345" s="130"/>
      <c r="R345" s="180"/>
      <c r="S345" s="180"/>
      <c r="T345" s="180"/>
      <c r="U345" s="180"/>
      <c r="V345" s="123"/>
      <c r="W345" s="123"/>
      <c r="X345" s="123"/>
      <c r="Y345" s="180"/>
      <c r="Z345" s="180"/>
    </row>
    <row r="346" spans="1:26" ht="45.75" customHeight="1">
      <c r="A346" s="180"/>
      <c r="B346" s="180"/>
      <c r="C346" s="180"/>
      <c r="D346" s="180"/>
      <c r="E346" s="180"/>
      <c r="F346" s="225"/>
      <c r="G346" s="180"/>
      <c r="H346" s="180"/>
      <c r="I346" s="180"/>
      <c r="J346" s="211"/>
      <c r="K346" s="180"/>
      <c r="L346" s="212"/>
      <c r="M346" s="180"/>
      <c r="N346" s="180"/>
      <c r="O346" s="180"/>
      <c r="P346" s="123"/>
      <c r="Q346" s="130"/>
      <c r="R346" s="180"/>
      <c r="S346" s="180"/>
      <c r="T346" s="180"/>
      <c r="U346" s="180"/>
      <c r="V346" s="123"/>
      <c r="W346" s="123"/>
      <c r="X346" s="123"/>
      <c r="Y346" s="180"/>
      <c r="Z346" s="180"/>
    </row>
    <row r="347" spans="1:26" ht="45.75" customHeight="1">
      <c r="A347" s="180"/>
      <c r="B347" s="180"/>
      <c r="C347" s="180"/>
      <c r="D347" s="180"/>
      <c r="E347" s="180"/>
      <c r="F347" s="225"/>
      <c r="G347" s="180"/>
      <c r="H347" s="180"/>
      <c r="I347" s="180"/>
      <c r="J347" s="211"/>
      <c r="K347" s="180"/>
      <c r="L347" s="212"/>
      <c r="M347" s="180"/>
      <c r="N347" s="180"/>
      <c r="O347" s="180"/>
      <c r="P347" s="123"/>
      <c r="Q347" s="130"/>
      <c r="R347" s="180"/>
      <c r="S347" s="180"/>
      <c r="T347" s="180"/>
      <c r="U347" s="180"/>
      <c r="V347" s="123"/>
      <c r="W347" s="123"/>
      <c r="X347" s="123"/>
      <c r="Y347" s="180"/>
      <c r="Z347" s="180"/>
    </row>
    <row r="348" spans="1:26" ht="45.75" customHeight="1">
      <c r="A348" s="180"/>
      <c r="B348" s="180"/>
      <c r="C348" s="180"/>
      <c r="D348" s="180"/>
      <c r="E348" s="180"/>
      <c r="F348" s="225"/>
      <c r="G348" s="180"/>
      <c r="H348" s="180"/>
      <c r="I348" s="180"/>
      <c r="J348" s="211"/>
      <c r="K348" s="180"/>
      <c r="L348" s="212"/>
      <c r="M348" s="180"/>
      <c r="N348" s="180"/>
      <c r="O348" s="180"/>
      <c r="P348" s="123"/>
      <c r="Q348" s="130"/>
      <c r="R348" s="180"/>
      <c r="S348" s="180"/>
      <c r="T348" s="180"/>
      <c r="U348" s="180"/>
      <c r="V348" s="123"/>
      <c r="W348" s="123"/>
      <c r="X348" s="123"/>
      <c r="Y348" s="180"/>
      <c r="Z348" s="180"/>
    </row>
    <row r="349" spans="1:26" ht="45.75" customHeight="1">
      <c r="A349" s="180"/>
      <c r="B349" s="180"/>
      <c r="C349" s="180"/>
      <c r="D349" s="180"/>
      <c r="E349" s="180"/>
      <c r="F349" s="225"/>
      <c r="G349" s="180"/>
      <c r="H349" s="180"/>
      <c r="I349" s="180"/>
      <c r="J349" s="211"/>
      <c r="K349" s="180"/>
      <c r="L349" s="212"/>
      <c r="M349" s="180"/>
      <c r="N349" s="180"/>
      <c r="O349" s="180"/>
      <c r="P349" s="123"/>
      <c r="Q349" s="130"/>
      <c r="R349" s="180"/>
      <c r="S349" s="180"/>
      <c r="T349" s="180"/>
      <c r="U349" s="180"/>
      <c r="V349" s="123"/>
      <c r="W349" s="123"/>
      <c r="X349" s="123"/>
      <c r="Y349" s="180"/>
      <c r="Z349" s="180"/>
    </row>
    <row r="350" spans="1:26" ht="45.75" customHeight="1">
      <c r="A350" s="180"/>
      <c r="B350" s="180"/>
      <c r="C350" s="180"/>
      <c r="D350" s="180"/>
      <c r="E350" s="180"/>
      <c r="F350" s="225"/>
      <c r="G350" s="180"/>
      <c r="H350" s="180"/>
      <c r="I350" s="180"/>
      <c r="J350" s="211"/>
      <c r="K350" s="180"/>
      <c r="L350" s="212"/>
      <c r="M350" s="180"/>
      <c r="N350" s="180"/>
      <c r="O350" s="180"/>
      <c r="P350" s="123"/>
      <c r="Q350" s="130"/>
      <c r="R350" s="180"/>
      <c r="S350" s="180"/>
      <c r="T350" s="180"/>
      <c r="U350" s="180"/>
      <c r="V350" s="123"/>
      <c r="W350" s="123"/>
      <c r="X350" s="123"/>
      <c r="Y350" s="180"/>
      <c r="Z350" s="180"/>
    </row>
    <row r="351" spans="1:26" ht="45.75" customHeight="1">
      <c r="A351" s="180"/>
      <c r="B351" s="180"/>
      <c r="C351" s="180"/>
      <c r="D351" s="180"/>
      <c r="E351" s="180"/>
      <c r="F351" s="225"/>
      <c r="G351" s="180"/>
      <c r="H351" s="180"/>
      <c r="I351" s="180"/>
      <c r="J351" s="211"/>
      <c r="K351" s="180"/>
      <c r="L351" s="212"/>
      <c r="M351" s="180"/>
      <c r="N351" s="180"/>
      <c r="O351" s="180"/>
      <c r="P351" s="123"/>
      <c r="Q351" s="130"/>
      <c r="R351" s="180"/>
      <c r="S351" s="180"/>
      <c r="T351" s="180"/>
      <c r="U351" s="180"/>
      <c r="V351" s="123"/>
      <c r="W351" s="123"/>
      <c r="X351" s="123"/>
      <c r="Y351" s="180"/>
      <c r="Z351" s="180"/>
    </row>
    <row r="352" spans="1:26" ht="45.75" customHeight="1">
      <c r="A352" s="180"/>
      <c r="B352" s="180"/>
      <c r="C352" s="180"/>
      <c r="D352" s="180"/>
      <c r="E352" s="180"/>
      <c r="F352" s="225"/>
      <c r="G352" s="180"/>
      <c r="H352" s="180"/>
      <c r="I352" s="180"/>
      <c r="J352" s="211"/>
      <c r="K352" s="180"/>
      <c r="L352" s="212"/>
      <c r="M352" s="180"/>
      <c r="N352" s="180"/>
      <c r="O352" s="180"/>
      <c r="P352" s="123"/>
      <c r="Q352" s="130"/>
      <c r="R352" s="180"/>
      <c r="S352" s="180"/>
      <c r="T352" s="180"/>
      <c r="U352" s="180"/>
      <c r="V352" s="123"/>
      <c r="W352" s="123"/>
      <c r="X352" s="123"/>
      <c r="Y352" s="180"/>
      <c r="Z352" s="180"/>
    </row>
    <row r="353" spans="1:26" ht="45.75" customHeight="1">
      <c r="A353" s="180"/>
      <c r="B353" s="180"/>
      <c r="C353" s="180"/>
      <c r="D353" s="180"/>
      <c r="E353" s="180"/>
      <c r="F353" s="225"/>
      <c r="G353" s="180"/>
      <c r="H353" s="180"/>
      <c r="I353" s="180"/>
      <c r="J353" s="211"/>
      <c r="K353" s="180"/>
      <c r="L353" s="212"/>
      <c r="M353" s="180"/>
      <c r="N353" s="180"/>
      <c r="O353" s="180"/>
      <c r="P353" s="123"/>
      <c r="Q353" s="130"/>
      <c r="R353" s="180"/>
      <c r="S353" s="180"/>
      <c r="T353" s="180"/>
      <c r="U353" s="180"/>
      <c r="V353" s="123"/>
      <c r="W353" s="123"/>
      <c r="X353" s="123"/>
      <c r="Y353" s="180"/>
      <c r="Z353" s="180"/>
    </row>
    <row r="354" spans="1:26" ht="45.75" customHeight="1">
      <c r="A354" s="180"/>
      <c r="B354" s="180"/>
      <c r="C354" s="180"/>
      <c r="D354" s="180"/>
      <c r="E354" s="180"/>
      <c r="F354" s="225"/>
      <c r="G354" s="180"/>
      <c r="H354" s="180"/>
      <c r="I354" s="180"/>
      <c r="J354" s="211"/>
      <c r="K354" s="180"/>
      <c r="L354" s="212"/>
      <c r="M354" s="180"/>
      <c r="N354" s="180"/>
      <c r="O354" s="180"/>
      <c r="P354" s="123"/>
      <c r="Q354" s="130"/>
      <c r="R354" s="180"/>
      <c r="S354" s="180"/>
      <c r="T354" s="180"/>
      <c r="U354" s="180"/>
      <c r="V354" s="123"/>
      <c r="W354" s="123"/>
      <c r="X354" s="123"/>
      <c r="Y354" s="180"/>
      <c r="Z354" s="180"/>
    </row>
    <row r="355" spans="1:26" ht="45.75" customHeight="1">
      <c r="A355" s="180"/>
      <c r="B355" s="180"/>
      <c r="C355" s="180"/>
      <c r="D355" s="180"/>
      <c r="E355" s="180"/>
      <c r="F355" s="225"/>
      <c r="G355" s="180"/>
      <c r="H355" s="180"/>
      <c r="I355" s="180"/>
      <c r="J355" s="211"/>
      <c r="K355" s="180"/>
      <c r="L355" s="212"/>
      <c r="M355" s="180"/>
      <c r="N355" s="180"/>
      <c r="O355" s="180"/>
      <c r="P355" s="123"/>
      <c r="Q355" s="130"/>
      <c r="R355" s="180"/>
      <c r="S355" s="180"/>
      <c r="T355" s="180"/>
      <c r="U355" s="180"/>
      <c r="V355" s="123"/>
      <c r="W355" s="123"/>
      <c r="X355" s="123"/>
      <c r="Y355" s="180"/>
      <c r="Z355" s="180"/>
    </row>
    <row r="356" spans="1:26" ht="45.75" customHeight="1">
      <c r="A356" s="180"/>
      <c r="B356" s="180"/>
      <c r="C356" s="180"/>
      <c r="D356" s="180"/>
      <c r="E356" s="180"/>
      <c r="F356" s="225"/>
      <c r="G356" s="180"/>
      <c r="H356" s="180"/>
      <c r="I356" s="180"/>
      <c r="J356" s="211"/>
      <c r="K356" s="180"/>
      <c r="L356" s="212"/>
      <c r="M356" s="180"/>
      <c r="N356" s="180"/>
      <c r="O356" s="180"/>
      <c r="P356" s="123"/>
      <c r="Q356" s="130"/>
      <c r="R356" s="180"/>
      <c r="S356" s="180"/>
      <c r="T356" s="180"/>
      <c r="U356" s="180"/>
      <c r="V356" s="123"/>
      <c r="W356" s="123"/>
      <c r="X356" s="123"/>
      <c r="Y356" s="180"/>
      <c r="Z356" s="180"/>
    </row>
    <row r="357" spans="1:26" ht="45.75" customHeight="1">
      <c r="A357" s="180"/>
      <c r="B357" s="180"/>
      <c r="C357" s="180"/>
      <c r="D357" s="180"/>
      <c r="E357" s="180"/>
      <c r="F357" s="225"/>
      <c r="G357" s="180"/>
      <c r="H357" s="180"/>
      <c r="I357" s="180"/>
      <c r="J357" s="211"/>
      <c r="K357" s="180"/>
      <c r="L357" s="212"/>
      <c r="M357" s="180"/>
      <c r="N357" s="180"/>
      <c r="O357" s="180"/>
      <c r="P357" s="123"/>
      <c r="Q357" s="130"/>
      <c r="R357" s="180"/>
      <c r="S357" s="180"/>
      <c r="T357" s="180"/>
      <c r="U357" s="180"/>
      <c r="V357" s="123"/>
      <c r="W357" s="123"/>
      <c r="X357" s="123"/>
      <c r="Y357" s="180"/>
      <c r="Z357" s="180"/>
    </row>
    <row r="358" spans="1:26" ht="45.75" customHeight="1">
      <c r="A358" s="180"/>
      <c r="B358" s="180"/>
      <c r="C358" s="180"/>
      <c r="D358" s="180"/>
      <c r="E358" s="180"/>
      <c r="F358" s="225"/>
      <c r="G358" s="180"/>
      <c r="H358" s="180"/>
      <c r="I358" s="180"/>
      <c r="J358" s="211"/>
      <c r="K358" s="180"/>
      <c r="L358" s="212"/>
      <c r="M358" s="180"/>
      <c r="N358" s="180"/>
      <c r="O358" s="180"/>
      <c r="P358" s="123"/>
      <c r="Q358" s="130"/>
      <c r="R358" s="180"/>
      <c r="S358" s="180"/>
      <c r="T358" s="180"/>
      <c r="U358" s="180"/>
      <c r="V358" s="123"/>
      <c r="W358" s="123"/>
      <c r="X358" s="123"/>
      <c r="Y358" s="180"/>
      <c r="Z358" s="180"/>
    </row>
    <row r="359" spans="1:26" ht="45.75" customHeight="1">
      <c r="A359" s="180"/>
      <c r="B359" s="180"/>
      <c r="C359" s="180"/>
      <c r="D359" s="180"/>
      <c r="E359" s="180"/>
      <c r="F359" s="225"/>
      <c r="G359" s="180"/>
      <c r="H359" s="180"/>
      <c r="I359" s="180"/>
      <c r="J359" s="211"/>
      <c r="K359" s="180"/>
      <c r="L359" s="212"/>
      <c r="M359" s="180"/>
      <c r="N359" s="180"/>
      <c r="O359" s="180"/>
      <c r="P359" s="123"/>
      <c r="Q359" s="130"/>
      <c r="R359" s="180"/>
      <c r="S359" s="180"/>
      <c r="T359" s="180"/>
      <c r="U359" s="180"/>
      <c r="V359" s="123"/>
      <c r="W359" s="123"/>
      <c r="X359" s="123"/>
      <c r="Y359" s="180"/>
      <c r="Z359" s="180"/>
    </row>
    <row r="360" spans="1:26" ht="45.75" customHeight="1">
      <c r="A360" s="180"/>
      <c r="B360" s="180"/>
      <c r="C360" s="180"/>
      <c r="D360" s="180"/>
      <c r="E360" s="180"/>
      <c r="F360" s="225"/>
      <c r="G360" s="180"/>
      <c r="H360" s="180"/>
      <c r="I360" s="180"/>
      <c r="J360" s="211"/>
      <c r="K360" s="180"/>
      <c r="L360" s="212"/>
      <c r="M360" s="180"/>
      <c r="N360" s="180"/>
      <c r="O360" s="180"/>
      <c r="P360" s="123"/>
      <c r="Q360" s="130"/>
      <c r="R360" s="180"/>
      <c r="S360" s="180"/>
      <c r="T360" s="180"/>
      <c r="U360" s="180"/>
      <c r="V360" s="123"/>
      <c r="W360" s="123"/>
      <c r="X360" s="123"/>
      <c r="Y360" s="180"/>
      <c r="Z360" s="180"/>
    </row>
    <row r="361" spans="1:26" ht="45.75" customHeight="1">
      <c r="A361" s="180"/>
      <c r="B361" s="180"/>
      <c r="C361" s="180"/>
      <c r="D361" s="180"/>
      <c r="E361" s="180"/>
      <c r="F361" s="225"/>
      <c r="G361" s="180"/>
      <c r="H361" s="180"/>
      <c r="I361" s="180"/>
      <c r="J361" s="211"/>
      <c r="K361" s="180"/>
      <c r="L361" s="212"/>
      <c r="M361" s="180"/>
      <c r="N361" s="180"/>
      <c r="O361" s="180"/>
      <c r="P361" s="123"/>
      <c r="Q361" s="130"/>
      <c r="R361" s="180"/>
      <c r="S361" s="180"/>
      <c r="T361" s="180"/>
      <c r="U361" s="180"/>
      <c r="V361" s="123"/>
      <c r="W361" s="123"/>
      <c r="X361" s="123"/>
      <c r="Y361" s="180"/>
      <c r="Z361" s="180"/>
    </row>
    <row r="362" spans="1:26" ht="45.75" customHeight="1">
      <c r="A362" s="180"/>
      <c r="B362" s="180"/>
      <c r="C362" s="180"/>
      <c r="D362" s="180"/>
      <c r="E362" s="180"/>
      <c r="F362" s="225"/>
      <c r="G362" s="180"/>
      <c r="H362" s="180"/>
      <c r="I362" s="180"/>
      <c r="J362" s="211"/>
      <c r="K362" s="180"/>
      <c r="L362" s="212"/>
      <c r="M362" s="180"/>
      <c r="N362" s="180"/>
      <c r="O362" s="180"/>
      <c r="P362" s="123"/>
      <c r="Q362" s="130"/>
      <c r="R362" s="180"/>
      <c r="S362" s="180"/>
      <c r="T362" s="180"/>
      <c r="U362" s="180"/>
      <c r="V362" s="123"/>
      <c r="W362" s="123"/>
      <c r="X362" s="123"/>
      <c r="Y362" s="180"/>
      <c r="Z362" s="180"/>
    </row>
    <row r="363" spans="1:26" ht="45.75" customHeight="1">
      <c r="A363" s="180"/>
      <c r="B363" s="180"/>
      <c r="C363" s="180"/>
      <c r="D363" s="180"/>
      <c r="E363" s="180"/>
      <c r="F363" s="225"/>
      <c r="G363" s="180"/>
      <c r="H363" s="180"/>
      <c r="I363" s="180"/>
      <c r="J363" s="211"/>
      <c r="K363" s="180"/>
      <c r="L363" s="212"/>
      <c r="M363" s="180"/>
      <c r="N363" s="180"/>
      <c r="O363" s="180"/>
      <c r="P363" s="123"/>
      <c r="Q363" s="130"/>
      <c r="R363" s="180"/>
      <c r="S363" s="180"/>
      <c r="T363" s="180"/>
      <c r="U363" s="180"/>
      <c r="V363" s="123"/>
      <c r="W363" s="123"/>
      <c r="X363" s="123"/>
      <c r="Y363" s="180"/>
      <c r="Z363" s="180"/>
    </row>
    <row r="364" spans="1:26" ht="45.75" customHeight="1">
      <c r="A364" s="180"/>
      <c r="B364" s="180"/>
      <c r="C364" s="180"/>
      <c r="D364" s="180"/>
      <c r="E364" s="180"/>
      <c r="F364" s="225"/>
      <c r="G364" s="180"/>
      <c r="H364" s="180"/>
      <c r="I364" s="180"/>
      <c r="J364" s="211"/>
      <c r="K364" s="180"/>
      <c r="L364" s="212"/>
      <c r="M364" s="180"/>
      <c r="N364" s="180"/>
      <c r="O364" s="180"/>
      <c r="P364" s="123"/>
      <c r="Q364" s="130"/>
      <c r="R364" s="180"/>
      <c r="S364" s="180"/>
      <c r="T364" s="180"/>
      <c r="U364" s="180"/>
      <c r="V364" s="123"/>
      <c r="W364" s="123"/>
      <c r="X364" s="123"/>
      <c r="Y364" s="180"/>
      <c r="Z364" s="180"/>
    </row>
    <row r="365" spans="1:26" ht="45.75" customHeight="1">
      <c r="A365" s="180"/>
      <c r="B365" s="180"/>
      <c r="C365" s="180"/>
      <c r="D365" s="180"/>
      <c r="E365" s="180"/>
      <c r="F365" s="225"/>
      <c r="G365" s="180"/>
      <c r="H365" s="180"/>
      <c r="I365" s="180"/>
      <c r="J365" s="211"/>
      <c r="K365" s="180"/>
      <c r="L365" s="212"/>
      <c r="M365" s="180"/>
      <c r="N365" s="180"/>
      <c r="O365" s="180"/>
      <c r="P365" s="123"/>
      <c r="Q365" s="130"/>
      <c r="R365" s="180"/>
      <c r="S365" s="180"/>
      <c r="T365" s="180"/>
      <c r="U365" s="180"/>
      <c r="V365" s="123"/>
      <c r="W365" s="123"/>
      <c r="X365" s="123"/>
      <c r="Y365" s="180"/>
      <c r="Z365" s="180"/>
    </row>
    <row r="366" spans="1:26" ht="45.75" customHeight="1">
      <c r="A366" s="180"/>
      <c r="B366" s="180"/>
      <c r="C366" s="180"/>
      <c r="D366" s="180"/>
      <c r="E366" s="180"/>
      <c r="F366" s="225"/>
      <c r="G366" s="180"/>
      <c r="H366" s="180"/>
      <c r="I366" s="180"/>
      <c r="J366" s="211"/>
      <c r="K366" s="180"/>
      <c r="L366" s="212"/>
      <c r="M366" s="180"/>
      <c r="N366" s="180"/>
      <c r="O366" s="180"/>
      <c r="P366" s="123"/>
      <c r="Q366" s="130"/>
      <c r="R366" s="180"/>
      <c r="S366" s="180"/>
      <c r="T366" s="180"/>
      <c r="U366" s="180"/>
      <c r="V366" s="123"/>
      <c r="W366" s="123"/>
      <c r="X366" s="123"/>
      <c r="Y366" s="180"/>
      <c r="Z366" s="180"/>
    </row>
    <row r="367" spans="1:26" ht="45.75" customHeight="1">
      <c r="A367" s="180"/>
      <c r="B367" s="180"/>
      <c r="C367" s="180"/>
      <c r="D367" s="180"/>
      <c r="E367" s="180"/>
      <c r="F367" s="225"/>
      <c r="G367" s="180"/>
      <c r="H367" s="180"/>
      <c r="I367" s="180"/>
      <c r="J367" s="211"/>
      <c r="K367" s="180"/>
      <c r="L367" s="212"/>
      <c r="M367" s="180"/>
      <c r="N367" s="180"/>
      <c r="O367" s="180"/>
      <c r="P367" s="123"/>
      <c r="Q367" s="130"/>
      <c r="R367" s="180"/>
      <c r="S367" s="180"/>
      <c r="T367" s="180"/>
      <c r="U367" s="180"/>
      <c r="V367" s="123"/>
      <c r="W367" s="123"/>
      <c r="X367" s="123"/>
      <c r="Y367" s="180"/>
      <c r="Z367" s="180"/>
    </row>
    <row r="368" spans="1:26" ht="45.75" customHeight="1">
      <c r="A368" s="180"/>
      <c r="B368" s="180"/>
      <c r="C368" s="180"/>
      <c r="D368" s="180"/>
      <c r="E368" s="180"/>
      <c r="F368" s="225"/>
      <c r="G368" s="180"/>
      <c r="H368" s="180"/>
      <c r="I368" s="180"/>
      <c r="J368" s="211"/>
      <c r="K368" s="180"/>
      <c r="L368" s="212"/>
      <c r="M368" s="180"/>
      <c r="N368" s="180"/>
      <c r="O368" s="180"/>
      <c r="P368" s="123"/>
      <c r="Q368" s="130"/>
      <c r="R368" s="180"/>
      <c r="S368" s="180"/>
      <c r="T368" s="180"/>
      <c r="U368" s="180"/>
      <c r="V368" s="123"/>
      <c r="W368" s="123"/>
      <c r="X368" s="123"/>
      <c r="Y368" s="180"/>
      <c r="Z368" s="180"/>
    </row>
    <row r="369" spans="1:26" ht="45.75" customHeight="1">
      <c r="A369" s="180"/>
      <c r="B369" s="180"/>
      <c r="C369" s="180"/>
      <c r="D369" s="180"/>
      <c r="E369" s="180"/>
      <c r="F369" s="225"/>
      <c r="G369" s="180"/>
      <c r="H369" s="180"/>
      <c r="I369" s="180"/>
      <c r="J369" s="211"/>
      <c r="K369" s="180"/>
      <c r="L369" s="212"/>
      <c r="M369" s="180"/>
      <c r="N369" s="180"/>
      <c r="O369" s="180"/>
      <c r="P369" s="123"/>
      <c r="Q369" s="130"/>
      <c r="R369" s="180"/>
      <c r="S369" s="180"/>
      <c r="T369" s="180"/>
      <c r="U369" s="180"/>
      <c r="V369" s="123"/>
      <c r="W369" s="123"/>
      <c r="X369" s="123"/>
      <c r="Y369" s="180"/>
      <c r="Z369" s="180"/>
    </row>
    <row r="370" spans="1:26" ht="45.75" customHeight="1">
      <c r="A370" s="180"/>
      <c r="B370" s="180"/>
      <c r="C370" s="180"/>
      <c r="D370" s="180"/>
      <c r="E370" s="180"/>
      <c r="F370" s="225"/>
      <c r="G370" s="180"/>
      <c r="H370" s="180"/>
      <c r="I370" s="180"/>
      <c r="J370" s="211"/>
      <c r="K370" s="180"/>
      <c r="L370" s="212"/>
      <c r="M370" s="180"/>
      <c r="N370" s="180"/>
      <c r="O370" s="180"/>
      <c r="P370" s="123"/>
      <c r="Q370" s="130"/>
      <c r="R370" s="180"/>
      <c r="S370" s="180"/>
      <c r="T370" s="180"/>
      <c r="U370" s="180"/>
      <c r="V370" s="123"/>
      <c r="W370" s="123"/>
      <c r="X370" s="123"/>
      <c r="Y370" s="180"/>
      <c r="Z370" s="180"/>
    </row>
    <row r="371" spans="1:26" ht="45.75" customHeight="1">
      <c r="A371" s="180"/>
      <c r="B371" s="180"/>
      <c r="C371" s="180"/>
      <c r="D371" s="180"/>
      <c r="E371" s="180"/>
      <c r="F371" s="225"/>
      <c r="G371" s="180"/>
      <c r="H371" s="180"/>
      <c r="I371" s="180"/>
      <c r="J371" s="211"/>
      <c r="K371" s="180"/>
      <c r="L371" s="212"/>
      <c r="M371" s="180"/>
      <c r="N371" s="180"/>
      <c r="O371" s="180"/>
      <c r="P371" s="123"/>
      <c r="Q371" s="130"/>
      <c r="R371" s="180"/>
      <c r="S371" s="180"/>
      <c r="T371" s="180"/>
      <c r="U371" s="180"/>
      <c r="V371" s="123"/>
      <c r="W371" s="123"/>
      <c r="X371" s="123"/>
      <c r="Y371" s="180"/>
      <c r="Z371" s="180"/>
    </row>
    <row r="372" spans="1:26" ht="45.75" customHeight="1">
      <c r="A372" s="180"/>
      <c r="B372" s="180"/>
      <c r="C372" s="180"/>
      <c r="D372" s="180"/>
      <c r="E372" s="180"/>
      <c r="F372" s="225"/>
      <c r="G372" s="180"/>
      <c r="H372" s="180"/>
      <c r="I372" s="180"/>
      <c r="J372" s="211"/>
      <c r="K372" s="180"/>
      <c r="L372" s="212"/>
      <c r="M372" s="180"/>
      <c r="N372" s="180"/>
      <c r="O372" s="180"/>
      <c r="P372" s="123"/>
      <c r="Q372" s="130"/>
      <c r="R372" s="180"/>
      <c r="S372" s="180"/>
      <c r="T372" s="180"/>
      <c r="U372" s="180"/>
      <c r="V372" s="123"/>
      <c r="W372" s="123"/>
      <c r="X372" s="123"/>
      <c r="Y372" s="180"/>
      <c r="Z372" s="180"/>
    </row>
    <row r="373" spans="1:26" ht="45.75" customHeight="1">
      <c r="A373" s="180"/>
      <c r="B373" s="180"/>
      <c r="C373" s="180"/>
      <c r="D373" s="180"/>
      <c r="E373" s="180"/>
      <c r="F373" s="225"/>
      <c r="G373" s="180"/>
      <c r="H373" s="180"/>
      <c r="I373" s="180"/>
      <c r="J373" s="211"/>
      <c r="K373" s="180"/>
      <c r="L373" s="212"/>
      <c r="M373" s="180"/>
      <c r="N373" s="180"/>
      <c r="O373" s="180"/>
      <c r="P373" s="123"/>
      <c r="Q373" s="130"/>
      <c r="R373" s="180"/>
      <c r="S373" s="180"/>
      <c r="T373" s="180"/>
      <c r="U373" s="180"/>
      <c r="V373" s="123"/>
      <c r="W373" s="123"/>
      <c r="X373" s="123"/>
      <c r="Y373" s="180"/>
      <c r="Z373" s="180"/>
    </row>
    <row r="374" spans="1:26" ht="45.75" customHeight="1">
      <c r="A374" s="180"/>
      <c r="B374" s="180"/>
      <c r="C374" s="180"/>
      <c r="D374" s="180"/>
      <c r="E374" s="180"/>
      <c r="F374" s="225"/>
      <c r="G374" s="180"/>
      <c r="H374" s="180"/>
      <c r="I374" s="180"/>
      <c r="J374" s="211"/>
      <c r="K374" s="180"/>
      <c r="L374" s="212"/>
      <c r="M374" s="180"/>
      <c r="N374" s="180"/>
      <c r="O374" s="180"/>
      <c r="P374" s="123"/>
      <c r="Q374" s="130"/>
      <c r="R374" s="180"/>
      <c r="S374" s="180"/>
      <c r="T374" s="180"/>
      <c r="U374" s="180"/>
      <c r="V374" s="123"/>
      <c r="W374" s="123"/>
      <c r="X374" s="123"/>
      <c r="Y374" s="180"/>
      <c r="Z374" s="180"/>
    </row>
    <row r="375" spans="1:26" ht="45.75" customHeight="1">
      <c r="A375" s="180"/>
      <c r="B375" s="180"/>
      <c r="C375" s="180"/>
      <c r="D375" s="180"/>
      <c r="E375" s="180"/>
      <c r="F375" s="225"/>
      <c r="G375" s="180"/>
      <c r="H375" s="180"/>
      <c r="I375" s="180"/>
      <c r="J375" s="211"/>
      <c r="K375" s="180"/>
      <c r="L375" s="212"/>
      <c r="M375" s="180"/>
      <c r="N375" s="180"/>
      <c r="O375" s="180"/>
      <c r="P375" s="123"/>
      <c r="Q375" s="130"/>
      <c r="R375" s="180"/>
      <c r="S375" s="180"/>
      <c r="T375" s="180"/>
      <c r="U375" s="180"/>
      <c r="V375" s="123"/>
      <c r="W375" s="123"/>
      <c r="X375" s="123"/>
      <c r="Y375" s="180"/>
      <c r="Z375" s="180"/>
    </row>
    <row r="376" spans="1:26" ht="45.75" customHeight="1">
      <c r="A376" s="180"/>
      <c r="B376" s="180"/>
      <c r="C376" s="180"/>
      <c r="D376" s="180"/>
      <c r="E376" s="180"/>
      <c r="F376" s="225"/>
      <c r="G376" s="180"/>
      <c r="H376" s="180"/>
      <c r="I376" s="180"/>
      <c r="J376" s="211"/>
      <c r="K376" s="180"/>
      <c r="L376" s="212"/>
      <c r="M376" s="180"/>
      <c r="N376" s="180"/>
      <c r="O376" s="180"/>
      <c r="P376" s="123"/>
      <c r="Q376" s="130"/>
      <c r="R376" s="180"/>
      <c r="S376" s="180"/>
      <c r="T376" s="180"/>
      <c r="U376" s="180"/>
      <c r="V376" s="123"/>
      <c r="W376" s="123"/>
      <c r="X376" s="123"/>
      <c r="Y376" s="180"/>
      <c r="Z376" s="180"/>
    </row>
    <row r="377" spans="1:26" ht="45.75" customHeight="1">
      <c r="A377" s="180"/>
      <c r="B377" s="180"/>
      <c r="C377" s="180"/>
      <c r="D377" s="180"/>
      <c r="E377" s="180"/>
      <c r="F377" s="225"/>
      <c r="G377" s="180"/>
      <c r="H377" s="180"/>
      <c r="I377" s="180"/>
      <c r="J377" s="211"/>
      <c r="K377" s="180"/>
      <c r="L377" s="212"/>
      <c r="M377" s="180"/>
      <c r="N377" s="180"/>
      <c r="O377" s="180"/>
      <c r="P377" s="123"/>
      <c r="Q377" s="130"/>
      <c r="R377" s="180"/>
      <c r="S377" s="180"/>
      <c r="T377" s="180"/>
      <c r="U377" s="180"/>
      <c r="V377" s="123"/>
      <c r="W377" s="123"/>
      <c r="X377" s="123"/>
      <c r="Y377" s="180"/>
      <c r="Z377" s="180"/>
    </row>
    <row r="378" spans="1:26" ht="45.75" customHeight="1">
      <c r="A378" s="180"/>
      <c r="B378" s="180"/>
      <c r="C378" s="180"/>
      <c r="D378" s="180"/>
      <c r="E378" s="180"/>
      <c r="F378" s="225"/>
      <c r="G378" s="180"/>
      <c r="H378" s="180"/>
      <c r="I378" s="180"/>
      <c r="J378" s="211"/>
      <c r="K378" s="180"/>
      <c r="L378" s="212"/>
      <c r="M378" s="180"/>
      <c r="N378" s="180"/>
      <c r="O378" s="180"/>
      <c r="P378" s="123"/>
      <c r="Q378" s="130"/>
      <c r="R378" s="180"/>
      <c r="S378" s="180"/>
      <c r="T378" s="180"/>
      <c r="U378" s="180"/>
      <c r="V378" s="123"/>
      <c r="W378" s="123"/>
      <c r="X378" s="123"/>
      <c r="Y378" s="180"/>
      <c r="Z378" s="180"/>
    </row>
    <row r="379" spans="1:26" ht="45.75" customHeight="1">
      <c r="A379" s="180"/>
      <c r="B379" s="180"/>
      <c r="C379" s="180"/>
      <c r="D379" s="180"/>
      <c r="E379" s="180"/>
      <c r="F379" s="225"/>
      <c r="G379" s="180"/>
      <c r="H379" s="180"/>
      <c r="I379" s="180"/>
      <c r="J379" s="211"/>
      <c r="K379" s="180"/>
      <c r="L379" s="212"/>
      <c r="M379" s="180"/>
      <c r="N379" s="180"/>
      <c r="O379" s="180"/>
      <c r="P379" s="123"/>
      <c r="Q379" s="130"/>
      <c r="R379" s="180"/>
      <c r="S379" s="180"/>
      <c r="T379" s="180"/>
      <c r="U379" s="180"/>
      <c r="V379" s="123"/>
      <c r="W379" s="123"/>
      <c r="X379" s="123"/>
      <c r="Y379" s="180"/>
      <c r="Z379" s="180"/>
    </row>
    <row r="380" spans="1:26" ht="45.75" customHeight="1">
      <c r="A380" s="180"/>
      <c r="B380" s="180"/>
      <c r="C380" s="180"/>
      <c r="D380" s="180"/>
      <c r="E380" s="180"/>
      <c r="F380" s="225"/>
      <c r="G380" s="180"/>
      <c r="H380" s="180"/>
      <c r="I380" s="180"/>
      <c r="J380" s="211"/>
      <c r="K380" s="180"/>
      <c r="L380" s="212"/>
      <c r="M380" s="180"/>
      <c r="N380" s="180"/>
      <c r="O380" s="180"/>
      <c r="P380" s="123"/>
      <c r="Q380" s="130"/>
      <c r="R380" s="180"/>
      <c r="S380" s="180"/>
      <c r="T380" s="180"/>
      <c r="U380" s="180"/>
      <c r="V380" s="123"/>
      <c r="W380" s="123"/>
      <c r="X380" s="123"/>
      <c r="Y380" s="180"/>
      <c r="Z380" s="180"/>
    </row>
    <row r="381" spans="1:26" ht="45.75" customHeight="1">
      <c r="A381" s="180"/>
      <c r="B381" s="180"/>
      <c r="C381" s="180"/>
      <c r="D381" s="180"/>
      <c r="E381" s="180"/>
      <c r="F381" s="225"/>
      <c r="G381" s="180"/>
      <c r="H381" s="180"/>
      <c r="I381" s="180"/>
      <c r="J381" s="211"/>
      <c r="K381" s="180"/>
      <c r="L381" s="212"/>
      <c r="M381" s="180"/>
      <c r="N381" s="180"/>
      <c r="O381" s="180"/>
      <c r="P381" s="123"/>
      <c r="Q381" s="130"/>
      <c r="R381" s="180"/>
      <c r="S381" s="180"/>
      <c r="T381" s="180"/>
      <c r="U381" s="180"/>
      <c r="V381" s="123"/>
      <c r="W381" s="123"/>
      <c r="X381" s="123"/>
      <c r="Y381" s="180"/>
      <c r="Z381" s="180"/>
    </row>
    <row r="382" spans="1:26" ht="45.75" customHeight="1">
      <c r="A382" s="180"/>
      <c r="B382" s="180"/>
      <c r="C382" s="180"/>
      <c r="D382" s="180"/>
      <c r="E382" s="180"/>
      <c r="F382" s="225"/>
      <c r="G382" s="180"/>
      <c r="H382" s="180"/>
      <c r="I382" s="180"/>
      <c r="J382" s="211"/>
      <c r="K382" s="180"/>
      <c r="L382" s="212"/>
      <c r="M382" s="180"/>
      <c r="N382" s="180"/>
      <c r="O382" s="180"/>
      <c r="P382" s="123"/>
      <c r="Q382" s="130"/>
      <c r="R382" s="180"/>
      <c r="S382" s="180"/>
      <c r="T382" s="180"/>
      <c r="U382" s="180"/>
      <c r="V382" s="123"/>
      <c r="W382" s="123"/>
      <c r="X382" s="123"/>
      <c r="Y382" s="180"/>
      <c r="Z382" s="180"/>
    </row>
    <row r="383" spans="1:26" ht="45.75" customHeight="1">
      <c r="A383" s="180"/>
      <c r="B383" s="180"/>
      <c r="C383" s="180"/>
      <c r="D383" s="180"/>
      <c r="E383" s="180"/>
      <c r="F383" s="225"/>
      <c r="G383" s="180"/>
      <c r="H383" s="180"/>
      <c r="I383" s="180"/>
      <c r="J383" s="211"/>
      <c r="K383" s="180"/>
      <c r="L383" s="212"/>
      <c r="M383" s="180"/>
      <c r="N383" s="180"/>
      <c r="O383" s="180"/>
      <c r="P383" s="123"/>
      <c r="Q383" s="130"/>
      <c r="R383" s="180"/>
      <c r="S383" s="180"/>
      <c r="T383" s="180"/>
      <c r="U383" s="180"/>
      <c r="V383" s="123"/>
      <c r="W383" s="123"/>
      <c r="X383" s="123"/>
      <c r="Y383" s="180"/>
      <c r="Z383" s="180"/>
    </row>
    <row r="384" spans="1:26" ht="45.75" customHeight="1">
      <c r="A384" s="180"/>
      <c r="B384" s="180"/>
      <c r="C384" s="180"/>
      <c r="D384" s="180"/>
      <c r="E384" s="180"/>
      <c r="F384" s="225"/>
      <c r="G384" s="180"/>
      <c r="H384" s="180"/>
      <c r="I384" s="180"/>
      <c r="J384" s="211"/>
      <c r="K384" s="180"/>
      <c r="L384" s="212"/>
      <c r="M384" s="180"/>
      <c r="N384" s="180"/>
      <c r="O384" s="180"/>
      <c r="P384" s="123"/>
      <c r="Q384" s="130"/>
      <c r="R384" s="180"/>
      <c r="S384" s="180"/>
      <c r="T384" s="180"/>
      <c r="U384" s="180"/>
      <c r="V384" s="123"/>
      <c r="W384" s="123"/>
      <c r="X384" s="123"/>
      <c r="Y384" s="180"/>
      <c r="Z384" s="180"/>
    </row>
    <row r="385" spans="1:26" ht="45.75" customHeight="1">
      <c r="A385" s="180"/>
      <c r="B385" s="180"/>
      <c r="C385" s="180"/>
      <c r="D385" s="180"/>
      <c r="E385" s="180"/>
      <c r="F385" s="225"/>
      <c r="G385" s="180"/>
      <c r="H385" s="180"/>
      <c r="I385" s="180"/>
      <c r="J385" s="211"/>
      <c r="K385" s="180"/>
      <c r="L385" s="212"/>
      <c r="M385" s="180"/>
      <c r="N385" s="180"/>
      <c r="O385" s="180"/>
      <c r="P385" s="123"/>
      <c r="Q385" s="130"/>
      <c r="R385" s="180"/>
      <c r="S385" s="180"/>
      <c r="T385" s="180"/>
      <c r="U385" s="180"/>
      <c r="V385" s="123"/>
      <c r="W385" s="123"/>
      <c r="X385" s="123"/>
      <c r="Y385" s="180"/>
      <c r="Z385" s="180"/>
    </row>
    <row r="386" spans="1:26" ht="45.75" customHeight="1">
      <c r="A386" s="180"/>
      <c r="B386" s="180"/>
      <c r="C386" s="180"/>
      <c r="D386" s="180"/>
      <c r="E386" s="180"/>
      <c r="F386" s="225"/>
      <c r="G386" s="180"/>
      <c r="H386" s="180"/>
      <c r="I386" s="180"/>
      <c r="J386" s="211"/>
      <c r="K386" s="180"/>
      <c r="L386" s="212"/>
      <c r="M386" s="180"/>
      <c r="N386" s="180"/>
      <c r="O386" s="180"/>
      <c r="P386" s="123"/>
      <c r="Q386" s="130"/>
      <c r="R386" s="180"/>
      <c r="S386" s="180"/>
      <c r="T386" s="180"/>
      <c r="U386" s="180"/>
      <c r="V386" s="123"/>
      <c r="W386" s="123"/>
      <c r="X386" s="123"/>
      <c r="Y386" s="180"/>
      <c r="Z386" s="180"/>
    </row>
    <row r="387" spans="1:26" ht="45.75" customHeight="1">
      <c r="A387" s="180"/>
      <c r="B387" s="180"/>
      <c r="C387" s="180"/>
      <c r="D387" s="180"/>
      <c r="E387" s="180"/>
      <c r="F387" s="225"/>
      <c r="G387" s="180"/>
      <c r="H387" s="180"/>
      <c r="I387" s="180"/>
      <c r="J387" s="211"/>
      <c r="K387" s="180"/>
      <c r="L387" s="212"/>
      <c r="M387" s="180"/>
      <c r="N387" s="180"/>
      <c r="O387" s="180"/>
      <c r="P387" s="123"/>
      <c r="Q387" s="130"/>
      <c r="R387" s="180"/>
      <c r="S387" s="180"/>
      <c r="T387" s="180"/>
      <c r="U387" s="180"/>
      <c r="V387" s="123"/>
      <c r="W387" s="123"/>
      <c r="X387" s="123"/>
      <c r="Y387" s="180"/>
      <c r="Z387" s="180"/>
    </row>
    <row r="388" spans="1:26" ht="45.75" customHeight="1">
      <c r="A388" s="180"/>
      <c r="B388" s="180"/>
      <c r="C388" s="180"/>
      <c r="D388" s="180"/>
      <c r="E388" s="180"/>
      <c r="F388" s="225"/>
      <c r="G388" s="180"/>
      <c r="H388" s="180"/>
      <c r="I388" s="180"/>
      <c r="J388" s="211"/>
      <c r="K388" s="180"/>
      <c r="L388" s="212"/>
      <c r="M388" s="180"/>
      <c r="N388" s="180"/>
      <c r="O388" s="180"/>
      <c r="P388" s="123"/>
      <c r="Q388" s="130"/>
      <c r="R388" s="180"/>
      <c r="S388" s="180"/>
      <c r="T388" s="180"/>
      <c r="U388" s="180"/>
      <c r="V388" s="123"/>
      <c r="W388" s="123"/>
      <c r="X388" s="123"/>
      <c r="Y388" s="180"/>
      <c r="Z388" s="180"/>
    </row>
    <row r="389" spans="1:26" ht="45.75" customHeight="1">
      <c r="A389" s="180"/>
      <c r="B389" s="180"/>
      <c r="C389" s="180"/>
      <c r="D389" s="180"/>
      <c r="E389" s="180"/>
      <c r="F389" s="225"/>
      <c r="G389" s="180"/>
      <c r="H389" s="180"/>
      <c r="I389" s="180"/>
      <c r="J389" s="211"/>
      <c r="K389" s="180"/>
      <c r="L389" s="212"/>
      <c r="M389" s="180"/>
      <c r="N389" s="180"/>
      <c r="O389" s="180"/>
      <c r="P389" s="123"/>
      <c r="Q389" s="130"/>
      <c r="R389" s="180"/>
      <c r="S389" s="180"/>
      <c r="T389" s="180"/>
      <c r="U389" s="180"/>
      <c r="V389" s="123"/>
      <c r="W389" s="123"/>
      <c r="X389" s="123"/>
      <c r="Y389" s="180"/>
      <c r="Z389" s="180"/>
    </row>
    <row r="390" spans="1:26" ht="45.75" customHeight="1">
      <c r="A390" s="180"/>
      <c r="B390" s="180"/>
      <c r="C390" s="180"/>
      <c r="D390" s="180"/>
      <c r="E390" s="180"/>
      <c r="F390" s="225"/>
      <c r="G390" s="180"/>
      <c r="H390" s="180"/>
      <c r="I390" s="180"/>
      <c r="J390" s="211"/>
      <c r="K390" s="180"/>
      <c r="L390" s="212"/>
      <c r="M390" s="180"/>
      <c r="N390" s="180"/>
      <c r="O390" s="180"/>
      <c r="P390" s="123"/>
      <c r="Q390" s="130"/>
      <c r="R390" s="180"/>
      <c r="S390" s="180"/>
      <c r="T390" s="180"/>
      <c r="U390" s="180"/>
      <c r="V390" s="123"/>
      <c r="W390" s="123"/>
      <c r="X390" s="123"/>
      <c r="Y390" s="180"/>
      <c r="Z390" s="180"/>
    </row>
    <row r="391" spans="1:26" ht="45.75" customHeight="1">
      <c r="A391" s="180"/>
      <c r="B391" s="180"/>
      <c r="C391" s="180"/>
      <c r="D391" s="180"/>
      <c r="E391" s="180"/>
      <c r="F391" s="225"/>
      <c r="G391" s="180"/>
      <c r="H391" s="180"/>
      <c r="I391" s="180"/>
      <c r="J391" s="211"/>
      <c r="K391" s="180"/>
      <c r="L391" s="212"/>
      <c r="M391" s="180"/>
      <c r="N391" s="180"/>
      <c r="O391" s="180"/>
      <c r="P391" s="123"/>
      <c r="Q391" s="130"/>
      <c r="R391" s="180"/>
      <c r="S391" s="180"/>
      <c r="T391" s="180"/>
      <c r="U391" s="180"/>
      <c r="V391" s="123"/>
      <c r="W391" s="123"/>
      <c r="X391" s="123"/>
      <c r="Y391" s="180"/>
      <c r="Z391" s="180"/>
    </row>
    <row r="392" spans="1:26" ht="45.75" customHeight="1">
      <c r="A392" s="180"/>
      <c r="B392" s="180"/>
      <c r="C392" s="180"/>
      <c r="D392" s="180"/>
      <c r="E392" s="180"/>
      <c r="F392" s="225"/>
      <c r="G392" s="180"/>
      <c r="H392" s="180"/>
      <c r="I392" s="180"/>
      <c r="J392" s="211"/>
      <c r="K392" s="180"/>
      <c r="L392" s="212"/>
      <c r="M392" s="180"/>
      <c r="N392" s="180"/>
      <c r="O392" s="180"/>
      <c r="P392" s="123"/>
      <c r="Q392" s="130"/>
      <c r="R392" s="180"/>
      <c r="S392" s="180"/>
      <c r="T392" s="180"/>
      <c r="U392" s="180"/>
      <c r="V392" s="123"/>
      <c r="W392" s="123"/>
      <c r="X392" s="123"/>
      <c r="Y392" s="180"/>
      <c r="Z392" s="180"/>
    </row>
    <row r="393" spans="1:26" ht="45.75" customHeight="1">
      <c r="A393" s="180"/>
      <c r="B393" s="180"/>
      <c r="C393" s="180"/>
      <c r="D393" s="180"/>
      <c r="E393" s="180"/>
      <c r="F393" s="225"/>
      <c r="G393" s="180"/>
      <c r="H393" s="180"/>
      <c r="I393" s="180"/>
      <c r="J393" s="211"/>
      <c r="K393" s="180"/>
      <c r="L393" s="212"/>
      <c r="M393" s="180"/>
      <c r="N393" s="180"/>
      <c r="O393" s="180"/>
      <c r="P393" s="123"/>
      <c r="Q393" s="130"/>
      <c r="R393" s="180"/>
      <c r="S393" s="180"/>
      <c r="T393" s="180"/>
      <c r="U393" s="180"/>
      <c r="V393" s="123"/>
      <c r="W393" s="123"/>
      <c r="X393" s="123"/>
      <c r="Y393" s="180"/>
      <c r="Z393" s="180"/>
    </row>
    <row r="394" spans="1:26" ht="45.75" customHeight="1">
      <c r="A394" s="180"/>
      <c r="B394" s="180"/>
      <c r="C394" s="180"/>
      <c r="D394" s="180"/>
      <c r="E394" s="180"/>
      <c r="F394" s="225"/>
      <c r="G394" s="180"/>
      <c r="H394" s="180"/>
      <c r="I394" s="180"/>
      <c r="J394" s="211"/>
      <c r="K394" s="180"/>
      <c r="L394" s="212"/>
      <c r="M394" s="180"/>
      <c r="N394" s="180"/>
      <c r="O394" s="180"/>
      <c r="P394" s="123"/>
      <c r="Q394" s="130"/>
      <c r="R394" s="180"/>
      <c r="S394" s="180"/>
      <c r="T394" s="180"/>
      <c r="U394" s="180"/>
      <c r="V394" s="123"/>
      <c r="W394" s="123"/>
      <c r="X394" s="123"/>
      <c r="Y394" s="180"/>
      <c r="Z394" s="180"/>
    </row>
    <row r="395" spans="1:26" ht="45.75" customHeight="1">
      <c r="A395" s="180"/>
      <c r="B395" s="180"/>
      <c r="C395" s="180"/>
      <c r="D395" s="180"/>
      <c r="E395" s="180"/>
      <c r="F395" s="225"/>
      <c r="G395" s="180"/>
      <c r="H395" s="180"/>
      <c r="I395" s="180"/>
      <c r="J395" s="211"/>
      <c r="K395" s="180"/>
      <c r="L395" s="212"/>
      <c r="M395" s="180"/>
      <c r="N395" s="180"/>
      <c r="O395" s="180"/>
      <c r="P395" s="123"/>
      <c r="Q395" s="130"/>
      <c r="R395" s="180"/>
      <c r="S395" s="180"/>
      <c r="T395" s="180"/>
      <c r="U395" s="180"/>
      <c r="V395" s="123"/>
      <c r="W395" s="123"/>
      <c r="X395" s="123"/>
      <c r="Y395" s="180"/>
      <c r="Z395" s="180"/>
    </row>
    <row r="396" spans="1:26" ht="45.75" customHeight="1">
      <c r="A396" s="180"/>
      <c r="B396" s="180"/>
      <c r="C396" s="180"/>
      <c r="D396" s="180"/>
      <c r="E396" s="180"/>
      <c r="F396" s="225"/>
      <c r="G396" s="180"/>
      <c r="H396" s="180"/>
      <c r="I396" s="180"/>
      <c r="J396" s="211"/>
      <c r="K396" s="180"/>
      <c r="L396" s="212"/>
      <c r="M396" s="180"/>
      <c r="N396" s="180"/>
      <c r="O396" s="180"/>
      <c r="P396" s="123"/>
      <c r="Q396" s="130"/>
      <c r="R396" s="180"/>
      <c r="S396" s="180"/>
      <c r="T396" s="180"/>
      <c r="U396" s="180"/>
      <c r="V396" s="123"/>
      <c r="W396" s="123"/>
      <c r="X396" s="123"/>
      <c r="Y396" s="180"/>
      <c r="Z396" s="180"/>
    </row>
    <row r="397" spans="1:26" ht="45.75" customHeight="1">
      <c r="A397" s="180"/>
      <c r="B397" s="180"/>
      <c r="C397" s="180"/>
      <c r="D397" s="180"/>
      <c r="E397" s="180"/>
      <c r="F397" s="225"/>
      <c r="G397" s="180"/>
      <c r="H397" s="180"/>
      <c r="I397" s="180"/>
      <c r="J397" s="211"/>
      <c r="K397" s="180"/>
      <c r="L397" s="212"/>
      <c r="M397" s="180"/>
      <c r="N397" s="180"/>
      <c r="O397" s="180"/>
      <c r="P397" s="123"/>
      <c r="Q397" s="130"/>
      <c r="R397" s="180"/>
      <c r="S397" s="180"/>
      <c r="T397" s="180"/>
      <c r="U397" s="180"/>
      <c r="V397" s="123"/>
      <c r="W397" s="123"/>
      <c r="X397" s="123"/>
      <c r="Y397" s="180"/>
      <c r="Z397" s="180"/>
    </row>
    <row r="398" spans="1:26" ht="45.75" customHeight="1">
      <c r="A398" s="180"/>
      <c r="B398" s="180"/>
      <c r="C398" s="180"/>
      <c r="D398" s="180"/>
      <c r="E398" s="180"/>
      <c r="F398" s="225"/>
      <c r="G398" s="180"/>
      <c r="H398" s="180"/>
      <c r="I398" s="180"/>
      <c r="J398" s="211"/>
      <c r="K398" s="180"/>
      <c r="L398" s="212"/>
      <c r="M398" s="180"/>
      <c r="N398" s="180"/>
      <c r="O398" s="180"/>
      <c r="P398" s="123"/>
      <c r="Q398" s="130"/>
      <c r="R398" s="180"/>
      <c r="S398" s="180"/>
      <c r="T398" s="180"/>
      <c r="U398" s="180"/>
      <c r="V398" s="123"/>
      <c r="W398" s="123"/>
      <c r="X398" s="123"/>
      <c r="Y398" s="180"/>
      <c r="Z398" s="180"/>
    </row>
    <row r="399" spans="1:26" ht="45.75" customHeight="1">
      <c r="A399" s="180"/>
      <c r="B399" s="180"/>
      <c r="C399" s="180"/>
      <c r="D399" s="180"/>
      <c r="E399" s="180"/>
      <c r="F399" s="225"/>
      <c r="G399" s="180"/>
      <c r="H399" s="180"/>
      <c r="I399" s="180"/>
      <c r="J399" s="211"/>
      <c r="K399" s="180"/>
      <c r="L399" s="212"/>
      <c r="M399" s="180"/>
      <c r="N399" s="180"/>
      <c r="O399" s="180"/>
      <c r="P399" s="123"/>
      <c r="Q399" s="130"/>
      <c r="R399" s="180"/>
      <c r="S399" s="180"/>
      <c r="T399" s="180"/>
      <c r="U399" s="180"/>
      <c r="V399" s="123"/>
      <c r="W399" s="123"/>
      <c r="X399" s="123"/>
      <c r="Y399" s="180"/>
      <c r="Z399" s="180"/>
    </row>
    <row r="400" spans="1:26" ht="45.75" customHeight="1">
      <c r="A400" s="180"/>
      <c r="B400" s="180"/>
      <c r="C400" s="180"/>
      <c r="D400" s="180"/>
      <c r="E400" s="180"/>
      <c r="F400" s="225"/>
      <c r="G400" s="180"/>
      <c r="H400" s="180"/>
      <c r="I400" s="180"/>
      <c r="J400" s="211"/>
      <c r="K400" s="180"/>
      <c r="L400" s="212"/>
      <c r="M400" s="180"/>
      <c r="N400" s="180"/>
      <c r="O400" s="180"/>
      <c r="P400" s="123"/>
      <c r="Q400" s="130"/>
      <c r="R400" s="180"/>
      <c r="S400" s="180"/>
      <c r="T400" s="180"/>
      <c r="U400" s="180"/>
      <c r="V400" s="123"/>
      <c r="W400" s="123"/>
      <c r="X400" s="123"/>
      <c r="Y400" s="180"/>
      <c r="Z400" s="180"/>
    </row>
    <row r="401" spans="1:26" ht="45.75" customHeight="1">
      <c r="A401" s="180"/>
      <c r="B401" s="180"/>
      <c r="C401" s="180"/>
      <c r="D401" s="180"/>
      <c r="E401" s="180"/>
      <c r="F401" s="225"/>
      <c r="G401" s="180"/>
      <c r="H401" s="180"/>
      <c r="I401" s="180"/>
      <c r="J401" s="211"/>
      <c r="K401" s="180"/>
      <c r="L401" s="212"/>
      <c r="M401" s="180"/>
      <c r="N401" s="180"/>
      <c r="O401" s="180"/>
      <c r="P401" s="123"/>
      <c r="Q401" s="130"/>
      <c r="R401" s="180"/>
      <c r="S401" s="180"/>
      <c r="T401" s="180"/>
      <c r="U401" s="180"/>
      <c r="V401" s="123"/>
      <c r="W401" s="123"/>
      <c r="X401" s="123"/>
      <c r="Y401" s="180"/>
      <c r="Z401" s="180"/>
    </row>
    <row r="402" spans="1:26" ht="45.75" customHeight="1">
      <c r="A402" s="180"/>
      <c r="B402" s="180"/>
      <c r="C402" s="180"/>
      <c r="D402" s="180"/>
      <c r="E402" s="180"/>
      <c r="F402" s="225"/>
      <c r="G402" s="180"/>
      <c r="H402" s="180"/>
      <c r="I402" s="180"/>
      <c r="J402" s="211"/>
      <c r="K402" s="180"/>
      <c r="L402" s="212"/>
      <c r="M402" s="180"/>
      <c r="N402" s="180"/>
      <c r="O402" s="180"/>
      <c r="P402" s="123"/>
      <c r="Q402" s="130"/>
      <c r="R402" s="180"/>
      <c r="S402" s="180"/>
      <c r="T402" s="180"/>
      <c r="U402" s="180"/>
      <c r="V402" s="123"/>
      <c r="W402" s="123"/>
      <c r="X402" s="123"/>
      <c r="Y402" s="180"/>
      <c r="Z402" s="180"/>
    </row>
    <row r="403" spans="1:26" ht="45.75" customHeight="1">
      <c r="A403" s="180"/>
      <c r="B403" s="180"/>
      <c r="C403" s="180"/>
      <c r="D403" s="180"/>
      <c r="E403" s="180"/>
      <c r="F403" s="225"/>
      <c r="G403" s="180"/>
      <c r="H403" s="180"/>
      <c r="I403" s="180"/>
      <c r="J403" s="211"/>
      <c r="K403" s="180"/>
      <c r="L403" s="212"/>
      <c r="M403" s="180"/>
      <c r="N403" s="180"/>
      <c r="O403" s="180"/>
      <c r="P403" s="123"/>
      <c r="Q403" s="130"/>
      <c r="R403" s="180"/>
      <c r="S403" s="180"/>
      <c r="T403" s="180"/>
      <c r="U403" s="180"/>
      <c r="V403" s="123"/>
      <c r="W403" s="123"/>
      <c r="X403" s="123"/>
      <c r="Y403" s="180"/>
      <c r="Z403" s="180"/>
    </row>
    <row r="404" spans="1:26" ht="45.75" customHeight="1">
      <c r="A404" s="180"/>
      <c r="B404" s="180"/>
      <c r="C404" s="180"/>
      <c r="D404" s="180"/>
      <c r="E404" s="180"/>
      <c r="F404" s="225"/>
      <c r="G404" s="180"/>
      <c r="H404" s="180"/>
      <c r="I404" s="180"/>
      <c r="J404" s="211"/>
      <c r="K404" s="180"/>
      <c r="L404" s="212"/>
      <c r="M404" s="180"/>
      <c r="N404" s="180"/>
      <c r="O404" s="180"/>
      <c r="P404" s="123"/>
      <c r="Q404" s="130"/>
      <c r="R404" s="180"/>
      <c r="S404" s="180"/>
      <c r="T404" s="180"/>
      <c r="U404" s="180"/>
      <c r="V404" s="123"/>
      <c r="W404" s="123"/>
      <c r="X404" s="123"/>
      <c r="Y404" s="180"/>
      <c r="Z404" s="180"/>
    </row>
    <row r="405" spans="1:26" ht="45.75" customHeight="1">
      <c r="A405" s="180"/>
      <c r="B405" s="180"/>
      <c r="C405" s="180"/>
      <c r="D405" s="180"/>
      <c r="E405" s="180"/>
      <c r="F405" s="225"/>
      <c r="G405" s="180"/>
      <c r="H405" s="180"/>
      <c r="I405" s="180"/>
      <c r="J405" s="211"/>
      <c r="K405" s="180"/>
      <c r="L405" s="212"/>
      <c r="M405" s="180"/>
      <c r="N405" s="180"/>
      <c r="O405" s="180"/>
      <c r="P405" s="123"/>
      <c r="Q405" s="130"/>
      <c r="R405" s="180"/>
      <c r="S405" s="180"/>
      <c r="T405" s="180"/>
      <c r="U405" s="180"/>
      <c r="V405" s="123"/>
      <c r="W405" s="123"/>
      <c r="X405" s="123"/>
      <c r="Y405" s="180"/>
      <c r="Z405" s="180"/>
    </row>
    <row r="406" spans="1:26" ht="45.75" customHeight="1">
      <c r="A406" s="180"/>
      <c r="B406" s="180"/>
      <c r="C406" s="180"/>
      <c r="D406" s="180"/>
      <c r="E406" s="180"/>
      <c r="F406" s="225"/>
      <c r="G406" s="180"/>
      <c r="H406" s="180"/>
      <c r="I406" s="180"/>
      <c r="J406" s="211"/>
      <c r="K406" s="180"/>
      <c r="L406" s="212"/>
      <c r="M406" s="180"/>
      <c r="N406" s="180"/>
      <c r="O406" s="180"/>
      <c r="P406" s="123"/>
      <c r="Q406" s="130"/>
      <c r="R406" s="180"/>
      <c r="S406" s="180"/>
      <c r="T406" s="180"/>
      <c r="U406" s="180"/>
      <c r="V406" s="123"/>
      <c r="W406" s="123"/>
      <c r="X406" s="123"/>
      <c r="Y406" s="180"/>
      <c r="Z406" s="180"/>
    </row>
    <row r="407" spans="1:26" ht="45.75" customHeight="1">
      <c r="A407" s="180"/>
      <c r="B407" s="180"/>
      <c r="C407" s="180"/>
      <c r="D407" s="180"/>
      <c r="E407" s="180"/>
      <c r="F407" s="225"/>
      <c r="G407" s="180"/>
      <c r="H407" s="180"/>
      <c r="I407" s="180"/>
      <c r="J407" s="211"/>
      <c r="K407" s="180"/>
      <c r="L407" s="212"/>
      <c r="M407" s="180"/>
      <c r="N407" s="180"/>
      <c r="O407" s="180"/>
      <c r="P407" s="123"/>
      <c r="Q407" s="130"/>
      <c r="R407" s="180"/>
      <c r="S407" s="180"/>
      <c r="T407" s="180"/>
      <c r="U407" s="180"/>
      <c r="V407" s="123"/>
      <c r="W407" s="123"/>
      <c r="X407" s="123"/>
      <c r="Y407" s="180"/>
      <c r="Z407" s="180"/>
    </row>
    <row r="408" spans="1:26" ht="45.75" customHeight="1">
      <c r="A408" s="180"/>
      <c r="B408" s="180"/>
      <c r="C408" s="180"/>
      <c r="D408" s="180"/>
      <c r="E408" s="180"/>
      <c r="F408" s="225"/>
      <c r="G408" s="180"/>
      <c r="H408" s="180"/>
      <c r="I408" s="180"/>
      <c r="J408" s="211"/>
      <c r="K408" s="180"/>
      <c r="L408" s="212"/>
      <c r="M408" s="180"/>
      <c r="N408" s="180"/>
      <c r="O408" s="180"/>
      <c r="P408" s="123"/>
      <c r="Q408" s="130"/>
      <c r="R408" s="180"/>
      <c r="S408" s="180"/>
      <c r="T408" s="180"/>
      <c r="U408" s="180"/>
      <c r="V408" s="123"/>
      <c r="W408" s="123"/>
      <c r="X408" s="123"/>
      <c r="Y408" s="180"/>
      <c r="Z408" s="180"/>
    </row>
    <row r="409" spans="1:26" ht="45.75" customHeight="1">
      <c r="A409" s="180"/>
      <c r="B409" s="180"/>
      <c r="C409" s="180"/>
      <c r="D409" s="180"/>
      <c r="E409" s="180"/>
      <c r="F409" s="225"/>
      <c r="G409" s="180"/>
      <c r="H409" s="180"/>
      <c r="I409" s="180"/>
      <c r="J409" s="211"/>
      <c r="K409" s="180"/>
      <c r="L409" s="212"/>
      <c r="M409" s="180"/>
      <c r="N409" s="180"/>
      <c r="O409" s="180"/>
      <c r="P409" s="123"/>
      <c r="Q409" s="130"/>
      <c r="R409" s="180"/>
      <c r="S409" s="180"/>
      <c r="T409" s="180"/>
      <c r="U409" s="180"/>
      <c r="V409" s="123"/>
      <c r="W409" s="123"/>
      <c r="X409" s="123"/>
      <c r="Y409" s="180"/>
      <c r="Z409" s="180"/>
    </row>
    <row r="410" spans="1:26" ht="45.75" customHeight="1">
      <c r="A410" s="180"/>
      <c r="B410" s="180"/>
      <c r="C410" s="180"/>
      <c r="D410" s="180"/>
      <c r="E410" s="180"/>
      <c r="F410" s="225"/>
      <c r="G410" s="180"/>
      <c r="H410" s="180"/>
      <c r="I410" s="180"/>
      <c r="J410" s="211"/>
      <c r="K410" s="180"/>
      <c r="L410" s="212"/>
      <c r="M410" s="180"/>
      <c r="N410" s="180"/>
      <c r="O410" s="180"/>
      <c r="P410" s="123"/>
      <c r="Q410" s="130"/>
      <c r="R410" s="180"/>
      <c r="S410" s="180"/>
      <c r="T410" s="180"/>
      <c r="U410" s="180"/>
      <c r="V410" s="123"/>
      <c r="W410" s="123"/>
      <c r="X410" s="123"/>
      <c r="Y410" s="180"/>
      <c r="Z410" s="180"/>
    </row>
    <row r="411" spans="1:26" ht="45.75" customHeight="1">
      <c r="A411" s="180"/>
      <c r="B411" s="180"/>
      <c r="C411" s="180"/>
      <c r="D411" s="180"/>
      <c r="E411" s="180"/>
      <c r="F411" s="225"/>
      <c r="G411" s="180"/>
      <c r="H411" s="180"/>
      <c r="I411" s="180"/>
      <c r="J411" s="211"/>
      <c r="K411" s="180"/>
      <c r="L411" s="212"/>
      <c r="M411" s="180"/>
      <c r="N411" s="180"/>
      <c r="O411" s="180"/>
      <c r="P411" s="123"/>
      <c r="Q411" s="130"/>
      <c r="R411" s="180"/>
      <c r="S411" s="180"/>
      <c r="T411" s="180"/>
      <c r="U411" s="180"/>
      <c r="V411" s="123"/>
      <c r="W411" s="123"/>
      <c r="X411" s="123"/>
      <c r="Y411" s="180"/>
      <c r="Z411" s="180"/>
    </row>
    <row r="412" spans="1:26" ht="45.75" customHeight="1">
      <c r="A412" s="180"/>
      <c r="B412" s="180"/>
      <c r="C412" s="180"/>
      <c r="D412" s="180"/>
      <c r="E412" s="180"/>
      <c r="F412" s="225"/>
      <c r="G412" s="180"/>
      <c r="H412" s="180"/>
      <c r="I412" s="180"/>
      <c r="J412" s="211"/>
      <c r="K412" s="180"/>
      <c r="L412" s="212"/>
      <c r="M412" s="180"/>
      <c r="N412" s="180"/>
      <c r="O412" s="180"/>
      <c r="P412" s="123"/>
      <c r="Q412" s="130"/>
      <c r="R412" s="180"/>
      <c r="S412" s="180"/>
      <c r="T412" s="180"/>
      <c r="U412" s="180"/>
      <c r="V412" s="123"/>
      <c r="W412" s="123"/>
      <c r="X412" s="123"/>
      <c r="Y412" s="180"/>
      <c r="Z412" s="180"/>
    </row>
    <row r="413" spans="1:26" ht="45.75" customHeight="1">
      <c r="A413" s="180"/>
      <c r="B413" s="180"/>
      <c r="C413" s="180"/>
      <c r="D413" s="180"/>
      <c r="E413" s="180"/>
      <c r="F413" s="225"/>
      <c r="G413" s="180"/>
      <c r="H413" s="180"/>
      <c r="I413" s="180"/>
      <c r="J413" s="211"/>
      <c r="K413" s="180"/>
      <c r="L413" s="212"/>
      <c r="M413" s="180"/>
      <c r="N413" s="180"/>
      <c r="O413" s="180"/>
      <c r="P413" s="123"/>
      <c r="Q413" s="130"/>
      <c r="R413" s="180"/>
      <c r="S413" s="180"/>
      <c r="T413" s="180"/>
      <c r="U413" s="180"/>
      <c r="V413" s="123"/>
      <c r="W413" s="123"/>
      <c r="X413" s="123"/>
      <c r="Y413" s="180"/>
      <c r="Z413" s="180"/>
    </row>
    <row r="414" spans="1:26" ht="45.75" customHeight="1">
      <c r="A414" s="180"/>
      <c r="B414" s="180"/>
      <c r="C414" s="180"/>
      <c r="D414" s="180"/>
      <c r="E414" s="180"/>
      <c r="F414" s="225"/>
      <c r="G414" s="180"/>
      <c r="H414" s="180"/>
      <c r="I414" s="180"/>
      <c r="J414" s="211"/>
      <c r="K414" s="180"/>
      <c r="L414" s="212"/>
      <c r="M414" s="180"/>
      <c r="N414" s="180"/>
      <c r="O414" s="180"/>
      <c r="P414" s="123"/>
      <c r="Q414" s="130"/>
      <c r="R414" s="180"/>
      <c r="S414" s="180"/>
      <c r="T414" s="180"/>
      <c r="U414" s="180"/>
      <c r="V414" s="123"/>
      <c r="W414" s="123"/>
      <c r="X414" s="123"/>
      <c r="Y414" s="180"/>
      <c r="Z414" s="180"/>
    </row>
    <row r="415" spans="1:26" ht="45.75" customHeight="1">
      <c r="A415" s="180"/>
      <c r="B415" s="180"/>
      <c r="C415" s="180"/>
      <c r="D415" s="180"/>
      <c r="E415" s="180"/>
      <c r="F415" s="225"/>
      <c r="G415" s="180"/>
      <c r="H415" s="180"/>
      <c r="I415" s="180"/>
      <c r="J415" s="211"/>
      <c r="K415" s="180"/>
      <c r="L415" s="212"/>
      <c r="M415" s="180"/>
      <c r="N415" s="180"/>
      <c r="O415" s="180"/>
      <c r="P415" s="123"/>
      <c r="Q415" s="130"/>
      <c r="R415" s="180"/>
      <c r="S415" s="180"/>
      <c r="T415" s="180"/>
      <c r="U415" s="180"/>
      <c r="V415" s="123"/>
      <c r="W415" s="123"/>
      <c r="X415" s="123"/>
      <c r="Y415" s="180"/>
      <c r="Z415" s="180"/>
    </row>
    <row r="416" spans="1:26" ht="45.75" customHeight="1">
      <c r="A416" s="180"/>
      <c r="B416" s="180"/>
      <c r="C416" s="180"/>
      <c r="D416" s="180"/>
      <c r="E416" s="180"/>
      <c r="F416" s="225"/>
      <c r="G416" s="180"/>
      <c r="H416" s="180"/>
      <c r="I416" s="180"/>
      <c r="J416" s="211"/>
      <c r="K416" s="180"/>
      <c r="L416" s="212"/>
      <c r="M416" s="180"/>
      <c r="N416" s="180"/>
      <c r="O416" s="180"/>
      <c r="P416" s="123"/>
      <c r="Q416" s="130"/>
      <c r="R416" s="180"/>
      <c r="S416" s="180"/>
      <c r="T416" s="180"/>
      <c r="U416" s="180"/>
      <c r="V416" s="123"/>
      <c r="W416" s="123"/>
      <c r="X416" s="123"/>
      <c r="Y416" s="180"/>
      <c r="Z416" s="180"/>
    </row>
    <row r="417" spans="1:26" ht="45.75" customHeight="1">
      <c r="A417" s="180"/>
      <c r="B417" s="180"/>
      <c r="C417" s="180"/>
      <c r="D417" s="180"/>
      <c r="E417" s="180"/>
      <c r="F417" s="225"/>
      <c r="G417" s="180"/>
      <c r="H417" s="180"/>
      <c r="I417" s="180"/>
      <c r="J417" s="211"/>
      <c r="K417" s="180"/>
      <c r="L417" s="212"/>
      <c r="M417" s="180"/>
      <c r="N417" s="180"/>
      <c r="O417" s="180"/>
      <c r="P417" s="123"/>
      <c r="Q417" s="130"/>
      <c r="R417" s="180"/>
      <c r="S417" s="180"/>
      <c r="T417" s="180"/>
      <c r="U417" s="180"/>
      <c r="V417" s="123"/>
      <c r="W417" s="123"/>
      <c r="X417" s="123"/>
      <c r="Y417" s="180"/>
      <c r="Z417" s="180"/>
    </row>
    <row r="418" spans="1:26" ht="45.75" customHeight="1">
      <c r="A418" s="180"/>
      <c r="B418" s="180"/>
      <c r="C418" s="180"/>
      <c r="D418" s="180"/>
      <c r="E418" s="180"/>
      <c r="F418" s="225"/>
      <c r="G418" s="180"/>
      <c r="H418" s="180"/>
      <c r="I418" s="180"/>
      <c r="J418" s="211"/>
      <c r="K418" s="180"/>
      <c r="L418" s="212"/>
      <c r="M418" s="180"/>
      <c r="N418" s="180"/>
      <c r="O418" s="180"/>
      <c r="P418" s="123"/>
      <c r="Q418" s="130"/>
      <c r="R418" s="180"/>
      <c r="S418" s="180"/>
      <c r="T418" s="180"/>
      <c r="U418" s="180"/>
      <c r="V418" s="123"/>
      <c r="W418" s="123"/>
      <c r="X418" s="123"/>
      <c r="Y418" s="180"/>
      <c r="Z418" s="180"/>
    </row>
    <row r="419" spans="1:26" ht="45.75" customHeight="1">
      <c r="A419" s="180"/>
      <c r="B419" s="180"/>
      <c r="C419" s="180"/>
      <c r="D419" s="180"/>
      <c r="E419" s="180"/>
      <c r="F419" s="225"/>
      <c r="G419" s="180"/>
      <c r="H419" s="180"/>
      <c r="I419" s="180"/>
      <c r="J419" s="211"/>
      <c r="K419" s="180"/>
      <c r="L419" s="212"/>
      <c r="M419" s="180"/>
      <c r="N419" s="180"/>
      <c r="O419" s="180"/>
      <c r="P419" s="123"/>
      <c r="Q419" s="130"/>
      <c r="R419" s="180"/>
      <c r="S419" s="180"/>
      <c r="T419" s="180"/>
      <c r="U419" s="180"/>
      <c r="V419" s="123"/>
      <c r="W419" s="123"/>
      <c r="X419" s="123"/>
      <c r="Y419" s="180"/>
      <c r="Z419" s="180"/>
    </row>
    <row r="420" spans="1:26" ht="45.75" customHeight="1">
      <c r="A420" s="180"/>
      <c r="B420" s="180"/>
      <c r="C420" s="180"/>
      <c r="D420" s="180"/>
      <c r="E420" s="180"/>
      <c r="F420" s="225"/>
      <c r="G420" s="180"/>
      <c r="H420" s="180"/>
      <c r="I420" s="180"/>
      <c r="J420" s="211"/>
      <c r="K420" s="180"/>
      <c r="L420" s="212"/>
      <c r="M420" s="180"/>
      <c r="N420" s="180"/>
      <c r="O420" s="180"/>
      <c r="P420" s="123"/>
      <c r="Q420" s="130"/>
      <c r="R420" s="180"/>
      <c r="S420" s="180"/>
      <c r="T420" s="180"/>
      <c r="U420" s="180"/>
      <c r="V420" s="123"/>
      <c r="W420" s="123"/>
      <c r="X420" s="123"/>
      <c r="Y420" s="180"/>
      <c r="Z420" s="180"/>
    </row>
    <row r="421" spans="1:26" ht="45.75" customHeight="1">
      <c r="A421" s="180"/>
      <c r="B421" s="180"/>
      <c r="C421" s="180"/>
      <c r="D421" s="180"/>
      <c r="E421" s="180"/>
      <c r="F421" s="225"/>
      <c r="G421" s="180"/>
      <c r="H421" s="180"/>
      <c r="I421" s="180"/>
      <c r="J421" s="211"/>
      <c r="K421" s="180"/>
      <c r="L421" s="212"/>
      <c r="M421" s="180"/>
      <c r="N421" s="180"/>
      <c r="O421" s="180"/>
      <c r="P421" s="123"/>
      <c r="Q421" s="130"/>
      <c r="R421" s="180"/>
      <c r="S421" s="180"/>
      <c r="T421" s="180"/>
      <c r="U421" s="180"/>
      <c r="V421" s="123"/>
      <c r="W421" s="123"/>
      <c r="X421" s="123"/>
      <c r="Y421" s="180"/>
      <c r="Z421" s="180"/>
    </row>
    <row r="422" spans="1:26" ht="45.75" customHeight="1">
      <c r="A422" s="180"/>
      <c r="B422" s="180"/>
      <c r="C422" s="180"/>
      <c r="D422" s="180"/>
      <c r="E422" s="180"/>
      <c r="F422" s="225"/>
      <c r="G422" s="180"/>
      <c r="H422" s="180"/>
      <c r="I422" s="180"/>
      <c r="J422" s="211"/>
      <c r="K422" s="180"/>
      <c r="L422" s="212"/>
      <c r="M422" s="180"/>
      <c r="N422" s="180"/>
      <c r="O422" s="180"/>
      <c r="P422" s="123"/>
      <c r="Q422" s="130"/>
      <c r="R422" s="180"/>
      <c r="S422" s="180"/>
      <c r="T422" s="180"/>
      <c r="U422" s="180"/>
      <c r="V422" s="123"/>
      <c r="W422" s="123"/>
      <c r="X422" s="123"/>
      <c r="Y422" s="180"/>
      <c r="Z422" s="180"/>
    </row>
    <row r="423" spans="1:26" ht="45.75" customHeight="1">
      <c r="A423" s="180"/>
      <c r="B423" s="180"/>
      <c r="C423" s="180"/>
      <c r="D423" s="180"/>
      <c r="E423" s="180"/>
      <c r="F423" s="225"/>
      <c r="G423" s="180"/>
      <c r="H423" s="180"/>
      <c r="I423" s="180"/>
      <c r="J423" s="211"/>
      <c r="K423" s="180"/>
      <c r="L423" s="212"/>
      <c r="M423" s="180"/>
      <c r="N423" s="180"/>
      <c r="O423" s="180"/>
      <c r="P423" s="123"/>
      <c r="Q423" s="130"/>
      <c r="R423" s="180"/>
      <c r="S423" s="180"/>
      <c r="T423" s="180"/>
      <c r="U423" s="180"/>
      <c r="V423" s="123"/>
      <c r="W423" s="123"/>
      <c r="X423" s="123"/>
      <c r="Y423" s="180"/>
      <c r="Z423" s="180"/>
    </row>
    <row r="424" spans="1:26" ht="45.75" customHeight="1">
      <c r="A424" s="180"/>
      <c r="B424" s="180"/>
      <c r="C424" s="180"/>
      <c r="D424" s="180"/>
      <c r="E424" s="180"/>
      <c r="F424" s="225"/>
      <c r="G424" s="180"/>
      <c r="H424" s="180"/>
      <c r="I424" s="180"/>
      <c r="J424" s="211"/>
      <c r="K424" s="180"/>
      <c r="L424" s="212"/>
      <c r="M424" s="180"/>
      <c r="N424" s="180"/>
      <c r="O424" s="180"/>
      <c r="P424" s="123"/>
      <c r="Q424" s="130"/>
      <c r="R424" s="180"/>
      <c r="S424" s="180"/>
      <c r="T424" s="180"/>
      <c r="U424" s="180"/>
      <c r="V424" s="123"/>
      <c r="W424" s="123"/>
      <c r="X424" s="123"/>
      <c r="Y424" s="180"/>
      <c r="Z424" s="180"/>
    </row>
    <row r="425" spans="1:26" ht="45.75" customHeight="1">
      <c r="A425" s="180"/>
      <c r="B425" s="180"/>
      <c r="C425" s="180"/>
      <c r="D425" s="180"/>
      <c r="E425" s="180"/>
      <c r="F425" s="225"/>
      <c r="G425" s="180"/>
      <c r="H425" s="180"/>
      <c r="I425" s="180"/>
      <c r="J425" s="211"/>
      <c r="K425" s="180"/>
      <c r="L425" s="212"/>
      <c r="M425" s="180"/>
      <c r="N425" s="180"/>
      <c r="O425" s="180"/>
      <c r="P425" s="123"/>
      <c r="Q425" s="130"/>
      <c r="R425" s="180"/>
      <c r="S425" s="180"/>
      <c r="T425" s="180"/>
      <c r="U425" s="180"/>
      <c r="V425" s="123"/>
      <c r="W425" s="123"/>
      <c r="X425" s="123"/>
      <c r="Y425" s="180"/>
      <c r="Z425" s="180"/>
    </row>
    <row r="426" spans="1:26" ht="45.75" customHeight="1">
      <c r="A426" s="180"/>
      <c r="B426" s="180"/>
      <c r="C426" s="180"/>
      <c r="D426" s="180"/>
      <c r="E426" s="180"/>
      <c r="F426" s="225"/>
      <c r="G426" s="180"/>
      <c r="H426" s="180"/>
      <c r="I426" s="180"/>
      <c r="J426" s="211"/>
      <c r="K426" s="180"/>
      <c r="L426" s="212"/>
      <c r="M426" s="180"/>
      <c r="N426" s="180"/>
      <c r="O426" s="180"/>
      <c r="P426" s="123"/>
      <c r="Q426" s="130"/>
      <c r="R426" s="180"/>
      <c r="S426" s="180"/>
      <c r="T426" s="180"/>
      <c r="U426" s="180"/>
      <c r="V426" s="123"/>
      <c r="W426" s="123"/>
      <c r="X426" s="123"/>
      <c r="Y426" s="180"/>
      <c r="Z426" s="180"/>
    </row>
    <row r="427" spans="1:26" ht="45.75" customHeight="1">
      <c r="A427" s="180"/>
      <c r="B427" s="180"/>
      <c r="C427" s="180"/>
      <c r="D427" s="180"/>
      <c r="E427" s="180"/>
      <c r="F427" s="225"/>
      <c r="G427" s="180"/>
      <c r="H427" s="180"/>
      <c r="I427" s="180"/>
      <c r="J427" s="211"/>
      <c r="K427" s="180"/>
      <c r="L427" s="212"/>
      <c r="M427" s="180"/>
      <c r="N427" s="180"/>
      <c r="O427" s="180"/>
      <c r="P427" s="123"/>
      <c r="Q427" s="130"/>
      <c r="R427" s="180"/>
      <c r="S427" s="180"/>
      <c r="T427" s="180"/>
      <c r="U427" s="180"/>
      <c r="V427" s="123"/>
      <c r="W427" s="123"/>
      <c r="X427" s="123"/>
      <c r="Y427" s="180"/>
      <c r="Z427" s="180"/>
    </row>
    <row r="428" spans="1:26" ht="45.75" customHeight="1">
      <c r="A428" s="180"/>
      <c r="B428" s="180"/>
      <c r="C428" s="180"/>
      <c r="D428" s="180"/>
      <c r="E428" s="180"/>
      <c r="F428" s="225"/>
      <c r="G428" s="180"/>
      <c r="H428" s="180"/>
      <c r="I428" s="180"/>
      <c r="J428" s="211"/>
      <c r="K428" s="180"/>
      <c r="L428" s="212"/>
      <c r="M428" s="180"/>
      <c r="N428" s="180"/>
      <c r="O428" s="180"/>
      <c r="P428" s="123"/>
      <c r="Q428" s="130"/>
      <c r="R428" s="180"/>
      <c r="S428" s="180"/>
      <c r="T428" s="180"/>
      <c r="U428" s="180"/>
      <c r="V428" s="123"/>
      <c r="W428" s="123"/>
      <c r="X428" s="123"/>
      <c r="Y428" s="180"/>
      <c r="Z428" s="180"/>
    </row>
    <row r="429" spans="1:26" ht="45.75" customHeight="1">
      <c r="A429" s="180"/>
      <c r="B429" s="180"/>
      <c r="C429" s="180"/>
      <c r="D429" s="180"/>
      <c r="E429" s="180"/>
      <c r="F429" s="225"/>
      <c r="G429" s="180"/>
      <c r="H429" s="180"/>
      <c r="I429" s="180"/>
      <c r="J429" s="211"/>
      <c r="K429" s="180"/>
      <c r="L429" s="212"/>
      <c r="M429" s="180"/>
      <c r="N429" s="180"/>
      <c r="O429" s="180"/>
      <c r="P429" s="123"/>
      <c r="Q429" s="130"/>
      <c r="R429" s="180"/>
      <c r="S429" s="180"/>
      <c r="T429" s="180"/>
      <c r="U429" s="180"/>
      <c r="V429" s="123"/>
      <c r="W429" s="123"/>
      <c r="X429" s="123"/>
      <c r="Y429" s="180"/>
      <c r="Z429" s="180"/>
    </row>
    <row r="430" spans="1:26" ht="45.75" customHeight="1">
      <c r="A430" s="180"/>
      <c r="B430" s="180"/>
      <c r="C430" s="180"/>
      <c r="D430" s="180"/>
      <c r="E430" s="180"/>
      <c r="F430" s="225"/>
      <c r="G430" s="180"/>
      <c r="H430" s="180"/>
      <c r="I430" s="180"/>
      <c r="J430" s="211"/>
      <c r="K430" s="180"/>
      <c r="L430" s="212"/>
      <c r="M430" s="180"/>
      <c r="N430" s="180"/>
      <c r="O430" s="180"/>
      <c r="P430" s="123"/>
      <c r="Q430" s="130"/>
      <c r="R430" s="180"/>
      <c r="S430" s="180"/>
      <c r="T430" s="180"/>
      <c r="U430" s="180"/>
      <c r="V430" s="123"/>
      <c r="W430" s="123"/>
      <c r="X430" s="123"/>
      <c r="Y430" s="180"/>
      <c r="Z430" s="180"/>
    </row>
    <row r="431" spans="1:26" ht="45.75" customHeight="1">
      <c r="A431" s="180"/>
      <c r="B431" s="180"/>
      <c r="C431" s="180"/>
      <c r="D431" s="180"/>
      <c r="E431" s="180"/>
      <c r="F431" s="225"/>
      <c r="G431" s="180"/>
      <c r="H431" s="180"/>
      <c r="I431" s="180"/>
      <c r="J431" s="211"/>
      <c r="K431" s="180"/>
      <c r="L431" s="212"/>
      <c r="M431" s="180"/>
      <c r="N431" s="180"/>
      <c r="O431" s="180"/>
      <c r="P431" s="123"/>
      <c r="Q431" s="130"/>
      <c r="R431" s="180"/>
      <c r="S431" s="180"/>
      <c r="T431" s="180"/>
      <c r="U431" s="180"/>
      <c r="V431" s="123"/>
      <c r="W431" s="123"/>
      <c r="X431" s="123"/>
      <c r="Y431" s="180"/>
      <c r="Z431" s="180"/>
    </row>
    <row r="432" spans="1:26" ht="45.75" customHeight="1">
      <c r="A432" s="180"/>
      <c r="B432" s="180"/>
      <c r="C432" s="180"/>
      <c r="D432" s="180"/>
      <c r="E432" s="180"/>
      <c r="F432" s="225"/>
      <c r="G432" s="180"/>
      <c r="H432" s="180"/>
      <c r="I432" s="180"/>
      <c r="J432" s="211"/>
      <c r="K432" s="180"/>
      <c r="L432" s="212"/>
      <c r="M432" s="180"/>
      <c r="N432" s="180"/>
      <c r="O432" s="180"/>
      <c r="P432" s="123"/>
      <c r="Q432" s="130"/>
      <c r="R432" s="180"/>
      <c r="S432" s="180"/>
      <c r="T432" s="180"/>
      <c r="U432" s="180"/>
      <c r="V432" s="123"/>
      <c r="W432" s="123"/>
      <c r="X432" s="123"/>
      <c r="Y432" s="180"/>
      <c r="Z432" s="180"/>
    </row>
    <row r="433" spans="1:26" ht="45.75" customHeight="1">
      <c r="A433" s="180"/>
      <c r="B433" s="180"/>
      <c r="C433" s="180"/>
      <c r="D433" s="180"/>
      <c r="E433" s="180"/>
      <c r="F433" s="225"/>
      <c r="G433" s="180"/>
      <c r="H433" s="180"/>
      <c r="I433" s="180"/>
      <c r="J433" s="211"/>
      <c r="K433" s="180"/>
      <c r="L433" s="212"/>
      <c r="M433" s="180"/>
      <c r="N433" s="180"/>
      <c r="O433" s="180"/>
      <c r="P433" s="123"/>
      <c r="Q433" s="130"/>
      <c r="R433" s="180"/>
      <c r="S433" s="180"/>
      <c r="T433" s="180"/>
      <c r="U433" s="180"/>
      <c r="V433" s="123"/>
      <c r="W433" s="123"/>
      <c r="X433" s="123"/>
      <c r="Y433" s="180"/>
      <c r="Z433" s="180"/>
    </row>
    <row r="434" spans="1:26" ht="45.75" customHeight="1">
      <c r="A434" s="180"/>
      <c r="B434" s="180"/>
      <c r="C434" s="180"/>
      <c r="D434" s="180"/>
      <c r="E434" s="180"/>
      <c r="F434" s="225"/>
      <c r="G434" s="180"/>
      <c r="H434" s="180"/>
      <c r="I434" s="180"/>
      <c r="J434" s="211"/>
      <c r="K434" s="180"/>
      <c r="L434" s="212"/>
      <c r="M434" s="180"/>
      <c r="N434" s="180"/>
      <c r="O434" s="180"/>
      <c r="P434" s="123"/>
      <c r="Q434" s="130"/>
      <c r="R434" s="180"/>
      <c r="S434" s="180"/>
      <c r="T434" s="180"/>
      <c r="U434" s="180"/>
      <c r="V434" s="123"/>
      <c r="W434" s="123"/>
      <c r="X434" s="123"/>
      <c r="Y434" s="180"/>
      <c r="Z434" s="180"/>
    </row>
    <row r="435" spans="1:26" ht="45.75" customHeight="1">
      <c r="A435" s="180"/>
      <c r="B435" s="180"/>
      <c r="C435" s="180"/>
      <c r="D435" s="180"/>
      <c r="E435" s="180"/>
      <c r="F435" s="225"/>
      <c r="G435" s="180"/>
      <c r="H435" s="180"/>
      <c r="I435" s="180"/>
      <c r="J435" s="211"/>
      <c r="K435" s="180"/>
      <c r="L435" s="212"/>
      <c r="M435" s="180"/>
      <c r="N435" s="180"/>
      <c r="O435" s="180"/>
      <c r="P435" s="123"/>
      <c r="Q435" s="130"/>
      <c r="R435" s="180"/>
      <c r="S435" s="180"/>
      <c r="T435" s="180"/>
      <c r="U435" s="180"/>
      <c r="V435" s="123"/>
      <c r="W435" s="123"/>
      <c r="X435" s="123"/>
      <c r="Y435" s="180"/>
      <c r="Z435" s="180"/>
    </row>
    <row r="436" spans="1:26" ht="45.75" customHeight="1">
      <c r="A436" s="180"/>
      <c r="B436" s="180"/>
      <c r="C436" s="180"/>
      <c r="D436" s="180"/>
      <c r="E436" s="180"/>
      <c r="F436" s="225"/>
      <c r="G436" s="180"/>
      <c r="H436" s="180"/>
      <c r="I436" s="180"/>
      <c r="J436" s="211"/>
      <c r="K436" s="180"/>
      <c r="L436" s="212"/>
      <c r="M436" s="180"/>
      <c r="N436" s="180"/>
      <c r="O436" s="180"/>
      <c r="P436" s="123"/>
      <c r="Q436" s="130"/>
      <c r="R436" s="180"/>
      <c r="S436" s="180"/>
      <c r="T436" s="180"/>
      <c r="U436" s="180"/>
      <c r="V436" s="123"/>
      <c r="W436" s="123"/>
      <c r="X436" s="123"/>
      <c r="Y436" s="180"/>
      <c r="Z436" s="180"/>
    </row>
    <row r="437" spans="1:26" ht="45.75" customHeight="1">
      <c r="A437" s="180"/>
      <c r="B437" s="180"/>
      <c r="C437" s="180"/>
      <c r="D437" s="180"/>
      <c r="E437" s="180"/>
      <c r="F437" s="225"/>
      <c r="G437" s="180"/>
      <c r="H437" s="180"/>
      <c r="I437" s="180"/>
      <c r="J437" s="211"/>
      <c r="K437" s="180"/>
      <c r="L437" s="212"/>
      <c r="M437" s="180"/>
      <c r="N437" s="180"/>
      <c r="O437" s="180"/>
      <c r="P437" s="123"/>
      <c r="Q437" s="130"/>
      <c r="R437" s="180"/>
      <c r="S437" s="180"/>
      <c r="T437" s="180"/>
      <c r="U437" s="180"/>
      <c r="V437" s="123"/>
      <c r="W437" s="123"/>
      <c r="X437" s="123"/>
      <c r="Y437" s="180"/>
      <c r="Z437" s="180"/>
    </row>
    <row r="438" spans="1:26" ht="45.75" customHeight="1">
      <c r="A438" s="180"/>
      <c r="B438" s="180"/>
      <c r="C438" s="180"/>
      <c r="D438" s="180"/>
      <c r="E438" s="180"/>
      <c r="F438" s="225"/>
      <c r="G438" s="180"/>
      <c r="H438" s="180"/>
      <c r="I438" s="180"/>
      <c r="J438" s="211"/>
      <c r="K438" s="180"/>
      <c r="L438" s="212"/>
      <c r="M438" s="180"/>
      <c r="N438" s="180"/>
      <c r="O438" s="180"/>
      <c r="P438" s="123"/>
      <c r="Q438" s="130"/>
      <c r="R438" s="180"/>
      <c r="S438" s="180"/>
      <c r="T438" s="180"/>
      <c r="U438" s="180"/>
      <c r="V438" s="123"/>
      <c r="W438" s="123"/>
      <c r="X438" s="123"/>
      <c r="Y438" s="180"/>
      <c r="Z438" s="180"/>
    </row>
    <row r="439" spans="1:26" ht="45.75" customHeight="1">
      <c r="A439" s="180"/>
      <c r="B439" s="180"/>
      <c r="C439" s="180"/>
      <c r="D439" s="180"/>
      <c r="E439" s="180"/>
      <c r="F439" s="225"/>
      <c r="G439" s="180"/>
      <c r="H439" s="180"/>
      <c r="I439" s="180"/>
      <c r="J439" s="211"/>
      <c r="K439" s="180"/>
      <c r="L439" s="212"/>
      <c r="M439" s="180"/>
      <c r="N439" s="180"/>
      <c r="O439" s="180"/>
      <c r="P439" s="123"/>
      <c r="Q439" s="130"/>
      <c r="R439" s="180"/>
      <c r="S439" s="180"/>
      <c r="T439" s="180"/>
      <c r="U439" s="180"/>
      <c r="V439" s="123"/>
      <c r="W439" s="123"/>
      <c r="X439" s="123"/>
      <c r="Y439" s="180"/>
      <c r="Z439" s="180"/>
    </row>
    <row r="440" spans="1:26" ht="45.75" customHeight="1">
      <c r="A440" s="180"/>
      <c r="B440" s="180"/>
      <c r="C440" s="180"/>
      <c r="D440" s="180"/>
      <c r="E440" s="180"/>
      <c r="F440" s="225"/>
      <c r="G440" s="180"/>
      <c r="H440" s="180"/>
      <c r="I440" s="180"/>
      <c r="J440" s="211"/>
      <c r="K440" s="180"/>
      <c r="L440" s="212"/>
      <c r="M440" s="180"/>
      <c r="N440" s="180"/>
      <c r="O440" s="180"/>
      <c r="P440" s="123"/>
      <c r="Q440" s="130"/>
      <c r="R440" s="180"/>
      <c r="S440" s="180"/>
      <c r="T440" s="180"/>
      <c r="U440" s="180"/>
      <c r="V440" s="123"/>
      <c r="W440" s="123"/>
      <c r="X440" s="123"/>
      <c r="Y440" s="180"/>
      <c r="Z440" s="180"/>
    </row>
    <row r="441" spans="1:26" ht="45.75" customHeight="1">
      <c r="A441" s="180"/>
      <c r="B441" s="180"/>
      <c r="C441" s="180"/>
      <c r="D441" s="180"/>
      <c r="E441" s="180"/>
      <c r="F441" s="225"/>
      <c r="G441" s="180"/>
      <c r="H441" s="180"/>
      <c r="I441" s="180"/>
      <c r="J441" s="211"/>
      <c r="K441" s="180"/>
      <c r="L441" s="212"/>
      <c r="M441" s="180"/>
      <c r="N441" s="180"/>
      <c r="O441" s="180"/>
      <c r="P441" s="123"/>
      <c r="Q441" s="130"/>
      <c r="R441" s="180"/>
      <c r="S441" s="180"/>
      <c r="T441" s="180"/>
      <c r="U441" s="180"/>
      <c r="V441" s="123"/>
      <c r="W441" s="123"/>
      <c r="X441" s="123"/>
      <c r="Y441" s="180"/>
      <c r="Z441" s="180"/>
    </row>
    <row r="442" spans="1:26" ht="45.75" customHeight="1">
      <c r="A442" s="180"/>
      <c r="B442" s="180"/>
      <c r="C442" s="180"/>
      <c r="D442" s="180"/>
      <c r="E442" s="180"/>
      <c r="F442" s="225"/>
      <c r="G442" s="180"/>
      <c r="H442" s="180"/>
      <c r="I442" s="180"/>
      <c r="J442" s="211"/>
      <c r="K442" s="180"/>
      <c r="L442" s="212"/>
      <c r="M442" s="180"/>
      <c r="N442" s="180"/>
      <c r="O442" s="180"/>
      <c r="P442" s="123"/>
      <c r="Q442" s="130"/>
      <c r="R442" s="180"/>
      <c r="S442" s="180"/>
      <c r="T442" s="180"/>
      <c r="U442" s="180"/>
      <c r="V442" s="123"/>
      <c r="W442" s="123"/>
      <c r="X442" s="123"/>
      <c r="Y442" s="180"/>
      <c r="Z442" s="180"/>
    </row>
    <row r="443" spans="1:26" ht="45.75" customHeight="1">
      <c r="A443" s="180"/>
      <c r="B443" s="180"/>
      <c r="C443" s="180"/>
      <c r="D443" s="180"/>
      <c r="E443" s="180"/>
      <c r="F443" s="225"/>
      <c r="G443" s="180"/>
      <c r="H443" s="180"/>
      <c r="I443" s="180"/>
      <c r="J443" s="211"/>
      <c r="K443" s="180"/>
      <c r="L443" s="212"/>
      <c r="M443" s="180"/>
      <c r="N443" s="180"/>
      <c r="O443" s="180"/>
      <c r="P443" s="123"/>
      <c r="Q443" s="130"/>
      <c r="R443" s="180"/>
      <c r="S443" s="180"/>
      <c r="T443" s="180"/>
      <c r="U443" s="180"/>
      <c r="V443" s="123"/>
      <c r="W443" s="123"/>
      <c r="X443" s="123"/>
      <c r="Y443" s="180"/>
      <c r="Z443" s="180"/>
    </row>
    <row r="444" spans="1:26" ht="45.75" customHeight="1">
      <c r="A444" s="180"/>
      <c r="B444" s="180"/>
      <c r="C444" s="180"/>
      <c r="D444" s="180"/>
      <c r="E444" s="180"/>
      <c r="F444" s="225"/>
      <c r="G444" s="180"/>
      <c r="H444" s="180"/>
      <c r="I444" s="180"/>
      <c r="J444" s="211"/>
      <c r="K444" s="180"/>
      <c r="L444" s="212"/>
      <c r="M444" s="180"/>
      <c r="N444" s="180"/>
      <c r="O444" s="180"/>
      <c r="P444" s="123"/>
      <c r="Q444" s="130"/>
      <c r="R444" s="180"/>
      <c r="S444" s="180"/>
      <c r="T444" s="180"/>
      <c r="U444" s="180"/>
      <c r="V444" s="123"/>
      <c r="W444" s="123"/>
      <c r="X444" s="123"/>
      <c r="Y444" s="180"/>
      <c r="Z444" s="180"/>
    </row>
    <row r="445" spans="1:26" ht="45.75" customHeight="1">
      <c r="A445" s="180"/>
      <c r="B445" s="180"/>
      <c r="C445" s="180"/>
      <c r="D445" s="180"/>
      <c r="E445" s="180"/>
      <c r="F445" s="225"/>
      <c r="G445" s="180"/>
      <c r="H445" s="180"/>
      <c r="I445" s="180"/>
      <c r="J445" s="211"/>
      <c r="K445" s="180"/>
      <c r="L445" s="212"/>
      <c r="M445" s="180"/>
      <c r="N445" s="180"/>
      <c r="O445" s="180"/>
      <c r="P445" s="123"/>
      <c r="Q445" s="130"/>
      <c r="R445" s="180"/>
      <c r="S445" s="180"/>
      <c r="T445" s="180"/>
      <c r="U445" s="180"/>
      <c r="V445" s="123"/>
      <c r="W445" s="123"/>
      <c r="X445" s="123"/>
      <c r="Y445" s="180"/>
      <c r="Z445" s="180"/>
    </row>
    <row r="446" spans="1:26" ht="45.75" customHeight="1">
      <c r="A446" s="180"/>
      <c r="B446" s="180"/>
      <c r="C446" s="180"/>
      <c r="D446" s="180"/>
      <c r="E446" s="180"/>
      <c r="F446" s="225"/>
      <c r="G446" s="180"/>
      <c r="H446" s="180"/>
      <c r="I446" s="180"/>
      <c r="J446" s="211"/>
      <c r="K446" s="180"/>
      <c r="L446" s="212"/>
      <c r="M446" s="180"/>
      <c r="N446" s="180"/>
      <c r="O446" s="180"/>
      <c r="P446" s="123"/>
      <c r="Q446" s="130"/>
      <c r="R446" s="180"/>
      <c r="S446" s="180"/>
      <c r="T446" s="180"/>
      <c r="U446" s="180"/>
      <c r="V446" s="123"/>
      <c r="W446" s="123"/>
      <c r="X446" s="123"/>
      <c r="Y446" s="180"/>
      <c r="Z446" s="180"/>
    </row>
    <row r="447" spans="1:26" ht="45.75" customHeight="1">
      <c r="A447" s="180"/>
      <c r="B447" s="180"/>
      <c r="C447" s="180"/>
      <c r="D447" s="180"/>
      <c r="E447" s="180"/>
      <c r="F447" s="225"/>
      <c r="G447" s="180"/>
      <c r="H447" s="180"/>
      <c r="I447" s="180"/>
      <c r="J447" s="211"/>
      <c r="K447" s="180"/>
      <c r="L447" s="212"/>
      <c r="M447" s="180"/>
      <c r="N447" s="180"/>
      <c r="O447" s="180"/>
      <c r="P447" s="123"/>
      <c r="Q447" s="130"/>
      <c r="R447" s="180"/>
      <c r="S447" s="180"/>
      <c r="T447" s="180"/>
      <c r="U447" s="180"/>
      <c r="V447" s="123"/>
      <c r="W447" s="123"/>
      <c r="X447" s="123"/>
      <c r="Y447" s="180"/>
      <c r="Z447" s="180"/>
    </row>
    <row r="448" spans="1:26" ht="45.75" customHeight="1">
      <c r="A448" s="180"/>
      <c r="B448" s="180"/>
      <c r="C448" s="180"/>
      <c r="D448" s="180"/>
      <c r="E448" s="180"/>
      <c r="F448" s="225"/>
      <c r="G448" s="180"/>
      <c r="H448" s="180"/>
      <c r="I448" s="180"/>
      <c r="J448" s="211"/>
      <c r="K448" s="180"/>
      <c r="L448" s="212"/>
      <c r="M448" s="180"/>
      <c r="N448" s="180"/>
      <c r="O448" s="180"/>
      <c r="P448" s="123"/>
      <c r="Q448" s="130"/>
      <c r="R448" s="180"/>
      <c r="S448" s="180"/>
      <c r="T448" s="180"/>
      <c r="U448" s="180"/>
      <c r="V448" s="123"/>
      <c r="W448" s="123"/>
      <c r="X448" s="123"/>
      <c r="Y448" s="180"/>
      <c r="Z448" s="180"/>
    </row>
    <row r="449" spans="1:26" ht="45.75" customHeight="1">
      <c r="A449" s="180"/>
      <c r="B449" s="180"/>
      <c r="C449" s="180"/>
      <c r="D449" s="180"/>
      <c r="E449" s="180"/>
      <c r="F449" s="225"/>
      <c r="G449" s="180"/>
      <c r="H449" s="180"/>
      <c r="I449" s="180"/>
      <c r="J449" s="211"/>
      <c r="K449" s="180"/>
      <c r="L449" s="212"/>
      <c r="M449" s="180"/>
      <c r="N449" s="180"/>
      <c r="O449" s="180"/>
      <c r="P449" s="123"/>
      <c r="Q449" s="130"/>
      <c r="R449" s="180"/>
      <c r="S449" s="180"/>
      <c r="T449" s="180"/>
      <c r="U449" s="180"/>
      <c r="V449" s="123"/>
      <c r="W449" s="123"/>
      <c r="X449" s="123"/>
      <c r="Y449" s="180"/>
      <c r="Z449" s="180"/>
    </row>
    <row r="450" spans="1:26" ht="45.75" customHeight="1">
      <c r="A450" s="180"/>
      <c r="B450" s="180"/>
      <c r="C450" s="180"/>
      <c r="D450" s="180"/>
      <c r="E450" s="180"/>
      <c r="F450" s="225"/>
      <c r="G450" s="180"/>
      <c r="H450" s="180"/>
      <c r="I450" s="180"/>
      <c r="J450" s="211"/>
      <c r="K450" s="180"/>
      <c r="L450" s="212"/>
      <c r="M450" s="180"/>
      <c r="N450" s="180"/>
      <c r="O450" s="180"/>
      <c r="P450" s="123"/>
      <c r="Q450" s="130"/>
      <c r="R450" s="180"/>
      <c r="S450" s="180"/>
      <c r="T450" s="180"/>
      <c r="U450" s="180"/>
      <c r="V450" s="123"/>
      <c r="W450" s="123"/>
      <c r="X450" s="123"/>
      <c r="Y450" s="180"/>
      <c r="Z450" s="180"/>
    </row>
    <row r="451" spans="1:26" ht="45.75" customHeight="1">
      <c r="A451" s="180"/>
      <c r="B451" s="180"/>
      <c r="C451" s="180"/>
      <c r="D451" s="180"/>
      <c r="E451" s="180"/>
      <c r="F451" s="225"/>
      <c r="G451" s="180"/>
      <c r="H451" s="180"/>
      <c r="I451" s="180"/>
      <c r="J451" s="211"/>
      <c r="K451" s="180"/>
      <c r="L451" s="212"/>
      <c r="M451" s="180"/>
      <c r="N451" s="180"/>
      <c r="O451" s="180"/>
      <c r="P451" s="123"/>
      <c r="Q451" s="130"/>
      <c r="R451" s="180"/>
      <c r="S451" s="180"/>
      <c r="T451" s="180"/>
      <c r="U451" s="180"/>
      <c r="V451" s="123"/>
      <c r="W451" s="123"/>
      <c r="X451" s="123"/>
      <c r="Y451" s="180"/>
      <c r="Z451" s="180"/>
    </row>
    <row r="452" spans="1:26" ht="45.75" customHeight="1">
      <c r="A452" s="180"/>
      <c r="B452" s="180"/>
      <c r="C452" s="180"/>
      <c r="D452" s="180"/>
      <c r="E452" s="180"/>
      <c r="F452" s="225"/>
      <c r="G452" s="180"/>
      <c r="H452" s="180"/>
      <c r="I452" s="180"/>
      <c r="J452" s="211"/>
      <c r="K452" s="180"/>
      <c r="L452" s="212"/>
      <c r="M452" s="180"/>
      <c r="N452" s="180"/>
      <c r="O452" s="180"/>
      <c r="P452" s="123"/>
      <c r="Q452" s="130"/>
      <c r="R452" s="180"/>
      <c r="S452" s="180"/>
      <c r="T452" s="180"/>
      <c r="U452" s="180"/>
      <c r="V452" s="123"/>
      <c r="W452" s="123"/>
      <c r="X452" s="123"/>
      <c r="Y452" s="180"/>
      <c r="Z452" s="180"/>
    </row>
    <row r="453" spans="1:26" ht="45.75" customHeight="1">
      <c r="A453" s="180"/>
      <c r="B453" s="180"/>
      <c r="C453" s="180"/>
      <c r="D453" s="180"/>
      <c r="E453" s="180"/>
      <c r="F453" s="225"/>
      <c r="G453" s="180"/>
      <c r="H453" s="180"/>
      <c r="I453" s="180"/>
      <c r="J453" s="211"/>
      <c r="K453" s="180"/>
      <c r="L453" s="212"/>
      <c r="M453" s="180"/>
      <c r="N453" s="180"/>
      <c r="O453" s="180"/>
      <c r="P453" s="123"/>
      <c r="Q453" s="130"/>
      <c r="R453" s="180"/>
      <c r="S453" s="180"/>
      <c r="T453" s="180"/>
      <c r="U453" s="180"/>
      <c r="V453" s="123"/>
      <c r="W453" s="123"/>
      <c r="X453" s="123"/>
      <c r="Y453" s="180"/>
      <c r="Z453" s="180"/>
    </row>
    <row r="454" spans="1:26" ht="45.75" customHeight="1">
      <c r="A454" s="180"/>
      <c r="B454" s="180"/>
      <c r="C454" s="180"/>
      <c r="D454" s="180"/>
      <c r="E454" s="180"/>
      <c r="F454" s="225"/>
      <c r="G454" s="180"/>
      <c r="H454" s="180"/>
      <c r="I454" s="180"/>
      <c r="J454" s="211"/>
      <c r="K454" s="180"/>
      <c r="L454" s="212"/>
      <c r="M454" s="180"/>
      <c r="N454" s="180"/>
      <c r="O454" s="180"/>
      <c r="P454" s="123"/>
      <c r="Q454" s="130"/>
      <c r="R454" s="180"/>
      <c r="S454" s="180"/>
      <c r="T454" s="180"/>
      <c r="U454" s="180"/>
      <c r="V454" s="123"/>
      <c r="W454" s="123"/>
      <c r="X454" s="123"/>
      <c r="Y454" s="180"/>
      <c r="Z454" s="180"/>
    </row>
    <row r="455" spans="1:26" ht="45.75" customHeight="1">
      <c r="A455" s="180"/>
      <c r="B455" s="180"/>
      <c r="C455" s="180"/>
      <c r="D455" s="180"/>
      <c r="E455" s="180"/>
      <c r="F455" s="225"/>
      <c r="G455" s="180"/>
      <c r="H455" s="180"/>
      <c r="I455" s="180"/>
      <c r="J455" s="211"/>
      <c r="K455" s="180"/>
      <c r="L455" s="212"/>
      <c r="M455" s="180"/>
      <c r="N455" s="180"/>
      <c r="O455" s="180"/>
      <c r="P455" s="123"/>
      <c r="Q455" s="130"/>
      <c r="R455" s="180"/>
      <c r="S455" s="180"/>
      <c r="T455" s="180"/>
      <c r="U455" s="180"/>
      <c r="V455" s="123"/>
      <c r="W455" s="123"/>
      <c r="X455" s="123"/>
      <c r="Y455" s="180"/>
      <c r="Z455" s="180"/>
    </row>
    <row r="456" spans="1:26" ht="45.75" customHeight="1">
      <c r="A456" s="180"/>
      <c r="B456" s="180"/>
      <c r="C456" s="180"/>
      <c r="D456" s="180"/>
      <c r="E456" s="180"/>
      <c r="F456" s="225"/>
      <c r="G456" s="180"/>
      <c r="H456" s="180"/>
      <c r="I456" s="180"/>
      <c r="J456" s="211"/>
      <c r="K456" s="180"/>
      <c r="L456" s="212"/>
      <c r="M456" s="180"/>
      <c r="N456" s="180"/>
      <c r="O456" s="180"/>
      <c r="P456" s="123"/>
      <c r="Q456" s="130"/>
      <c r="R456" s="180"/>
      <c r="S456" s="180"/>
      <c r="T456" s="180"/>
      <c r="U456" s="180"/>
      <c r="V456" s="123"/>
      <c r="W456" s="123"/>
      <c r="X456" s="123"/>
      <c r="Y456" s="180"/>
      <c r="Z456" s="180"/>
    </row>
    <row r="457" spans="1:26" ht="45.75" customHeight="1">
      <c r="A457" s="180"/>
      <c r="B457" s="180"/>
      <c r="C457" s="180"/>
      <c r="D457" s="180"/>
      <c r="E457" s="180"/>
      <c r="F457" s="225"/>
      <c r="G457" s="180"/>
      <c r="H457" s="180"/>
      <c r="I457" s="180"/>
      <c r="J457" s="211"/>
      <c r="K457" s="180"/>
      <c r="L457" s="212"/>
      <c r="M457" s="180"/>
      <c r="N457" s="180"/>
      <c r="O457" s="180"/>
      <c r="P457" s="123"/>
      <c r="Q457" s="130"/>
      <c r="R457" s="180"/>
      <c r="S457" s="180"/>
      <c r="T457" s="180"/>
      <c r="U457" s="180"/>
      <c r="V457" s="123"/>
      <c r="W457" s="123"/>
      <c r="X457" s="123"/>
      <c r="Y457" s="180"/>
      <c r="Z457" s="180"/>
    </row>
    <row r="458" spans="1:26" ht="45.75" customHeight="1">
      <c r="A458" s="180"/>
      <c r="B458" s="180"/>
      <c r="C458" s="180"/>
      <c r="D458" s="180"/>
      <c r="E458" s="180"/>
      <c r="F458" s="225"/>
      <c r="G458" s="180"/>
      <c r="H458" s="180"/>
      <c r="I458" s="180"/>
      <c r="J458" s="211"/>
      <c r="K458" s="180"/>
      <c r="L458" s="212"/>
      <c r="M458" s="180"/>
      <c r="N458" s="180"/>
      <c r="O458" s="180"/>
      <c r="P458" s="123"/>
      <c r="Q458" s="130"/>
      <c r="R458" s="180"/>
      <c r="S458" s="180"/>
      <c r="T458" s="180"/>
      <c r="U458" s="180"/>
      <c r="V458" s="123"/>
      <c r="W458" s="123"/>
      <c r="X458" s="123"/>
      <c r="Y458" s="180"/>
      <c r="Z458" s="180"/>
    </row>
    <row r="459" spans="1:26" ht="45.75" customHeight="1">
      <c r="A459" s="180"/>
      <c r="B459" s="180"/>
      <c r="C459" s="180"/>
      <c r="D459" s="180"/>
      <c r="E459" s="180"/>
      <c r="F459" s="225"/>
      <c r="G459" s="180"/>
      <c r="H459" s="180"/>
      <c r="I459" s="180"/>
      <c r="J459" s="211"/>
      <c r="K459" s="180"/>
      <c r="L459" s="212"/>
      <c r="M459" s="180"/>
      <c r="N459" s="180"/>
      <c r="O459" s="180"/>
      <c r="P459" s="123"/>
      <c r="Q459" s="130"/>
      <c r="R459" s="180"/>
      <c r="S459" s="180"/>
      <c r="T459" s="180"/>
      <c r="U459" s="180"/>
      <c r="V459" s="123"/>
      <c r="W459" s="123"/>
      <c r="X459" s="123"/>
      <c r="Y459" s="180"/>
      <c r="Z459" s="180"/>
    </row>
    <row r="460" spans="1:26" ht="45.75" customHeight="1">
      <c r="A460" s="180"/>
      <c r="B460" s="180"/>
      <c r="C460" s="180"/>
      <c r="D460" s="180"/>
      <c r="E460" s="180"/>
      <c r="F460" s="225"/>
      <c r="G460" s="180"/>
      <c r="H460" s="180"/>
      <c r="I460" s="180"/>
      <c r="J460" s="211"/>
      <c r="K460" s="180"/>
      <c r="L460" s="212"/>
      <c r="M460" s="180"/>
      <c r="N460" s="180"/>
      <c r="O460" s="180"/>
      <c r="P460" s="123"/>
      <c r="Q460" s="130"/>
      <c r="R460" s="180"/>
      <c r="S460" s="180"/>
      <c r="T460" s="180"/>
      <c r="U460" s="180"/>
      <c r="V460" s="123"/>
      <c r="W460" s="123"/>
      <c r="X460" s="123"/>
      <c r="Y460" s="180"/>
      <c r="Z460" s="180"/>
    </row>
    <row r="461" spans="1:26" ht="45.75" customHeight="1">
      <c r="A461" s="180"/>
      <c r="B461" s="180"/>
      <c r="C461" s="180"/>
      <c r="D461" s="180"/>
      <c r="E461" s="180"/>
      <c r="F461" s="225"/>
      <c r="G461" s="180"/>
      <c r="H461" s="180"/>
      <c r="I461" s="180"/>
      <c r="J461" s="211"/>
      <c r="K461" s="180"/>
      <c r="L461" s="212"/>
      <c r="M461" s="180"/>
      <c r="N461" s="180"/>
      <c r="O461" s="180"/>
      <c r="P461" s="123"/>
      <c r="Q461" s="130"/>
      <c r="R461" s="180"/>
      <c r="S461" s="180"/>
      <c r="T461" s="180"/>
      <c r="U461" s="180"/>
      <c r="V461" s="123"/>
      <c r="W461" s="123"/>
      <c r="X461" s="123"/>
      <c r="Y461" s="180"/>
      <c r="Z461" s="180"/>
    </row>
    <row r="462" spans="1:26" ht="45.75" customHeight="1">
      <c r="A462" s="180"/>
      <c r="B462" s="180"/>
      <c r="C462" s="180"/>
      <c r="D462" s="180"/>
      <c r="E462" s="180"/>
      <c r="F462" s="225"/>
      <c r="G462" s="180"/>
      <c r="H462" s="180"/>
      <c r="I462" s="180"/>
      <c r="J462" s="211"/>
      <c r="K462" s="180"/>
      <c r="L462" s="212"/>
      <c r="M462" s="180"/>
      <c r="N462" s="180"/>
      <c r="O462" s="180"/>
      <c r="P462" s="123"/>
      <c r="Q462" s="130"/>
      <c r="R462" s="180"/>
      <c r="S462" s="180"/>
      <c r="T462" s="180"/>
      <c r="U462" s="180"/>
      <c r="V462" s="123"/>
      <c r="W462" s="123"/>
      <c r="X462" s="123"/>
      <c r="Y462" s="180"/>
      <c r="Z462" s="180"/>
    </row>
    <row r="463" spans="1:26" ht="45.75" customHeight="1">
      <c r="A463" s="180"/>
      <c r="B463" s="180"/>
      <c r="C463" s="180"/>
      <c r="D463" s="180"/>
      <c r="E463" s="180"/>
      <c r="F463" s="225"/>
      <c r="G463" s="180"/>
      <c r="H463" s="180"/>
      <c r="I463" s="180"/>
      <c r="J463" s="211"/>
      <c r="K463" s="180"/>
      <c r="L463" s="212"/>
      <c r="M463" s="180"/>
      <c r="N463" s="180"/>
      <c r="O463" s="180"/>
      <c r="P463" s="123"/>
      <c r="Q463" s="130"/>
      <c r="R463" s="180"/>
      <c r="S463" s="180"/>
      <c r="T463" s="180"/>
      <c r="U463" s="180"/>
      <c r="V463" s="123"/>
      <c r="W463" s="123"/>
      <c r="X463" s="123"/>
      <c r="Y463" s="180"/>
      <c r="Z463" s="180"/>
    </row>
    <row r="464" spans="1:26" ht="45.75" customHeight="1">
      <c r="A464" s="180"/>
      <c r="B464" s="180"/>
      <c r="C464" s="180"/>
      <c r="D464" s="180"/>
      <c r="E464" s="180"/>
      <c r="F464" s="225"/>
      <c r="G464" s="180"/>
      <c r="H464" s="180"/>
      <c r="I464" s="180"/>
      <c r="J464" s="211"/>
      <c r="K464" s="180"/>
      <c r="L464" s="212"/>
      <c r="M464" s="180"/>
      <c r="N464" s="180"/>
      <c r="O464" s="180"/>
      <c r="P464" s="123"/>
      <c r="Q464" s="130"/>
      <c r="R464" s="180"/>
      <c r="S464" s="180"/>
      <c r="T464" s="180"/>
      <c r="U464" s="180"/>
      <c r="V464" s="123"/>
      <c r="W464" s="123"/>
      <c r="X464" s="123"/>
      <c r="Y464" s="180"/>
      <c r="Z464" s="180"/>
    </row>
    <row r="465" spans="1:26" ht="45.75" customHeight="1">
      <c r="A465" s="180"/>
      <c r="B465" s="180"/>
      <c r="C465" s="180"/>
      <c r="D465" s="180"/>
      <c r="E465" s="180"/>
      <c r="F465" s="225"/>
      <c r="G465" s="180"/>
      <c r="H465" s="180"/>
      <c r="I465" s="180"/>
      <c r="J465" s="211"/>
      <c r="K465" s="180"/>
      <c r="L465" s="212"/>
      <c r="M465" s="180"/>
      <c r="N465" s="180"/>
      <c r="O465" s="180"/>
      <c r="P465" s="123"/>
      <c r="Q465" s="130"/>
      <c r="R465" s="180"/>
      <c r="S465" s="180"/>
      <c r="T465" s="180"/>
      <c r="U465" s="180"/>
      <c r="V465" s="123"/>
      <c r="W465" s="123"/>
      <c r="X465" s="123"/>
      <c r="Y465" s="180"/>
      <c r="Z465" s="180"/>
    </row>
    <row r="466" spans="1:26" ht="45.75" customHeight="1">
      <c r="A466" s="180"/>
      <c r="B466" s="180"/>
      <c r="C466" s="180"/>
      <c r="D466" s="180"/>
      <c r="E466" s="180"/>
      <c r="F466" s="225"/>
      <c r="G466" s="180"/>
      <c r="H466" s="180"/>
      <c r="I466" s="180"/>
      <c r="J466" s="211"/>
      <c r="K466" s="180"/>
      <c r="L466" s="212"/>
      <c r="M466" s="180"/>
      <c r="N466" s="180"/>
      <c r="O466" s="180"/>
      <c r="P466" s="123"/>
      <c r="Q466" s="130"/>
      <c r="R466" s="180"/>
      <c r="S466" s="180"/>
      <c r="T466" s="180"/>
      <c r="U466" s="180"/>
      <c r="V466" s="123"/>
      <c r="W466" s="123"/>
      <c r="X466" s="123"/>
      <c r="Y466" s="180"/>
      <c r="Z466" s="180"/>
    </row>
    <row r="467" spans="1:26" ht="45.75" customHeight="1">
      <c r="A467" s="180"/>
      <c r="B467" s="180"/>
      <c r="C467" s="180"/>
      <c r="D467" s="180"/>
      <c r="E467" s="180"/>
      <c r="F467" s="225"/>
      <c r="G467" s="180"/>
      <c r="H467" s="180"/>
      <c r="I467" s="180"/>
      <c r="J467" s="211"/>
      <c r="K467" s="180"/>
      <c r="L467" s="212"/>
      <c r="M467" s="180"/>
      <c r="N467" s="180"/>
      <c r="O467" s="180"/>
      <c r="P467" s="123"/>
      <c r="Q467" s="130"/>
      <c r="R467" s="180"/>
      <c r="S467" s="180"/>
      <c r="T467" s="180"/>
      <c r="U467" s="180"/>
      <c r="V467" s="123"/>
      <c r="W467" s="123"/>
      <c r="X467" s="123"/>
      <c r="Y467" s="180"/>
      <c r="Z467" s="180"/>
    </row>
    <row r="468" spans="1:26" ht="45.75" customHeight="1">
      <c r="A468" s="180"/>
      <c r="B468" s="180"/>
      <c r="C468" s="180"/>
      <c r="D468" s="180"/>
      <c r="E468" s="180"/>
      <c r="F468" s="225"/>
      <c r="G468" s="180"/>
      <c r="H468" s="180"/>
      <c r="I468" s="180"/>
      <c r="J468" s="211"/>
      <c r="K468" s="180"/>
      <c r="L468" s="212"/>
      <c r="M468" s="180"/>
      <c r="N468" s="180"/>
      <c r="O468" s="180"/>
      <c r="P468" s="123"/>
      <c r="Q468" s="130"/>
      <c r="R468" s="180"/>
      <c r="S468" s="180"/>
      <c r="T468" s="180"/>
      <c r="U468" s="180"/>
      <c r="V468" s="123"/>
      <c r="W468" s="123"/>
      <c r="X468" s="123"/>
      <c r="Y468" s="180"/>
      <c r="Z468" s="180"/>
    </row>
    <row r="469" spans="1:26" ht="45.75" customHeight="1">
      <c r="A469" s="180"/>
      <c r="B469" s="180"/>
      <c r="C469" s="180"/>
      <c r="D469" s="180"/>
      <c r="E469" s="180"/>
      <c r="F469" s="225"/>
      <c r="G469" s="180"/>
      <c r="H469" s="180"/>
      <c r="I469" s="180"/>
      <c r="J469" s="211"/>
      <c r="K469" s="180"/>
      <c r="L469" s="212"/>
      <c r="M469" s="180"/>
      <c r="N469" s="180"/>
      <c r="O469" s="180"/>
      <c r="P469" s="123"/>
      <c r="Q469" s="130"/>
      <c r="R469" s="180"/>
      <c r="S469" s="180"/>
      <c r="T469" s="180"/>
      <c r="U469" s="180"/>
      <c r="V469" s="123"/>
      <c r="W469" s="123"/>
      <c r="X469" s="123"/>
      <c r="Y469" s="180"/>
      <c r="Z469" s="180"/>
    </row>
    <row r="470" spans="1:26" ht="45.75" customHeight="1">
      <c r="A470" s="180"/>
      <c r="B470" s="180"/>
      <c r="C470" s="180"/>
      <c r="D470" s="180"/>
      <c r="E470" s="180"/>
      <c r="F470" s="225"/>
      <c r="G470" s="180"/>
      <c r="H470" s="180"/>
      <c r="I470" s="180"/>
      <c r="J470" s="211"/>
      <c r="K470" s="180"/>
      <c r="L470" s="212"/>
      <c r="M470" s="180"/>
      <c r="N470" s="180"/>
      <c r="O470" s="180"/>
      <c r="P470" s="123"/>
      <c r="Q470" s="130"/>
      <c r="R470" s="180"/>
      <c r="S470" s="180"/>
      <c r="T470" s="180"/>
      <c r="U470" s="180"/>
      <c r="V470" s="123"/>
      <c r="W470" s="123"/>
      <c r="X470" s="123"/>
      <c r="Y470" s="180"/>
      <c r="Z470" s="180"/>
    </row>
    <row r="471" spans="1:26" ht="45.75" customHeight="1">
      <c r="A471" s="180"/>
      <c r="B471" s="180"/>
      <c r="C471" s="180"/>
      <c r="D471" s="180"/>
      <c r="E471" s="180"/>
      <c r="F471" s="225"/>
      <c r="G471" s="180"/>
      <c r="H471" s="180"/>
      <c r="I471" s="180"/>
      <c r="J471" s="211"/>
      <c r="K471" s="180"/>
      <c r="L471" s="212"/>
      <c r="M471" s="180"/>
      <c r="N471" s="180"/>
      <c r="O471" s="180"/>
      <c r="P471" s="123"/>
      <c r="Q471" s="130"/>
      <c r="R471" s="180"/>
      <c r="S471" s="180"/>
      <c r="T471" s="180"/>
      <c r="U471" s="180"/>
      <c r="V471" s="123"/>
      <c r="W471" s="123"/>
      <c r="X471" s="123"/>
      <c r="Y471" s="180"/>
      <c r="Z471" s="180"/>
    </row>
    <row r="472" spans="1:26" ht="45.75" customHeight="1">
      <c r="A472" s="180"/>
      <c r="B472" s="180"/>
      <c r="C472" s="180"/>
      <c r="D472" s="180"/>
      <c r="E472" s="180"/>
      <c r="F472" s="225"/>
      <c r="G472" s="180"/>
      <c r="H472" s="180"/>
      <c r="I472" s="180"/>
      <c r="J472" s="211"/>
      <c r="K472" s="180"/>
      <c r="L472" s="212"/>
      <c r="M472" s="180"/>
      <c r="N472" s="180"/>
      <c r="O472" s="180"/>
      <c r="P472" s="123"/>
      <c r="Q472" s="130"/>
      <c r="R472" s="180"/>
      <c r="S472" s="180"/>
      <c r="T472" s="180"/>
      <c r="U472" s="180"/>
      <c r="V472" s="123"/>
      <c r="W472" s="123"/>
      <c r="X472" s="123"/>
      <c r="Y472" s="180"/>
      <c r="Z472" s="180"/>
    </row>
    <row r="473" spans="1:26" ht="45.75" customHeight="1">
      <c r="A473" s="180"/>
      <c r="B473" s="180"/>
      <c r="C473" s="180"/>
      <c r="D473" s="180"/>
      <c r="E473" s="180"/>
      <c r="F473" s="225"/>
      <c r="G473" s="180"/>
      <c r="H473" s="180"/>
      <c r="I473" s="180"/>
      <c r="J473" s="211"/>
      <c r="K473" s="180"/>
      <c r="L473" s="212"/>
      <c r="M473" s="180"/>
      <c r="N473" s="180"/>
      <c r="O473" s="180"/>
      <c r="P473" s="123"/>
      <c r="Q473" s="130"/>
      <c r="R473" s="180"/>
      <c r="S473" s="180"/>
      <c r="T473" s="180"/>
      <c r="U473" s="180"/>
      <c r="V473" s="123"/>
      <c r="W473" s="123"/>
      <c r="X473" s="123"/>
      <c r="Y473" s="180"/>
      <c r="Z473" s="180"/>
    </row>
    <row r="474" spans="1:26" ht="45.75" customHeight="1">
      <c r="A474" s="180"/>
      <c r="B474" s="180"/>
      <c r="C474" s="180"/>
      <c r="D474" s="180"/>
      <c r="E474" s="180"/>
      <c r="F474" s="225"/>
      <c r="G474" s="180"/>
      <c r="H474" s="180"/>
      <c r="I474" s="180"/>
      <c r="J474" s="211"/>
      <c r="K474" s="180"/>
      <c r="L474" s="212"/>
      <c r="M474" s="180"/>
      <c r="N474" s="180"/>
      <c r="O474" s="180"/>
      <c r="P474" s="123"/>
      <c r="Q474" s="130"/>
      <c r="R474" s="180"/>
      <c r="S474" s="180"/>
      <c r="T474" s="180"/>
      <c r="U474" s="180"/>
      <c r="V474" s="123"/>
      <c r="W474" s="123"/>
      <c r="X474" s="123"/>
      <c r="Y474" s="180"/>
      <c r="Z474" s="180"/>
    </row>
    <row r="475" spans="1:26" ht="45.75" customHeight="1">
      <c r="A475" s="180"/>
      <c r="B475" s="180"/>
      <c r="C475" s="180"/>
      <c r="D475" s="180"/>
      <c r="E475" s="180"/>
      <c r="F475" s="225"/>
      <c r="G475" s="180"/>
      <c r="H475" s="180"/>
      <c r="I475" s="180"/>
      <c r="J475" s="211"/>
      <c r="K475" s="180"/>
      <c r="L475" s="212"/>
      <c r="M475" s="180"/>
      <c r="N475" s="180"/>
      <c r="O475" s="180"/>
      <c r="P475" s="123"/>
      <c r="Q475" s="130"/>
      <c r="R475" s="180"/>
      <c r="S475" s="180"/>
      <c r="T475" s="180"/>
      <c r="U475" s="180"/>
      <c r="V475" s="123"/>
      <c r="W475" s="123"/>
      <c r="X475" s="123"/>
      <c r="Y475" s="180"/>
      <c r="Z475" s="180"/>
    </row>
    <row r="476" spans="1:26" ht="45.75" customHeight="1">
      <c r="A476" s="180"/>
      <c r="B476" s="180"/>
      <c r="C476" s="180"/>
      <c r="D476" s="180"/>
      <c r="E476" s="180"/>
      <c r="F476" s="225"/>
      <c r="G476" s="180"/>
      <c r="H476" s="180"/>
      <c r="I476" s="180"/>
      <c r="J476" s="211"/>
      <c r="K476" s="180"/>
      <c r="L476" s="212"/>
      <c r="M476" s="180"/>
      <c r="N476" s="180"/>
      <c r="O476" s="180"/>
      <c r="P476" s="123"/>
      <c r="Q476" s="130"/>
      <c r="R476" s="180"/>
      <c r="S476" s="180"/>
      <c r="T476" s="180"/>
      <c r="U476" s="180"/>
      <c r="V476" s="123"/>
      <c r="W476" s="123"/>
      <c r="X476" s="123"/>
      <c r="Y476" s="180"/>
      <c r="Z476" s="180"/>
    </row>
    <row r="477" spans="1:26" ht="45.75" customHeight="1">
      <c r="A477" s="180"/>
      <c r="B477" s="180"/>
      <c r="C477" s="180"/>
      <c r="D477" s="180"/>
      <c r="E477" s="180"/>
      <c r="F477" s="225"/>
      <c r="G477" s="180"/>
      <c r="H477" s="180"/>
      <c r="I477" s="180"/>
      <c r="J477" s="211"/>
      <c r="K477" s="180"/>
      <c r="L477" s="212"/>
      <c r="M477" s="180"/>
      <c r="N477" s="180"/>
      <c r="O477" s="180"/>
      <c r="P477" s="123"/>
      <c r="Q477" s="130"/>
      <c r="R477" s="180"/>
      <c r="S477" s="180"/>
      <c r="T477" s="180"/>
      <c r="U477" s="180"/>
      <c r="V477" s="123"/>
      <c r="W477" s="123"/>
      <c r="X477" s="123"/>
      <c r="Y477" s="180"/>
      <c r="Z477" s="180"/>
    </row>
    <row r="478" spans="1:26" ht="45.75" customHeight="1">
      <c r="A478" s="180"/>
      <c r="B478" s="180"/>
      <c r="C478" s="180"/>
      <c r="D478" s="180"/>
      <c r="E478" s="180"/>
      <c r="F478" s="225"/>
      <c r="G478" s="180"/>
      <c r="H478" s="180"/>
      <c r="I478" s="180"/>
      <c r="J478" s="211"/>
      <c r="K478" s="180"/>
      <c r="L478" s="212"/>
      <c r="M478" s="180"/>
      <c r="N478" s="180"/>
      <c r="O478" s="180"/>
      <c r="P478" s="123"/>
      <c r="Q478" s="130"/>
      <c r="R478" s="180"/>
      <c r="S478" s="180"/>
      <c r="T478" s="180"/>
      <c r="U478" s="180"/>
      <c r="V478" s="123"/>
      <c r="W478" s="123"/>
      <c r="X478" s="123"/>
      <c r="Y478" s="180"/>
      <c r="Z478" s="180"/>
    </row>
    <row r="479" spans="1:26" ht="45.75" customHeight="1">
      <c r="A479" s="180"/>
      <c r="B479" s="180"/>
      <c r="C479" s="180"/>
      <c r="D479" s="180"/>
      <c r="E479" s="180"/>
      <c r="F479" s="225"/>
      <c r="G479" s="180"/>
      <c r="H479" s="180"/>
      <c r="I479" s="180"/>
      <c r="J479" s="211"/>
      <c r="K479" s="180"/>
      <c r="L479" s="212"/>
      <c r="M479" s="180"/>
      <c r="N479" s="180"/>
      <c r="O479" s="180"/>
      <c r="P479" s="123"/>
      <c r="Q479" s="130"/>
      <c r="R479" s="180"/>
      <c r="S479" s="180"/>
      <c r="T479" s="180"/>
      <c r="U479" s="180"/>
      <c r="V479" s="123"/>
      <c r="W479" s="123"/>
      <c r="X479" s="123"/>
      <c r="Y479" s="180"/>
      <c r="Z479" s="180"/>
    </row>
    <row r="480" spans="1:26" ht="45.75" customHeight="1">
      <c r="A480" s="180"/>
      <c r="B480" s="180"/>
      <c r="C480" s="180"/>
      <c r="D480" s="180"/>
      <c r="E480" s="180"/>
      <c r="F480" s="225"/>
      <c r="G480" s="180"/>
      <c r="H480" s="180"/>
      <c r="I480" s="180"/>
      <c r="J480" s="211"/>
      <c r="K480" s="180"/>
      <c r="L480" s="212"/>
      <c r="M480" s="180"/>
      <c r="N480" s="180"/>
      <c r="O480" s="180"/>
      <c r="P480" s="123"/>
      <c r="Q480" s="130"/>
      <c r="R480" s="180"/>
      <c r="S480" s="180"/>
      <c r="T480" s="180"/>
      <c r="U480" s="180"/>
      <c r="V480" s="123"/>
      <c r="W480" s="123"/>
      <c r="X480" s="123"/>
      <c r="Y480" s="180"/>
      <c r="Z480" s="180"/>
    </row>
    <row r="481" spans="1:26" ht="45.75" customHeight="1">
      <c r="A481" s="180"/>
      <c r="B481" s="180"/>
      <c r="C481" s="180"/>
      <c r="D481" s="180"/>
      <c r="E481" s="180"/>
      <c r="F481" s="225"/>
      <c r="G481" s="180"/>
      <c r="H481" s="180"/>
      <c r="I481" s="180"/>
      <c r="J481" s="211"/>
      <c r="K481" s="180"/>
      <c r="L481" s="212"/>
      <c r="M481" s="180"/>
      <c r="N481" s="180"/>
      <c r="O481" s="180"/>
      <c r="P481" s="123"/>
      <c r="Q481" s="130"/>
      <c r="R481" s="180"/>
      <c r="S481" s="180"/>
      <c r="T481" s="180"/>
      <c r="U481" s="180"/>
      <c r="V481" s="123"/>
      <c r="W481" s="123"/>
      <c r="X481" s="123"/>
      <c r="Y481" s="180"/>
      <c r="Z481" s="180"/>
    </row>
    <row r="482" spans="1:26" ht="45.75" customHeight="1">
      <c r="A482" s="180"/>
      <c r="B482" s="180"/>
      <c r="C482" s="180"/>
      <c r="D482" s="180"/>
      <c r="E482" s="180"/>
      <c r="F482" s="225"/>
      <c r="G482" s="180"/>
      <c r="H482" s="180"/>
      <c r="I482" s="180"/>
      <c r="J482" s="211"/>
      <c r="K482" s="180"/>
      <c r="L482" s="212"/>
      <c r="M482" s="180"/>
      <c r="N482" s="180"/>
      <c r="O482" s="180"/>
      <c r="P482" s="123"/>
      <c r="Q482" s="130"/>
      <c r="R482" s="180"/>
      <c r="S482" s="180"/>
      <c r="T482" s="180"/>
      <c r="U482" s="180"/>
      <c r="V482" s="123"/>
      <c r="W482" s="123"/>
      <c r="X482" s="123"/>
      <c r="Y482" s="180"/>
      <c r="Z482" s="180"/>
    </row>
    <row r="483" spans="1:26" ht="45.75" customHeight="1">
      <c r="A483" s="180"/>
      <c r="B483" s="180"/>
      <c r="C483" s="180"/>
      <c r="D483" s="180"/>
      <c r="E483" s="180"/>
      <c r="F483" s="225"/>
      <c r="G483" s="180"/>
      <c r="H483" s="180"/>
      <c r="I483" s="180"/>
      <c r="J483" s="211"/>
      <c r="K483" s="180"/>
      <c r="L483" s="212"/>
      <c r="M483" s="180"/>
      <c r="N483" s="180"/>
      <c r="O483" s="180"/>
      <c r="P483" s="123"/>
      <c r="Q483" s="130"/>
      <c r="R483" s="180"/>
      <c r="S483" s="180"/>
      <c r="T483" s="180"/>
      <c r="U483" s="180"/>
      <c r="V483" s="123"/>
      <c r="W483" s="123"/>
      <c r="X483" s="123"/>
      <c r="Y483" s="180"/>
      <c r="Z483" s="180"/>
    </row>
    <row r="484" spans="1:26" ht="45.75" customHeight="1">
      <c r="A484" s="180"/>
      <c r="B484" s="180"/>
      <c r="C484" s="180"/>
      <c r="D484" s="180"/>
      <c r="E484" s="180"/>
      <c r="F484" s="225"/>
      <c r="G484" s="180"/>
      <c r="H484" s="180"/>
      <c r="I484" s="180"/>
      <c r="J484" s="211"/>
      <c r="K484" s="180"/>
      <c r="L484" s="212"/>
      <c r="M484" s="180"/>
      <c r="N484" s="180"/>
      <c r="O484" s="180"/>
      <c r="P484" s="123"/>
      <c r="Q484" s="130"/>
      <c r="R484" s="180"/>
      <c r="S484" s="180"/>
      <c r="T484" s="180"/>
      <c r="U484" s="180"/>
      <c r="V484" s="123"/>
      <c r="W484" s="123"/>
      <c r="X484" s="123"/>
      <c r="Y484" s="180"/>
      <c r="Z484" s="180"/>
    </row>
    <row r="485" spans="1:26" ht="45.75" customHeight="1">
      <c r="A485" s="180"/>
      <c r="B485" s="180"/>
      <c r="C485" s="180"/>
      <c r="D485" s="180"/>
      <c r="E485" s="180"/>
      <c r="F485" s="225"/>
      <c r="G485" s="180"/>
      <c r="H485" s="180"/>
      <c r="I485" s="180"/>
      <c r="J485" s="211"/>
      <c r="K485" s="180"/>
      <c r="L485" s="212"/>
      <c r="M485" s="180"/>
      <c r="N485" s="180"/>
      <c r="O485" s="180"/>
      <c r="P485" s="123"/>
      <c r="Q485" s="130"/>
      <c r="R485" s="180"/>
      <c r="S485" s="180"/>
      <c r="T485" s="180"/>
      <c r="U485" s="180"/>
      <c r="V485" s="123"/>
      <c r="W485" s="123"/>
      <c r="X485" s="123"/>
      <c r="Y485" s="180"/>
      <c r="Z485" s="180"/>
    </row>
    <row r="486" spans="1:26" ht="45.75" customHeight="1">
      <c r="A486" s="180"/>
      <c r="B486" s="180"/>
      <c r="C486" s="180"/>
      <c r="D486" s="180"/>
      <c r="E486" s="180"/>
      <c r="F486" s="225"/>
      <c r="G486" s="180"/>
      <c r="H486" s="180"/>
      <c r="I486" s="180"/>
      <c r="J486" s="211"/>
      <c r="K486" s="180"/>
      <c r="L486" s="212"/>
      <c r="M486" s="180"/>
      <c r="N486" s="180"/>
      <c r="O486" s="180"/>
      <c r="P486" s="123"/>
      <c r="Q486" s="130"/>
      <c r="R486" s="180"/>
      <c r="S486" s="180"/>
      <c r="T486" s="180"/>
      <c r="U486" s="180"/>
      <c r="V486" s="123"/>
      <c r="W486" s="123"/>
      <c r="X486" s="123"/>
      <c r="Y486" s="180"/>
      <c r="Z486" s="180"/>
    </row>
    <row r="487" spans="1:26" ht="45.75" customHeight="1">
      <c r="A487" s="180"/>
      <c r="B487" s="180"/>
      <c r="C487" s="180"/>
      <c r="D487" s="180"/>
      <c r="E487" s="180"/>
      <c r="F487" s="225"/>
      <c r="G487" s="180"/>
      <c r="H487" s="180"/>
      <c r="I487" s="180"/>
      <c r="J487" s="211"/>
      <c r="K487" s="180"/>
      <c r="L487" s="212"/>
      <c r="M487" s="180"/>
      <c r="N487" s="180"/>
      <c r="O487" s="180"/>
      <c r="P487" s="123"/>
      <c r="Q487" s="130"/>
      <c r="R487" s="180"/>
      <c r="S487" s="180"/>
      <c r="T487" s="180"/>
      <c r="U487" s="180"/>
      <c r="V487" s="123"/>
      <c r="W487" s="123"/>
      <c r="X487" s="123"/>
      <c r="Y487" s="180"/>
      <c r="Z487" s="180"/>
    </row>
    <row r="488" spans="1:26" ht="45.75" customHeight="1">
      <c r="A488" s="180"/>
      <c r="B488" s="180"/>
      <c r="C488" s="180"/>
      <c r="D488" s="180"/>
      <c r="E488" s="180"/>
      <c r="F488" s="225"/>
      <c r="G488" s="180"/>
      <c r="H488" s="180"/>
      <c r="I488" s="180"/>
      <c r="J488" s="211"/>
      <c r="K488" s="180"/>
      <c r="L488" s="212"/>
      <c r="M488" s="180"/>
      <c r="N488" s="180"/>
      <c r="O488" s="180"/>
      <c r="P488" s="123"/>
      <c r="Q488" s="130"/>
      <c r="R488" s="180"/>
      <c r="S488" s="180"/>
      <c r="T488" s="180"/>
      <c r="U488" s="180"/>
      <c r="V488" s="123"/>
      <c r="W488" s="123"/>
      <c r="X488" s="123"/>
      <c r="Y488" s="180"/>
      <c r="Z488" s="180"/>
    </row>
    <row r="489" spans="1:26" ht="45.75" customHeight="1">
      <c r="A489" s="180"/>
      <c r="B489" s="180"/>
      <c r="C489" s="180"/>
      <c r="D489" s="180"/>
      <c r="E489" s="180"/>
      <c r="F489" s="225"/>
      <c r="G489" s="180"/>
      <c r="H489" s="180"/>
      <c r="I489" s="180"/>
      <c r="J489" s="211"/>
      <c r="K489" s="180"/>
      <c r="L489" s="212"/>
      <c r="M489" s="180"/>
      <c r="N489" s="180"/>
      <c r="O489" s="180"/>
      <c r="P489" s="123"/>
      <c r="Q489" s="130"/>
      <c r="R489" s="180"/>
      <c r="S489" s="180"/>
      <c r="T489" s="180"/>
      <c r="U489" s="180"/>
      <c r="V489" s="123"/>
      <c r="W489" s="123"/>
      <c r="X489" s="123"/>
      <c r="Y489" s="180"/>
      <c r="Z489" s="180"/>
    </row>
    <row r="490" spans="1:26" ht="45.75" customHeight="1">
      <c r="A490" s="180"/>
      <c r="B490" s="180"/>
      <c r="C490" s="180"/>
      <c r="D490" s="180"/>
      <c r="E490" s="180"/>
      <c r="F490" s="225"/>
      <c r="G490" s="180"/>
      <c r="H490" s="180"/>
      <c r="I490" s="180"/>
      <c r="J490" s="211"/>
      <c r="K490" s="180"/>
      <c r="L490" s="212"/>
      <c r="M490" s="180"/>
      <c r="N490" s="180"/>
      <c r="O490" s="180"/>
      <c r="P490" s="123"/>
      <c r="Q490" s="130"/>
      <c r="R490" s="180"/>
      <c r="S490" s="180"/>
      <c r="T490" s="180"/>
      <c r="U490" s="180"/>
      <c r="V490" s="123"/>
      <c r="W490" s="123"/>
      <c r="X490" s="123"/>
      <c r="Y490" s="180"/>
      <c r="Z490" s="180"/>
    </row>
    <row r="491" spans="1:26" ht="45.75" customHeight="1">
      <c r="A491" s="180"/>
      <c r="B491" s="180"/>
      <c r="C491" s="180"/>
      <c r="D491" s="180"/>
      <c r="E491" s="180"/>
      <c r="F491" s="225"/>
      <c r="G491" s="180"/>
      <c r="H491" s="180"/>
      <c r="I491" s="180"/>
      <c r="J491" s="211"/>
      <c r="K491" s="180"/>
      <c r="L491" s="212"/>
      <c r="M491" s="180"/>
      <c r="N491" s="180"/>
      <c r="O491" s="180"/>
      <c r="P491" s="123"/>
      <c r="Q491" s="130"/>
      <c r="R491" s="180"/>
      <c r="S491" s="180"/>
      <c r="T491" s="180"/>
      <c r="U491" s="180"/>
      <c r="V491" s="123"/>
      <c r="W491" s="123"/>
      <c r="X491" s="123"/>
      <c r="Y491" s="180"/>
      <c r="Z491" s="180"/>
    </row>
    <row r="492" spans="1:26" ht="45.75" customHeight="1">
      <c r="A492" s="180"/>
      <c r="B492" s="180"/>
      <c r="C492" s="180"/>
      <c r="D492" s="180"/>
      <c r="E492" s="180"/>
      <c r="F492" s="225"/>
      <c r="G492" s="180"/>
      <c r="H492" s="180"/>
      <c r="I492" s="180"/>
      <c r="J492" s="211"/>
      <c r="K492" s="180"/>
      <c r="L492" s="212"/>
      <c r="M492" s="180"/>
      <c r="N492" s="180"/>
      <c r="O492" s="180"/>
      <c r="P492" s="123"/>
      <c r="Q492" s="130"/>
      <c r="R492" s="180"/>
      <c r="S492" s="180"/>
      <c r="T492" s="180"/>
      <c r="U492" s="180"/>
      <c r="V492" s="123"/>
      <c r="W492" s="123"/>
      <c r="X492" s="123"/>
      <c r="Y492" s="180"/>
      <c r="Z492" s="180"/>
    </row>
    <row r="493" spans="1:26" ht="45.75" customHeight="1">
      <c r="A493" s="180"/>
      <c r="B493" s="180"/>
      <c r="C493" s="180"/>
      <c r="D493" s="180"/>
      <c r="E493" s="180"/>
      <c r="F493" s="225"/>
      <c r="G493" s="180"/>
      <c r="H493" s="180"/>
      <c r="I493" s="180"/>
      <c r="J493" s="211"/>
      <c r="K493" s="180"/>
      <c r="L493" s="212"/>
      <c r="M493" s="180"/>
      <c r="N493" s="180"/>
      <c r="O493" s="180"/>
      <c r="P493" s="123"/>
      <c r="Q493" s="130"/>
      <c r="R493" s="180"/>
      <c r="S493" s="180"/>
      <c r="T493" s="180"/>
      <c r="U493" s="180"/>
      <c r="V493" s="123"/>
      <c r="W493" s="123"/>
      <c r="X493" s="123"/>
      <c r="Y493" s="180"/>
      <c r="Z493" s="180"/>
    </row>
    <row r="494" spans="1:26" ht="45.75" customHeight="1">
      <c r="A494" s="180"/>
      <c r="B494" s="180"/>
      <c r="C494" s="180"/>
      <c r="D494" s="180"/>
      <c r="E494" s="180"/>
      <c r="F494" s="225"/>
      <c r="G494" s="180"/>
      <c r="H494" s="180"/>
      <c r="I494" s="180"/>
      <c r="J494" s="211"/>
      <c r="K494" s="180"/>
      <c r="L494" s="212"/>
      <c r="M494" s="180"/>
      <c r="N494" s="180"/>
      <c r="O494" s="180"/>
      <c r="P494" s="123"/>
      <c r="Q494" s="130"/>
      <c r="R494" s="180"/>
      <c r="S494" s="180"/>
      <c r="T494" s="180"/>
      <c r="U494" s="180"/>
      <c r="V494" s="123"/>
      <c r="W494" s="123"/>
      <c r="X494" s="123"/>
      <c r="Y494" s="180"/>
      <c r="Z494" s="180"/>
    </row>
    <row r="495" spans="1:26" ht="45.75" customHeight="1">
      <c r="A495" s="180"/>
      <c r="B495" s="180"/>
      <c r="C495" s="180"/>
      <c r="D495" s="180"/>
      <c r="E495" s="180"/>
      <c r="F495" s="225"/>
      <c r="G495" s="180"/>
      <c r="H495" s="180"/>
      <c r="I495" s="180"/>
      <c r="J495" s="211"/>
      <c r="K495" s="180"/>
      <c r="L495" s="212"/>
      <c r="M495" s="180"/>
      <c r="N495" s="180"/>
      <c r="O495" s="180"/>
      <c r="P495" s="123"/>
      <c r="Q495" s="130"/>
      <c r="R495" s="180"/>
      <c r="S495" s="180"/>
      <c r="T495" s="180"/>
      <c r="U495" s="180"/>
      <c r="V495" s="123"/>
      <c r="W495" s="123"/>
      <c r="X495" s="123"/>
      <c r="Y495" s="180"/>
      <c r="Z495" s="180"/>
    </row>
    <row r="496" spans="1:26" ht="45.75" customHeight="1">
      <c r="A496" s="180"/>
      <c r="B496" s="180"/>
      <c r="C496" s="180"/>
      <c r="D496" s="180"/>
      <c r="E496" s="180"/>
      <c r="F496" s="225"/>
      <c r="G496" s="180"/>
      <c r="H496" s="180"/>
      <c r="I496" s="180"/>
      <c r="J496" s="211"/>
      <c r="K496" s="180"/>
      <c r="L496" s="212"/>
      <c r="M496" s="180"/>
      <c r="N496" s="180"/>
      <c r="O496" s="180"/>
      <c r="P496" s="123"/>
      <c r="Q496" s="130"/>
      <c r="R496" s="180"/>
      <c r="S496" s="180"/>
      <c r="T496" s="180"/>
      <c r="U496" s="180"/>
      <c r="V496" s="123"/>
      <c r="W496" s="123"/>
      <c r="X496" s="123"/>
      <c r="Y496" s="180"/>
      <c r="Z496" s="180"/>
    </row>
    <row r="497" spans="1:26" ht="45.75" customHeight="1">
      <c r="A497" s="180"/>
      <c r="B497" s="180"/>
      <c r="C497" s="180"/>
      <c r="D497" s="180"/>
      <c r="E497" s="180"/>
      <c r="F497" s="225"/>
      <c r="G497" s="180"/>
      <c r="H497" s="180"/>
      <c r="I497" s="180"/>
      <c r="J497" s="211"/>
      <c r="K497" s="180"/>
      <c r="L497" s="212"/>
      <c r="M497" s="180"/>
      <c r="N497" s="180"/>
      <c r="O497" s="180"/>
      <c r="P497" s="123"/>
      <c r="Q497" s="130"/>
      <c r="R497" s="180"/>
      <c r="S497" s="180"/>
      <c r="T497" s="180"/>
      <c r="U497" s="180"/>
      <c r="V497" s="123"/>
      <c r="W497" s="123"/>
      <c r="X497" s="123"/>
      <c r="Y497" s="180"/>
      <c r="Z497" s="180"/>
    </row>
    <row r="498" spans="1:26" ht="45.75" customHeight="1">
      <c r="A498" s="180"/>
      <c r="B498" s="180"/>
      <c r="C498" s="180"/>
      <c r="D498" s="180"/>
      <c r="E498" s="180"/>
      <c r="F498" s="225"/>
      <c r="G498" s="180"/>
      <c r="H498" s="180"/>
      <c r="I498" s="180"/>
      <c r="J498" s="211"/>
      <c r="K498" s="180"/>
      <c r="L498" s="212"/>
      <c r="M498" s="180"/>
      <c r="N498" s="180"/>
      <c r="O498" s="180"/>
      <c r="P498" s="123"/>
      <c r="Q498" s="130"/>
      <c r="R498" s="180"/>
      <c r="S498" s="180"/>
      <c r="T498" s="180"/>
      <c r="U498" s="180"/>
      <c r="V498" s="123"/>
      <c r="W498" s="123"/>
      <c r="X498" s="123"/>
      <c r="Y498" s="180"/>
      <c r="Z498" s="180"/>
    </row>
    <row r="499" spans="1:26" ht="45.75" customHeight="1">
      <c r="A499" s="180"/>
      <c r="B499" s="180"/>
      <c r="C499" s="180"/>
      <c r="D499" s="180"/>
      <c r="E499" s="180"/>
      <c r="F499" s="225"/>
      <c r="G499" s="180"/>
      <c r="H499" s="180"/>
      <c r="I499" s="180"/>
      <c r="J499" s="211"/>
      <c r="K499" s="180"/>
      <c r="L499" s="212"/>
      <c r="M499" s="180"/>
      <c r="N499" s="180"/>
      <c r="O499" s="180"/>
      <c r="P499" s="123"/>
      <c r="Q499" s="130"/>
      <c r="R499" s="180"/>
      <c r="S499" s="180"/>
      <c r="T499" s="180"/>
      <c r="U499" s="180"/>
      <c r="V499" s="123"/>
      <c r="W499" s="123"/>
      <c r="X499" s="123"/>
      <c r="Y499" s="180"/>
      <c r="Z499" s="180"/>
    </row>
    <row r="500" spans="1:26" ht="45.75" customHeight="1">
      <c r="A500" s="180"/>
      <c r="B500" s="180"/>
      <c r="C500" s="180"/>
      <c r="D500" s="180"/>
      <c r="E500" s="180"/>
      <c r="F500" s="225"/>
      <c r="G500" s="180"/>
      <c r="H500" s="180"/>
      <c r="I500" s="180"/>
      <c r="J500" s="211"/>
      <c r="K500" s="180"/>
      <c r="L500" s="212"/>
      <c r="M500" s="180"/>
      <c r="N500" s="180"/>
      <c r="O500" s="180"/>
      <c r="P500" s="123"/>
      <c r="Q500" s="130"/>
      <c r="R500" s="180"/>
      <c r="S500" s="180"/>
      <c r="T500" s="180"/>
      <c r="U500" s="180"/>
      <c r="V500" s="123"/>
      <c r="W500" s="123"/>
      <c r="X500" s="123"/>
      <c r="Y500" s="180"/>
      <c r="Z500" s="180"/>
    </row>
    <row r="501" spans="1:26" ht="45.75" customHeight="1">
      <c r="A501" s="180"/>
      <c r="B501" s="180"/>
      <c r="C501" s="180"/>
      <c r="D501" s="180"/>
      <c r="E501" s="180"/>
      <c r="F501" s="225"/>
      <c r="G501" s="180"/>
      <c r="H501" s="180"/>
      <c r="I501" s="180"/>
      <c r="J501" s="211"/>
      <c r="K501" s="180"/>
      <c r="L501" s="212"/>
      <c r="M501" s="180"/>
      <c r="N501" s="180"/>
      <c r="O501" s="180"/>
      <c r="P501" s="123"/>
      <c r="Q501" s="130"/>
      <c r="R501" s="180"/>
      <c r="S501" s="180"/>
      <c r="T501" s="180"/>
      <c r="U501" s="180"/>
      <c r="V501" s="123"/>
      <c r="W501" s="123"/>
      <c r="X501" s="123"/>
      <c r="Y501" s="180"/>
      <c r="Z501" s="180"/>
    </row>
    <row r="502" spans="1:26" ht="45.75" customHeight="1">
      <c r="A502" s="180"/>
      <c r="B502" s="180"/>
      <c r="C502" s="180"/>
      <c r="D502" s="180"/>
      <c r="E502" s="180"/>
      <c r="F502" s="225"/>
      <c r="G502" s="180"/>
      <c r="H502" s="180"/>
      <c r="I502" s="180"/>
      <c r="J502" s="211"/>
      <c r="K502" s="180"/>
      <c r="L502" s="212"/>
      <c r="M502" s="180"/>
      <c r="N502" s="180"/>
      <c r="O502" s="180"/>
      <c r="P502" s="123"/>
      <c r="Q502" s="130"/>
      <c r="R502" s="180"/>
      <c r="S502" s="180"/>
      <c r="T502" s="180"/>
      <c r="U502" s="180"/>
      <c r="V502" s="123"/>
      <c r="W502" s="123"/>
      <c r="X502" s="123"/>
      <c r="Y502" s="180"/>
      <c r="Z502" s="180"/>
    </row>
    <row r="503" spans="1:26" ht="45.75" customHeight="1">
      <c r="A503" s="180"/>
      <c r="B503" s="180"/>
      <c r="C503" s="180"/>
      <c r="D503" s="180"/>
      <c r="E503" s="180"/>
      <c r="F503" s="225"/>
      <c r="G503" s="180"/>
      <c r="H503" s="180"/>
      <c r="I503" s="180"/>
      <c r="J503" s="211"/>
      <c r="K503" s="180"/>
      <c r="L503" s="212"/>
      <c r="M503" s="180"/>
      <c r="N503" s="180"/>
      <c r="O503" s="180"/>
      <c r="P503" s="123"/>
      <c r="Q503" s="130"/>
      <c r="R503" s="180"/>
      <c r="S503" s="180"/>
      <c r="T503" s="180"/>
      <c r="U503" s="180"/>
      <c r="V503" s="123"/>
      <c r="W503" s="123"/>
      <c r="X503" s="123"/>
      <c r="Y503" s="180"/>
      <c r="Z503" s="180"/>
    </row>
    <row r="504" spans="1:26" ht="45.75" customHeight="1">
      <c r="A504" s="180"/>
      <c r="B504" s="180"/>
      <c r="C504" s="180"/>
      <c r="D504" s="180"/>
      <c r="E504" s="180"/>
      <c r="F504" s="225"/>
      <c r="G504" s="180"/>
      <c r="H504" s="180"/>
      <c r="I504" s="180"/>
      <c r="J504" s="211"/>
      <c r="K504" s="180"/>
      <c r="L504" s="212"/>
      <c r="M504" s="180"/>
      <c r="N504" s="180"/>
      <c r="O504" s="180"/>
      <c r="P504" s="123"/>
      <c r="Q504" s="130"/>
      <c r="R504" s="180"/>
      <c r="S504" s="180"/>
      <c r="T504" s="180"/>
      <c r="U504" s="180"/>
      <c r="V504" s="123"/>
      <c r="W504" s="123"/>
      <c r="X504" s="123"/>
      <c r="Y504" s="180"/>
      <c r="Z504" s="180"/>
    </row>
    <row r="505" spans="1:26" ht="45.75" customHeight="1">
      <c r="A505" s="180"/>
      <c r="B505" s="180"/>
      <c r="C505" s="180"/>
      <c r="D505" s="180"/>
      <c r="E505" s="180"/>
      <c r="F505" s="225"/>
      <c r="G505" s="180"/>
      <c r="H505" s="180"/>
      <c r="I505" s="180"/>
      <c r="J505" s="211"/>
      <c r="K505" s="180"/>
      <c r="L505" s="212"/>
      <c r="M505" s="180"/>
      <c r="N505" s="180"/>
      <c r="O505" s="180"/>
      <c r="P505" s="123"/>
      <c r="Q505" s="130"/>
      <c r="R505" s="180"/>
      <c r="S505" s="180"/>
      <c r="T505" s="180"/>
      <c r="U505" s="180"/>
      <c r="V505" s="123"/>
      <c r="W505" s="123"/>
      <c r="X505" s="123"/>
      <c r="Y505" s="180"/>
      <c r="Z505" s="180"/>
    </row>
    <row r="506" spans="1:26" ht="45.75" customHeight="1">
      <c r="A506" s="180"/>
      <c r="B506" s="180"/>
      <c r="C506" s="180"/>
      <c r="D506" s="180"/>
      <c r="E506" s="180"/>
      <c r="F506" s="225"/>
      <c r="G506" s="180"/>
      <c r="H506" s="180"/>
      <c r="I506" s="180"/>
      <c r="J506" s="211"/>
      <c r="K506" s="180"/>
      <c r="L506" s="212"/>
      <c r="M506" s="180"/>
      <c r="N506" s="180"/>
      <c r="O506" s="180"/>
      <c r="P506" s="123"/>
      <c r="Q506" s="130"/>
      <c r="R506" s="180"/>
      <c r="S506" s="180"/>
      <c r="T506" s="180"/>
      <c r="U506" s="180"/>
      <c r="V506" s="123"/>
      <c r="W506" s="123"/>
      <c r="X506" s="123"/>
      <c r="Y506" s="180"/>
      <c r="Z506" s="180"/>
    </row>
    <row r="507" spans="1:26" ht="45.75" customHeight="1">
      <c r="A507" s="180"/>
      <c r="B507" s="180"/>
      <c r="C507" s="180"/>
      <c r="D507" s="180"/>
      <c r="E507" s="180"/>
      <c r="F507" s="225"/>
      <c r="G507" s="180"/>
      <c r="H507" s="180"/>
      <c r="I507" s="180"/>
      <c r="J507" s="211"/>
      <c r="K507" s="180"/>
      <c r="L507" s="212"/>
      <c r="M507" s="180"/>
      <c r="N507" s="180"/>
      <c r="O507" s="180"/>
      <c r="P507" s="123"/>
      <c r="Q507" s="130"/>
      <c r="R507" s="180"/>
      <c r="S507" s="180"/>
      <c r="T507" s="180"/>
      <c r="U507" s="180"/>
      <c r="V507" s="123"/>
      <c r="W507" s="123"/>
      <c r="X507" s="123"/>
      <c r="Y507" s="180"/>
      <c r="Z507" s="180"/>
    </row>
    <row r="508" spans="1:26" ht="45.75" customHeight="1">
      <c r="A508" s="180"/>
      <c r="B508" s="180"/>
      <c r="C508" s="180"/>
      <c r="D508" s="180"/>
      <c r="E508" s="180"/>
      <c r="F508" s="225"/>
      <c r="G508" s="180"/>
      <c r="H508" s="180"/>
      <c r="I508" s="180"/>
      <c r="J508" s="211"/>
      <c r="K508" s="180"/>
      <c r="L508" s="212"/>
      <c r="M508" s="180"/>
      <c r="N508" s="180"/>
      <c r="O508" s="180"/>
      <c r="P508" s="123"/>
      <c r="Q508" s="130"/>
      <c r="R508" s="180"/>
      <c r="S508" s="180"/>
      <c r="T508" s="180"/>
      <c r="U508" s="180"/>
      <c r="V508" s="123"/>
      <c r="W508" s="123"/>
      <c r="X508" s="123"/>
      <c r="Y508" s="180"/>
      <c r="Z508" s="180"/>
    </row>
    <row r="509" spans="1:26" ht="45.75" customHeight="1">
      <c r="A509" s="180"/>
      <c r="B509" s="180"/>
      <c r="C509" s="180"/>
      <c r="D509" s="180"/>
      <c r="E509" s="180"/>
      <c r="F509" s="225"/>
      <c r="G509" s="180"/>
      <c r="H509" s="180"/>
      <c r="I509" s="180"/>
      <c r="J509" s="211"/>
      <c r="K509" s="180"/>
      <c r="L509" s="212"/>
      <c r="M509" s="180"/>
      <c r="N509" s="180"/>
      <c r="O509" s="180"/>
      <c r="P509" s="123"/>
      <c r="Q509" s="130"/>
      <c r="R509" s="180"/>
      <c r="S509" s="180"/>
      <c r="T509" s="180"/>
      <c r="U509" s="180"/>
      <c r="V509" s="123"/>
      <c r="W509" s="123"/>
      <c r="X509" s="123"/>
      <c r="Y509" s="180"/>
      <c r="Z509" s="180"/>
    </row>
    <row r="510" spans="1:26" ht="45.75" customHeight="1">
      <c r="A510" s="180"/>
      <c r="B510" s="180"/>
      <c r="C510" s="180"/>
      <c r="D510" s="180"/>
      <c r="E510" s="180"/>
      <c r="F510" s="225"/>
      <c r="G510" s="180"/>
      <c r="H510" s="180"/>
      <c r="I510" s="180"/>
      <c r="J510" s="211"/>
      <c r="K510" s="180"/>
      <c r="L510" s="212"/>
      <c r="M510" s="180"/>
      <c r="N510" s="180"/>
      <c r="O510" s="180"/>
      <c r="P510" s="123"/>
      <c r="Q510" s="130"/>
      <c r="R510" s="180"/>
      <c r="S510" s="180"/>
      <c r="T510" s="180"/>
      <c r="U510" s="180"/>
      <c r="V510" s="123"/>
      <c r="W510" s="123"/>
      <c r="X510" s="123"/>
      <c r="Y510" s="180"/>
      <c r="Z510" s="180"/>
    </row>
    <row r="511" spans="1:26" ht="45.75" customHeight="1">
      <c r="A511" s="180"/>
      <c r="B511" s="180"/>
      <c r="C511" s="180"/>
      <c r="D511" s="180"/>
      <c r="E511" s="180"/>
      <c r="F511" s="225"/>
      <c r="G511" s="180"/>
      <c r="H511" s="180"/>
      <c r="I511" s="180"/>
      <c r="J511" s="211"/>
      <c r="K511" s="180"/>
      <c r="L511" s="212"/>
      <c r="M511" s="180"/>
      <c r="N511" s="180"/>
      <c r="O511" s="180"/>
      <c r="P511" s="123"/>
      <c r="Q511" s="130"/>
      <c r="R511" s="180"/>
      <c r="S511" s="180"/>
      <c r="T511" s="180"/>
      <c r="U511" s="180"/>
      <c r="V511" s="123"/>
      <c r="W511" s="123"/>
      <c r="X511" s="123"/>
      <c r="Y511" s="180"/>
      <c r="Z511" s="180"/>
    </row>
    <row r="512" spans="1:26" ht="45.75" customHeight="1">
      <c r="A512" s="180"/>
      <c r="B512" s="180"/>
      <c r="C512" s="180"/>
      <c r="D512" s="180"/>
      <c r="E512" s="180"/>
      <c r="F512" s="225"/>
      <c r="G512" s="180"/>
      <c r="H512" s="180"/>
      <c r="I512" s="180"/>
      <c r="J512" s="211"/>
      <c r="K512" s="180"/>
      <c r="L512" s="212"/>
      <c r="M512" s="180"/>
      <c r="N512" s="180"/>
      <c r="O512" s="180"/>
      <c r="P512" s="123"/>
      <c r="Q512" s="130"/>
      <c r="R512" s="180"/>
      <c r="S512" s="180"/>
      <c r="T512" s="180"/>
      <c r="U512" s="180"/>
      <c r="V512" s="123"/>
      <c r="W512" s="123"/>
      <c r="X512" s="123"/>
      <c r="Y512" s="180"/>
      <c r="Z512" s="180"/>
    </row>
    <row r="513" spans="1:26" ht="45.75" customHeight="1">
      <c r="A513" s="180"/>
      <c r="B513" s="180"/>
      <c r="C513" s="180"/>
      <c r="D513" s="180"/>
      <c r="E513" s="180"/>
      <c r="F513" s="225"/>
      <c r="G513" s="180"/>
      <c r="H513" s="180"/>
      <c r="I513" s="180"/>
      <c r="J513" s="211"/>
      <c r="K513" s="180"/>
      <c r="L513" s="212"/>
      <c r="M513" s="180"/>
      <c r="N513" s="180"/>
      <c r="O513" s="180"/>
      <c r="P513" s="123"/>
      <c r="Q513" s="130"/>
      <c r="R513" s="180"/>
      <c r="S513" s="180"/>
      <c r="T513" s="180"/>
      <c r="U513" s="180"/>
      <c r="V513" s="123"/>
      <c r="W513" s="123"/>
      <c r="X513" s="123"/>
      <c r="Y513" s="180"/>
      <c r="Z513" s="180"/>
    </row>
    <row r="514" spans="1:26" ht="45.75" customHeight="1">
      <c r="A514" s="180"/>
      <c r="B514" s="180"/>
      <c r="C514" s="180"/>
      <c r="D514" s="180"/>
      <c r="E514" s="180"/>
      <c r="F514" s="225"/>
      <c r="G514" s="180"/>
      <c r="H514" s="180"/>
      <c r="I514" s="180"/>
      <c r="J514" s="211"/>
      <c r="K514" s="180"/>
      <c r="L514" s="212"/>
      <c r="M514" s="180"/>
      <c r="N514" s="180"/>
      <c r="O514" s="180"/>
      <c r="P514" s="123"/>
      <c r="Q514" s="130"/>
      <c r="R514" s="180"/>
      <c r="S514" s="180"/>
      <c r="T514" s="180"/>
      <c r="U514" s="180"/>
      <c r="V514" s="123"/>
      <c r="W514" s="123"/>
      <c r="X514" s="123"/>
      <c r="Y514" s="180"/>
      <c r="Z514" s="180"/>
    </row>
    <row r="515" spans="1:26" ht="45.75" customHeight="1">
      <c r="A515" s="180"/>
      <c r="B515" s="180"/>
      <c r="C515" s="180"/>
      <c r="D515" s="180"/>
      <c r="E515" s="180"/>
      <c r="F515" s="225"/>
      <c r="G515" s="180"/>
      <c r="H515" s="180"/>
      <c r="I515" s="180"/>
      <c r="J515" s="211"/>
      <c r="K515" s="180"/>
      <c r="L515" s="212"/>
      <c r="M515" s="180"/>
      <c r="N515" s="180"/>
      <c r="O515" s="180"/>
      <c r="P515" s="123"/>
      <c r="Q515" s="130"/>
      <c r="R515" s="180"/>
      <c r="S515" s="180"/>
      <c r="T515" s="180"/>
      <c r="U515" s="180"/>
      <c r="V515" s="123"/>
      <c r="W515" s="123"/>
      <c r="X515" s="123"/>
      <c r="Y515" s="180"/>
      <c r="Z515" s="180"/>
    </row>
    <row r="516" spans="1:26" ht="45.75" customHeight="1">
      <c r="A516" s="180"/>
      <c r="B516" s="180"/>
      <c r="C516" s="180"/>
      <c r="D516" s="180"/>
      <c r="E516" s="180"/>
      <c r="F516" s="225"/>
      <c r="G516" s="180"/>
      <c r="H516" s="180"/>
      <c r="I516" s="180"/>
      <c r="J516" s="211"/>
      <c r="K516" s="180"/>
      <c r="L516" s="212"/>
      <c r="M516" s="180"/>
      <c r="N516" s="180"/>
      <c r="O516" s="180"/>
      <c r="P516" s="123"/>
      <c r="Q516" s="130"/>
      <c r="R516" s="180"/>
      <c r="S516" s="180"/>
      <c r="T516" s="180"/>
      <c r="U516" s="180"/>
      <c r="V516" s="123"/>
      <c r="W516" s="123"/>
      <c r="X516" s="123"/>
      <c r="Y516" s="180"/>
      <c r="Z516" s="180"/>
    </row>
    <row r="517" spans="1:26" ht="45.75" customHeight="1">
      <c r="A517" s="180"/>
      <c r="B517" s="180"/>
      <c r="C517" s="180"/>
      <c r="D517" s="180"/>
      <c r="E517" s="180"/>
      <c r="F517" s="225"/>
      <c r="G517" s="180"/>
      <c r="H517" s="180"/>
      <c r="I517" s="180"/>
      <c r="J517" s="211"/>
      <c r="K517" s="180"/>
      <c r="L517" s="212"/>
      <c r="M517" s="180"/>
      <c r="N517" s="180"/>
      <c r="O517" s="180"/>
      <c r="P517" s="123"/>
      <c r="Q517" s="130"/>
      <c r="R517" s="180"/>
      <c r="S517" s="180"/>
      <c r="T517" s="180"/>
      <c r="U517" s="180"/>
      <c r="V517" s="123"/>
      <c r="W517" s="123"/>
      <c r="X517" s="123"/>
      <c r="Y517" s="180"/>
      <c r="Z517" s="180"/>
    </row>
    <row r="518" spans="1:26" ht="45.75" customHeight="1">
      <c r="A518" s="180"/>
      <c r="B518" s="180"/>
      <c r="C518" s="180"/>
      <c r="D518" s="180"/>
      <c r="E518" s="180"/>
      <c r="F518" s="225"/>
      <c r="G518" s="180"/>
      <c r="H518" s="180"/>
      <c r="I518" s="180"/>
      <c r="J518" s="211"/>
      <c r="K518" s="180"/>
      <c r="L518" s="212"/>
      <c r="M518" s="180"/>
      <c r="N518" s="180"/>
      <c r="O518" s="180"/>
      <c r="P518" s="123"/>
      <c r="Q518" s="130"/>
      <c r="R518" s="180"/>
      <c r="S518" s="180"/>
      <c r="T518" s="180"/>
      <c r="U518" s="180"/>
      <c r="V518" s="123"/>
      <c r="W518" s="123"/>
      <c r="X518" s="123"/>
      <c r="Y518" s="180"/>
      <c r="Z518" s="180"/>
    </row>
    <row r="519" spans="1:26" ht="45.75" customHeight="1">
      <c r="A519" s="180"/>
      <c r="B519" s="180"/>
      <c r="C519" s="180"/>
      <c r="D519" s="180"/>
      <c r="E519" s="180"/>
      <c r="F519" s="225"/>
      <c r="G519" s="180"/>
      <c r="H519" s="180"/>
      <c r="I519" s="180"/>
      <c r="J519" s="211"/>
      <c r="K519" s="180"/>
      <c r="L519" s="212"/>
      <c r="M519" s="180"/>
      <c r="N519" s="180"/>
      <c r="O519" s="180"/>
      <c r="P519" s="123"/>
      <c r="Q519" s="130"/>
      <c r="R519" s="180"/>
      <c r="S519" s="180"/>
      <c r="T519" s="180"/>
      <c r="U519" s="180"/>
      <c r="V519" s="123"/>
      <c r="W519" s="123"/>
      <c r="X519" s="123"/>
      <c r="Y519" s="180"/>
      <c r="Z519" s="180"/>
    </row>
    <row r="520" spans="1:26" ht="45.75" customHeight="1">
      <c r="A520" s="180"/>
      <c r="B520" s="180"/>
      <c r="C520" s="180"/>
      <c r="D520" s="180"/>
      <c r="E520" s="180"/>
      <c r="F520" s="225"/>
      <c r="G520" s="180"/>
      <c r="H520" s="180"/>
      <c r="I520" s="180"/>
      <c r="J520" s="211"/>
      <c r="K520" s="180"/>
      <c r="L520" s="212"/>
      <c r="M520" s="180"/>
      <c r="N520" s="180"/>
      <c r="O520" s="180"/>
      <c r="P520" s="123"/>
      <c r="Q520" s="130"/>
      <c r="R520" s="180"/>
      <c r="S520" s="180"/>
      <c r="T520" s="180"/>
      <c r="U520" s="180"/>
      <c r="V520" s="123"/>
      <c r="W520" s="123"/>
      <c r="X520" s="123"/>
      <c r="Y520" s="180"/>
      <c r="Z520" s="180"/>
    </row>
    <row r="521" spans="1:26" ht="45.75" customHeight="1">
      <c r="A521" s="180"/>
      <c r="B521" s="180"/>
      <c r="C521" s="180"/>
      <c r="D521" s="180"/>
      <c r="E521" s="180"/>
      <c r="F521" s="225"/>
      <c r="G521" s="180"/>
      <c r="H521" s="180"/>
      <c r="I521" s="180"/>
      <c r="J521" s="211"/>
      <c r="K521" s="180"/>
      <c r="L521" s="212"/>
      <c r="M521" s="180"/>
      <c r="N521" s="180"/>
      <c r="O521" s="180"/>
      <c r="P521" s="123"/>
      <c r="Q521" s="130"/>
      <c r="R521" s="180"/>
      <c r="S521" s="180"/>
      <c r="T521" s="180"/>
      <c r="U521" s="180"/>
      <c r="V521" s="123"/>
      <c r="W521" s="123"/>
      <c r="X521" s="123"/>
      <c r="Y521" s="180"/>
      <c r="Z521" s="180"/>
    </row>
    <row r="522" spans="1:26" ht="45.75" customHeight="1">
      <c r="A522" s="180"/>
      <c r="B522" s="180"/>
      <c r="C522" s="180"/>
      <c r="D522" s="180"/>
      <c r="E522" s="180"/>
      <c r="F522" s="225"/>
      <c r="G522" s="180"/>
      <c r="H522" s="180"/>
      <c r="I522" s="180"/>
      <c r="J522" s="211"/>
      <c r="K522" s="180"/>
      <c r="L522" s="212"/>
      <c r="M522" s="180"/>
      <c r="N522" s="180"/>
      <c r="O522" s="180"/>
      <c r="P522" s="123"/>
      <c r="Q522" s="130"/>
      <c r="R522" s="180"/>
      <c r="S522" s="180"/>
      <c r="T522" s="180"/>
      <c r="U522" s="180"/>
      <c r="V522" s="123"/>
      <c r="W522" s="123"/>
      <c r="X522" s="123"/>
      <c r="Y522" s="180"/>
      <c r="Z522" s="180"/>
    </row>
    <row r="523" spans="1:26" ht="45.75" customHeight="1">
      <c r="A523" s="180"/>
      <c r="B523" s="180"/>
      <c r="C523" s="180"/>
      <c r="D523" s="180"/>
      <c r="E523" s="180"/>
      <c r="F523" s="225"/>
      <c r="G523" s="180"/>
      <c r="H523" s="180"/>
      <c r="I523" s="180"/>
      <c r="J523" s="211"/>
      <c r="K523" s="180"/>
      <c r="L523" s="212"/>
      <c r="M523" s="180"/>
      <c r="N523" s="180"/>
      <c r="O523" s="180"/>
      <c r="P523" s="123"/>
      <c r="Q523" s="130"/>
      <c r="R523" s="180"/>
      <c r="S523" s="180"/>
      <c r="T523" s="180"/>
      <c r="U523" s="180"/>
      <c r="V523" s="123"/>
      <c r="W523" s="123"/>
      <c r="X523" s="123"/>
      <c r="Y523" s="180"/>
      <c r="Z523" s="180"/>
    </row>
    <row r="524" spans="1:26" ht="45.75" customHeight="1">
      <c r="A524" s="180"/>
      <c r="B524" s="180"/>
      <c r="C524" s="180"/>
      <c r="D524" s="180"/>
      <c r="E524" s="180"/>
      <c r="F524" s="225"/>
      <c r="G524" s="180"/>
      <c r="H524" s="180"/>
      <c r="I524" s="180"/>
      <c r="J524" s="211"/>
      <c r="K524" s="180"/>
      <c r="L524" s="212"/>
      <c r="M524" s="180"/>
      <c r="N524" s="180"/>
      <c r="O524" s="180"/>
      <c r="P524" s="123"/>
      <c r="Q524" s="130"/>
      <c r="R524" s="180"/>
      <c r="S524" s="180"/>
      <c r="T524" s="180"/>
      <c r="U524" s="180"/>
      <c r="V524" s="123"/>
      <c r="W524" s="123"/>
      <c r="X524" s="123"/>
      <c r="Y524" s="180"/>
      <c r="Z524" s="180"/>
    </row>
    <row r="525" spans="1:26" ht="45.75" customHeight="1">
      <c r="A525" s="180"/>
      <c r="B525" s="180"/>
      <c r="C525" s="180"/>
      <c r="D525" s="180"/>
      <c r="E525" s="180"/>
      <c r="F525" s="225"/>
      <c r="G525" s="180"/>
      <c r="H525" s="180"/>
      <c r="I525" s="180"/>
      <c r="J525" s="211"/>
      <c r="K525" s="180"/>
      <c r="L525" s="212"/>
      <c r="M525" s="180"/>
      <c r="N525" s="180"/>
      <c r="O525" s="180"/>
      <c r="P525" s="123"/>
      <c r="Q525" s="130"/>
      <c r="R525" s="180"/>
      <c r="S525" s="180"/>
      <c r="T525" s="180"/>
      <c r="U525" s="180"/>
      <c r="V525" s="123"/>
      <c r="W525" s="123"/>
      <c r="X525" s="123"/>
      <c r="Y525" s="180"/>
      <c r="Z525" s="180"/>
    </row>
    <row r="526" spans="1:26" ht="45.75" customHeight="1">
      <c r="A526" s="180"/>
      <c r="B526" s="180"/>
      <c r="C526" s="180"/>
      <c r="D526" s="180"/>
      <c r="E526" s="180"/>
      <c r="F526" s="225"/>
      <c r="G526" s="180"/>
      <c r="H526" s="180"/>
      <c r="I526" s="180"/>
      <c r="J526" s="211"/>
      <c r="K526" s="180"/>
      <c r="L526" s="212"/>
      <c r="M526" s="180"/>
      <c r="N526" s="180"/>
      <c r="O526" s="180"/>
      <c r="P526" s="123"/>
      <c r="Q526" s="130"/>
      <c r="R526" s="180"/>
      <c r="S526" s="180"/>
      <c r="T526" s="180"/>
      <c r="U526" s="180"/>
      <c r="V526" s="123"/>
      <c r="W526" s="123"/>
      <c r="X526" s="123"/>
      <c r="Y526" s="180"/>
      <c r="Z526" s="180"/>
    </row>
    <row r="527" spans="1:26" ht="45.75" customHeight="1">
      <c r="A527" s="180"/>
      <c r="B527" s="180"/>
      <c r="C527" s="180"/>
      <c r="D527" s="180"/>
      <c r="E527" s="180"/>
      <c r="F527" s="225"/>
      <c r="G527" s="180"/>
      <c r="H527" s="180"/>
      <c r="I527" s="180"/>
      <c r="J527" s="211"/>
      <c r="K527" s="180"/>
      <c r="L527" s="212"/>
      <c r="M527" s="180"/>
      <c r="N527" s="180"/>
      <c r="O527" s="180"/>
      <c r="P527" s="123"/>
      <c r="Q527" s="130"/>
      <c r="R527" s="180"/>
      <c r="S527" s="180"/>
      <c r="T527" s="180"/>
      <c r="U527" s="180"/>
      <c r="V527" s="123"/>
      <c r="W527" s="123"/>
      <c r="X527" s="123"/>
      <c r="Y527" s="180"/>
      <c r="Z527" s="180"/>
    </row>
    <row r="528" spans="1:26" ht="45.75" customHeight="1">
      <c r="A528" s="180"/>
      <c r="B528" s="180"/>
      <c r="C528" s="180"/>
      <c r="D528" s="180"/>
      <c r="E528" s="180"/>
      <c r="F528" s="225"/>
      <c r="G528" s="180"/>
      <c r="H528" s="180"/>
      <c r="I528" s="180"/>
      <c r="J528" s="211"/>
      <c r="K528" s="180"/>
      <c r="L528" s="212"/>
      <c r="M528" s="180"/>
      <c r="N528" s="180"/>
      <c r="O528" s="180"/>
      <c r="P528" s="123"/>
      <c r="Q528" s="130"/>
      <c r="R528" s="180"/>
      <c r="S528" s="180"/>
      <c r="T528" s="180"/>
      <c r="U528" s="180"/>
      <c r="V528" s="123"/>
      <c r="W528" s="123"/>
      <c r="X528" s="123"/>
      <c r="Y528" s="180"/>
      <c r="Z528" s="180"/>
    </row>
    <row r="529" spans="1:26" ht="45.75" customHeight="1">
      <c r="A529" s="180"/>
      <c r="B529" s="180"/>
      <c r="C529" s="180"/>
      <c r="D529" s="180"/>
      <c r="E529" s="180"/>
      <c r="F529" s="225"/>
      <c r="G529" s="180"/>
      <c r="H529" s="180"/>
      <c r="I529" s="180"/>
      <c r="J529" s="211"/>
      <c r="K529" s="180"/>
      <c r="L529" s="212"/>
      <c r="M529" s="180"/>
      <c r="N529" s="180"/>
      <c r="O529" s="180"/>
      <c r="P529" s="123"/>
      <c r="Q529" s="130"/>
      <c r="R529" s="180"/>
      <c r="S529" s="180"/>
      <c r="T529" s="180"/>
      <c r="U529" s="180"/>
      <c r="V529" s="123"/>
      <c r="W529" s="123"/>
      <c r="X529" s="123"/>
      <c r="Y529" s="180"/>
      <c r="Z529" s="180"/>
    </row>
    <row r="530" spans="1:26" ht="45.75" customHeight="1">
      <c r="A530" s="180"/>
      <c r="B530" s="180"/>
      <c r="C530" s="180"/>
      <c r="D530" s="180"/>
      <c r="E530" s="180"/>
      <c r="F530" s="225"/>
      <c r="G530" s="180"/>
      <c r="H530" s="180"/>
      <c r="I530" s="180"/>
      <c r="J530" s="211"/>
      <c r="K530" s="180"/>
      <c r="L530" s="212"/>
      <c r="M530" s="180"/>
      <c r="N530" s="180"/>
      <c r="O530" s="180"/>
      <c r="P530" s="123"/>
      <c r="Q530" s="130"/>
      <c r="R530" s="180"/>
      <c r="S530" s="180"/>
      <c r="T530" s="180"/>
      <c r="U530" s="180"/>
      <c r="V530" s="123"/>
      <c r="W530" s="123"/>
      <c r="X530" s="123"/>
      <c r="Y530" s="180"/>
      <c r="Z530" s="180"/>
    </row>
    <row r="531" spans="1:26" ht="45.75" customHeight="1">
      <c r="A531" s="180"/>
      <c r="B531" s="180"/>
      <c r="C531" s="180"/>
      <c r="D531" s="180"/>
      <c r="E531" s="180"/>
      <c r="F531" s="225"/>
      <c r="G531" s="180"/>
      <c r="H531" s="180"/>
      <c r="I531" s="180"/>
      <c r="J531" s="211"/>
      <c r="K531" s="180"/>
      <c r="L531" s="212"/>
      <c r="M531" s="180"/>
      <c r="N531" s="180"/>
      <c r="O531" s="180"/>
      <c r="P531" s="123"/>
      <c r="Q531" s="130"/>
      <c r="R531" s="180"/>
      <c r="S531" s="180"/>
      <c r="T531" s="180"/>
      <c r="U531" s="180"/>
      <c r="V531" s="123"/>
      <c r="W531" s="123"/>
      <c r="X531" s="123"/>
      <c r="Y531" s="180"/>
      <c r="Z531" s="180"/>
    </row>
    <row r="532" spans="1:26" ht="45.75" customHeight="1">
      <c r="A532" s="180"/>
      <c r="B532" s="180"/>
      <c r="C532" s="180"/>
      <c r="D532" s="180"/>
      <c r="E532" s="180"/>
      <c r="F532" s="225"/>
      <c r="G532" s="180"/>
      <c r="H532" s="180"/>
      <c r="I532" s="180"/>
      <c r="J532" s="211"/>
      <c r="K532" s="180"/>
      <c r="L532" s="212"/>
      <c r="M532" s="180"/>
      <c r="N532" s="180"/>
      <c r="O532" s="180"/>
      <c r="P532" s="123"/>
      <c r="Q532" s="130"/>
      <c r="R532" s="180"/>
      <c r="S532" s="180"/>
      <c r="T532" s="180"/>
      <c r="U532" s="180"/>
      <c r="V532" s="123"/>
      <c r="W532" s="123"/>
      <c r="X532" s="123"/>
      <c r="Y532" s="180"/>
      <c r="Z532" s="180"/>
    </row>
    <row r="533" spans="1:26" ht="45.75" customHeight="1">
      <c r="A533" s="180"/>
      <c r="B533" s="180"/>
      <c r="C533" s="180"/>
      <c r="D533" s="180"/>
      <c r="E533" s="180"/>
      <c r="F533" s="225"/>
      <c r="G533" s="180"/>
      <c r="H533" s="180"/>
      <c r="I533" s="180"/>
      <c r="J533" s="211"/>
      <c r="K533" s="180"/>
      <c r="L533" s="212"/>
      <c r="M533" s="180"/>
      <c r="N533" s="180"/>
      <c r="O533" s="180"/>
      <c r="P533" s="123"/>
      <c r="Q533" s="130"/>
      <c r="R533" s="180"/>
      <c r="S533" s="180"/>
      <c r="T533" s="180"/>
      <c r="U533" s="180"/>
      <c r="V533" s="123"/>
      <c r="W533" s="123"/>
      <c r="X533" s="123"/>
      <c r="Y533" s="180"/>
      <c r="Z533" s="180"/>
    </row>
    <row r="534" spans="1:26" ht="45.75" customHeight="1">
      <c r="A534" s="180"/>
      <c r="B534" s="180"/>
      <c r="C534" s="180"/>
      <c r="D534" s="180"/>
      <c r="E534" s="180"/>
      <c r="F534" s="225"/>
      <c r="G534" s="180"/>
      <c r="H534" s="180"/>
      <c r="I534" s="180"/>
      <c r="J534" s="211"/>
      <c r="K534" s="180"/>
      <c r="L534" s="212"/>
      <c r="M534" s="180"/>
      <c r="N534" s="180"/>
      <c r="O534" s="180"/>
      <c r="P534" s="123"/>
      <c r="Q534" s="130"/>
      <c r="R534" s="180"/>
      <c r="S534" s="180"/>
      <c r="T534" s="180"/>
      <c r="U534" s="180"/>
      <c r="V534" s="123"/>
      <c r="W534" s="123"/>
      <c r="X534" s="123"/>
      <c r="Y534" s="180"/>
      <c r="Z534" s="180"/>
    </row>
    <row r="535" spans="1:26" ht="45.75" customHeight="1">
      <c r="A535" s="180"/>
      <c r="B535" s="180"/>
      <c r="C535" s="180"/>
      <c r="D535" s="180"/>
      <c r="E535" s="180"/>
      <c r="F535" s="225"/>
      <c r="G535" s="180"/>
      <c r="H535" s="180"/>
      <c r="I535" s="180"/>
      <c r="J535" s="211"/>
      <c r="K535" s="180"/>
      <c r="L535" s="212"/>
      <c r="M535" s="180"/>
      <c r="N535" s="180"/>
      <c r="O535" s="180"/>
      <c r="P535" s="123"/>
      <c r="Q535" s="130"/>
      <c r="R535" s="180"/>
      <c r="S535" s="180"/>
      <c r="T535" s="180"/>
      <c r="U535" s="180"/>
      <c r="V535" s="123"/>
      <c r="W535" s="123"/>
      <c r="X535" s="123"/>
      <c r="Y535" s="180"/>
      <c r="Z535" s="180"/>
    </row>
    <row r="536" spans="1:26" ht="45.75" customHeight="1">
      <c r="A536" s="180"/>
      <c r="B536" s="180"/>
      <c r="C536" s="180"/>
      <c r="D536" s="180"/>
      <c r="E536" s="180"/>
      <c r="F536" s="225"/>
      <c r="G536" s="180"/>
      <c r="H536" s="180"/>
      <c r="I536" s="180"/>
      <c r="J536" s="211"/>
      <c r="K536" s="180"/>
      <c r="L536" s="212"/>
      <c r="M536" s="180"/>
      <c r="N536" s="180"/>
      <c r="O536" s="180"/>
      <c r="P536" s="123"/>
      <c r="Q536" s="130"/>
      <c r="R536" s="180"/>
      <c r="S536" s="180"/>
      <c r="T536" s="180"/>
      <c r="U536" s="180"/>
      <c r="V536" s="123"/>
      <c r="W536" s="123"/>
      <c r="X536" s="123"/>
      <c r="Y536" s="180"/>
      <c r="Z536" s="180"/>
    </row>
    <row r="537" spans="1:26" ht="45.75" customHeight="1">
      <c r="A537" s="180"/>
      <c r="B537" s="180"/>
      <c r="C537" s="180"/>
      <c r="D537" s="180"/>
      <c r="E537" s="180"/>
      <c r="F537" s="225"/>
      <c r="G537" s="180"/>
      <c r="H537" s="180"/>
      <c r="I537" s="180"/>
      <c r="J537" s="211"/>
      <c r="K537" s="180"/>
      <c r="L537" s="212"/>
      <c r="M537" s="180"/>
      <c r="N537" s="180"/>
      <c r="O537" s="180"/>
      <c r="P537" s="123"/>
      <c r="Q537" s="130"/>
      <c r="R537" s="180"/>
      <c r="S537" s="180"/>
      <c r="T537" s="180"/>
      <c r="U537" s="180"/>
      <c r="V537" s="123"/>
      <c r="W537" s="123"/>
      <c r="X537" s="123"/>
      <c r="Y537" s="180"/>
      <c r="Z537" s="180"/>
    </row>
    <row r="538" spans="1:26" ht="45.75" customHeight="1">
      <c r="A538" s="180"/>
      <c r="B538" s="180"/>
      <c r="C538" s="180"/>
      <c r="D538" s="180"/>
      <c r="E538" s="180"/>
      <c r="F538" s="225"/>
      <c r="G538" s="180"/>
      <c r="H538" s="180"/>
      <c r="I538" s="180"/>
      <c r="J538" s="211"/>
      <c r="K538" s="180"/>
      <c r="L538" s="212"/>
      <c r="M538" s="180"/>
      <c r="N538" s="180"/>
      <c r="O538" s="180"/>
      <c r="P538" s="123"/>
      <c r="Q538" s="130"/>
      <c r="R538" s="180"/>
      <c r="S538" s="180"/>
      <c r="T538" s="180"/>
      <c r="U538" s="180"/>
      <c r="V538" s="123"/>
      <c r="W538" s="123"/>
      <c r="X538" s="123"/>
      <c r="Y538" s="180"/>
      <c r="Z538" s="180"/>
    </row>
    <row r="539" spans="1:26" ht="45.75" customHeight="1">
      <c r="A539" s="180"/>
      <c r="B539" s="180"/>
      <c r="C539" s="180"/>
      <c r="D539" s="180"/>
      <c r="E539" s="180"/>
      <c r="F539" s="225"/>
      <c r="G539" s="180"/>
      <c r="H539" s="180"/>
      <c r="I539" s="180"/>
      <c r="J539" s="211"/>
      <c r="K539" s="180"/>
      <c r="L539" s="212"/>
      <c r="M539" s="180"/>
      <c r="N539" s="180"/>
      <c r="O539" s="180"/>
      <c r="P539" s="123"/>
      <c r="Q539" s="130"/>
      <c r="R539" s="180"/>
      <c r="S539" s="180"/>
      <c r="T539" s="180"/>
      <c r="U539" s="180"/>
      <c r="V539" s="123"/>
      <c r="W539" s="123"/>
      <c r="X539" s="123"/>
      <c r="Y539" s="180"/>
      <c r="Z539" s="180"/>
    </row>
    <row r="540" spans="1:26" ht="45.75" customHeight="1">
      <c r="A540" s="180"/>
      <c r="B540" s="180"/>
      <c r="C540" s="180"/>
      <c r="D540" s="180"/>
      <c r="E540" s="180"/>
      <c r="F540" s="225"/>
      <c r="G540" s="180"/>
      <c r="H540" s="180"/>
      <c r="I540" s="180"/>
      <c r="J540" s="211"/>
      <c r="K540" s="180"/>
      <c r="L540" s="212"/>
      <c r="M540" s="180"/>
      <c r="N540" s="180"/>
      <c r="O540" s="180"/>
      <c r="P540" s="123"/>
      <c r="Q540" s="130"/>
      <c r="R540" s="180"/>
      <c r="S540" s="180"/>
      <c r="T540" s="180"/>
      <c r="U540" s="180"/>
      <c r="V540" s="123"/>
      <c r="W540" s="123"/>
      <c r="X540" s="123"/>
      <c r="Y540" s="180"/>
      <c r="Z540" s="180"/>
    </row>
    <row r="541" spans="1:26" ht="45.75" customHeight="1">
      <c r="A541" s="180"/>
      <c r="B541" s="180"/>
      <c r="C541" s="180"/>
      <c r="D541" s="180"/>
      <c r="E541" s="180"/>
      <c r="F541" s="225"/>
      <c r="G541" s="180"/>
      <c r="H541" s="180"/>
      <c r="I541" s="180"/>
      <c r="J541" s="211"/>
      <c r="K541" s="180"/>
      <c r="L541" s="212"/>
      <c r="M541" s="180"/>
      <c r="N541" s="180"/>
      <c r="O541" s="180"/>
      <c r="P541" s="123"/>
      <c r="Q541" s="130"/>
      <c r="R541" s="180"/>
      <c r="S541" s="180"/>
      <c r="T541" s="180"/>
      <c r="U541" s="180"/>
      <c r="V541" s="123"/>
      <c r="W541" s="123"/>
      <c r="X541" s="123"/>
      <c r="Y541" s="180"/>
      <c r="Z541" s="180"/>
    </row>
    <row r="542" spans="1:26" ht="45.75" customHeight="1">
      <c r="A542" s="180"/>
      <c r="B542" s="180"/>
      <c r="C542" s="180"/>
      <c r="D542" s="180"/>
      <c r="E542" s="180"/>
      <c r="F542" s="225"/>
      <c r="G542" s="180"/>
      <c r="H542" s="180"/>
      <c r="I542" s="180"/>
      <c r="J542" s="211"/>
      <c r="K542" s="180"/>
      <c r="L542" s="212"/>
      <c r="M542" s="180"/>
      <c r="N542" s="180"/>
      <c r="O542" s="180"/>
      <c r="P542" s="123"/>
      <c r="Q542" s="130"/>
      <c r="R542" s="180"/>
      <c r="S542" s="180"/>
      <c r="T542" s="180"/>
      <c r="U542" s="180"/>
      <c r="V542" s="123"/>
      <c r="W542" s="123"/>
      <c r="X542" s="123"/>
      <c r="Y542" s="180"/>
      <c r="Z542" s="180"/>
    </row>
    <row r="543" spans="1:26" ht="45.75" customHeight="1">
      <c r="A543" s="180"/>
      <c r="B543" s="180"/>
      <c r="C543" s="180"/>
      <c r="D543" s="180"/>
      <c r="E543" s="180"/>
      <c r="F543" s="225"/>
      <c r="G543" s="180"/>
      <c r="H543" s="180"/>
      <c r="I543" s="180"/>
      <c r="J543" s="211"/>
      <c r="K543" s="180"/>
      <c r="L543" s="212"/>
      <c r="M543" s="180"/>
      <c r="N543" s="180"/>
      <c r="O543" s="180"/>
      <c r="P543" s="123"/>
      <c r="Q543" s="130"/>
      <c r="R543" s="180"/>
      <c r="S543" s="180"/>
      <c r="T543" s="180"/>
      <c r="U543" s="180"/>
      <c r="V543" s="123"/>
      <c r="W543" s="123"/>
      <c r="X543" s="123"/>
      <c r="Y543" s="180"/>
      <c r="Z543" s="180"/>
    </row>
    <row r="544" spans="1:26" ht="45.75" customHeight="1">
      <c r="A544" s="180"/>
      <c r="B544" s="180"/>
      <c r="C544" s="180"/>
      <c r="D544" s="180"/>
      <c r="E544" s="180"/>
      <c r="F544" s="225"/>
      <c r="G544" s="180"/>
      <c r="H544" s="180"/>
      <c r="I544" s="180"/>
      <c r="J544" s="211"/>
      <c r="K544" s="180"/>
      <c r="L544" s="212"/>
      <c r="M544" s="180"/>
      <c r="N544" s="180"/>
      <c r="O544" s="180"/>
      <c r="P544" s="123"/>
      <c r="Q544" s="130"/>
      <c r="R544" s="180"/>
      <c r="S544" s="180"/>
      <c r="T544" s="180"/>
      <c r="U544" s="180"/>
      <c r="V544" s="123"/>
      <c r="W544" s="123"/>
      <c r="X544" s="123"/>
      <c r="Y544" s="180"/>
      <c r="Z544" s="180"/>
    </row>
    <row r="545" spans="1:26" ht="45.75" customHeight="1">
      <c r="A545" s="180"/>
      <c r="B545" s="180"/>
      <c r="C545" s="180"/>
      <c r="D545" s="180"/>
      <c r="E545" s="180"/>
      <c r="F545" s="225"/>
      <c r="G545" s="180"/>
      <c r="H545" s="180"/>
      <c r="I545" s="180"/>
      <c r="J545" s="211"/>
      <c r="K545" s="180"/>
      <c r="L545" s="212"/>
      <c r="M545" s="180"/>
      <c r="N545" s="180"/>
      <c r="O545" s="180"/>
      <c r="P545" s="123"/>
      <c r="Q545" s="130"/>
      <c r="R545" s="180"/>
      <c r="S545" s="180"/>
      <c r="T545" s="180"/>
      <c r="U545" s="180"/>
      <c r="V545" s="123"/>
      <c r="W545" s="123"/>
      <c r="X545" s="123"/>
      <c r="Y545" s="180"/>
      <c r="Z545" s="180"/>
    </row>
    <row r="546" spans="1:26" ht="45.75" customHeight="1">
      <c r="A546" s="180"/>
      <c r="B546" s="180"/>
      <c r="C546" s="180"/>
      <c r="D546" s="180"/>
      <c r="E546" s="180"/>
      <c r="F546" s="225"/>
      <c r="G546" s="180"/>
      <c r="H546" s="180"/>
      <c r="I546" s="180"/>
      <c r="J546" s="211"/>
      <c r="K546" s="180"/>
      <c r="L546" s="212"/>
      <c r="M546" s="180"/>
      <c r="N546" s="180"/>
      <c r="O546" s="180"/>
      <c r="P546" s="123"/>
      <c r="Q546" s="130"/>
      <c r="R546" s="180"/>
      <c r="S546" s="180"/>
      <c r="T546" s="180"/>
      <c r="U546" s="180"/>
      <c r="V546" s="123"/>
      <c r="W546" s="123"/>
      <c r="X546" s="123"/>
      <c r="Y546" s="180"/>
      <c r="Z546" s="180"/>
    </row>
    <row r="547" spans="1:26" ht="45.75" customHeight="1">
      <c r="A547" s="180"/>
      <c r="B547" s="180"/>
      <c r="C547" s="180"/>
      <c r="D547" s="180"/>
      <c r="E547" s="180"/>
      <c r="F547" s="225"/>
      <c r="G547" s="180"/>
      <c r="H547" s="180"/>
      <c r="I547" s="180"/>
      <c r="J547" s="211"/>
      <c r="K547" s="180"/>
      <c r="L547" s="212"/>
      <c r="M547" s="180"/>
      <c r="N547" s="180"/>
      <c r="O547" s="180"/>
      <c r="P547" s="123"/>
      <c r="Q547" s="130"/>
      <c r="R547" s="180"/>
      <c r="S547" s="180"/>
      <c r="T547" s="180"/>
      <c r="U547" s="180"/>
      <c r="V547" s="123"/>
      <c r="W547" s="123"/>
      <c r="X547" s="123"/>
      <c r="Y547" s="180"/>
      <c r="Z547" s="180"/>
    </row>
    <row r="548" spans="1:26" ht="45.75" customHeight="1">
      <c r="A548" s="180"/>
      <c r="B548" s="180"/>
      <c r="C548" s="180"/>
      <c r="D548" s="180"/>
      <c r="E548" s="180"/>
      <c r="F548" s="225"/>
      <c r="G548" s="180"/>
      <c r="H548" s="180"/>
      <c r="I548" s="180"/>
      <c r="J548" s="211"/>
      <c r="K548" s="180"/>
      <c r="L548" s="212"/>
      <c r="M548" s="180"/>
      <c r="N548" s="180"/>
      <c r="O548" s="180"/>
      <c r="P548" s="123"/>
      <c r="Q548" s="130"/>
      <c r="R548" s="180"/>
      <c r="S548" s="180"/>
      <c r="T548" s="180"/>
      <c r="U548" s="180"/>
      <c r="V548" s="123"/>
      <c r="W548" s="123"/>
      <c r="X548" s="123"/>
      <c r="Y548" s="180"/>
      <c r="Z548" s="180"/>
    </row>
    <row r="549" spans="1:26" ht="45.75" customHeight="1">
      <c r="A549" s="180"/>
      <c r="B549" s="180"/>
      <c r="C549" s="180"/>
      <c r="D549" s="180"/>
      <c r="E549" s="180"/>
      <c r="F549" s="225"/>
      <c r="G549" s="180"/>
      <c r="H549" s="180"/>
      <c r="I549" s="180"/>
      <c r="J549" s="211"/>
      <c r="K549" s="180"/>
      <c r="L549" s="212"/>
      <c r="M549" s="180"/>
      <c r="N549" s="180"/>
      <c r="O549" s="180"/>
      <c r="P549" s="123"/>
      <c r="Q549" s="130"/>
      <c r="R549" s="180"/>
      <c r="S549" s="180"/>
      <c r="T549" s="180"/>
      <c r="U549" s="180"/>
      <c r="V549" s="123"/>
      <c r="W549" s="123"/>
      <c r="X549" s="123"/>
      <c r="Y549" s="180"/>
      <c r="Z549" s="180"/>
    </row>
    <row r="550" spans="1:26" ht="45.75" customHeight="1">
      <c r="A550" s="180"/>
      <c r="B550" s="180"/>
      <c r="C550" s="180"/>
      <c r="D550" s="180"/>
      <c r="E550" s="180"/>
      <c r="F550" s="225"/>
      <c r="G550" s="180"/>
      <c r="H550" s="180"/>
      <c r="I550" s="180"/>
      <c r="J550" s="211"/>
      <c r="K550" s="180"/>
      <c r="L550" s="212"/>
      <c r="M550" s="180"/>
      <c r="N550" s="180"/>
      <c r="O550" s="180"/>
      <c r="P550" s="123"/>
      <c r="Q550" s="130"/>
      <c r="R550" s="180"/>
      <c r="S550" s="180"/>
      <c r="T550" s="180"/>
      <c r="U550" s="180"/>
      <c r="V550" s="123"/>
      <c r="W550" s="123"/>
      <c r="X550" s="123"/>
      <c r="Y550" s="180"/>
      <c r="Z550" s="180"/>
    </row>
    <row r="551" spans="1:26" ht="45.75" customHeight="1">
      <c r="A551" s="180"/>
      <c r="B551" s="180"/>
      <c r="C551" s="180"/>
      <c r="D551" s="180"/>
      <c r="E551" s="180"/>
      <c r="F551" s="225"/>
      <c r="G551" s="180"/>
      <c r="H551" s="180"/>
      <c r="I551" s="180"/>
      <c r="J551" s="211"/>
      <c r="K551" s="180"/>
      <c r="L551" s="212"/>
      <c r="M551" s="180"/>
      <c r="N551" s="180"/>
      <c r="O551" s="180"/>
      <c r="P551" s="123"/>
      <c r="Q551" s="130"/>
      <c r="R551" s="180"/>
      <c r="S551" s="180"/>
      <c r="T551" s="180"/>
      <c r="U551" s="180"/>
      <c r="V551" s="123"/>
      <c r="W551" s="123"/>
      <c r="X551" s="123"/>
      <c r="Y551" s="180"/>
      <c r="Z551" s="180"/>
    </row>
    <row r="552" spans="1:26" ht="45.75" customHeight="1">
      <c r="A552" s="180"/>
      <c r="B552" s="180"/>
      <c r="C552" s="180"/>
      <c r="D552" s="180"/>
      <c r="E552" s="180"/>
      <c r="F552" s="225"/>
      <c r="G552" s="180"/>
      <c r="H552" s="180"/>
      <c r="I552" s="180"/>
      <c r="J552" s="211"/>
      <c r="K552" s="180"/>
      <c r="L552" s="212"/>
      <c r="M552" s="180"/>
      <c r="N552" s="180"/>
      <c r="O552" s="180"/>
      <c r="P552" s="123"/>
      <c r="Q552" s="130"/>
      <c r="R552" s="180"/>
      <c r="S552" s="180"/>
      <c r="T552" s="180"/>
      <c r="U552" s="180"/>
      <c r="V552" s="123"/>
      <c r="W552" s="123"/>
      <c r="X552" s="123"/>
      <c r="Y552" s="180"/>
      <c r="Z552" s="180"/>
    </row>
    <row r="553" spans="1:26" ht="45.75" customHeight="1">
      <c r="A553" s="180"/>
      <c r="B553" s="180"/>
      <c r="C553" s="180"/>
      <c r="D553" s="180"/>
      <c r="E553" s="180"/>
      <c r="F553" s="225"/>
      <c r="G553" s="180"/>
      <c r="H553" s="180"/>
      <c r="I553" s="180"/>
      <c r="J553" s="211"/>
      <c r="K553" s="180"/>
      <c r="L553" s="212"/>
      <c r="M553" s="180"/>
      <c r="N553" s="180"/>
      <c r="O553" s="180"/>
      <c r="P553" s="123"/>
      <c r="Q553" s="130"/>
      <c r="R553" s="180"/>
      <c r="S553" s="180"/>
      <c r="T553" s="180"/>
      <c r="U553" s="180"/>
      <c r="V553" s="123"/>
      <c r="W553" s="123"/>
      <c r="X553" s="123"/>
      <c r="Y553" s="180"/>
      <c r="Z553" s="180"/>
    </row>
    <row r="554" spans="1:26" ht="45.75" customHeight="1">
      <c r="A554" s="180"/>
      <c r="B554" s="180"/>
      <c r="C554" s="180"/>
      <c r="D554" s="180"/>
      <c r="E554" s="180"/>
      <c r="F554" s="225"/>
      <c r="G554" s="180"/>
      <c r="H554" s="180"/>
      <c r="I554" s="180"/>
      <c r="J554" s="211"/>
      <c r="K554" s="180"/>
      <c r="L554" s="212"/>
      <c r="M554" s="180"/>
      <c r="N554" s="180"/>
      <c r="O554" s="180"/>
      <c r="P554" s="123"/>
      <c r="Q554" s="130"/>
      <c r="R554" s="180"/>
      <c r="S554" s="180"/>
      <c r="T554" s="180"/>
      <c r="U554" s="180"/>
      <c r="V554" s="123"/>
      <c r="W554" s="123"/>
      <c r="X554" s="123"/>
      <c r="Y554" s="180"/>
      <c r="Z554" s="180"/>
    </row>
    <row r="555" spans="1:26" ht="45.75" customHeight="1">
      <c r="A555" s="180"/>
      <c r="B555" s="180"/>
      <c r="C555" s="180"/>
      <c r="D555" s="180"/>
      <c r="E555" s="180"/>
      <c r="F555" s="225"/>
      <c r="G555" s="180"/>
      <c r="H555" s="180"/>
      <c r="I555" s="180"/>
      <c r="J555" s="211"/>
      <c r="K555" s="180"/>
      <c r="L555" s="212"/>
      <c r="M555" s="180"/>
      <c r="N555" s="180"/>
      <c r="O555" s="180"/>
      <c r="P555" s="123"/>
      <c r="Q555" s="130"/>
      <c r="R555" s="180"/>
      <c r="S555" s="180"/>
      <c r="T555" s="180"/>
      <c r="U555" s="180"/>
      <c r="V555" s="123"/>
      <c r="W555" s="123"/>
      <c r="X555" s="123"/>
      <c r="Y555" s="180"/>
      <c r="Z555" s="180"/>
    </row>
    <row r="556" spans="1:26" ht="45.75" customHeight="1">
      <c r="A556" s="180"/>
      <c r="B556" s="180"/>
      <c r="C556" s="180"/>
      <c r="D556" s="180"/>
      <c r="E556" s="180"/>
      <c r="F556" s="225"/>
      <c r="G556" s="180"/>
      <c r="H556" s="180"/>
      <c r="I556" s="180"/>
      <c r="J556" s="211"/>
      <c r="K556" s="180"/>
      <c r="L556" s="212"/>
      <c r="M556" s="180"/>
      <c r="N556" s="180"/>
      <c r="O556" s="180"/>
      <c r="P556" s="123"/>
      <c r="Q556" s="130"/>
      <c r="R556" s="180"/>
      <c r="S556" s="180"/>
      <c r="T556" s="180"/>
      <c r="U556" s="180"/>
      <c r="V556" s="123"/>
      <c r="W556" s="123"/>
      <c r="X556" s="123"/>
      <c r="Y556" s="180"/>
      <c r="Z556" s="180"/>
    </row>
    <row r="557" spans="1:26" ht="45.75" customHeight="1">
      <c r="A557" s="180"/>
      <c r="B557" s="180"/>
      <c r="C557" s="180"/>
      <c r="D557" s="180"/>
      <c r="E557" s="180"/>
      <c r="F557" s="225"/>
      <c r="G557" s="180"/>
      <c r="H557" s="180"/>
      <c r="I557" s="180"/>
      <c r="J557" s="211"/>
      <c r="K557" s="180"/>
      <c r="L557" s="212"/>
      <c r="M557" s="180"/>
      <c r="N557" s="180"/>
      <c r="O557" s="180"/>
      <c r="P557" s="123"/>
      <c r="Q557" s="130"/>
      <c r="R557" s="180"/>
      <c r="S557" s="180"/>
      <c r="T557" s="180"/>
      <c r="U557" s="180"/>
      <c r="V557" s="123"/>
      <c r="W557" s="123"/>
      <c r="X557" s="123"/>
      <c r="Y557" s="180"/>
      <c r="Z557" s="180"/>
    </row>
    <row r="558" spans="1:26" ht="45.75" customHeight="1">
      <c r="A558" s="180"/>
      <c r="B558" s="180"/>
      <c r="C558" s="180"/>
      <c r="D558" s="180"/>
      <c r="E558" s="180"/>
      <c r="F558" s="225"/>
      <c r="G558" s="180"/>
      <c r="H558" s="180"/>
      <c r="I558" s="180"/>
      <c r="J558" s="211"/>
      <c r="K558" s="180"/>
      <c r="L558" s="212"/>
      <c r="M558" s="180"/>
      <c r="N558" s="180"/>
      <c r="O558" s="180"/>
      <c r="P558" s="123"/>
      <c r="Q558" s="130"/>
      <c r="R558" s="180"/>
      <c r="S558" s="180"/>
      <c r="T558" s="180"/>
      <c r="U558" s="180"/>
      <c r="V558" s="123"/>
      <c r="W558" s="123"/>
      <c r="X558" s="123"/>
      <c r="Y558" s="180"/>
      <c r="Z558" s="180"/>
    </row>
    <row r="559" spans="1:26" ht="45.75" customHeight="1">
      <c r="A559" s="180"/>
      <c r="B559" s="180"/>
      <c r="C559" s="180"/>
      <c r="D559" s="180"/>
      <c r="E559" s="180"/>
      <c r="F559" s="225"/>
      <c r="G559" s="180"/>
      <c r="H559" s="180"/>
      <c r="I559" s="180"/>
      <c r="J559" s="211"/>
      <c r="K559" s="180"/>
      <c r="L559" s="212"/>
      <c r="M559" s="180"/>
      <c r="N559" s="180"/>
      <c r="O559" s="180"/>
      <c r="P559" s="123"/>
      <c r="Q559" s="130"/>
      <c r="R559" s="180"/>
      <c r="S559" s="180"/>
      <c r="T559" s="180"/>
      <c r="U559" s="180"/>
      <c r="V559" s="123"/>
      <c r="W559" s="123"/>
      <c r="X559" s="123"/>
      <c r="Y559" s="180"/>
      <c r="Z559" s="180"/>
    </row>
    <row r="560" spans="1:26" ht="45.75" customHeight="1">
      <c r="A560" s="180"/>
      <c r="B560" s="180"/>
      <c r="C560" s="180"/>
      <c r="D560" s="180"/>
      <c r="E560" s="180"/>
      <c r="F560" s="225"/>
      <c r="G560" s="180"/>
      <c r="H560" s="180"/>
      <c r="I560" s="180"/>
      <c r="J560" s="211"/>
      <c r="K560" s="180"/>
      <c r="L560" s="212"/>
      <c r="M560" s="180"/>
      <c r="N560" s="180"/>
      <c r="O560" s="180"/>
      <c r="P560" s="123"/>
      <c r="Q560" s="130"/>
      <c r="R560" s="180"/>
      <c r="S560" s="180"/>
      <c r="T560" s="180"/>
      <c r="U560" s="180"/>
      <c r="V560" s="123"/>
      <c r="W560" s="123"/>
      <c r="X560" s="123"/>
      <c r="Y560" s="180"/>
      <c r="Z560" s="180"/>
    </row>
    <row r="561" spans="1:26" ht="45.75" customHeight="1">
      <c r="A561" s="180"/>
      <c r="B561" s="180"/>
      <c r="C561" s="180"/>
      <c r="D561" s="180"/>
      <c r="E561" s="180"/>
      <c r="F561" s="225"/>
      <c r="G561" s="180"/>
      <c r="H561" s="180"/>
      <c r="I561" s="180"/>
      <c r="J561" s="211"/>
      <c r="K561" s="180"/>
      <c r="L561" s="212"/>
      <c r="M561" s="180"/>
      <c r="N561" s="180"/>
      <c r="O561" s="180"/>
      <c r="P561" s="123"/>
      <c r="Q561" s="130"/>
      <c r="R561" s="180"/>
      <c r="S561" s="180"/>
      <c r="T561" s="180"/>
      <c r="U561" s="180"/>
      <c r="V561" s="123"/>
      <c r="W561" s="123"/>
      <c r="X561" s="123"/>
      <c r="Y561" s="180"/>
      <c r="Z561" s="180"/>
    </row>
    <row r="562" spans="1:26" ht="45.75" customHeight="1">
      <c r="A562" s="180"/>
      <c r="B562" s="180"/>
      <c r="C562" s="180"/>
      <c r="D562" s="180"/>
      <c r="E562" s="180"/>
      <c r="F562" s="225"/>
      <c r="G562" s="180"/>
      <c r="H562" s="180"/>
      <c r="I562" s="180"/>
      <c r="J562" s="211"/>
      <c r="K562" s="180"/>
      <c r="L562" s="212"/>
      <c r="M562" s="180"/>
      <c r="N562" s="180"/>
      <c r="O562" s="180"/>
      <c r="P562" s="123"/>
      <c r="Q562" s="130"/>
      <c r="R562" s="180"/>
      <c r="S562" s="180"/>
      <c r="T562" s="180"/>
      <c r="U562" s="180"/>
      <c r="V562" s="123"/>
      <c r="W562" s="123"/>
      <c r="X562" s="123"/>
      <c r="Y562" s="180"/>
      <c r="Z562" s="180"/>
    </row>
    <row r="563" spans="1:26" ht="45.75" customHeight="1">
      <c r="A563" s="180"/>
      <c r="B563" s="180"/>
      <c r="C563" s="180"/>
      <c r="D563" s="180"/>
      <c r="E563" s="180"/>
      <c r="F563" s="225"/>
      <c r="G563" s="180"/>
      <c r="H563" s="180"/>
      <c r="I563" s="180"/>
      <c r="J563" s="211"/>
      <c r="K563" s="180"/>
      <c r="L563" s="212"/>
      <c r="M563" s="180"/>
      <c r="N563" s="180"/>
      <c r="O563" s="180"/>
      <c r="P563" s="123"/>
      <c r="Q563" s="130"/>
      <c r="R563" s="180"/>
      <c r="S563" s="180"/>
      <c r="T563" s="180"/>
      <c r="U563" s="180"/>
      <c r="V563" s="123"/>
      <c r="W563" s="123"/>
      <c r="X563" s="123"/>
      <c r="Y563" s="180"/>
      <c r="Z563" s="180"/>
    </row>
    <row r="564" spans="1:26" ht="45.75" customHeight="1">
      <c r="A564" s="180"/>
      <c r="B564" s="180"/>
      <c r="C564" s="180"/>
      <c r="D564" s="180"/>
      <c r="E564" s="180"/>
      <c r="F564" s="225"/>
      <c r="G564" s="180"/>
      <c r="H564" s="180"/>
      <c r="I564" s="180"/>
      <c r="J564" s="211"/>
      <c r="K564" s="180"/>
      <c r="L564" s="212"/>
      <c r="M564" s="180"/>
      <c r="N564" s="180"/>
      <c r="O564" s="180"/>
      <c r="P564" s="123"/>
      <c r="Q564" s="130"/>
      <c r="R564" s="180"/>
      <c r="S564" s="180"/>
      <c r="T564" s="180"/>
      <c r="U564" s="180"/>
      <c r="V564" s="123"/>
      <c r="W564" s="123"/>
      <c r="X564" s="123"/>
      <c r="Y564" s="180"/>
      <c r="Z564" s="180"/>
    </row>
    <row r="565" spans="1:26" ht="45.75" customHeight="1">
      <c r="A565" s="180"/>
      <c r="B565" s="180"/>
      <c r="C565" s="180"/>
      <c r="D565" s="180"/>
      <c r="E565" s="180"/>
      <c r="F565" s="225"/>
      <c r="G565" s="180"/>
      <c r="H565" s="180"/>
      <c r="I565" s="180"/>
      <c r="J565" s="211"/>
      <c r="K565" s="180"/>
      <c r="L565" s="212"/>
      <c r="M565" s="180"/>
      <c r="N565" s="180"/>
      <c r="O565" s="180"/>
      <c r="P565" s="123"/>
      <c r="Q565" s="130"/>
      <c r="R565" s="180"/>
      <c r="S565" s="180"/>
      <c r="T565" s="180"/>
      <c r="U565" s="180"/>
      <c r="V565" s="123"/>
      <c r="W565" s="123"/>
      <c r="X565" s="123"/>
      <c r="Y565" s="180"/>
      <c r="Z565" s="180"/>
    </row>
    <row r="566" spans="1:26" ht="45.75" customHeight="1">
      <c r="A566" s="180"/>
      <c r="B566" s="180"/>
      <c r="C566" s="180"/>
      <c r="D566" s="180"/>
      <c r="E566" s="180"/>
      <c r="F566" s="225"/>
      <c r="G566" s="180"/>
      <c r="H566" s="180"/>
      <c r="I566" s="180"/>
      <c r="J566" s="211"/>
      <c r="K566" s="180"/>
      <c r="L566" s="212"/>
      <c r="M566" s="180"/>
      <c r="N566" s="180"/>
      <c r="O566" s="180"/>
      <c r="P566" s="123"/>
      <c r="Q566" s="130"/>
      <c r="R566" s="180"/>
      <c r="S566" s="180"/>
      <c r="T566" s="180"/>
      <c r="U566" s="180"/>
      <c r="V566" s="123"/>
      <c r="W566" s="123"/>
      <c r="X566" s="123"/>
      <c r="Y566" s="180"/>
      <c r="Z566" s="180"/>
    </row>
    <row r="567" spans="1:26" ht="45.75" customHeight="1">
      <c r="A567" s="180"/>
      <c r="B567" s="180"/>
      <c r="C567" s="180"/>
      <c r="D567" s="180"/>
      <c r="E567" s="180"/>
      <c r="F567" s="225"/>
      <c r="G567" s="180"/>
      <c r="H567" s="180"/>
      <c r="I567" s="180"/>
      <c r="J567" s="211"/>
      <c r="K567" s="180"/>
      <c r="L567" s="212"/>
      <c r="M567" s="180"/>
      <c r="N567" s="180"/>
      <c r="O567" s="180"/>
      <c r="P567" s="123"/>
      <c r="Q567" s="130"/>
      <c r="R567" s="180"/>
      <c r="S567" s="180"/>
      <c r="T567" s="180"/>
      <c r="U567" s="180"/>
      <c r="V567" s="123"/>
      <c r="W567" s="123"/>
      <c r="X567" s="123"/>
      <c r="Y567" s="180"/>
      <c r="Z567" s="180"/>
    </row>
    <row r="568" spans="1:26" ht="45.75" customHeight="1">
      <c r="A568" s="180"/>
      <c r="B568" s="180"/>
      <c r="C568" s="180"/>
      <c r="D568" s="180"/>
      <c r="E568" s="180"/>
      <c r="F568" s="225"/>
      <c r="G568" s="180"/>
      <c r="H568" s="180"/>
      <c r="I568" s="180"/>
      <c r="J568" s="211"/>
      <c r="K568" s="180"/>
      <c r="L568" s="212"/>
      <c r="M568" s="180"/>
      <c r="N568" s="180"/>
      <c r="O568" s="180"/>
      <c r="P568" s="123"/>
      <c r="Q568" s="130"/>
      <c r="R568" s="180"/>
      <c r="S568" s="180"/>
      <c r="T568" s="180"/>
      <c r="U568" s="180"/>
      <c r="V568" s="123"/>
      <c r="W568" s="123"/>
      <c r="X568" s="123"/>
      <c r="Y568" s="180"/>
      <c r="Z568" s="180"/>
    </row>
    <row r="569" spans="1:26" ht="45.75" customHeight="1">
      <c r="A569" s="180"/>
      <c r="B569" s="180"/>
      <c r="C569" s="180"/>
      <c r="D569" s="180"/>
      <c r="E569" s="180"/>
      <c r="F569" s="225"/>
      <c r="G569" s="180"/>
      <c r="H569" s="180"/>
      <c r="I569" s="180"/>
      <c r="J569" s="211"/>
      <c r="K569" s="180"/>
      <c r="L569" s="212"/>
      <c r="M569" s="180"/>
      <c r="N569" s="180"/>
      <c r="O569" s="180"/>
      <c r="P569" s="123"/>
      <c r="Q569" s="130"/>
      <c r="R569" s="180"/>
      <c r="S569" s="180"/>
      <c r="T569" s="180"/>
      <c r="U569" s="180"/>
      <c r="V569" s="123"/>
      <c r="W569" s="123"/>
      <c r="X569" s="123"/>
      <c r="Y569" s="180"/>
      <c r="Z569" s="180"/>
    </row>
    <row r="570" spans="1:26" ht="45.75" customHeight="1">
      <c r="A570" s="180"/>
      <c r="B570" s="180"/>
      <c r="C570" s="180"/>
      <c r="D570" s="180"/>
      <c r="E570" s="180"/>
      <c r="F570" s="225"/>
      <c r="G570" s="180"/>
      <c r="H570" s="180"/>
      <c r="I570" s="180"/>
      <c r="J570" s="211"/>
      <c r="K570" s="180"/>
      <c r="L570" s="212"/>
      <c r="M570" s="180"/>
      <c r="N570" s="180"/>
      <c r="O570" s="180"/>
      <c r="P570" s="123"/>
      <c r="Q570" s="130"/>
      <c r="R570" s="180"/>
      <c r="S570" s="180"/>
      <c r="T570" s="180"/>
      <c r="U570" s="180"/>
      <c r="V570" s="123"/>
      <c r="W570" s="123"/>
      <c r="X570" s="123"/>
      <c r="Y570" s="180"/>
      <c r="Z570" s="180"/>
    </row>
    <row r="571" spans="1:26" ht="45.75" customHeight="1">
      <c r="A571" s="180"/>
      <c r="B571" s="180"/>
      <c r="C571" s="180"/>
      <c r="D571" s="180"/>
      <c r="E571" s="180"/>
      <c r="F571" s="225"/>
      <c r="G571" s="180"/>
      <c r="H571" s="180"/>
      <c r="I571" s="180"/>
      <c r="J571" s="211"/>
      <c r="K571" s="180"/>
      <c r="L571" s="212"/>
      <c r="M571" s="180"/>
      <c r="N571" s="180"/>
      <c r="O571" s="180"/>
      <c r="P571" s="123"/>
      <c r="Q571" s="130"/>
      <c r="R571" s="180"/>
      <c r="S571" s="180"/>
      <c r="T571" s="180"/>
      <c r="U571" s="180"/>
      <c r="V571" s="123"/>
      <c r="W571" s="123"/>
      <c r="X571" s="123"/>
      <c r="Y571" s="180"/>
      <c r="Z571" s="180"/>
    </row>
    <row r="572" spans="1:26" ht="45.75" customHeight="1">
      <c r="A572" s="180"/>
      <c r="B572" s="180"/>
      <c r="C572" s="180"/>
      <c r="D572" s="180"/>
      <c r="E572" s="180"/>
      <c r="F572" s="225"/>
      <c r="G572" s="180"/>
      <c r="H572" s="180"/>
      <c r="I572" s="180"/>
      <c r="J572" s="211"/>
      <c r="K572" s="180"/>
      <c r="L572" s="212"/>
      <c r="M572" s="180"/>
      <c r="N572" s="180"/>
      <c r="O572" s="180"/>
      <c r="P572" s="123"/>
      <c r="Q572" s="130"/>
      <c r="R572" s="180"/>
      <c r="S572" s="180"/>
      <c r="T572" s="180"/>
      <c r="U572" s="180"/>
      <c r="V572" s="123"/>
      <c r="W572" s="123"/>
      <c r="X572" s="123"/>
      <c r="Y572" s="180"/>
      <c r="Z572" s="180"/>
    </row>
    <row r="573" spans="1:26" ht="45.75" customHeight="1">
      <c r="A573" s="180"/>
      <c r="B573" s="180"/>
      <c r="C573" s="180"/>
      <c r="D573" s="180"/>
      <c r="E573" s="180"/>
      <c r="F573" s="225"/>
      <c r="G573" s="180"/>
      <c r="H573" s="180"/>
      <c r="I573" s="180"/>
      <c r="J573" s="211"/>
      <c r="K573" s="180"/>
      <c r="L573" s="212"/>
      <c r="M573" s="180"/>
      <c r="N573" s="180"/>
      <c r="O573" s="180"/>
      <c r="P573" s="123"/>
      <c r="Q573" s="130"/>
      <c r="R573" s="180"/>
      <c r="S573" s="180"/>
      <c r="T573" s="180"/>
      <c r="U573" s="180"/>
      <c r="V573" s="123"/>
      <c r="W573" s="123"/>
      <c r="X573" s="123"/>
      <c r="Y573" s="180"/>
      <c r="Z573" s="180"/>
    </row>
    <row r="574" spans="1:26" ht="45.75" customHeight="1">
      <c r="A574" s="180"/>
      <c r="B574" s="180"/>
      <c r="C574" s="180"/>
      <c r="D574" s="180"/>
      <c r="E574" s="180"/>
      <c r="F574" s="225"/>
      <c r="G574" s="180"/>
      <c r="H574" s="180"/>
      <c r="I574" s="180"/>
      <c r="J574" s="211"/>
      <c r="K574" s="180"/>
      <c r="L574" s="212"/>
      <c r="M574" s="180"/>
      <c r="N574" s="180"/>
      <c r="O574" s="180"/>
      <c r="P574" s="123"/>
      <c r="Q574" s="130"/>
      <c r="R574" s="180"/>
      <c r="S574" s="180"/>
      <c r="T574" s="180"/>
      <c r="U574" s="180"/>
      <c r="V574" s="123"/>
      <c r="W574" s="123"/>
      <c r="X574" s="123"/>
      <c r="Y574" s="180"/>
      <c r="Z574" s="180"/>
    </row>
    <row r="575" spans="1:26" ht="45.75" customHeight="1">
      <c r="A575" s="180"/>
      <c r="B575" s="180"/>
      <c r="C575" s="180"/>
      <c r="D575" s="180"/>
      <c r="E575" s="180"/>
      <c r="F575" s="225"/>
      <c r="G575" s="180"/>
      <c r="H575" s="180"/>
      <c r="I575" s="180"/>
      <c r="J575" s="211"/>
      <c r="K575" s="180"/>
      <c r="L575" s="212"/>
      <c r="M575" s="180"/>
      <c r="N575" s="180"/>
      <c r="O575" s="180"/>
      <c r="P575" s="123"/>
      <c r="Q575" s="130"/>
      <c r="R575" s="180"/>
      <c r="S575" s="180"/>
      <c r="T575" s="180"/>
      <c r="U575" s="180"/>
      <c r="V575" s="123"/>
      <c r="W575" s="123"/>
      <c r="X575" s="123"/>
      <c r="Y575" s="180"/>
      <c r="Z575" s="180"/>
    </row>
    <row r="576" spans="1:26" ht="45.75" customHeight="1">
      <c r="A576" s="180"/>
      <c r="B576" s="180"/>
      <c r="C576" s="180"/>
      <c r="D576" s="180"/>
      <c r="E576" s="180"/>
      <c r="F576" s="225"/>
      <c r="G576" s="180"/>
      <c r="H576" s="180"/>
      <c r="I576" s="180"/>
      <c r="J576" s="211"/>
      <c r="K576" s="180"/>
      <c r="L576" s="212"/>
      <c r="M576" s="180"/>
      <c r="N576" s="180"/>
      <c r="O576" s="180"/>
      <c r="P576" s="123"/>
      <c r="Q576" s="130"/>
      <c r="R576" s="180"/>
      <c r="S576" s="180"/>
      <c r="T576" s="180"/>
      <c r="U576" s="180"/>
      <c r="V576" s="123"/>
      <c r="W576" s="123"/>
      <c r="X576" s="123"/>
      <c r="Y576" s="180"/>
      <c r="Z576" s="180"/>
    </row>
    <row r="577" spans="1:26" ht="45.75" customHeight="1">
      <c r="A577" s="180"/>
      <c r="B577" s="180"/>
      <c r="C577" s="180"/>
      <c r="D577" s="180"/>
      <c r="E577" s="180"/>
      <c r="F577" s="225"/>
      <c r="G577" s="180"/>
      <c r="H577" s="180"/>
      <c r="I577" s="180"/>
      <c r="J577" s="211"/>
      <c r="K577" s="180"/>
      <c r="L577" s="212"/>
      <c r="M577" s="180"/>
      <c r="N577" s="180"/>
      <c r="O577" s="180"/>
      <c r="P577" s="123"/>
      <c r="Q577" s="130"/>
      <c r="R577" s="180"/>
      <c r="S577" s="180"/>
      <c r="T577" s="180"/>
      <c r="U577" s="180"/>
      <c r="V577" s="123"/>
      <c r="W577" s="123"/>
      <c r="X577" s="123"/>
      <c r="Y577" s="180"/>
      <c r="Z577" s="180"/>
    </row>
    <row r="578" spans="1:26" ht="45.75" customHeight="1">
      <c r="A578" s="180"/>
      <c r="B578" s="180"/>
      <c r="C578" s="180"/>
      <c r="D578" s="180"/>
      <c r="E578" s="180"/>
      <c r="F578" s="225"/>
      <c r="G578" s="180"/>
      <c r="H578" s="180"/>
      <c r="I578" s="180"/>
      <c r="J578" s="211"/>
      <c r="K578" s="180"/>
      <c r="L578" s="212"/>
      <c r="M578" s="180"/>
      <c r="N578" s="180"/>
      <c r="O578" s="180"/>
      <c r="P578" s="123"/>
      <c r="Q578" s="130"/>
      <c r="R578" s="180"/>
      <c r="S578" s="180"/>
      <c r="T578" s="180"/>
      <c r="U578" s="180"/>
      <c r="V578" s="123"/>
      <c r="W578" s="123"/>
      <c r="X578" s="123"/>
      <c r="Y578" s="180"/>
      <c r="Z578" s="180"/>
    </row>
    <row r="579" spans="1:26" ht="45.75" customHeight="1">
      <c r="A579" s="180"/>
      <c r="B579" s="180"/>
      <c r="C579" s="180"/>
      <c r="D579" s="180"/>
      <c r="E579" s="180"/>
      <c r="F579" s="225"/>
      <c r="G579" s="180"/>
      <c r="H579" s="180"/>
      <c r="I579" s="180"/>
      <c r="J579" s="211"/>
      <c r="K579" s="180"/>
      <c r="L579" s="212"/>
      <c r="M579" s="180"/>
      <c r="N579" s="180"/>
      <c r="O579" s="180"/>
      <c r="P579" s="123"/>
      <c r="Q579" s="130"/>
      <c r="R579" s="180"/>
      <c r="S579" s="180"/>
      <c r="T579" s="180"/>
      <c r="U579" s="180"/>
      <c r="V579" s="123"/>
      <c r="W579" s="123"/>
      <c r="X579" s="123"/>
      <c r="Y579" s="180"/>
      <c r="Z579" s="180"/>
    </row>
    <row r="580" spans="1:26" ht="45.75" customHeight="1">
      <c r="A580" s="180"/>
      <c r="B580" s="180"/>
      <c r="C580" s="180"/>
      <c r="D580" s="180"/>
      <c r="E580" s="180"/>
      <c r="F580" s="225"/>
      <c r="G580" s="180"/>
      <c r="H580" s="180"/>
      <c r="I580" s="180"/>
      <c r="J580" s="211"/>
      <c r="K580" s="180"/>
      <c r="L580" s="212"/>
      <c r="M580" s="180"/>
      <c r="N580" s="180"/>
      <c r="O580" s="180"/>
      <c r="P580" s="123"/>
      <c r="Q580" s="130"/>
      <c r="R580" s="180"/>
      <c r="S580" s="180"/>
      <c r="T580" s="180"/>
      <c r="U580" s="180"/>
      <c r="V580" s="123"/>
      <c r="W580" s="123"/>
      <c r="X580" s="123"/>
      <c r="Y580" s="180"/>
      <c r="Z580" s="180"/>
    </row>
    <row r="581" spans="1:26" ht="45.75" customHeight="1">
      <c r="A581" s="180"/>
      <c r="B581" s="180"/>
      <c r="C581" s="180"/>
      <c r="D581" s="180"/>
      <c r="E581" s="180"/>
      <c r="F581" s="225"/>
      <c r="G581" s="180"/>
      <c r="H581" s="180"/>
      <c r="I581" s="180"/>
      <c r="J581" s="211"/>
      <c r="K581" s="180"/>
      <c r="L581" s="212"/>
      <c r="M581" s="180"/>
      <c r="N581" s="180"/>
      <c r="O581" s="180"/>
      <c r="P581" s="123"/>
      <c r="Q581" s="130"/>
      <c r="R581" s="180"/>
      <c r="S581" s="180"/>
      <c r="T581" s="180"/>
      <c r="U581" s="180"/>
      <c r="V581" s="123"/>
      <c r="W581" s="123"/>
      <c r="X581" s="123"/>
      <c r="Y581" s="180"/>
      <c r="Z581" s="180"/>
    </row>
    <row r="582" spans="1:26" ht="45.75" customHeight="1">
      <c r="A582" s="180"/>
      <c r="B582" s="180"/>
      <c r="C582" s="180"/>
      <c r="D582" s="180"/>
      <c r="E582" s="180"/>
      <c r="F582" s="225"/>
      <c r="G582" s="180"/>
      <c r="H582" s="180"/>
      <c r="I582" s="180"/>
      <c r="J582" s="211"/>
      <c r="K582" s="180"/>
      <c r="L582" s="212"/>
      <c r="M582" s="180"/>
      <c r="N582" s="180"/>
      <c r="O582" s="180"/>
      <c r="P582" s="123"/>
      <c r="Q582" s="130"/>
      <c r="R582" s="180"/>
      <c r="S582" s="180"/>
      <c r="T582" s="180"/>
      <c r="U582" s="180"/>
      <c r="V582" s="123"/>
      <c r="W582" s="123"/>
      <c r="X582" s="123"/>
      <c r="Y582" s="180"/>
      <c r="Z582" s="180"/>
    </row>
    <row r="583" spans="1:26" ht="45.75" customHeight="1">
      <c r="A583" s="180"/>
      <c r="B583" s="180"/>
      <c r="C583" s="180"/>
      <c r="D583" s="180"/>
      <c r="E583" s="180"/>
      <c r="F583" s="225"/>
      <c r="G583" s="180"/>
      <c r="H583" s="180"/>
      <c r="I583" s="180"/>
      <c r="J583" s="211"/>
      <c r="K583" s="180"/>
      <c r="L583" s="212"/>
      <c r="M583" s="180"/>
      <c r="N583" s="180"/>
      <c r="O583" s="180"/>
      <c r="P583" s="123"/>
      <c r="Q583" s="130"/>
      <c r="R583" s="180"/>
      <c r="S583" s="180"/>
      <c r="T583" s="180"/>
      <c r="U583" s="180"/>
      <c r="V583" s="123"/>
      <c r="W583" s="123"/>
      <c r="X583" s="123"/>
      <c r="Y583" s="180"/>
      <c r="Z583" s="180"/>
    </row>
    <row r="584" spans="1:26" ht="45.75" customHeight="1">
      <c r="A584" s="180"/>
      <c r="B584" s="180"/>
      <c r="C584" s="180"/>
      <c r="D584" s="180"/>
      <c r="E584" s="180"/>
      <c r="F584" s="225"/>
      <c r="G584" s="180"/>
      <c r="H584" s="180"/>
      <c r="I584" s="180"/>
      <c r="J584" s="211"/>
      <c r="K584" s="180"/>
      <c r="L584" s="212"/>
      <c r="M584" s="180"/>
      <c r="N584" s="180"/>
      <c r="O584" s="180"/>
      <c r="P584" s="123"/>
      <c r="Q584" s="130"/>
      <c r="R584" s="180"/>
      <c r="S584" s="180"/>
      <c r="T584" s="180"/>
      <c r="U584" s="180"/>
      <c r="V584" s="123"/>
      <c r="W584" s="123"/>
      <c r="X584" s="123"/>
      <c r="Y584" s="180"/>
      <c r="Z584" s="180"/>
    </row>
    <row r="585" spans="1:26" ht="45.75" customHeight="1">
      <c r="A585" s="180"/>
      <c r="B585" s="180"/>
      <c r="C585" s="180"/>
      <c r="D585" s="180"/>
      <c r="E585" s="180"/>
      <c r="F585" s="225"/>
      <c r="G585" s="180"/>
      <c r="H585" s="180"/>
      <c r="I585" s="180"/>
      <c r="J585" s="211"/>
      <c r="K585" s="180"/>
      <c r="L585" s="212"/>
      <c r="M585" s="180"/>
      <c r="N585" s="180"/>
      <c r="O585" s="180"/>
      <c r="P585" s="123"/>
      <c r="Q585" s="130"/>
      <c r="R585" s="180"/>
      <c r="S585" s="180"/>
      <c r="T585" s="180"/>
      <c r="U585" s="180"/>
      <c r="V585" s="123"/>
      <c r="W585" s="123"/>
      <c r="X585" s="123"/>
      <c r="Y585" s="180"/>
      <c r="Z585" s="180"/>
    </row>
    <row r="586" spans="1:26" ht="45.75" customHeight="1">
      <c r="A586" s="180"/>
      <c r="B586" s="180"/>
      <c r="C586" s="180"/>
      <c r="D586" s="180"/>
      <c r="E586" s="180"/>
      <c r="F586" s="225"/>
      <c r="G586" s="180"/>
      <c r="H586" s="180"/>
      <c r="I586" s="180"/>
      <c r="J586" s="211"/>
      <c r="K586" s="180"/>
      <c r="L586" s="212"/>
      <c r="M586" s="180"/>
      <c r="N586" s="180"/>
      <c r="O586" s="180"/>
      <c r="P586" s="123"/>
      <c r="Q586" s="130"/>
      <c r="R586" s="180"/>
      <c r="S586" s="180"/>
      <c r="T586" s="180"/>
      <c r="U586" s="180"/>
      <c r="V586" s="123"/>
      <c r="W586" s="123"/>
      <c r="X586" s="123"/>
      <c r="Y586" s="180"/>
      <c r="Z586" s="180"/>
    </row>
    <row r="587" spans="1:26" ht="45.75" customHeight="1">
      <c r="A587" s="180"/>
      <c r="B587" s="180"/>
      <c r="C587" s="180"/>
      <c r="D587" s="180"/>
      <c r="E587" s="180"/>
      <c r="F587" s="225"/>
      <c r="G587" s="180"/>
      <c r="H587" s="180"/>
      <c r="I587" s="180"/>
      <c r="J587" s="211"/>
      <c r="K587" s="180"/>
      <c r="L587" s="212"/>
      <c r="M587" s="180"/>
      <c r="N587" s="180"/>
      <c r="O587" s="180"/>
      <c r="P587" s="123"/>
      <c r="Q587" s="130"/>
      <c r="R587" s="180"/>
      <c r="S587" s="180"/>
      <c r="T587" s="180"/>
      <c r="U587" s="180"/>
      <c r="V587" s="123"/>
      <c r="W587" s="123"/>
      <c r="X587" s="123"/>
      <c r="Y587" s="180"/>
      <c r="Z587" s="180"/>
    </row>
    <row r="588" spans="1:26" ht="45.75" customHeight="1">
      <c r="A588" s="180"/>
      <c r="B588" s="180"/>
      <c r="C588" s="180"/>
      <c r="D588" s="180"/>
      <c r="E588" s="180"/>
      <c r="F588" s="225"/>
      <c r="G588" s="180"/>
      <c r="H588" s="180"/>
      <c r="I588" s="180"/>
      <c r="J588" s="211"/>
      <c r="K588" s="180"/>
      <c r="L588" s="212"/>
      <c r="M588" s="180"/>
      <c r="N588" s="180"/>
      <c r="O588" s="180"/>
      <c r="P588" s="123"/>
      <c r="Q588" s="130"/>
      <c r="R588" s="180"/>
      <c r="S588" s="180"/>
      <c r="T588" s="180"/>
      <c r="U588" s="180"/>
      <c r="V588" s="123"/>
      <c r="W588" s="123"/>
      <c r="X588" s="123"/>
      <c r="Y588" s="180"/>
      <c r="Z588" s="180"/>
    </row>
    <row r="589" spans="1:26" ht="45.75" customHeight="1">
      <c r="A589" s="180"/>
      <c r="B589" s="180"/>
      <c r="C589" s="180"/>
      <c r="D589" s="180"/>
      <c r="E589" s="180"/>
      <c r="F589" s="225"/>
      <c r="G589" s="180"/>
      <c r="H589" s="180"/>
      <c r="I589" s="180"/>
      <c r="J589" s="211"/>
      <c r="K589" s="180"/>
      <c r="L589" s="212"/>
      <c r="M589" s="180"/>
      <c r="N589" s="180"/>
      <c r="O589" s="180"/>
      <c r="P589" s="123"/>
      <c r="Q589" s="130"/>
      <c r="R589" s="180"/>
      <c r="S589" s="180"/>
      <c r="T589" s="180"/>
      <c r="U589" s="180"/>
      <c r="V589" s="123"/>
      <c r="W589" s="123"/>
      <c r="X589" s="123"/>
      <c r="Y589" s="180"/>
      <c r="Z589" s="180"/>
    </row>
    <row r="590" spans="1:26" ht="45.75" customHeight="1">
      <c r="A590" s="180"/>
      <c r="B590" s="180"/>
      <c r="C590" s="180"/>
      <c r="D590" s="180"/>
      <c r="E590" s="180"/>
      <c r="F590" s="225"/>
      <c r="G590" s="180"/>
      <c r="H590" s="180"/>
      <c r="I590" s="180"/>
      <c r="J590" s="211"/>
      <c r="K590" s="180"/>
      <c r="L590" s="212"/>
      <c r="M590" s="180"/>
      <c r="N590" s="180"/>
      <c r="O590" s="180"/>
      <c r="P590" s="123"/>
      <c r="Q590" s="130"/>
      <c r="R590" s="180"/>
      <c r="S590" s="180"/>
      <c r="T590" s="180"/>
      <c r="U590" s="180"/>
      <c r="V590" s="123"/>
      <c r="W590" s="123"/>
      <c r="X590" s="123"/>
      <c r="Y590" s="180"/>
      <c r="Z590" s="180"/>
    </row>
    <row r="591" spans="1:26" ht="45.75" customHeight="1">
      <c r="A591" s="180"/>
      <c r="B591" s="180"/>
      <c r="C591" s="180"/>
      <c r="D591" s="180"/>
      <c r="E591" s="180"/>
      <c r="F591" s="225"/>
      <c r="G591" s="180"/>
      <c r="H591" s="180"/>
      <c r="I591" s="180"/>
      <c r="J591" s="211"/>
      <c r="K591" s="180"/>
      <c r="L591" s="212"/>
      <c r="M591" s="180"/>
      <c r="N591" s="180"/>
      <c r="O591" s="180"/>
      <c r="P591" s="123"/>
      <c r="Q591" s="130"/>
      <c r="R591" s="180"/>
      <c r="S591" s="180"/>
      <c r="T591" s="180"/>
      <c r="U591" s="180"/>
      <c r="V591" s="123"/>
      <c r="W591" s="123"/>
      <c r="X591" s="123"/>
      <c r="Y591" s="180"/>
      <c r="Z591" s="180"/>
    </row>
    <row r="592" spans="1:26" ht="45.75" customHeight="1">
      <c r="A592" s="180"/>
      <c r="B592" s="180"/>
      <c r="C592" s="180"/>
      <c r="D592" s="180"/>
      <c r="E592" s="180"/>
      <c r="F592" s="225"/>
      <c r="G592" s="180"/>
      <c r="H592" s="180"/>
      <c r="I592" s="180"/>
      <c r="J592" s="211"/>
      <c r="K592" s="180"/>
      <c r="L592" s="212"/>
      <c r="M592" s="180"/>
      <c r="N592" s="180"/>
      <c r="O592" s="180"/>
      <c r="P592" s="123"/>
      <c r="Q592" s="130"/>
      <c r="R592" s="180"/>
      <c r="S592" s="180"/>
      <c r="T592" s="180"/>
      <c r="U592" s="180"/>
      <c r="V592" s="123"/>
      <c r="W592" s="123"/>
      <c r="X592" s="123"/>
      <c r="Y592" s="180"/>
      <c r="Z592" s="180"/>
    </row>
    <row r="593" spans="1:26" ht="45.75" customHeight="1">
      <c r="A593" s="180"/>
      <c r="B593" s="180"/>
      <c r="C593" s="180"/>
      <c r="D593" s="180"/>
      <c r="E593" s="180"/>
      <c r="F593" s="225"/>
      <c r="G593" s="180"/>
      <c r="H593" s="180"/>
      <c r="I593" s="180"/>
      <c r="J593" s="211"/>
      <c r="K593" s="180"/>
      <c r="L593" s="212"/>
      <c r="M593" s="180"/>
      <c r="N593" s="180"/>
      <c r="O593" s="180"/>
      <c r="P593" s="123"/>
      <c r="Q593" s="130"/>
      <c r="R593" s="180"/>
      <c r="S593" s="180"/>
      <c r="T593" s="180"/>
      <c r="U593" s="180"/>
      <c r="V593" s="123"/>
      <c r="W593" s="123"/>
      <c r="X593" s="123"/>
      <c r="Y593" s="180"/>
      <c r="Z593" s="180"/>
    </row>
    <row r="594" spans="1:26" ht="45.75" customHeight="1">
      <c r="A594" s="180"/>
      <c r="B594" s="180"/>
      <c r="C594" s="180"/>
      <c r="D594" s="180"/>
      <c r="E594" s="180"/>
      <c r="F594" s="225"/>
      <c r="G594" s="180"/>
      <c r="H594" s="180"/>
      <c r="I594" s="180"/>
      <c r="J594" s="211"/>
      <c r="K594" s="180"/>
      <c r="L594" s="212"/>
      <c r="M594" s="180"/>
      <c r="N594" s="180"/>
      <c r="O594" s="180"/>
      <c r="P594" s="123"/>
      <c r="Q594" s="130"/>
      <c r="R594" s="180"/>
      <c r="S594" s="180"/>
      <c r="T594" s="180"/>
      <c r="U594" s="180"/>
      <c r="V594" s="123"/>
      <c r="W594" s="123"/>
      <c r="X594" s="123"/>
      <c r="Y594" s="180"/>
      <c r="Z594" s="180"/>
    </row>
    <row r="595" spans="1:26" ht="45.75" customHeight="1">
      <c r="A595" s="180"/>
      <c r="B595" s="180"/>
      <c r="C595" s="180"/>
      <c r="D595" s="180"/>
      <c r="E595" s="180"/>
      <c r="F595" s="225"/>
      <c r="G595" s="180"/>
      <c r="H595" s="180"/>
      <c r="I595" s="180"/>
      <c r="J595" s="211"/>
      <c r="K595" s="180"/>
      <c r="L595" s="212"/>
      <c r="M595" s="180"/>
      <c r="N595" s="180"/>
      <c r="O595" s="180"/>
      <c r="P595" s="123"/>
      <c r="Q595" s="130"/>
      <c r="R595" s="180"/>
      <c r="S595" s="180"/>
      <c r="T595" s="180"/>
      <c r="U595" s="180"/>
      <c r="V595" s="123"/>
      <c r="W595" s="123"/>
      <c r="X595" s="123"/>
      <c r="Y595" s="180"/>
      <c r="Z595" s="180"/>
    </row>
    <row r="596" spans="1:26" ht="45.75" customHeight="1">
      <c r="A596" s="180"/>
      <c r="B596" s="180"/>
      <c r="C596" s="180"/>
      <c r="D596" s="180"/>
      <c r="E596" s="180"/>
      <c r="F596" s="225"/>
      <c r="G596" s="180"/>
      <c r="H596" s="180"/>
      <c r="I596" s="180"/>
      <c r="J596" s="211"/>
      <c r="K596" s="180"/>
      <c r="L596" s="212"/>
      <c r="M596" s="180"/>
      <c r="N596" s="180"/>
      <c r="O596" s="180"/>
      <c r="P596" s="123"/>
      <c r="Q596" s="130"/>
      <c r="R596" s="180"/>
      <c r="S596" s="180"/>
      <c r="T596" s="180"/>
      <c r="U596" s="180"/>
      <c r="V596" s="123"/>
      <c r="W596" s="123"/>
      <c r="X596" s="123"/>
      <c r="Y596" s="180"/>
      <c r="Z596" s="180"/>
    </row>
    <row r="597" spans="1:26" ht="45.75" customHeight="1">
      <c r="A597" s="180"/>
      <c r="B597" s="180"/>
      <c r="C597" s="180"/>
      <c r="D597" s="180"/>
      <c r="E597" s="180"/>
      <c r="F597" s="225"/>
      <c r="G597" s="180"/>
      <c r="H597" s="180"/>
      <c r="I597" s="180"/>
      <c r="J597" s="211"/>
      <c r="K597" s="180"/>
      <c r="L597" s="212"/>
      <c r="M597" s="180"/>
      <c r="N597" s="180"/>
      <c r="O597" s="180"/>
      <c r="P597" s="123"/>
      <c r="Q597" s="130"/>
      <c r="R597" s="180"/>
      <c r="S597" s="180"/>
      <c r="T597" s="180"/>
      <c r="U597" s="180"/>
      <c r="V597" s="123"/>
      <c r="W597" s="123"/>
      <c r="X597" s="123"/>
      <c r="Y597" s="180"/>
      <c r="Z597" s="180"/>
    </row>
    <row r="598" spans="1:26" ht="45.75" customHeight="1">
      <c r="A598" s="180"/>
      <c r="B598" s="180"/>
      <c r="C598" s="180"/>
      <c r="D598" s="180"/>
      <c r="E598" s="180"/>
      <c r="F598" s="225"/>
      <c r="G598" s="180"/>
      <c r="H598" s="180"/>
      <c r="I598" s="180"/>
      <c r="J598" s="211"/>
      <c r="K598" s="180"/>
      <c r="L598" s="212"/>
      <c r="M598" s="180"/>
      <c r="N598" s="180"/>
      <c r="O598" s="180"/>
      <c r="P598" s="123"/>
      <c r="Q598" s="130"/>
      <c r="R598" s="180"/>
      <c r="S598" s="180"/>
      <c r="T598" s="180"/>
      <c r="U598" s="180"/>
      <c r="V598" s="123"/>
      <c r="W598" s="123"/>
      <c r="X598" s="123"/>
      <c r="Y598" s="180"/>
      <c r="Z598" s="180"/>
    </row>
    <row r="599" spans="1:26" ht="45.75" customHeight="1">
      <c r="A599" s="180"/>
      <c r="B599" s="180"/>
      <c r="C599" s="180"/>
      <c r="D599" s="180"/>
      <c r="E599" s="180"/>
      <c r="F599" s="225"/>
      <c r="G599" s="180"/>
      <c r="H599" s="180"/>
      <c r="I599" s="180"/>
      <c r="J599" s="211"/>
      <c r="K599" s="180"/>
      <c r="L599" s="212"/>
      <c r="M599" s="180"/>
      <c r="N599" s="180"/>
      <c r="O599" s="180"/>
      <c r="P599" s="123"/>
      <c r="Q599" s="130"/>
      <c r="R599" s="180"/>
      <c r="S599" s="180"/>
      <c r="T599" s="180"/>
      <c r="U599" s="180"/>
      <c r="V599" s="123"/>
      <c r="W599" s="123"/>
      <c r="X599" s="123"/>
      <c r="Y599" s="180"/>
      <c r="Z599" s="180"/>
    </row>
    <row r="600" spans="1:26" ht="45.75" customHeight="1">
      <c r="A600" s="180"/>
      <c r="B600" s="180"/>
      <c r="C600" s="180"/>
      <c r="D600" s="180"/>
      <c r="E600" s="180"/>
      <c r="F600" s="225"/>
      <c r="G600" s="180"/>
      <c r="H600" s="180"/>
      <c r="I600" s="180"/>
      <c r="J600" s="211"/>
      <c r="K600" s="180"/>
      <c r="L600" s="212"/>
      <c r="M600" s="180"/>
      <c r="N600" s="180"/>
      <c r="O600" s="180"/>
      <c r="P600" s="123"/>
      <c r="Q600" s="130"/>
      <c r="R600" s="180"/>
      <c r="S600" s="180"/>
      <c r="T600" s="180"/>
      <c r="U600" s="180"/>
      <c r="V600" s="123"/>
      <c r="W600" s="123"/>
      <c r="X600" s="123"/>
      <c r="Y600" s="180"/>
      <c r="Z600" s="180"/>
    </row>
    <row r="601" spans="1:26" ht="45.75" customHeight="1">
      <c r="A601" s="180"/>
      <c r="B601" s="180"/>
      <c r="C601" s="180"/>
      <c r="D601" s="180"/>
      <c r="E601" s="180"/>
      <c r="F601" s="225"/>
      <c r="G601" s="180"/>
      <c r="H601" s="180"/>
      <c r="I601" s="180"/>
      <c r="J601" s="211"/>
      <c r="K601" s="180"/>
      <c r="L601" s="212"/>
      <c r="M601" s="180"/>
      <c r="N601" s="180"/>
      <c r="O601" s="180"/>
      <c r="P601" s="123"/>
      <c r="Q601" s="130"/>
      <c r="R601" s="180"/>
      <c r="S601" s="180"/>
      <c r="T601" s="180"/>
      <c r="U601" s="180"/>
      <c r="V601" s="123"/>
      <c r="W601" s="123"/>
      <c r="X601" s="123"/>
      <c r="Y601" s="180"/>
      <c r="Z601" s="180"/>
    </row>
    <row r="602" spans="1:26" ht="45.75" customHeight="1">
      <c r="A602" s="180"/>
      <c r="B602" s="180"/>
      <c r="C602" s="180"/>
      <c r="D602" s="180"/>
      <c r="E602" s="180"/>
      <c r="F602" s="225"/>
      <c r="G602" s="180"/>
      <c r="H602" s="180"/>
      <c r="I602" s="180"/>
      <c r="J602" s="211"/>
      <c r="K602" s="180"/>
      <c r="L602" s="212"/>
      <c r="M602" s="180"/>
      <c r="N602" s="180"/>
      <c r="O602" s="180"/>
      <c r="P602" s="123"/>
      <c r="Q602" s="130"/>
      <c r="R602" s="180"/>
      <c r="S602" s="180"/>
      <c r="T602" s="180"/>
      <c r="U602" s="180"/>
      <c r="V602" s="123"/>
      <c r="W602" s="123"/>
      <c r="X602" s="123"/>
      <c r="Y602" s="180"/>
      <c r="Z602" s="180"/>
    </row>
    <row r="603" spans="1:26" ht="45.75" customHeight="1">
      <c r="A603" s="180"/>
      <c r="B603" s="180"/>
      <c r="C603" s="180"/>
      <c r="D603" s="180"/>
      <c r="E603" s="180"/>
      <c r="F603" s="225"/>
      <c r="G603" s="180"/>
      <c r="H603" s="180"/>
      <c r="I603" s="180"/>
      <c r="J603" s="211"/>
      <c r="K603" s="180"/>
      <c r="L603" s="212"/>
      <c r="M603" s="180"/>
      <c r="N603" s="180"/>
      <c r="O603" s="180"/>
      <c r="P603" s="123"/>
      <c r="Q603" s="130"/>
      <c r="R603" s="180"/>
      <c r="S603" s="180"/>
      <c r="T603" s="180"/>
      <c r="U603" s="180"/>
      <c r="V603" s="123"/>
      <c r="W603" s="123"/>
      <c r="X603" s="123"/>
      <c r="Y603" s="180"/>
      <c r="Z603" s="180"/>
    </row>
    <row r="604" spans="1:26" ht="45.75" customHeight="1">
      <c r="A604" s="180"/>
      <c r="B604" s="180"/>
      <c r="C604" s="180"/>
      <c r="D604" s="180"/>
      <c r="E604" s="180"/>
      <c r="F604" s="225"/>
      <c r="G604" s="180"/>
      <c r="H604" s="180"/>
      <c r="I604" s="180"/>
      <c r="J604" s="211"/>
      <c r="K604" s="180"/>
      <c r="L604" s="212"/>
      <c r="M604" s="180"/>
      <c r="N604" s="180"/>
      <c r="O604" s="180"/>
      <c r="P604" s="123"/>
      <c r="Q604" s="130"/>
      <c r="R604" s="180"/>
      <c r="S604" s="180"/>
      <c r="T604" s="180"/>
      <c r="U604" s="180"/>
      <c r="V604" s="123"/>
      <c r="W604" s="123"/>
      <c r="X604" s="123"/>
      <c r="Y604" s="180"/>
      <c r="Z604" s="180"/>
    </row>
    <row r="605" spans="1:26" ht="45.75" customHeight="1">
      <c r="A605" s="180"/>
      <c r="B605" s="180"/>
      <c r="C605" s="180"/>
      <c r="D605" s="180"/>
      <c r="E605" s="180"/>
      <c r="F605" s="225"/>
      <c r="G605" s="180"/>
      <c r="H605" s="180"/>
      <c r="I605" s="180"/>
      <c r="J605" s="211"/>
      <c r="K605" s="180"/>
      <c r="L605" s="212"/>
      <c r="M605" s="180"/>
      <c r="N605" s="180"/>
      <c r="O605" s="180"/>
      <c r="P605" s="123"/>
      <c r="Q605" s="130"/>
      <c r="R605" s="180"/>
      <c r="S605" s="180"/>
      <c r="T605" s="180"/>
      <c r="U605" s="180"/>
      <c r="V605" s="123"/>
      <c r="W605" s="123"/>
      <c r="X605" s="123"/>
      <c r="Y605" s="180"/>
      <c r="Z605" s="180"/>
    </row>
    <row r="606" spans="1:26" ht="45.75" customHeight="1">
      <c r="A606" s="180"/>
      <c r="B606" s="180"/>
      <c r="C606" s="180"/>
      <c r="D606" s="180"/>
      <c r="E606" s="180"/>
      <c r="F606" s="225"/>
      <c r="G606" s="180"/>
      <c r="H606" s="180"/>
      <c r="I606" s="180"/>
      <c r="J606" s="211"/>
      <c r="K606" s="180"/>
      <c r="L606" s="212"/>
      <c r="M606" s="180"/>
      <c r="N606" s="180"/>
      <c r="O606" s="180"/>
      <c r="P606" s="123"/>
      <c r="Q606" s="130"/>
      <c r="R606" s="180"/>
      <c r="S606" s="180"/>
      <c r="T606" s="180"/>
      <c r="U606" s="180"/>
      <c r="V606" s="123"/>
      <c r="W606" s="123"/>
      <c r="X606" s="123"/>
      <c r="Y606" s="180"/>
      <c r="Z606" s="180"/>
    </row>
    <row r="607" spans="1:26" ht="45.75" customHeight="1">
      <c r="A607" s="180"/>
      <c r="B607" s="180"/>
      <c r="C607" s="180"/>
      <c r="D607" s="180"/>
      <c r="E607" s="180"/>
      <c r="F607" s="225"/>
      <c r="G607" s="180"/>
      <c r="H607" s="180"/>
      <c r="I607" s="180"/>
      <c r="J607" s="211"/>
      <c r="K607" s="180"/>
      <c r="L607" s="212"/>
      <c r="M607" s="180"/>
      <c r="N607" s="180"/>
      <c r="O607" s="180"/>
      <c r="P607" s="123"/>
      <c r="Q607" s="130"/>
      <c r="R607" s="180"/>
      <c r="S607" s="180"/>
      <c r="T607" s="180"/>
      <c r="U607" s="180"/>
      <c r="V607" s="123"/>
      <c r="W607" s="123"/>
      <c r="X607" s="123"/>
      <c r="Y607" s="180"/>
      <c r="Z607" s="180"/>
    </row>
    <row r="608" spans="1:26" ht="45.75" customHeight="1">
      <c r="A608" s="180"/>
      <c r="B608" s="180"/>
      <c r="C608" s="180"/>
      <c r="D608" s="180"/>
      <c r="E608" s="180"/>
      <c r="F608" s="225"/>
      <c r="G608" s="180"/>
      <c r="H608" s="180"/>
      <c r="I608" s="180"/>
      <c r="J608" s="211"/>
      <c r="K608" s="180"/>
      <c r="L608" s="212"/>
      <c r="M608" s="180"/>
      <c r="N608" s="180"/>
      <c r="O608" s="180"/>
      <c r="P608" s="123"/>
      <c r="Q608" s="130"/>
      <c r="R608" s="180"/>
      <c r="S608" s="180"/>
      <c r="T608" s="180"/>
      <c r="U608" s="180"/>
      <c r="V608" s="123"/>
      <c r="W608" s="123"/>
      <c r="X608" s="123"/>
      <c r="Y608" s="180"/>
      <c r="Z608" s="180"/>
    </row>
    <row r="609" spans="1:26" ht="45.75" customHeight="1">
      <c r="A609" s="180"/>
      <c r="B609" s="180"/>
      <c r="C609" s="180"/>
      <c r="D609" s="180"/>
      <c r="E609" s="180"/>
      <c r="F609" s="225"/>
      <c r="G609" s="180"/>
      <c r="H609" s="180"/>
      <c r="I609" s="180"/>
      <c r="J609" s="211"/>
      <c r="K609" s="180"/>
      <c r="L609" s="212"/>
      <c r="M609" s="180"/>
      <c r="N609" s="180"/>
      <c r="O609" s="180"/>
      <c r="P609" s="123"/>
      <c r="Q609" s="130"/>
      <c r="R609" s="180"/>
      <c r="S609" s="180"/>
      <c r="T609" s="180"/>
      <c r="U609" s="180"/>
      <c r="V609" s="123"/>
      <c r="W609" s="123"/>
      <c r="X609" s="123"/>
      <c r="Y609" s="180"/>
      <c r="Z609" s="180"/>
    </row>
    <row r="610" spans="1:26" ht="45.75" customHeight="1">
      <c r="A610" s="180"/>
      <c r="B610" s="180"/>
      <c r="C610" s="180"/>
      <c r="D610" s="180"/>
      <c r="E610" s="180"/>
      <c r="F610" s="225"/>
      <c r="G610" s="180"/>
      <c r="H610" s="180"/>
      <c r="I610" s="180"/>
      <c r="J610" s="211"/>
      <c r="K610" s="180"/>
      <c r="L610" s="212"/>
      <c r="M610" s="180"/>
      <c r="N610" s="180"/>
      <c r="O610" s="180"/>
      <c r="P610" s="123"/>
      <c r="Q610" s="130"/>
      <c r="R610" s="180"/>
      <c r="S610" s="180"/>
      <c r="T610" s="180"/>
      <c r="U610" s="180"/>
      <c r="V610" s="123"/>
      <c r="W610" s="123"/>
      <c r="X610" s="123"/>
      <c r="Y610" s="180"/>
      <c r="Z610" s="180"/>
    </row>
    <row r="611" spans="1:26" ht="45.75" customHeight="1">
      <c r="A611" s="180"/>
      <c r="B611" s="180"/>
      <c r="C611" s="180"/>
      <c r="D611" s="180"/>
      <c r="E611" s="180"/>
      <c r="F611" s="225"/>
      <c r="G611" s="180"/>
      <c r="H611" s="180"/>
      <c r="I611" s="180"/>
      <c r="J611" s="211"/>
      <c r="K611" s="180"/>
      <c r="L611" s="212"/>
      <c r="M611" s="180"/>
      <c r="N611" s="180"/>
      <c r="O611" s="180"/>
      <c r="P611" s="123"/>
      <c r="Q611" s="130"/>
      <c r="R611" s="180"/>
      <c r="S611" s="180"/>
      <c r="T611" s="180"/>
      <c r="U611" s="180"/>
      <c r="V611" s="123"/>
      <c r="W611" s="123"/>
      <c r="X611" s="123"/>
      <c r="Y611" s="180"/>
      <c r="Z611" s="180"/>
    </row>
    <row r="612" spans="1:26" ht="45.75" customHeight="1">
      <c r="A612" s="180"/>
      <c r="B612" s="180"/>
      <c r="C612" s="180"/>
      <c r="D612" s="180"/>
      <c r="E612" s="180"/>
      <c r="F612" s="225"/>
      <c r="G612" s="180"/>
      <c r="H612" s="180"/>
      <c r="I612" s="180"/>
      <c r="J612" s="211"/>
      <c r="K612" s="180"/>
      <c r="L612" s="212"/>
      <c r="M612" s="180"/>
      <c r="N612" s="180"/>
      <c r="O612" s="180"/>
      <c r="P612" s="123"/>
      <c r="Q612" s="130"/>
      <c r="R612" s="180"/>
      <c r="S612" s="180"/>
      <c r="T612" s="180"/>
      <c r="U612" s="180"/>
      <c r="V612" s="123"/>
      <c r="W612" s="123"/>
      <c r="X612" s="123"/>
      <c r="Y612" s="180"/>
      <c r="Z612" s="180"/>
    </row>
    <row r="613" spans="1:26" ht="45.75" customHeight="1">
      <c r="A613" s="180"/>
      <c r="B613" s="180"/>
      <c r="C613" s="180"/>
      <c r="D613" s="180"/>
      <c r="E613" s="180"/>
      <c r="F613" s="225"/>
      <c r="G613" s="180"/>
      <c r="H613" s="180"/>
      <c r="I613" s="180"/>
      <c r="J613" s="211"/>
      <c r="K613" s="180"/>
      <c r="L613" s="212"/>
      <c r="M613" s="180"/>
      <c r="N613" s="180"/>
      <c r="O613" s="180"/>
      <c r="P613" s="123"/>
      <c r="Q613" s="130"/>
      <c r="R613" s="180"/>
      <c r="S613" s="180"/>
      <c r="T613" s="180"/>
      <c r="U613" s="180"/>
      <c r="V613" s="123"/>
      <c r="W613" s="123"/>
      <c r="X613" s="123"/>
      <c r="Y613" s="180"/>
      <c r="Z613" s="180"/>
    </row>
    <row r="614" spans="1:26" ht="45.75" customHeight="1">
      <c r="A614" s="180"/>
      <c r="B614" s="180"/>
      <c r="C614" s="180"/>
      <c r="D614" s="180"/>
      <c r="E614" s="180"/>
      <c r="F614" s="225"/>
      <c r="G614" s="180"/>
      <c r="H614" s="180"/>
      <c r="I614" s="180"/>
      <c r="J614" s="211"/>
      <c r="K614" s="180"/>
      <c r="L614" s="212"/>
      <c r="M614" s="180"/>
      <c r="N614" s="180"/>
      <c r="O614" s="180"/>
      <c r="P614" s="123"/>
      <c r="Q614" s="130"/>
      <c r="R614" s="180"/>
      <c r="S614" s="180"/>
      <c r="T614" s="180"/>
      <c r="U614" s="180"/>
      <c r="V614" s="123"/>
      <c r="W614" s="123"/>
      <c r="X614" s="123"/>
      <c r="Y614" s="180"/>
      <c r="Z614" s="180"/>
    </row>
    <row r="615" spans="1:26" ht="45.75" customHeight="1">
      <c r="A615" s="180"/>
      <c r="B615" s="180"/>
      <c r="C615" s="180"/>
      <c r="D615" s="180"/>
      <c r="E615" s="180"/>
      <c r="F615" s="225"/>
      <c r="G615" s="180"/>
      <c r="H615" s="180"/>
      <c r="I615" s="180"/>
      <c r="J615" s="211"/>
      <c r="K615" s="180"/>
      <c r="L615" s="212"/>
      <c r="M615" s="180"/>
      <c r="N615" s="180"/>
      <c r="O615" s="180"/>
      <c r="P615" s="123"/>
      <c r="Q615" s="130"/>
      <c r="R615" s="180"/>
      <c r="S615" s="180"/>
      <c r="T615" s="180"/>
      <c r="U615" s="180"/>
      <c r="V615" s="123"/>
      <c r="W615" s="123"/>
      <c r="X615" s="123"/>
      <c r="Y615" s="180"/>
      <c r="Z615" s="180"/>
    </row>
    <row r="616" spans="1:26" ht="45.75" customHeight="1">
      <c r="A616" s="180"/>
      <c r="B616" s="180"/>
      <c r="C616" s="180"/>
      <c r="D616" s="180"/>
      <c r="E616" s="180"/>
      <c r="F616" s="225"/>
      <c r="G616" s="180"/>
      <c r="H616" s="180"/>
      <c r="I616" s="180"/>
      <c r="J616" s="211"/>
      <c r="K616" s="180"/>
      <c r="L616" s="212"/>
      <c r="M616" s="180"/>
      <c r="N616" s="180"/>
      <c r="O616" s="180"/>
      <c r="P616" s="123"/>
      <c r="Q616" s="130"/>
      <c r="R616" s="180"/>
      <c r="S616" s="180"/>
      <c r="T616" s="180"/>
      <c r="U616" s="180"/>
      <c r="V616" s="123"/>
      <c r="W616" s="123"/>
      <c r="X616" s="123"/>
      <c r="Y616" s="180"/>
      <c r="Z616" s="180"/>
    </row>
    <row r="617" spans="1:26" ht="45.75" customHeight="1">
      <c r="A617" s="180"/>
      <c r="B617" s="180"/>
      <c r="C617" s="180"/>
      <c r="D617" s="180"/>
      <c r="E617" s="180"/>
      <c r="F617" s="225"/>
      <c r="G617" s="180"/>
      <c r="H617" s="180"/>
      <c r="I617" s="180"/>
      <c r="J617" s="211"/>
      <c r="K617" s="180"/>
      <c r="L617" s="212"/>
      <c r="M617" s="180"/>
      <c r="N617" s="180"/>
      <c r="O617" s="180"/>
      <c r="P617" s="123"/>
      <c r="Q617" s="130"/>
      <c r="R617" s="180"/>
      <c r="S617" s="180"/>
      <c r="T617" s="180"/>
      <c r="U617" s="180"/>
      <c r="V617" s="123"/>
      <c r="W617" s="123"/>
      <c r="X617" s="123"/>
      <c r="Y617" s="180"/>
      <c r="Z617" s="180"/>
    </row>
    <row r="618" spans="1:26" ht="45.75" customHeight="1">
      <c r="A618" s="180"/>
      <c r="B618" s="180"/>
      <c r="C618" s="180"/>
      <c r="D618" s="180"/>
      <c r="E618" s="180"/>
      <c r="F618" s="225"/>
      <c r="G618" s="180"/>
      <c r="H618" s="180"/>
      <c r="I618" s="180"/>
      <c r="J618" s="211"/>
      <c r="K618" s="180"/>
      <c r="L618" s="212"/>
      <c r="M618" s="180"/>
      <c r="N618" s="180"/>
      <c r="O618" s="180"/>
      <c r="P618" s="123"/>
      <c r="Q618" s="130"/>
      <c r="R618" s="180"/>
      <c r="S618" s="180"/>
      <c r="T618" s="180"/>
      <c r="U618" s="180"/>
      <c r="V618" s="123"/>
      <c r="W618" s="123"/>
      <c r="X618" s="123"/>
      <c r="Y618" s="180"/>
      <c r="Z618" s="180"/>
    </row>
    <row r="619" spans="1:26" ht="45.75" customHeight="1">
      <c r="A619" s="180"/>
      <c r="B619" s="180"/>
      <c r="C619" s="180"/>
      <c r="D619" s="180"/>
      <c r="E619" s="180"/>
      <c r="F619" s="225"/>
      <c r="G619" s="180"/>
      <c r="H619" s="180"/>
      <c r="I619" s="180"/>
      <c r="J619" s="211"/>
      <c r="K619" s="180"/>
      <c r="L619" s="212"/>
      <c r="M619" s="180"/>
      <c r="N619" s="180"/>
      <c r="O619" s="180"/>
      <c r="P619" s="123"/>
      <c r="Q619" s="130"/>
      <c r="R619" s="180"/>
      <c r="S619" s="180"/>
      <c r="T619" s="180"/>
      <c r="U619" s="180"/>
      <c r="V619" s="123"/>
      <c r="W619" s="123"/>
      <c r="X619" s="123"/>
      <c r="Y619" s="180"/>
      <c r="Z619" s="180"/>
    </row>
    <row r="620" spans="1:26" ht="45.75" customHeight="1">
      <c r="A620" s="180"/>
      <c r="B620" s="180"/>
      <c r="C620" s="180"/>
      <c r="D620" s="180"/>
      <c r="E620" s="180"/>
      <c r="F620" s="225"/>
      <c r="G620" s="180"/>
      <c r="H620" s="180"/>
      <c r="I620" s="180"/>
      <c r="J620" s="211"/>
      <c r="K620" s="180"/>
      <c r="L620" s="212"/>
      <c r="M620" s="180"/>
      <c r="N620" s="180"/>
      <c r="O620" s="180"/>
      <c r="P620" s="123"/>
      <c r="Q620" s="130"/>
      <c r="R620" s="180"/>
      <c r="S620" s="180"/>
      <c r="T620" s="180"/>
      <c r="U620" s="180"/>
      <c r="V620" s="123"/>
      <c r="W620" s="123"/>
      <c r="X620" s="123"/>
      <c r="Y620" s="180"/>
      <c r="Z620" s="180"/>
    </row>
    <row r="621" spans="1:26" ht="45.75" customHeight="1">
      <c r="A621" s="180"/>
      <c r="B621" s="180"/>
      <c r="C621" s="180"/>
      <c r="D621" s="180"/>
      <c r="E621" s="180"/>
      <c r="F621" s="225"/>
      <c r="G621" s="180"/>
      <c r="H621" s="180"/>
      <c r="I621" s="180"/>
      <c r="J621" s="211"/>
      <c r="K621" s="180"/>
      <c r="L621" s="212"/>
      <c r="M621" s="180"/>
      <c r="N621" s="180"/>
      <c r="O621" s="180"/>
      <c r="P621" s="123"/>
      <c r="Q621" s="130"/>
      <c r="R621" s="180"/>
      <c r="S621" s="180"/>
      <c r="T621" s="180"/>
      <c r="U621" s="180"/>
      <c r="V621" s="123"/>
      <c r="W621" s="123"/>
      <c r="X621" s="123"/>
      <c r="Y621" s="180"/>
      <c r="Z621" s="180"/>
    </row>
    <row r="622" spans="1:26" ht="45.75" customHeight="1">
      <c r="A622" s="180"/>
      <c r="B622" s="180"/>
      <c r="C622" s="180"/>
      <c r="D622" s="180"/>
      <c r="E622" s="180"/>
      <c r="F622" s="225"/>
      <c r="G622" s="180"/>
      <c r="H622" s="180"/>
      <c r="I622" s="180"/>
      <c r="J622" s="211"/>
      <c r="K622" s="180"/>
      <c r="L622" s="212"/>
      <c r="M622" s="180"/>
      <c r="N622" s="180"/>
      <c r="O622" s="180"/>
      <c r="P622" s="123"/>
      <c r="Q622" s="130"/>
      <c r="R622" s="180"/>
      <c r="S622" s="180"/>
      <c r="T622" s="180"/>
      <c r="U622" s="180"/>
      <c r="V622" s="123"/>
      <c r="W622" s="123"/>
      <c r="X622" s="123"/>
      <c r="Y622" s="180"/>
      <c r="Z622" s="180"/>
    </row>
    <row r="623" spans="1:26" ht="45.75" customHeight="1">
      <c r="A623" s="180"/>
      <c r="B623" s="180"/>
      <c r="C623" s="180"/>
      <c r="D623" s="180"/>
      <c r="E623" s="180"/>
      <c r="F623" s="225"/>
      <c r="G623" s="180"/>
      <c r="H623" s="180"/>
      <c r="I623" s="180"/>
      <c r="J623" s="211"/>
      <c r="K623" s="180"/>
      <c r="L623" s="212"/>
      <c r="M623" s="180"/>
      <c r="N623" s="180"/>
      <c r="O623" s="180"/>
      <c r="P623" s="123"/>
      <c r="Q623" s="130"/>
      <c r="R623" s="180"/>
      <c r="S623" s="180"/>
      <c r="T623" s="180"/>
      <c r="U623" s="180"/>
      <c r="V623" s="123"/>
      <c r="W623" s="123"/>
      <c r="X623" s="123"/>
      <c r="Y623" s="180"/>
      <c r="Z623" s="180"/>
    </row>
    <row r="624" spans="1:26" ht="45.75" customHeight="1">
      <c r="A624" s="180"/>
      <c r="B624" s="180"/>
      <c r="C624" s="180"/>
      <c r="D624" s="180"/>
      <c r="E624" s="180"/>
      <c r="F624" s="225"/>
      <c r="G624" s="180"/>
      <c r="H624" s="180"/>
      <c r="I624" s="180"/>
      <c r="J624" s="211"/>
      <c r="K624" s="180"/>
      <c r="L624" s="212"/>
      <c r="M624" s="180"/>
      <c r="N624" s="180"/>
      <c r="O624" s="180"/>
      <c r="P624" s="123"/>
      <c r="Q624" s="130"/>
      <c r="R624" s="180"/>
      <c r="S624" s="180"/>
      <c r="T624" s="180"/>
      <c r="U624" s="180"/>
      <c r="V624" s="123"/>
      <c r="W624" s="123"/>
      <c r="X624" s="123"/>
      <c r="Y624" s="180"/>
      <c r="Z624" s="180"/>
    </row>
    <row r="625" spans="1:26" ht="45.75" customHeight="1">
      <c r="A625" s="180"/>
      <c r="B625" s="180"/>
      <c r="C625" s="180"/>
      <c r="D625" s="180"/>
      <c r="E625" s="180"/>
      <c r="F625" s="225"/>
      <c r="G625" s="180"/>
      <c r="H625" s="180"/>
      <c r="I625" s="180"/>
      <c r="J625" s="211"/>
      <c r="K625" s="180"/>
      <c r="L625" s="212"/>
      <c r="M625" s="180"/>
      <c r="N625" s="180"/>
      <c r="O625" s="180"/>
      <c r="P625" s="123"/>
      <c r="Q625" s="130"/>
      <c r="R625" s="180"/>
      <c r="S625" s="180"/>
      <c r="T625" s="180"/>
      <c r="U625" s="180"/>
      <c r="V625" s="123"/>
      <c r="W625" s="123"/>
      <c r="X625" s="123"/>
      <c r="Y625" s="180"/>
      <c r="Z625" s="180"/>
    </row>
    <row r="626" spans="1:26" ht="45.75" customHeight="1">
      <c r="A626" s="180"/>
      <c r="B626" s="180"/>
      <c r="C626" s="180"/>
      <c r="D626" s="180"/>
      <c r="E626" s="180"/>
      <c r="F626" s="225"/>
      <c r="G626" s="180"/>
      <c r="H626" s="180"/>
      <c r="I626" s="180"/>
      <c r="J626" s="211"/>
      <c r="K626" s="180"/>
      <c r="L626" s="212"/>
      <c r="M626" s="180"/>
      <c r="N626" s="180"/>
      <c r="O626" s="180"/>
      <c r="P626" s="123"/>
      <c r="Q626" s="130"/>
      <c r="R626" s="180"/>
      <c r="S626" s="180"/>
      <c r="T626" s="180"/>
      <c r="U626" s="180"/>
      <c r="V626" s="123"/>
      <c r="W626" s="123"/>
      <c r="X626" s="123"/>
      <c r="Y626" s="180"/>
      <c r="Z626" s="180"/>
    </row>
    <row r="627" spans="1:26" ht="45.75" customHeight="1">
      <c r="A627" s="180"/>
      <c r="B627" s="180"/>
      <c r="C627" s="180"/>
      <c r="D627" s="180"/>
      <c r="E627" s="180"/>
      <c r="F627" s="225"/>
      <c r="G627" s="180"/>
      <c r="H627" s="180"/>
      <c r="I627" s="180"/>
      <c r="J627" s="211"/>
      <c r="K627" s="180"/>
      <c r="L627" s="212"/>
      <c r="M627" s="180"/>
      <c r="N627" s="180"/>
      <c r="O627" s="180"/>
      <c r="P627" s="123"/>
      <c r="Q627" s="130"/>
      <c r="R627" s="180"/>
      <c r="S627" s="180"/>
      <c r="T627" s="180"/>
      <c r="U627" s="180"/>
      <c r="V627" s="123"/>
      <c r="W627" s="123"/>
      <c r="X627" s="123"/>
      <c r="Y627" s="180"/>
      <c r="Z627" s="180"/>
    </row>
    <row r="628" spans="1:26" ht="45.75" customHeight="1">
      <c r="A628" s="180"/>
      <c r="B628" s="180"/>
      <c r="C628" s="180"/>
      <c r="D628" s="180"/>
      <c r="E628" s="180"/>
      <c r="F628" s="225"/>
      <c r="G628" s="180"/>
      <c r="H628" s="180"/>
      <c r="I628" s="180"/>
      <c r="J628" s="211"/>
      <c r="K628" s="180"/>
      <c r="L628" s="212"/>
      <c r="M628" s="180"/>
      <c r="N628" s="180"/>
      <c r="O628" s="180"/>
      <c r="P628" s="123"/>
      <c r="Q628" s="130"/>
      <c r="R628" s="180"/>
      <c r="S628" s="180"/>
      <c r="T628" s="180"/>
      <c r="U628" s="180"/>
      <c r="V628" s="123"/>
      <c r="W628" s="123"/>
      <c r="X628" s="123"/>
      <c r="Y628" s="180"/>
      <c r="Z628" s="180"/>
    </row>
    <row r="629" spans="1:26" ht="45.75" customHeight="1">
      <c r="A629" s="180"/>
      <c r="B629" s="180"/>
      <c r="C629" s="180"/>
      <c r="D629" s="180"/>
      <c r="E629" s="180"/>
      <c r="F629" s="225"/>
      <c r="G629" s="180"/>
      <c r="H629" s="180"/>
      <c r="I629" s="180"/>
      <c r="J629" s="211"/>
      <c r="K629" s="180"/>
      <c r="L629" s="212"/>
      <c r="M629" s="180"/>
      <c r="N629" s="180"/>
      <c r="O629" s="180"/>
      <c r="P629" s="123"/>
      <c r="Q629" s="130"/>
      <c r="R629" s="180"/>
      <c r="S629" s="180"/>
      <c r="T629" s="180"/>
      <c r="U629" s="180"/>
      <c r="V629" s="123"/>
      <c r="W629" s="123"/>
      <c r="X629" s="123"/>
      <c r="Y629" s="180"/>
      <c r="Z629" s="180"/>
    </row>
    <row r="630" spans="1:26" ht="45.75" customHeight="1">
      <c r="A630" s="180"/>
      <c r="B630" s="180"/>
      <c r="C630" s="180"/>
      <c r="D630" s="180"/>
      <c r="E630" s="180"/>
      <c r="F630" s="225"/>
      <c r="G630" s="180"/>
      <c r="H630" s="180"/>
      <c r="I630" s="180"/>
      <c r="J630" s="211"/>
      <c r="K630" s="180"/>
      <c r="L630" s="212"/>
      <c r="M630" s="180"/>
      <c r="N630" s="180"/>
      <c r="O630" s="180"/>
      <c r="P630" s="123"/>
      <c r="Q630" s="130"/>
      <c r="R630" s="180"/>
      <c r="S630" s="180"/>
      <c r="T630" s="180"/>
      <c r="U630" s="180"/>
      <c r="V630" s="123"/>
      <c r="W630" s="123"/>
      <c r="X630" s="123"/>
      <c r="Y630" s="180"/>
      <c r="Z630" s="180"/>
    </row>
    <row r="631" spans="1:26" ht="45.75" customHeight="1">
      <c r="A631" s="180"/>
      <c r="B631" s="180"/>
      <c r="C631" s="180"/>
      <c r="D631" s="180"/>
      <c r="E631" s="180"/>
      <c r="F631" s="225"/>
      <c r="G631" s="180"/>
      <c r="H631" s="180"/>
      <c r="I631" s="180"/>
      <c r="J631" s="211"/>
      <c r="K631" s="180"/>
      <c r="L631" s="212"/>
      <c r="M631" s="180"/>
      <c r="N631" s="180"/>
      <c r="O631" s="180"/>
      <c r="P631" s="123"/>
      <c r="Q631" s="130"/>
      <c r="R631" s="180"/>
      <c r="S631" s="180"/>
      <c r="T631" s="180"/>
      <c r="U631" s="180"/>
      <c r="V631" s="123"/>
      <c r="W631" s="123"/>
      <c r="X631" s="123"/>
      <c r="Y631" s="180"/>
      <c r="Z631" s="180"/>
    </row>
    <row r="632" spans="1:26" ht="45.75" customHeight="1">
      <c r="A632" s="180"/>
      <c r="B632" s="180"/>
      <c r="C632" s="180"/>
      <c r="D632" s="180"/>
      <c r="E632" s="180"/>
      <c r="F632" s="225"/>
      <c r="G632" s="180"/>
      <c r="H632" s="180"/>
      <c r="I632" s="180"/>
      <c r="J632" s="211"/>
      <c r="K632" s="180"/>
      <c r="L632" s="212"/>
      <c r="M632" s="180"/>
      <c r="N632" s="180"/>
      <c r="O632" s="180"/>
      <c r="P632" s="123"/>
      <c r="Q632" s="130"/>
      <c r="R632" s="180"/>
      <c r="S632" s="180"/>
      <c r="T632" s="180"/>
      <c r="U632" s="180"/>
      <c r="V632" s="123"/>
      <c r="W632" s="123"/>
      <c r="X632" s="123"/>
      <c r="Y632" s="180"/>
      <c r="Z632" s="180"/>
    </row>
    <row r="633" spans="1:26" ht="45.75" customHeight="1">
      <c r="A633" s="180"/>
      <c r="B633" s="180"/>
      <c r="C633" s="180"/>
      <c r="D633" s="180"/>
      <c r="E633" s="180"/>
      <c r="F633" s="225"/>
      <c r="G633" s="180"/>
      <c r="H633" s="180"/>
      <c r="I633" s="180"/>
      <c r="J633" s="211"/>
      <c r="K633" s="180"/>
      <c r="L633" s="212"/>
      <c r="M633" s="180"/>
      <c r="N633" s="180"/>
      <c r="O633" s="180"/>
      <c r="P633" s="123"/>
      <c r="Q633" s="130"/>
      <c r="R633" s="180"/>
      <c r="S633" s="180"/>
      <c r="T633" s="180"/>
      <c r="U633" s="180"/>
      <c r="V633" s="123"/>
      <c r="W633" s="123"/>
      <c r="X633" s="123"/>
      <c r="Y633" s="180"/>
      <c r="Z633" s="180"/>
    </row>
    <row r="634" spans="1:26" ht="45.75" customHeight="1">
      <c r="A634" s="180"/>
      <c r="B634" s="180"/>
      <c r="C634" s="180"/>
      <c r="D634" s="180"/>
      <c r="E634" s="180"/>
      <c r="F634" s="225"/>
      <c r="G634" s="180"/>
      <c r="H634" s="180"/>
      <c r="I634" s="180"/>
      <c r="J634" s="211"/>
      <c r="K634" s="180"/>
      <c r="L634" s="212"/>
      <c r="M634" s="180"/>
      <c r="N634" s="180"/>
      <c r="O634" s="180"/>
      <c r="P634" s="123"/>
      <c r="Q634" s="130"/>
      <c r="R634" s="180"/>
      <c r="S634" s="180"/>
      <c r="T634" s="180"/>
      <c r="U634" s="180"/>
      <c r="V634" s="123"/>
      <c r="W634" s="123"/>
      <c r="X634" s="123"/>
      <c r="Y634" s="180"/>
      <c r="Z634" s="180"/>
    </row>
    <row r="635" spans="1:26" ht="45.75" customHeight="1">
      <c r="A635" s="180"/>
      <c r="B635" s="180"/>
      <c r="C635" s="180"/>
      <c r="D635" s="180"/>
      <c r="E635" s="180"/>
      <c r="F635" s="225"/>
      <c r="G635" s="180"/>
      <c r="H635" s="180"/>
      <c r="I635" s="180"/>
      <c r="J635" s="211"/>
      <c r="K635" s="180"/>
      <c r="L635" s="212"/>
      <c r="M635" s="180"/>
      <c r="N635" s="180"/>
      <c r="O635" s="180"/>
      <c r="P635" s="123"/>
      <c r="Q635" s="130"/>
      <c r="R635" s="180"/>
      <c r="S635" s="180"/>
      <c r="T635" s="180"/>
      <c r="U635" s="180"/>
      <c r="V635" s="123"/>
      <c r="W635" s="123"/>
      <c r="X635" s="123"/>
      <c r="Y635" s="180"/>
      <c r="Z635" s="180"/>
    </row>
    <row r="636" spans="1:26" ht="45.75" customHeight="1">
      <c r="A636" s="180"/>
      <c r="B636" s="180"/>
      <c r="C636" s="180"/>
      <c r="D636" s="180"/>
      <c r="E636" s="180"/>
      <c r="F636" s="225"/>
      <c r="G636" s="180"/>
      <c r="H636" s="180"/>
      <c r="I636" s="180"/>
      <c r="J636" s="211"/>
      <c r="K636" s="180"/>
      <c r="L636" s="212"/>
      <c r="M636" s="180"/>
      <c r="N636" s="180"/>
      <c r="O636" s="180"/>
      <c r="P636" s="123"/>
      <c r="Q636" s="130"/>
      <c r="R636" s="180"/>
      <c r="S636" s="180"/>
      <c r="T636" s="180"/>
      <c r="U636" s="180"/>
      <c r="V636" s="123"/>
      <c r="W636" s="123"/>
      <c r="X636" s="123"/>
      <c r="Y636" s="180"/>
      <c r="Z636" s="180"/>
    </row>
    <row r="637" spans="1:26" ht="45.75" customHeight="1">
      <c r="A637" s="180"/>
      <c r="B637" s="180"/>
      <c r="C637" s="180"/>
      <c r="D637" s="180"/>
      <c r="E637" s="180"/>
      <c r="F637" s="225"/>
      <c r="G637" s="180"/>
      <c r="H637" s="180"/>
      <c r="I637" s="180"/>
      <c r="J637" s="211"/>
      <c r="K637" s="180"/>
      <c r="L637" s="212"/>
      <c r="M637" s="180"/>
      <c r="N637" s="180"/>
      <c r="O637" s="180"/>
      <c r="P637" s="123"/>
      <c r="Q637" s="130"/>
      <c r="R637" s="180"/>
      <c r="S637" s="180"/>
      <c r="T637" s="180"/>
      <c r="U637" s="180"/>
      <c r="V637" s="123"/>
      <c r="W637" s="123"/>
      <c r="X637" s="123"/>
      <c r="Y637" s="180"/>
      <c r="Z637" s="180"/>
    </row>
    <row r="638" spans="1:26" ht="45.75" customHeight="1">
      <c r="A638" s="180"/>
      <c r="B638" s="180"/>
      <c r="C638" s="180"/>
      <c r="D638" s="180"/>
      <c r="E638" s="180"/>
      <c r="F638" s="225"/>
      <c r="G638" s="180"/>
      <c r="H638" s="180"/>
      <c r="I638" s="180"/>
      <c r="J638" s="211"/>
      <c r="K638" s="180"/>
      <c r="L638" s="212"/>
      <c r="M638" s="180"/>
      <c r="N638" s="180"/>
      <c r="O638" s="180"/>
      <c r="P638" s="123"/>
      <c r="Q638" s="130"/>
      <c r="R638" s="180"/>
      <c r="S638" s="180"/>
      <c r="T638" s="180"/>
      <c r="U638" s="180"/>
      <c r="V638" s="123"/>
      <c r="W638" s="123"/>
      <c r="X638" s="123"/>
      <c r="Y638" s="180"/>
      <c r="Z638" s="180"/>
    </row>
    <row r="639" spans="1:26" ht="45.75" customHeight="1">
      <c r="A639" s="180"/>
      <c r="B639" s="180"/>
      <c r="C639" s="180"/>
      <c r="D639" s="180"/>
      <c r="E639" s="180"/>
      <c r="F639" s="225"/>
      <c r="G639" s="180"/>
      <c r="H639" s="180"/>
      <c r="I639" s="180"/>
      <c r="J639" s="211"/>
      <c r="K639" s="180"/>
      <c r="L639" s="212"/>
      <c r="M639" s="180"/>
      <c r="N639" s="180"/>
      <c r="O639" s="180"/>
      <c r="P639" s="123"/>
      <c r="Q639" s="130"/>
      <c r="R639" s="180"/>
      <c r="S639" s="180"/>
      <c r="T639" s="180"/>
      <c r="U639" s="180"/>
      <c r="V639" s="123"/>
      <c r="W639" s="123"/>
      <c r="X639" s="123"/>
      <c r="Y639" s="180"/>
      <c r="Z639" s="180"/>
    </row>
    <row r="640" spans="1:26" ht="45.75" customHeight="1">
      <c r="A640" s="180"/>
      <c r="B640" s="180"/>
      <c r="C640" s="180"/>
      <c r="D640" s="180"/>
      <c r="E640" s="180"/>
      <c r="F640" s="225"/>
      <c r="G640" s="180"/>
      <c r="H640" s="180"/>
      <c r="I640" s="180"/>
      <c r="J640" s="211"/>
      <c r="K640" s="180"/>
      <c r="L640" s="212"/>
      <c r="M640" s="180"/>
      <c r="N640" s="180"/>
      <c r="O640" s="180"/>
      <c r="P640" s="123"/>
      <c r="Q640" s="130"/>
      <c r="R640" s="180"/>
      <c r="S640" s="180"/>
      <c r="T640" s="180"/>
      <c r="U640" s="180"/>
      <c r="V640" s="123"/>
      <c r="W640" s="123"/>
      <c r="X640" s="123"/>
      <c r="Y640" s="180"/>
      <c r="Z640" s="180"/>
    </row>
    <row r="641" spans="1:26" ht="45.75" customHeight="1">
      <c r="A641" s="180"/>
      <c r="B641" s="180"/>
      <c r="C641" s="180"/>
      <c r="D641" s="180"/>
      <c r="E641" s="180"/>
      <c r="F641" s="225"/>
      <c r="G641" s="180"/>
      <c r="H641" s="180"/>
      <c r="I641" s="180"/>
      <c r="J641" s="211"/>
      <c r="K641" s="180"/>
      <c r="L641" s="212"/>
      <c r="M641" s="180"/>
      <c r="N641" s="180"/>
      <c r="O641" s="180"/>
      <c r="P641" s="123"/>
      <c r="Q641" s="130"/>
      <c r="R641" s="180"/>
      <c r="S641" s="180"/>
      <c r="T641" s="180"/>
      <c r="U641" s="180"/>
      <c r="V641" s="123"/>
      <c r="W641" s="123"/>
      <c r="X641" s="123"/>
      <c r="Y641" s="180"/>
      <c r="Z641" s="180"/>
    </row>
    <row r="642" spans="1:26" ht="45.75" customHeight="1">
      <c r="A642" s="180"/>
      <c r="B642" s="180"/>
      <c r="C642" s="180"/>
      <c r="D642" s="180"/>
      <c r="E642" s="180"/>
      <c r="F642" s="225"/>
      <c r="G642" s="180"/>
      <c r="H642" s="180"/>
      <c r="I642" s="180"/>
      <c r="J642" s="211"/>
      <c r="K642" s="180"/>
      <c r="L642" s="212"/>
      <c r="M642" s="180"/>
      <c r="N642" s="180"/>
      <c r="O642" s="180"/>
      <c r="P642" s="123"/>
      <c r="Q642" s="130"/>
      <c r="R642" s="180"/>
      <c r="S642" s="180"/>
      <c r="T642" s="180"/>
      <c r="U642" s="180"/>
      <c r="V642" s="123"/>
      <c r="W642" s="123"/>
      <c r="X642" s="123"/>
      <c r="Y642" s="180"/>
      <c r="Z642" s="180"/>
    </row>
    <row r="643" spans="1:26" ht="45.75" customHeight="1">
      <c r="A643" s="180"/>
      <c r="B643" s="180"/>
      <c r="C643" s="180"/>
      <c r="D643" s="180"/>
      <c r="E643" s="180"/>
      <c r="F643" s="225"/>
      <c r="G643" s="180"/>
      <c r="H643" s="180"/>
      <c r="I643" s="180"/>
      <c r="J643" s="211"/>
      <c r="K643" s="180"/>
      <c r="L643" s="212"/>
      <c r="M643" s="180"/>
      <c r="N643" s="180"/>
      <c r="O643" s="180"/>
      <c r="P643" s="123"/>
      <c r="Q643" s="130"/>
      <c r="R643" s="180"/>
      <c r="S643" s="180"/>
      <c r="T643" s="180"/>
      <c r="U643" s="180"/>
      <c r="V643" s="123"/>
      <c r="W643" s="123"/>
      <c r="X643" s="123"/>
      <c r="Y643" s="180"/>
      <c r="Z643" s="180"/>
    </row>
    <row r="644" spans="1:26" ht="45.75" customHeight="1">
      <c r="A644" s="180"/>
      <c r="B644" s="180"/>
      <c r="C644" s="180"/>
      <c r="D644" s="180"/>
      <c r="E644" s="180"/>
      <c r="F644" s="225"/>
      <c r="G644" s="180"/>
      <c r="H644" s="180"/>
      <c r="I644" s="180"/>
      <c r="J644" s="211"/>
      <c r="K644" s="180"/>
      <c r="L644" s="212"/>
      <c r="M644" s="180"/>
      <c r="N644" s="180"/>
      <c r="O644" s="180"/>
      <c r="P644" s="123"/>
      <c r="Q644" s="130"/>
      <c r="R644" s="180"/>
      <c r="S644" s="180"/>
      <c r="T644" s="180"/>
      <c r="U644" s="180"/>
      <c r="V644" s="123"/>
      <c r="W644" s="123"/>
      <c r="X644" s="123"/>
      <c r="Y644" s="180"/>
      <c r="Z644" s="180"/>
    </row>
    <row r="645" spans="1:26" ht="45.75" customHeight="1">
      <c r="A645" s="180"/>
      <c r="B645" s="180"/>
      <c r="C645" s="180"/>
      <c r="D645" s="180"/>
      <c r="E645" s="180"/>
      <c r="F645" s="225"/>
      <c r="G645" s="180"/>
      <c r="H645" s="180"/>
      <c r="I645" s="180"/>
      <c r="J645" s="211"/>
      <c r="K645" s="180"/>
      <c r="L645" s="212"/>
      <c r="M645" s="180"/>
      <c r="N645" s="180"/>
      <c r="O645" s="180"/>
      <c r="P645" s="123"/>
      <c r="Q645" s="130"/>
      <c r="R645" s="180"/>
      <c r="S645" s="180"/>
      <c r="T645" s="180"/>
      <c r="U645" s="180"/>
      <c r="V645" s="123"/>
      <c r="W645" s="123"/>
      <c r="X645" s="123"/>
      <c r="Y645" s="180"/>
      <c r="Z645" s="180"/>
    </row>
    <row r="646" spans="1:26" ht="45.75" customHeight="1">
      <c r="A646" s="180"/>
      <c r="B646" s="180"/>
      <c r="C646" s="180"/>
      <c r="D646" s="180"/>
      <c r="E646" s="180"/>
      <c r="F646" s="225"/>
      <c r="G646" s="180"/>
      <c r="H646" s="180"/>
      <c r="I646" s="180"/>
      <c r="J646" s="211"/>
      <c r="K646" s="180"/>
      <c r="L646" s="212"/>
      <c r="M646" s="180"/>
      <c r="N646" s="180"/>
      <c r="O646" s="180"/>
      <c r="P646" s="123"/>
      <c r="Q646" s="130"/>
      <c r="R646" s="180"/>
      <c r="S646" s="180"/>
      <c r="T646" s="180"/>
      <c r="U646" s="180"/>
      <c r="V646" s="123"/>
      <c r="W646" s="123"/>
      <c r="X646" s="123"/>
      <c r="Y646" s="180"/>
      <c r="Z646" s="180"/>
    </row>
    <row r="647" spans="1:26" ht="45.75" customHeight="1">
      <c r="A647" s="180"/>
      <c r="B647" s="180"/>
      <c r="C647" s="180"/>
      <c r="D647" s="180"/>
      <c r="E647" s="180"/>
      <c r="F647" s="225"/>
      <c r="G647" s="180"/>
      <c r="H647" s="180"/>
      <c r="I647" s="180"/>
      <c r="J647" s="211"/>
      <c r="K647" s="180"/>
      <c r="L647" s="212"/>
      <c r="M647" s="180"/>
      <c r="N647" s="180"/>
      <c r="O647" s="180"/>
      <c r="P647" s="123"/>
      <c r="Q647" s="130"/>
      <c r="R647" s="180"/>
      <c r="S647" s="180"/>
      <c r="T647" s="180"/>
      <c r="U647" s="180"/>
      <c r="V647" s="123"/>
      <c r="W647" s="123"/>
      <c r="X647" s="123"/>
      <c r="Y647" s="180"/>
      <c r="Z647" s="180"/>
    </row>
    <row r="648" spans="1:26" ht="45.75" customHeight="1">
      <c r="A648" s="180"/>
      <c r="B648" s="180"/>
      <c r="C648" s="180"/>
      <c r="D648" s="180"/>
      <c r="E648" s="180"/>
      <c r="F648" s="225"/>
      <c r="G648" s="180"/>
      <c r="H648" s="180"/>
      <c r="I648" s="180"/>
      <c r="J648" s="211"/>
      <c r="K648" s="180"/>
      <c r="L648" s="212"/>
      <c r="M648" s="180"/>
      <c r="N648" s="180"/>
      <c r="O648" s="180"/>
      <c r="P648" s="123"/>
      <c r="Q648" s="130"/>
      <c r="R648" s="180"/>
      <c r="S648" s="180"/>
      <c r="T648" s="180"/>
      <c r="U648" s="180"/>
      <c r="V648" s="123"/>
      <c r="W648" s="123"/>
      <c r="X648" s="123"/>
      <c r="Y648" s="180"/>
      <c r="Z648" s="180"/>
    </row>
    <row r="649" spans="1:26" ht="45.75" customHeight="1">
      <c r="A649" s="180"/>
      <c r="B649" s="180"/>
      <c r="C649" s="180"/>
      <c r="D649" s="180"/>
      <c r="E649" s="180"/>
      <c r="F649" s="225"/>
      <c r="G649" s="180"/>
      <c r="H649" s="180"/>
      <c r="I649" s="180"/>
      <c r="J649" s="211"/>
      <c r="K649" s="180"/>
      <c r="L649" s="212"/>
      <c r="M649" s="180"/>
      <c r="N649" s="180"/>
      <c r="O649" s="180"/>
      <c r="P649" s="123"/>
      <c r="Q649" s="130"/>
      <c r="R649" s="180"/>
      <c r="S649" s="180"/>
      <c r="T649" s="180"/>
      <c r="U649" s="180"/>
      <c r="V649" s="123"/>
      <c r="W649" s="123"/>
      <c r="X649" s="123"/>
      <c r="Y649" s="180"/>
      <c r="Z649" s="180"/>
    </row>
    <row r="650" spans="1:26" ht="45.75" customHeight="1">
      <c r="A650" s="180"/>
      <c r="B650" s="180"/>
      <c r="C650" s="180"/>
      <c r="D650" s="180"/>
      <c r="E650" s="180"/>
      <c r="F650" s="225"/>
      <c r="G650" s="180"/>
      <c r="H650" s="180"/>
      <c r="I650" s="180"/>
      <c r="J650" s="211"/>
      <c r="K650" s="180"/>
      <c r="L650" s="212"/>
      <c r="M650" s="180"/>
      <c r="N650" s="180"/>
      <c r="O650" s="180"/>
      <c r="P650" s="123"/>
      <c r="Q650" s="130"/>
      <c r="R650" s="180"/>
      <c r="S650" s="180"/>
      <c r="T650" s="180"/>
      <c r="U650" s="180"/>
      <c r="V650" s="123"/>
      <c r="W650" s="123"/>
      <c r="X650" s="123"/>
      <c r="Y650" s="180"/>
      <c r="Z650" s="180"/>
    </row>
    <row r="651" spans="1:26" ht="45.75" customHeight="1">
      <c r="A651" s="180"/>
      <c r="B651" s="180"/>
      <c r="C651" s="180"/>
      <c r="D651" s="180"/>
      <c r="E651" s="180"/>
      <c r="F651" s="225"/>
      <c r="G651" s="180"/>
      <c r="H651" s="180"/>
      <c r="I651" s="180"/>
      <c r="J651" s="211"/>
      <c r="K651" s="180"/>
      <c r="L651" s="212"/>
      <c r="M651" s="180"/>
      <c r="N651" s="180"/>
      <c r="O651" s="180"/>
      <c r="P651" s="123"/>
      <c r="Q651" s="130"/>
      <c r="R651" s="180"/>
      <c r="S651" s="180"/>
      <c r="T651" s="180"/>
      <c r="U651" s="180"/>
      <c r="V651" s="123"/>
      <c r="W651" s="123"/>
      <c r="X651" s="123"/>
      <c r="Y651" s="180"/>
      <c r="Z651" s="180"/>
    </row>
    <row r="652" spans="1:26" ht="45.75" customHeight="1">
      <c r="A652" s="180"/>
      <c r="B652" s="180"/>
      <c r="C652" s="180"/>
      <c r="D652" s="180"/>
      <c r="E652" s="180"/>
      <c r="F652" s="225"/>
      <c r="G652" s="180"/>
      <c r="H652" s="180"/>
      <c r="I652" s="180"/>
      <c r="J652" s="211"/>
      <c r="K652" s="180"/>
      <c r="L652" s="212"/>
      <c r="M652" s="180"/>
      <c r="N652" s="180"/>
      <c r="O652" s="180"/>
      <c r="P652" s="123"/>
      <c r="Q652" s="130"/>
      <c r="R652" s="180"/>
      <c r="S652" s="180"/>
      <c r="T652" s="180"/>
      <c r="U652" s="180"/>
      <c r="V652" s="123"/>
      <c r="W652" s="123"/>
      <c r="X652" s="123"/>
      <c r="Y652" s="180"/>
      <c r="Z652" s="180"/>
    </row>
    <row r="653" spans="1:26" ht="45.75" customHeight="1">
      <c r="A653" s="180"/>
      <c r="B653" s="180"/>
      <c r="C653" s="180"/>
      <c r="D653" s="180"/>
      <c r="E653" s="180"/>
      <c r="F653" s="225"/>
      <c r="G653" s="180"/>
      <c r="H653" s="180"/>
      <c r="I653" s="180"/>
      <c r="J653" s="211"/>
      <c r="K653" s="180"/>
      <c r="L653" s="212"/>
      <c r="M653" s="180"/>
      <c r="N653" s="180"/>
      <c r="O653" s="180"/>
      <c r="P653" s="123"/>
      <c r="Q653" s="130"/>
      <c r="R653" s="180"/>
      <c r="S653" s="180"/>
      <c r="T653" s="180"/>
      <c r="U653" s="180"/>
      <c r="V653" s="123"/>
      <c r="W653" s="123"/>
      <c r="X653" s="123"/>
      <c r="Y653" s="180"/>
      <c r="Z653" s="180"/>
    </row>
    <row r="654" spans="1:26" ht="45.75" customHeight="1">
      <c r="A654" s="180"/>
      <c r="B654" s="180"/>
      <c r="C654" s="180"/>
      <c r="D654" s="180"/>
      <c r="E654" s="180"/>
      <c r="F654" s="225"/>
      <c r="G654" s="180"/>
      <c r="H654" s="180"/>
      <c r="I654" s="180"/>
      <c r="J654" s="211"/>
      <c r="K654" s="180"/>
      <c r="L654" s="212"/>
      <c r="M654" s="180"/>
      <c r="N654" s="180"/>
      <c r="O654" s="180"/>
      <c r="P654" s="123"/>
      <c r="Q654" s="130"/>
      <c r="R654" s="180"/>
      <c r="S654" s="180"/>
      <c r="T654" s="180"/>
      <c r="U654" s="180"/>
      <c r="V654" s="123"/>
      <c r="W654" s="123"/>
      <c r="X654" s="123"/>
      <c r="Y654" s="180"/>
      <c r="Z654" s="180"/>
    </row>
    <row r="655" spans="1:26" ht="45.75" customHeight="1">
      <c r="A655" s="180"/>
      <c r="B655" s="180"/>
      <c r="C655" s="180"/>
      <c r="D655" s="180"/>
      <c r="E655" s="180"/>
      <c r="F655" s="225"/>
      <c r="G655" s="180"/>
      <c r="H655" s="180"/>
      <c r="I655" s="180"/>
      <c r="J655" s="211"/>
      <c r="K655" s="180"/>
      <c r="L655" s="212"/>
      <c r="M655" s="180"/>
      <c r="N655" s="180"/>
      <c r="O655" s="180"/>
      <c r="P655" s="123"/>
      <c r="Q655" s="130"/>
      <c r="R655" s="180"/>
      <c r="S655" s="180"/>
      <c r="T655" s="180"/>
      <c r="U655" s="180"/>
      <c r="V655" s="123"/>
      <c r="W655" s="123"/>
      <c r="X655" s="123"/>
      <c r="Y655" s="180"/>
      <c r="Z655" s="180"/>
    </row>
    <row r="656" spans="1:26" ht="45.75" customHeight="1">
      <c r="A656" s="180"/>
      <c r="B656" s="180"/>
      <c r="C656" s="180"/>
      <c r="D656" s="180"/>
      <c r="E656" s="180"/>
      <c r="F656" s="225"/>
      <c r="G656" s="180"/>
      <c r="H656" s="180"/>
      <c r="I656" s="180"/>
      <c r="J656" s="211"/>
      <c r="K656" s="180"/>
      <c r="L656" s="212"/>
      <c r="M656" s="180"/>
      <c r="N656" s="180"/>
      <c r="O656" s="180"/>
      <c r="P656" s="123"/>
      <c r="Q656" s="130"/>
      <c r="R656" s="180"/>
      <c r="S656" s="180"/>
      <c r="T656" s="180"/>
      <c r="U656" s="180"/>
      <c r="V656" s="123"/>
      <c r="W656" s="123"/>
      <c r="X656" s="123"/>
      <c r="Y656" s="180"/>
      <c r="Z656" s="180"/>
    </row>
    <row r="657" spans="1:26" ht="45.75" customHeight="1">
      <c r="A657" s="180"/>
      <c r="B657" s="180"/>
      <c r="C657" s="180"/>
      <c r="D657" s="180"/>
      <c r="E657" s="180"/>
      <c r="F657" s="225"/>
      <c r="G657" s="180"/>
      <c r="H657" s="180"/>
      <c r="I657" s="180"/>
      <c r="J657" s="211"/>
      <c r="K657" s="180"/>
      <c r="L657" s="212"/>
      <c r="M657" s="180"/>
      <c r="N657" s="180"/>
      <c r="O657" s="180"/>
      <c r="P657" s="123"/>
      <c r="Q657" s="130"/>
      <c r="R657" s="180"/>
      <c r="S657" s="180"/>
      <c r="T657" s="180"/>
      <c r="U657" s="180"/>
      <c r="V657" s="123"/>
      <c r="W657" s="123"/>
      <c r="X657" s="123"/>
      <c r="Y657" s="180"/>
      <c r="Z657" s="180"/>
    </row>
    <row r="658" spans="1:26" ht="45.75" customHeight="1">
      <c r="A658" s="180"/>
      <c r="B658" s="180"/>
      <c r="C658" s="180"/>
      <c r="D658" s="180"/>
      <c r="E658" s="180"/>
      <c r="F658" s="225"/>
      <c r="G658" s="180"/>
      <c r="H658" s="180"/>
      <c r="I658" s="180"/>
      <c r="J658" s="211"/>
      <c r="K658" s="180"/>
      <c r="L658" s="212"/>
      <c r="M658" s="180"/>
      <c r="N658" s="180"/>
      <c r="O658" s="180"/>
      <c r="P658" s="123"/>
      <c r="Q658" s="130"/>
      <c r="R658" s="180"/>
      <c r="S658" s="180"/>
      <c r="T658" s="180"/>
      <c r="U658" s="180"/>
      <c r="V658" s="123"/>
      <c r="W658" s="123"/>
      <c r="X658" s="123"/>
      <c r="Y658" s="180"/>
      <c r="Z658" s="180"/>
    </row>
    <row r="659" spans="1:26" ht="45.75" customHeight="1">
      <c r="A659" s="180"/>
      <c r="B659" s="180"/>
      <c r="C659" s="180"/>
      <c r="D659" s="180"/>
      <c r="E659" s="180"/>
      <c r="F659" s="225"/>
      <c r="G659" s="180"/>
      <c r="H659" s="180"/>
      <c r="I659" s="180"/>
      <c r="J659" s="211"/>
      <c r="K659" s="180"/>
      <c r="L659" s="212"/>
      <c r="M659" s="180"/>
      <c r="N659" s="180"/>
      <c r="O659" s="180"/>
      <c r="P659" s="123"/>
      <c r="Q659" s="130"/>
      <c r="R659" s="180"/>
      <c r="S659" s="180"/>
      <c r="T659" s="180"/>
      <c r="U659" s="180"/>
      <c r="V659" s="123"/>
      <c r="W659" s="123"/>
      <c r="X659" s="123"/>
      <c r="Y659" s="180"/>
      <c r="Z659" s="180"/>
    </row>
    <row r="660" spans="1:26" ht="45.75" customHeight="1">
      <c r="A660" s="180"/>
      <c r="B660" s="180"/>
      <c r="C660" s="180"/>
      <c r="D660" s="180"/>
      <c r="E660" s="180"/>
      <c r="F660" s="225"/>
      <c r="G660" s="180"/>
      <c r="H660" s="180"/>
      <c r="I660" s="180"/>
      <c r="J660" s="211"/>
      <c r="K660" s="180"/>
      <c r="L660" s="212"/>
      <c r="M660" s="180"/>
      <c r="N660" s="180"/>
      <c r="O660" s="180"/>
      <c r="P660" s="123"/>
      <c r="Q660" s="130"/>
      <c r="R660" s="180"/>
      <c r="S660" s="180"/>
      <c r="T660" s="180"/>
      <c r="U660" s="180"/>
      <c r="V660" s="123"/>
      <c r="W660" s="123"/>
      <c r="X660" s="123"/>
      <c r="Y660" s="180"/>
      <c r="Z660" s="180"/>
    </row>
    <row r="661" spans="1:26" ht="45.75" customHeight="1">
      <c r="A661" s="180"/>
      <c r="B661" s="180"/>
      <c r="C661" s="180"/>
      <c r="D661" s="180"/>
      <c r="E661" s="180"/>
      <c r="F661" s="225"/>
      <c r="G661" s="180"/>
      <c r="H661" s="180"/>
      <c r="I661" s="180"/>
      <c r="J661" s="211"/>
      <c r="K661" s="180"/>
      <c r="L661" s="212"/>
      <c r="M661" s="180"/>
      <c r="N661" s="180"/>
      <c r="O661" s="180"/>
      <c r="P661" s="123"/>
      <c r="Q661" s="130"/>
      <c r="R661" s="180"/>
      <c r="S661" s="180"/>
      <c r="T661" s="180"/>
      <c r="U661" s="180"/>
      <c r="V661" s="123"/>
      <c r="W661" s="123"/>
      <c r="X661" s="123"/>
      <c r="Y661" s="180"/>
      <c r="Z661" s="180"/>
    </row>
    <row r="662" spans="1:26" ht="45.75" customHeight="1">
      <c r="A662" s="180"/>
      <c r="B662" s="180"/>
      <c r="C662" s="180"/>
      <c r="D662" s="180"/>
      <c r="E662" s="180"/>
      <c r="F662" s="225"/>
      <c r="G662" s="180"/>
      <c r="H662" s="180"/>
      <c r="I662" s="180"/>
      <c r="J662" s="211"/>
      <c r="K662" s="180"/>
      <c r="L662" s="212"/>
      <c r="M662" s="180"/>
      <c r="N662" s="180"/>
      <c r="O662" s="180"/>
      <c r="P662" s="123"/>
      <c r="Q662" s="130"/>
      <c r="R662" s="180"/>
      <c r="S662" s="180"/>
      <c r="T662" s="180"/>
      <c r="U662" s="180"/>
      <c r="V662" s="123"/>
      <c r="W662" s="123"/>
      <c r="X662" s="123"/>
      <c r="Y662" s="180"/>
      <c r="Z662" s="180"/>
    </row>
    <row r="663" spans="1:26" ht="45.75" customHeight="1">
      <c r="A663" s="180"/>
      <c r="B663" s="180"/>
      <c r="C663" s="180"/>
      <c r="D663" s="180"/>
      <c r="E663" s="180"/>
      <c r="F663" s="225"/>
      <c r="G663" s="180"/>
      <c r="H663" s="180"/>
      <c r="I663" s="180"/>
      <c r="J663" s="211"/>
      <c r="K663" s="180"/>
      <c r="L663" s="212"/>
      <c r="M663" s="180"/>
      <c r="N663" s="180"/>
      <c r="O663" s="180"/>
      <c r="P663" s="123"/>
      <c r="Q663" s="130"/>
      <c r="R663" s="180"/>
      <c r="S663" s="180"/>
      <c r="T663" s="180"/>
      <c r="U663" s="180"/>
      <c r="V663" s="123"/>
      <c r="W663" s="123"/>
      <c r="X663" s="123"/>
      <c r="Y663" s="180"/>
      <c r="Z663" s="180"/>
    </row>
    <row r="664" spans="1:26" ht="45.75" customHeight="1">
      <c r="A664" s="180"/>
      <c r="B664" s="180"/>
      <c r="C664" s="180"/>
      <c r="D664" s="180"/>
      <c r="E664" s="180"/>
      <c r="F664" s="225"/>
      <c r="G664" s="180"/>
      <c r="H664" s="180"/>
      <c r="I664" s="180"/>
      <c r="J664" s="211"/>
      <c r="K664" s="180"/>
      <c r="L664" s="212"/>
      <c r="M664" s="180"/>
      <c r="N664" s="180"/>
      <c r="O664" s="180"/>
      <c r="P664" s="123"/>
      <c r="Q664" s="130"/>
      <c r="R664" s="180"/>
      <c r="S664" s="180"/>
      <c r="T664" s="180"/>
      <c r="U664" s="180"/>
      <c r="V664" s="123"/>
      <c r="W664" s="123"/>
      <c r="X664" s="123"/>
      <c r="Y664" s="180"/>
      <c r="Z664" s="180"/>
    </row>
    <row r="665" spans="1:26" ht="45.75" customHeight="1">
      <c r="A665" s="180"/>
      <c r="B665" s="180"/>
      <c r="C665" s="180"/>
      <c r="D665" s="180"/>
      <c r="E665" s="180"/>
      <c r="F665" s="225"/>
      <c r="G665" s="180"/>
      <c r="H665" s="180"/>
      <c r="I665" s="180"/>
      <c r="J665" s="211"/>
      <c r="K665" s="180"/>
      <c r="L665" s="212"/>
      <c r="M665" s="180"/>
      <c r="N665" s="180"/>
      <c r="O665" s="180"/>
      <c r="P665" s="123"/>
      <c r="Q665" s="130"/>
      <c r="R665" s="180"/>
      <c r="S665" s="180"/>
      <c r="T665" s="180"/>
      <c r="U665" s="180"/>
      <c r="V665" s="123"/>
      <c r="W665" s="123"/>
      <c r="X665" s="123"/>
      <c r="Y665" s="180"/>
      <c r="Z665" s="180"/>
    </row>
    <row r="666" spans="1:26" ht="45.75" customHeight="1">
      <c r="A666" s="180"/>
      <c r="B666" s="180"/>
      <c r="C666" s="180"/>
      <c r="D666" s="180"/>
      <c r="E666" s="180"/>
      <c r="F666" s="225"/>
      <c r="G666" s="180"/>
      <c r="H666" s="180"/>
      <c r="I666" s="180"/>
      <c r="J666" s="211"/>
      <c r="K666" s="180"/>
      <c r="L666" s="212"/>
      <c r="M666" s="180"/>
      <c r="N666" s="180"/>
      <c r="O666" s="180"/>
      <c r="P666" s="123"/>
      <c r="Q666" s="130"/>
      <c r="R666" s="180"/>
      <c r="S666" s="180"/>
      <c r="T666" s="180"/>
      <c r="U666" s="180"/>
      <c r="V666" s="123"/>
      <c r="W666" s="123"/>
      <c r="X666" s="123"/>
      <c r="Y666" s="180"/>
      <c r="Z666" s="180"/>
    </row>
    <row r="667" spans="1:26" ht="45.75" customHeight="1">
      <c r="A667" s="180"/>
      <c r="B667" s="180"/>
      <c r="C667" s="180"/>
      <c r="D667" s="180"/>
      <c r="E667" s="180"/>
      <c r="F667" s="225"/>
      <c r="G667" s="180"/>
      <c r="H667" s="180"/>
      <c r="I667" s="180"/>
      <c r="J667" s="211"/>
      <c r="K667" s="180"/>
      <c r="L667" s="212"/>
      <c r="M667" s="180"/>
      <c r="N667" s="180"/>
      <c r="O667" s="180"/>
      <c r="P667" s="123"/>
      <c r="Q667" s="130"/>
      <c r="R667" s="180"/>
      <c r="S667" s="180"/>
      <c r="T667" s="180"/>
      <c r="U667" s="180"/>
      <c r="V667" s="123"/>
      <c r="W667" s="123"/>
      <c r="X667" s="123"/>
      <c r="Y667" s="180"/>
      <c r="Z667" s="180"/>
    </row>
    <row r="668" spans="1:26" ht="45.75" customHeight="1">
      <c r="A668" s="180"/>
      <c r="B668" s="180"/>
      <c r="C668" s="180"/>
      <c r="D668" s="180"/>
      <c r="E668" s="180"/>
      <c r="F668" s="225"/>
      <c r="G668" s="180"/>
      <c r="H668" s="180"/>
      <c r="I668" s="180"/>
      <c r="J668" s="211"/>
      <c r="K668" s="180"/>
      <c r="L668" s="212"/>
      <c r="M668" s="180"/>
      <c r="N668" s="180"/>
      <c r="O668" s="180"/>
      <c r="P668" s="123"/>
      <c r="Q668" s="130"/>
      <c r="R668" s="180"/>
      <c r="S668" s="180"/>
      <c r="T668" s="180"/>
      <c r="U668" s="180"/>
      <c r="V668" s="123"/>
      <c r="W668" s="123"/>
      <c r="X668" s="123"/>
      <c r="Y668" s="180"/>
      <c r="Z668" s="180"/>
    </row>
    <row r="669" spans="1:26" ht="45.75" customHeight="1">
      <c r="A669" s="180"/>
      <c r="B669" s="180"/>
      <c r="C669" s="180"/>
      <c r="D669" s="180"/>
      <c r="E669" s="180"/>
      <c r="F669" s="225"/>
      <c r="G669" s="180"/>
      <c r="H669" s="180"/>
      <c r="I669" s="180"/>
      <c r="J669" s="211"/>
      <c r="K669" s="180"/>
      <c r="L669" s="212"/>
      <c r="M669" s="180"/>
      <c r="N669" s="180"/>
      <c r="O669" s="180"/>
      <c r="P669" s="123"/>
      <c r="Q669" s="130"/>
      <c r="R669" s="180"/>
      <c r="S669" s="180"/>
      <c r="T669" s="180"/>
      <c r="U669" s="180"/>
      <c r="V669" s="123"/>
      <c r="W669" s="123"/>
      <c r="X669" s="123"/>
      <c r="Y669" s="180"/>
      <c r="Z669" s="180"/>
    </row>
    <row r="670" spans="1:26" ht="45.75" customHeight="1">
      <c r="A670" s="180"/>
      <c r="B670" s="180"/>
      <c r="C670" s="180"/>
      <c r="D670" s="180"/>
      <c r="E670" s="180"/>
      <c r="F670" s="225"/>
      <c r="G670" s="180"/>
      <c r="H670" s="180"/>
      <c r="I670" s="180"/>
      <c r="J670" s="211"/>
      <c r="K670" s="180"/>
      <c r="L670" s="212"/>
      <c r="M670" s="180"/>
      <c r="N670" s="180"/>
      <c r="O670" s="180"/>
      <c r="P670" s="123"/>
      <c r="Q670" s="130"/>
      <c r="R670" s="180"/>
      <c r="S670" s="180"/>
      <c r="T670" s="180"/>
      <c r="U670" s="180"/>
      <c r="V670" s="123"/>
      <c r="W670" s="123"/>
      <c r="X670" s="123"/>
      <c r="Y670" s="180"/>
      <c r="Z670" s="180"/>
    </row>
    <row r="671" spans="1:26" ht="45.75" customHeight="1">
      <c r="A671" s="180"/>
      <c r="B671" s="180"/>
      <c r="C671" s="180"/>
      <c r="D671" s="180"/>
      <c r="E671" s="180"/>
      <c r="F671" s="225"/>
      <c r="G671" s="180"/>
      <c r="H671" s="180"/>
      <c r="I671" s="180"/>
      <c r="J671" s="211"/>
      <c r="K671" s="180"/>
      <c r="L671" s="212"/>
      <c r="M671" s="180"/>
      <c r="N671" s="180"/>
      <c r="O671" s="180"/>
      <c r="P671" s="123"/>
      <c r="Q671" s="130"/>
      <c r="R671" s="180"/>
      <c r="S671" s="180"/>
      <c r="T671" s="180"/>
      <c r="U671" s="180"/>
      <c r="V671" s="123"/>
      <c r="W671" s="123"/>
      <c r="X671" s="123"/>
      <c r="Y671" s="180"/>
      <c r="Z671" s="180"/>
    </row>
    <row r="672" spans="1:26" ht="45.75" customHeight="1">
      <c r="A672" s="180"/>
      <c r="B672" s="180"/>
      <c r="C672" s="180"/>
      <c r="D672" s="180"/>
      <c r="E672" s="180"/>
      <c r="F672" s="225"/>
      <c r="G672" s="180"/>
      <c r="H672" s="180"/>
      <c r="I672" s="180"/>
      <c r="J672" s="211"/>
      <c r="K672" s="180"/>
      <c r="L672" s="212"/>
      <c r="M672" s="180"/>
      <c r="N672" s="180"/>
      <c r="O672" s="180"/>
      <c r="P672" s="123"/>
      <c r="Q672" s="130"/>
      <c r="R672" s="180"/>
      <c r="S672" s="180"/>
      <c r="T672" s="180"/>
      <c r="U672" s="180"/>
      <c r="V672" s="123"/>
      <c r="W672" s="123"/>
      <c r="X672" s="123"/>
      <c r="Y672" s="180"/>
      <c r="Z672" s="180"/>
    </row>
    <row r="673" spans="1:26" ht="45.75" customHeight="1">
      <c r="A673" s="180"/>
      <c r="B673" s="180"/>
      <c r="C673" s="180"/>
      <c r="D673" s="180"/>
      <c r="E673" s="180"/>
      <c r="F673" s="225"/>
      <c r="G673" s="180"/>
      <c r="H673" s="180"/>
      <c r="I673" s="180"/>
      <c r="J673" s="211"/>
      <c r="K673" s="180"/>
      <c r="L673" s="212"/>
      <c r="M673" s="180"/>
      <c r="N673" s="180"/>
      <c r="O673" s="180"/>
      <c r="P673" s="123"/>
      <c r="Q673" s="130"/>
      <c r="R673" s="180"/>
      <c r="S673" s="180"/>
      <c r="T673" s="180"/>
      <c r="U673" s="180"/>
      <c r="V673" s="123"/>
      <c r="W673" s="123"/>
      <c r="X673" s="123"/>
      <c r="Y673" s="180"/>
      <c r="Z673" s="180"/>
    </row>
    <row r="674" spans="1:26" ht="45.75" customHeight="1">
      <c r="A674" s="180"/>
      <c r="B674" s="180"/>
      <c r="C674" s="180"/>
      <c r="D674" s="180"/>
      <c r="E674" s="180"/>
      <c r="F674" s="225"/>
      <c r="G674" s="180"/>
      <c r="H674" s="180"/>
      <c r="I674" s="180"/>
      <c r="J674" s="211"/>
      <c r="K674" s="180"/>
      <c r="L674" s="212"/>
      <c r="M674" s="180"/>
      <c r="N674" s="180"/>
      <c r="O674" s="180"/>
      <c r="P674" s="123"/>
      <c r="Q674" s="130"/>
      <c r="R674" s="180"/>
      <c r="S674" s="180"/>
      <c r="T674" s="180"/>
      <c r="U674" s="180"/>
      <c r="V674" s="123"/>
      <c r="W674" s="123"/>
      <c r="X674" s="123"/>
      <c r="Y674" s="180"/>
      <c r="Z674" s="180"/>
    </row>
    <row r="675" spans="1:26" ht="45.75" customHeight="1">
      <c r="A675" s="180"/>
      <c r="B675" s="180"/>
      <c r="C675" s="180"/>
      <c r="D675" s="180"/>
      <c r="E675" s="180"/>
      <c r="F675" s="225"/>
      <c r="G675" s="180"/>
      <c r="H675" s="180"/>
      <c r="I675" s="180"/>
      <c r="J675" s="211"/>
      <c r="K675" s="180"/>
      <c r="L675" s="212"/>
      <c r="M675" s="180"/>
      <c r="N675" s="180"/>
      <c r="O675" s="180"/>
      <c r="P675" s="123"/>
      <c r="Q675" s="130"/>
      <c r="R675" s="180"/>
      <c r="S675" s="180"/>
      <c r="T675" s="180"/>
      <c r="U675" s="180"/>
      <c r="V675" s="123"/>
      <c r="W675" s="123"/>
      <c r="X675" s="123"/>
      <c r="Y675" s="180"/>
      <c r="Z675" s="180"/>
    </row>
    <row r="676" spans="1:26" ht="45.75" customHeight="1">
      <c r="A676" s="180"/>
      <c r="B676" s="180"/>
      <c r="C676" s="180"/>
      <c r="D676" s="180"/>
      <c r="E676" s="180"/>
      <c r="F676" s="225"/>
      <c r="G676" s="180"/>
      <c r="H676" s="180"/>
      <c r="I676" s="180"/>
      <c r="J676" s="211"/>
      <c r="K676" s="180"/>
      <c r="L676" s="212"/>
      <c r="M676" s="180"/>
      <c r="N676" s="180"/>
      <c r="O676" s="180"/>
      <c r="P676" s="123"/>
      <c r="Q676" s="130"/>
      <c r="R676" s="180"/>
      <c r="S676" s="180"/>
      <c r="T676" s="180"/>
      <c r="U676" s="180"/>
      <c r="V676" s="123"/>
      <c r="W676" s="123"/>
      <c r="X676" s="123"/>
      <c r="Y676" s="180"/>
      <c r="Z676" s="180"/>
    </row>
    <row r="677" spans="1:26" ht="45.75" customHeight="1">
      <c r="A677" s="180"/>
      <c r="B677" s="180"/>
      <c r="C677" s="180"/>
      <c r="D677" s="180"/>
      <c r="E677" s="180"/>
      <c r="F677" s="225"/>
      <c r="G677" s="180"/>
      <c r="H677" s="180"/>
      <c r="I677" s="180"/>
      <c r="J677" s="211"/>
      <c r="K677" s="180"/>
      <c r="L677" s="212"/>
      <c r="M677" s="180"/>
      <c r="N677" s="180"/>
      <c r="O677" s="180"/>
      <c r="P677" s="123"/>
      <c r="Q677" s="130"/>
      <c r="R677" s="180"/>
      <c r="S677" s="180"/>
      <c r="T677" s="180"/>
      <c r="U677" s="180"/>
      <c r="V677" s="123"/>
      <c r="W677" s="123"/>
      <c r="X677" s="123"/>
      <c r="Y677" s="180"/>
      <c r="Z677" s="180"/>
    </row>
    <row r="678" spans="1:26" ht="45.75" customHeight="1">
      <c r="A678" s="180"/>
      <c r="B678" s="180"/>
      <c r="C678" s="180"/>
      <c r="D678" s="180"/>
      <c r="E678" s="180"/>
      <c r="F678" s="225"/>
      <c r="G678" s="180"/>
      <c r="H678" s="180"/>
      <c r="I678" s="180"/>
      <c r="J678" s="211"/>
      <c r="K678" s="180"/>
      <c r="L678" s="212"/>
      <c r="M678" s="180"/>
      <c r="N678" s="180"/>
      <c r="O678" s="180"/>
      <c r="P678" s="123"/>
      <c r="Q678" s="130"/>
      <c r="R678" s="180"/>
      <c r="S678" s="180"/>
      <c r="T678" s="180"/>
      <c r="U678" s="180"/>
      <c r="V678" s="123"/>
      <c r="W678" s="123"/>
      <c r="X678" s="123"/>
      <c r="Y678" s="180"/>
      <c r="Z678" s="180"/>
    </row>
    <row r="679" spans="1:26" ht="45.75" customHeight="1">
      <c r="A679" s="180"/>
      <c r="B679" s="180"/>
      <c r="C679" s="180"/>
      <c r="D679" s="180"/>
      <c r="E679" s="180"/>
      <c r="F679" s="225"/>
      <c r="G679" s="180"/>
      <c r="H679" s="180"/>
      <c r="I679" s="180"/>
      <c r="J679" s="211"/>
      <c r="K679" s="180"/>
      <c r="L679" s="212"/>
      <c r="M679" s="180"/>
      <c r="N679" s="180"/>
      <c r="O679" s="180"/>
      <c r="P679" s="123"/>
      <c r="Q679" s="130"/>
      <c r="R679" s="180"/>
      <c r="S679" s="180"/>
      <c r="T679" s="180"/>
      <c r="U679" s="180"/>
      <c r="V679" s="123"/>
      <c r="W679" s="123"/>
      <c r="X679" s="123"/>
      <c r="Y679" s="180"/>
      <c r="Z679" s="180"/>
    </row>
    <row r="680" spans="1:26" ht="45.75" customHeight="1">
      <c r="A680" s="180"/>
      <c r="B680" s="180"/>
      <c r="C680" s="180"/>
      <c r="D680" s="180"/>
      <c r="E680" s="180"/>
      <c r="F680" s="225"/>
      <c r="G680" s="180"/>
      <c r="H680" s="180"/>
      <c r="I680" s="180"/>
      <c r="J680" s="211"/>
      <c r="K680" s="180"/>
      <c r="L680" s="212"/>
      <c r="M680" s="180"/>
      <c r="N680" s="180"/>
      <c r="O680" s="180"/>
      <c r="P680" s="123"/>
      <c r="Q680" s="130"/>
      <c r="R680" s="180"/>
      <c r="S680" s="180"/>
      <c r="T680" s="180"/>
      <c r="U680" s="180"/>
      <c r="V680" s="123"/>
      <c r="W680" s="123"/>
      <c r="X680" s="123"/>
      <c r="Y680" s="180"/>
      <c r="Z680" s="180"/>
    </row>
    <row r="681" spans="1:26" ht="45.75" customHeight="1">
      <c r="A681" s="180"/>
      <c r="B681" s="180"/>
      <c r="C681" s="180"/>
      <c r="D681" s="180"/>
      <c r="E681" s="180"/>
      <c r="F681" s="225"/>
      <c r="G681" s="180"/>
      <c r="H681" s="180"/>
      <c r="I681" s="180"/>
      <c r="J681" s="211"/>
      <c r="K681" s="180"/>
      <c r="L681" s="212"/>
      <c r="M681" s="180"/>
      <c r="N681" s="180"/>
      <c r="O681" s="180"/>
      <c r="P681" s="123"/>
      <c r="Q681" s="130"/>
      <c r="R681" s="180"/>
      <c r="S681" s="180"/>
      <c r="T681" s="180"/>
      <c r="U681" s="180"/>
      <c r="V681" s="123"/>
      <c r="W681" s="123"/>
      <c r="X681" s="123"/>
      <c r="Y681" s="180"/>
      <c r="Z681" s="180"/>
    </row>
    <row r="682" spans="1:26" ht="45.75" customHeight="1">
      <c r="A682" s="180"/>
      <c r="B682" s="180"/>
      <c r="C682" s="180"/>
      <c r="D682" s="180"/>
      <c r="E682" s="180"/>
      <c r="F682" s="225"/>
      <c r="G682" s="180"/>
      <c r="H682" s="180"/>
      <c r="I682" s="180"/>
      <c r="J682" s="211"/>
      <c r="K682" s="180"/>
      <c r="L682" s="212"/>
      <c r="M682" s="180"/>
      <c r="N682" s="180"/>
      <c r="O682" s="180"/>
      <c r="P682" s="123"/>
      <c r="Q682" s="130"/>
      <c r="R682" s="180"/>
      <c r="S682" s="180"/>
      <c r="T682" s="180"/>
      <c r="U682" s="180"/>
      <c r="V682" s="123"/>
      <c r="W682" s="123"/>
      <c r="X682" s="123"/>
      <c r="Y682" s="180"/>
      <c r="Z682" s="180"/>
    </row>
    <row r="683" spans="1:26" ht="45.75" customHeight="1">
      <c r="A683" s="180"/>
      <c r="B683" s="180"/>
      <c r="C683" s="180"/>
      <c r="D683" s="180"/>
      <c r="E683" s="180"/>
      <c r="F683" s="225"/>
      <c r="G683" s="180"/>
      <c r="H683" s="180"/>
      <c r="I683" s="180"/>
      <c r="J683" s="211"/>
      <c r="K683" s="180"/>
      <c r="L683" s="212"/>
      <c r="M683" s="180"/>
      <c r="N683" s="180"/>
      <c r="O683" s="180"/>
      <c r="P683" s="123"/>
      <c r="Q683" s="130"/>
      <c r="R683" s="180"/>
      <c r="S683" s="180"/>
      <c r="T683" s="180"/>
      <c r="U683" s="180"/>
      <c r="V683" s="123"/>
      <c r="W683" s="123"/>
      <c r="X683" s="123"/>
      <c r="Y683" s="180"/>
      <c r="Z683" s="180"/>
    </row>
    <row r="684" spans="1:26" ht="45.75" customHeight="1">
      <c r="A684" s="180"/>
      <c r="B684" s="180"/>
      <c r="C684" s="180"/>
      <c r="D684" s="180"/>
      <c r="E684" s="180"/>
      <c r="F684" s="225"/>
      <c r="G684" s="180"/>
      <c r="H684" s="180"/>
      <c r="I684" s="180"/>
      <c r="J684" s="211"/>
      <c r="K684" s="180"/>
      <c r="L684" s="212"/>
      <c r="M684" s="180"/>
      <c r="N684" s="180"/>
      <c r="O684" s="180"/>
      <c r="P684" s="123"/>
      <c r="Q684" s="130"/>
      <c r="R684" s="180"/>
      <c r="S684" s="180"/>
      <c r="T684" s="180"/>
      <c r="U684" s="180"/>
      <c r="V684" s="123"/>
      <c r="W684" s="123"/>
      <c r="X684" s="123"/>
      <c r="Y684" s="180"/>
      <c r="Z684" s="180"/>
    </row>
    <row r="685" spans="1:26" ht="45.75" customHeight="1">
      <c r="A685" s="180"/>
      <c r="B685" s="180"/>
      <c r="C685" s="180"/>
      <c r="D685" s="180"/>
      <c r="E685" s="180"/>
      <c r="F685" s="225"/>
      <c r="G685" s="180"/>
      <c r="H685" s="180"/>
      <c r="I685" s="180"/>
      <c r="J685" s="211"/>
      <c r="K685" s="180"/>
      <c r="L685" s="212"/>
      <c r="M685" s="180"/>
      <c r="N685" s="180"/>
      <c r="O685" s="180"/>
      <c r="P685" s="123"/>
      <c r="Q685" s="130"/>
      <c r="R685" s="180"/>
      <c r="S685" s="180"/>
      <c r="T685" s="180"/>
      <c r="U685" s="180"/>
      <c r="V685" s="123"/>
      <c r="W685" s="123"/>
      <c r="X685" s="123"/>
      <c r="Y685" s="180"/>
      <c r="Z685" s="180"/>
    </row>
    <row r="686" spans="1:26" ht="45.75" customHeight="1">
      <c r="A686" s="180"/>
      <c r="B686" s="180"/>
      <c r="C686" s="180"/>
      <c r="D686" s="180"/>
      <c r="E686" s="180"/>
      <c r="F686" s="225"/>
      <c r="G686" s="180"/>
      <c r="H686" s="180"/>
      <c r="I686" s="180"/>
      <c r="J686" s="211"/>
      <c r="K686" s="180"/>
      <c r="L686" s="212"/>
      <c r="M686" s="180"/>
      <c r="N686" s="180"/>
      <c r="O686" s="180"/>
      <c r="P686" s="123"/>
      <c r="Q686" s="130"/>
      <c r="R686" s="180"/>
      <c r="S686" s="180"/>
      <c r="T686" s="180"/>
      <c r="U686" s="180"/>
      <c r="V686" s="123"/>
      <c r="W686" s="123"/>
      <c r="X686" s="123"/>
      <c r="Y686" s="180"/>
      <c r="Z686" s="180"/>
    </row>
    <row r="687" spans="1:26" ht="45.75" customHeight="1">
      <c r="A687" s="180"/>
      <c r="B687" s="180"/>
      <c r="C687" s="180"/>
      <c r="D687" s="180"/>
      <c r="E687" s="180"/>
      <c r="F687" s="225"/>
      <c r="G687" s="180"/>
      <c r="H687" s="180"/>
      <c r="I687" s="180"/>
      <c r="J687" s="211"/>
      <c r="K687" s="180"/>
      <c r="L687" s="212"/>
      <c r="M687" s="180"/>
      <c r="N687" s="180"/>
      <c r="O687" s="180"/>
      <c r="P687" s="123"/>
      <c r="Q687" s="130"/>
      <c r="R687" s="180"/>
      <c r="S687" s="180"/>
      <c r="T687" s="180"/>
      <c r="U687" s="180"/>
      <c r="V687" s="123"/>
      <c r="W687" s="123"/>
      <c r="X687" s="123"/>
      <c r="Y687" s="180"/>
      <c r="Z687" s="180"/>
    </row>
    <row r="688" spans="1:26" ht="45.75" customHeight="1">
      <c r="A688" s="180"/>
      <c r="B688" s="180"/>
      <c r="C688" s="180"/>
      <c r="D688" s="180"/>
      <c r="E688" s="180"/>
      <c r="F688" s="225"/>
      <c r="G688" s="180"/>
      <c r="H688" s="180"/>
      <c r="I688" s="180"/>
      <c r="J688" s="211"/>
      <c r="K688" s="180"/>
      <c r="L688" s="212"/>
      <c r="M688" s="180"/>
      <c r="N688" s="180"/>
      <c r="O688" s="180"/>
      <c r="P688" s="123"/>
      <c r="Q688" s="130"/>
      <c r="R688" s="180"/>
      <c r="S688" s="180"/>
      <c r="T688" s="180"/>
      <c r="U688" s="180"/>
      <c r="V688" s="123"/>
      <c r="W688" s="123"/>
      <c r="X688" s="123"/>
      <c r="Y688" s="180"/>
      <c r="Z688" s="180"/>
    </row>
    <row r="689" spans="1:26" ht="45.75" customHeight="1">
      <c r="A689" s="180"/>
      <c r="B689" s="180"/>
      <c r="C689" s="180"/>
      <c r="D689" s="180"/>
      <c r="E689" s="180"/>
      <c r="F689" s="225"/>
      <c r="G689" s="180"/>
      <c r="H689" s="180"/>
      <c r="I689" s="180"/>
      <c r="J689" s="211"/>
      <c r="K689" s="180"/>
      <c r="L689" s="212"/>
      <c r="M689" s="180"/>
      <c r="N689" s="180"/>
      <c r="O689" s="180"/>
      <c r="P689" s="123"/>
      <c r="Q689" s="130"/>
      <c r="R689" s="180"/>
      <c r="S689" s="180"/>
      <c r="T689" s="180"/>
      <c r="U689" s="180"/>
      <c r="V689" s="123"/>
      <c r="W689" s="123"/>
      <c r="X689" s="123"/>
      <c r="Y689" s="180"/>
      <c r="Z689" s="180"/>
    </row>
    <row r="690" spans="1:26" ht="45.75" customHeight="1">
      <c r="A690" s="180"/>
      <c r="B690" s="180"/>
      <c r="C690" s="180"/>
      <c r="D690" s="180"/>
      <c r="E690" s="180"/>
      <c r="F690" s="225"/>
      <c r="G690" s="180"/>
      <c r="H690" s="180"/>
      <c r="I690" s="180"/>
      <c r="J690" s="211"/>
      <c r="K690" s="180"/>
      <c r="L690" s="212"/>
      <c r="M690" s="180"/>
      <c r="N690" s="180"/>
      <c r="O690" s="180"/>
      <c r="P690" s="123"/>
      <c r="Q690" s="130"/>
      <c r="R690" s="180"/>
      <c r="S690" s="180"/>
      <c r="T690" s="180"/>
      <c r="U690" s="180"/>
      <c r="V690" s="123"/>
      <c r="W690" s="123"/>
      <c r="X690" s="123"/>
      <c r="Y690" s="180"/>
      <c r="Z690" s="180"/>
    </row>
    <row r="691" spans="1:26" ht="45.75" customHeight="1">
      <c r="A691" s="180"/>
      <c r="B691" s="180"/>
      <c r="C691" s="180"/>
      <c r="D691" s="180"/>
      <c r="E691" s="180"/>
      <c r="F691" s="225"/>
      <c r="G691" s="180"/>
      <c r="H691" s="180"/>
      <c r="I691" s="180"/>
      <c r="J691" s="211"/>
      <c r="K691" s="180"/>
      <c r="L691" s="212"/>
      <c r="M691" s="180"/>
      <c r="N691" s="180"/>
      <c r="O691" s="180"/>
      <c r="P691" s="123"/>
      <c r="Q691" s="130"/>
      <c r="R691" s="180"/>
      <c r="S691" s="180"/>
      <c r="T691" s="180"/>
      <c r="U691" s="180"/>
      <c r="V691" s="123"/>
      <c r="W691" s="123"/>
      <c r="X691" s="123"/>
      <c r="Y691" s="180"/>
      <c r="Z691" s="180"/>
    </row>
    <row r="692" spans="1:26" ht="45.75" customHeight="1">
      <c r="A692" s="180"/>
      <c r="B692" s="180"/>
      <c r="C692" s="180"/>
      <c r="D692" s="180"/>
      <c r="E692" s="180"/>
      <c r="F692" s="225"/>
      <c r="G692" s="180"/>
      <c r="H692" s="180"/>
      <c r="I692" s="180"/>
      <c r="J692" s="211"/>
      <c r="K692" s="180"/>
      <c r="L692" s="212"/>
      <c r="M692" s="180"/>
      <c r="N692" s="180"/>
      <c r="O692" s="180"/>
      <c r="P692" s="123"/>
      <c r="Q692" s="130"/>
      <c r="R692" s="180"/>
      <c r="S692" s="180"/>
      <c r="T692" s="180"/>
      <c r="U692" s="180"/>
      <c r="V692" s="123"/>
      <c r="W692" s="123"/>
      <c r="X692" s="123"/>
      <c r="Y692" s="180"/>
      <c r="Z692" s="180"/>
    </row>
    <row r="693" spans="1:26" ht="45.75" customHeight="1">
      <c r="A693" s="180"/>
      <c r="B693" s="180"/>
      <c r="C693" s="180"/>
      <c r="D693" s="180"/>
      <c r="E693" s="180"/>
      <c r="F693" s="225"/>
      <c r="G693" s="180"/>
      <c r="H693" s="180"/>
      <c r="I693" s="180"/>
      <c r="J693" s="211"/>
      <c r="K693" s="180"/>
      <c r="L693" s="212"/>
      <c r="M693" s="180"/>
      <c r="N693" s="180"/>
      <c r="O693" s="180"/>
      <c r="P693" s="123"/>
      <c r="Q693" s="130"/>
      <c r="R693" s="180"/>
      <c r="S693" s="180"/>
      <c r="T693" s="180"/>
      <c r="U693" s="180"/>
      <c r="V693" s="123"/>
      <c r="W693" s="123"/>
      <c r="X693" s="123"/>
      <c r="Y693" s="180"/>
      <c r="Z693" s="180"/>
    </row>
    <row r="694" spans="1:26" ht="45.75" customHeight="1">
      <c r="A694" s="180"/>
      <c r="B694" s="180"/>
      <c r="C694" s="180"/>
      <c r="D694" s="180"/>
      <c r="E694" s="180"/>
      <c r="F694" s="225"/>
      <c r="G694" s="180"/>
      <c r="H694" s="180"/>
      <c r="I694" s="180"/>
      <c r="J694" s="211"/>
      <c r="K694" s="180"/>
      <c r="L694" s="212"/>
      <c r="M694" s="180"/>
      <c r="N694" s="180"/>
      <c r="O694" s="180"/>
      <c r="P694" s="123"/>
      <c r="Q694" s="130"/>
      <c r="R694" s="180"/>
      <c r="S694" s="180"/>
      <c r="T694" s="180"/>
      <c r="U694" s="180"/>
      <c r="V694" s="123"/>
      <c r="W694" s="123"/>
      <c r="X694" s="123"/>
      <c r="Y694" s="180"/>
      <c r="Z694" s="180"/>
    </row>
    <row r="695" spans="1:26" ht="45.75" customHeight="1">
      <c r="A695" s="180"/>
      <c r="B695" s="180"/>
      <c r="C695" s="180"/>
      <c r="D695" s="180"/>
      <c r="E695" s="180"/>
      <c r="F695" s="225"/>
      <c r="G695" s="180"/>
      <c r="H695" s="180"/>
      <c r="I695" s="180"/>
      <c r="J695" s="211"/>
      <c r="K695" s="180"/>
      <c r="L695" s="212"/>
      <c r="M695" s="180"/>
      <c r="N695" s="180"/>
      <c r="O695" s="180"/>
      <c r="P695" s="123"/>
      <c r="Q695" s="130"/>
      <c r="R695" s="180"/>
      <c r="S695" s="180"/>
      <c r="T695" s="180"/>
      <c r="U695" s="180"/>
      <c r="V695" s="123"/>
      <c r="W695" s="123"/>
      <c r="X695" s="123"/>
      <c r="Y695" s="180"/>
      <c r="Z695" s="180"/>
    </row>
    <row r="696" spans="1:26" ht="45.75" customHeight="1">
      <c r="A696" s="180"/>
      <c r="B696" s="180"/>
      <c r="C696" s="180"/>
      <c r="D696" s="180"/>
      <c r="E696" s="180"/>
      <c r="F696" s="225"/>
      <c r="G696" s="180"/>
      <c r="H696" s="180"/>
      <c r="I696" s="180"/>
      <c r="J696" s="211"/>
      <c r="K696" s="180"/>
      <c r="L696" s="212"/>
      <c r="M696" s="180"/>
      <c r="N696" s="180"/>
      <c r="O696" s="180"/>
      <c r="P696" s="123"/>
      <c r="Q696" s="130"/>
      <c r="R696" s="180"/>
      <c r="S696" s="180"/>
      <c r="T696" s="180"/>
      <c r="U696" s="180"/>
      <c r="V696" s="123"/>
      <c r="W696" s="123"/>
      <c r="X696" s="123"/>
      <c r="Y696" s="180"/>
      <c r="Z696" s="180"/>
    </row>
    <row r="697" spans="1:26" ht="45.75" customHeight="1">
      <c r="A697" s="180"/>
      <c r="B697" s="180"/>
      <c r="C697" s="180"/>
      <c r="D697" s="180"/>
      <c r="E697" s="180"/>
      <c r="F697" s="225"/>
      <c r="G697" s="180"/>
      <c r="H697" s="180"/>
      <c r="I697" s="180"/>
      <c r="J697" s="211"/>
      <c r="K697" s="180"/>
      <c r="L697" s="212"/>
      <c r="M697" s="180"/>
      <c r="N697" s="180"/>
      <c r="O697" s="180"/>
      <c r="P697" s="123"/>
      <c r="Q697" s="130"/>
      <c r="R697" s="180"/>
      <c r="S697" s="180"/>
      <c r="T697" s="180"/>
      <c r="U697" s="180"/>
      <c r="V697" s="123"/>
      <c r="W697" s="123"/>
      <c r="X697" s="123"/>
      <c r="Y697" s="180"/>
      <c r="Z697" s="180"/>
    </row>
    <row r="698" spans="1:26" ht="45.75" customHeight="1">
      <c r="A698" s="180"/>
      <c r="B698" s="180"/>
      <c r="C698" s="180"/>
      <c r="D698" s="180"/>
      <c r="E698" s="180"/>
      <c r="F698" s="225"/>
      <c r="G698" s="180"/>
      <c r="H698" s="180"/>
      <c r="I698" s="180"/>
      <c r="J698" s="211"/>
      <c r="K698" s="180"/>
      <c r="L698" s="212"/>
      <c r="M698" s="180"/>
      <c r="N698" s="180"/>
      <c r="O698" s="180"/>
      <c r="P698" s="123"/>
      <c r="Q698" s="130"/>
      <c r="R698" s="180"/>
      <c r="S698" s="180"/>
      <c r="T698" s="180"/>
      <c r="U698" s="180"/>
      <c r="V698" s="123"/>
      <c r="W698" s="123"/>
      <c r="X698" s="123"/>
      <c r="Y698" s="180"/>
      <c r="Z698" s="180"/>
    </row>
    <row r="699" spans="1:26" ht="45.75" customHeight="1">
      <c r="A699" s="180"/>
      <c r="B699" s="180"/>
      <c r="C699" s="180"/>
      <c r="D699" s="180"/>
      <c r="E699" s="180"/>
      <c r="F699" s="225"/>
      <c r="G699" s="180"/>
      <c r="H699" s="180"/>
      <c r="I699" s="180"/>
      <c r="J699" s="211"/>
      <c r="K699" s="180"/>
      <c r="L699" s="212"/>
      <c r="M699" s="180"/>
      <c r="N699" s="180"/>
      <c r="O699" s="180"/>
      <c r="P699" s="123"/>
      <c r="Q699" s="130"/>
      <c r="R699" s="180"/>
      <c r="S699" s="180"/>
      <c r="T699" s="180"/>
      <c r="U699" s="180"/>
      <c r="V699" s="123"/>
      <c r="W699" s="123"/>
      <c r="X699" s="123"/>
      <c r="Y699" s="180"/>
      <c r="Z699" s="180"/>
    </row>
    <row r="700" spans="1:26" ht="45.75" customHeight="1">
      <c r="A700" s="180"/>
      <c r="B700" s="180"/>
      <c r="C700" s="180"/>
      <c r="D700" s="180"/>
      <c r="E700" s="180"/>
      <c r="F700" s="225"/>
      <c r="G700" s="180"/>
      <c r="H700" s="180"/>
      <c r="I700" s="180"/>
      <c r="J700" s="211"/>
      <c r="K700" s="180"/>
      <c r="L700" s="212"/>
      <c r="M700" s="180"/>
      <c r="N700" s="180"/>
      <c r="O700" s="180"/>
      <c r="P700" s="123"/>
      <c r="Q700" s="130"/>
      <c r="R700" s="180"/>
      <c r="S700" s="180"/>
      <c r="T700" s="180"/>
      <c r="U700" s="180"/>
      <c r="V700" s="123"/>
      <c r="W700" s="123"/>
      <c r="X700" s="123"/>
      <c r="Y700" s="180"/>
      <c r="Z700" s="180"/>
    </row>
    <row r="701" spans="1:26" ht="45.75" customHeight="1">
      <c r="A701" s="180"/>
      <c r="B701" s="180"/>
      <c r="C701" s="180"/>
      <c r="D701" s="180"/>
      <c r="E701" s="180"/>
      <c r="F701" s="225"/>
      <c r="G701" s="180"/>
      <c r="H701" s="180"/>
      <c r="I701" s="180"/>
      <c r="J701" s="211"/>
      <c r="K701" s="180"/>
      <c r="L701" s="212"/>
      <c r="M701" s="180"/>
      <c r="N701" s="180"/>
      <c r="O701" s="180"/>
      <c r="P701" s="123"/>
      <c r="Q701" s="130"/>
      <c r="R701" s="180"/>
      <c r="S701" s="180"/>
      <c r="T701" s="180"/>
      <c r="U701" s="180"/>
      <c r="V701" s="123"/>
      <c r="W701" s="123"/>
      <c r="X701" s="123"/>
      <c r="Y701" s="180"/>
      <c r="Z701" s="180"/>
    </row>
    <row r="702" spans="1:26" ht="45.75" customHeight="1">
      <c r="A702" s="180"/>
      <c r="B702" s="180"/>
      <c r="C702" s="180"/>
      <c r="D702" s="180"/>
      <c r="E702" s="180"/>
      <c r="F702" s="225"/>
      <c r="G702" s="180"/>
      <c r="H702" s="180"/>
      <c r="I702" s="180"/>
      <c r="J702" s="211"/>
      <c r="K702" s="180"/>
      <c r="L702" s="212"/>
      <c r="M702" s="180"/>
      <c r="N702" s="180"/>
      <c r="O702" s="180"/>
      <c r="P702" s="123"/>
      <c r="Q702" s="130"/>
      <c r="R702" s="180"/>
      <c r="S702" s="180"/>
      <c r="T702" s="180"/>
      <c r="U702" s="180"/>
      <c r="V702" s="123"/>
      <c r="W702" s="123"/>
      <c r="X702" s="123"/>
      <c r="Y702" s="180"/>
      <c r="Z702" s="180"/>
    </row>
    <row r="703" spans="1:26" ht="45.75" customHeight="1">
      <c r="A703" s="180"/>
      <c r="B703" s="180"/>
      <c r="C703" s="180"/>
      <c r="D703" s="180"/>
      <c r="E703" s="180"/>
      <c r="F703" s="225"/>
      <c r="G703" s="180"/>
      <c r="H703" s="180"/>
      <c r="I703" s="180"/>
      <c r="J703" s="211"/>
      <c r="K703" s="180"/>
      <c r="L703" s="212"/>
      <c r="M703" s="180"/>
      <c r="N703" s="180"/>
      <c r="O703" s="180"/>
      <c r="P703" s="123"/>
      <c r="Q703" s="130"/>
      <c r="R703" s="180"/>
      <c r="S703" s="180"/>
      <c r="T703" s="180"/>
      <c r="U703" s="180"/>
      <c r="V703" s="123"/>
      <c r="W703" s="123"/>
      <c r="X703" s="123"/>
      <c r="Y703" s="180"/>
      <c r="Z703" s="180"/>
    </row>
    <row r="704" spans="1:26" ht="45.75" customHeight="1">
      <c r="A704" s="180"/>
      <c r="B704" s="180"/>
      <c r="C704" s="180"/>
      <c r="D704" s="180"/>
      <c r="E704" s="180"/>
      <c r="F704" s="225"/>
      <c r="G704" s="180"/>
      <c r="H704" s="180"/>
      <c r="I704" s="180"/>
      <c r="J704" s="211"/>
      <c r="K704" s="180"/>
      <c r="L704" s="212"/>
      <c r="M704" s="180"/>
      <c r="N704" s="180"/>
      <c r="O704" s="180"/>
      <c r="P704" s="123"/>
      <c r="Q704" s="130"/>
      <c r="R704" s="180"/>
      <c r="S704" s="180"/>
      <c r="T704" s="180"/>
      <c r="U704" s="180"/>
      <c r="V704" s="123"/>
      <c r="W704" s="123"/>
      <c r="X704" s="123"/>
      <c r="Y704" s="180"/>
      <c r="Z704" s="180"/>
    </row>
    <row r="705" spans="1:26" ht="45.75" customHeight="1">
      <c r="A705" s="180"/>
      <c r="B705" s="180"/>
      <c r="C705" s="180"/>
      <c r="D705" s="180"/>
      <c r="E705" s="180"/>
      <c r="F705" s="225"/>
      <c r="G705" s="180"/>
      <c r="H705" s="180"/>
      <c r="I705" s="180"/>
      <c r="J705" s="211"/>
      <c r="K705" s="180"/>
      <c r="L705" s="212"/>
      <c r="M705" s="180"/>
      <c r="N705" s="180"/>
      <c r="O705" s="180"/>
      <c r="P705" s="123"/>
      <c r="Q705" s="130"/>
      <c r="R705" s="180"/>
      <c r="S705" s="180"/>
      <c r="T705" s="180"/>
      <c r="U705" s="180"/>
      <c r="V705" s="123"/>
      <c r="W705" s="123"/>
      <c r="X705" s="123"/>
      <c r="Y705" s="180"/>
      <c r="Z705" s="180"/>
    </row>
    <row r="706" spans="1:26" ht="45.75" customHeight="1">
      <c r="A706" s="180"/>
      <c r="B706" s="180"/>
      <c r="C706" s="180"/>
      <c r="D706" s="180"/>
      <c r="E706" s="180"/>
      <c r="F706" s="225"/>
      <c r="G706" s="180"/>
      <c r="H706" s="180"/>
      <c r="I706" s="180"/>
      <c r="J706" s="211"/>
      <c r="K706" s="180"/>
      <c r="L706" s="212"/>
      <c r="M706" s="180"/>
      <c r="N706" s="180"/>
      <c r="O706" s="180"/>
      <c r="P706" s="123"/>
      <c r="Q706" s="130"/>
      <c r="R706" s="180"/>
      <c r="S706" s="180"/>
      <c r="T706" s="180"/>
      <c r="U706" s="180"/>
      <c r="V706" s="123"/>
      <c r="W706" s="123"/>
      <c r="X706" s="123"/>
      <c r="Y706" s="180"/>
      <c r="Z706" s="180"/>
    </row>
    <row r="707" spans="1:26" ht="45.75" customHeight="1">
      <c r="A707" s="180"/>
      <c r="B707" s="180"/>
      <c r="C707" s="180"/>
      <c r="D707" s="180"/>
      <c r="E707" s="180"/>
      <c r="F707" s="225"/>
      <c r="G707" s="180"/>
      <c r="H707" s="180"/>
      <c r="I707" s="180"/>
      <c r="J707" s="211"/>
      <c r="K707" s="180"/>
      <c r="L707" s="212"/>
      <c r="M707" s="180"/>
      <c r="N707" s="180"/>
      <c r="O707" s="180"/>
      <c r="P707" s="123"/>
      <c r="Q707" s="130"/>
      <c r="R707" s="180"/>
      <c r="S707" s="180"/>
      <c r="T707" s="180"/>
      <c r="U707" s="180"/>
      <c r="V707" s="123"/>
      <c r="W707" s="123"/>
      <c r="X707" s="123"/>
      <c r="Y707" s="180"/>
      <c r="Z707" s="180"/>
    </row>
    <row r="708" spans="1:26" ht="45.75" customHeight="1">
      <c r="A708" s="180"/>
      <c r="B708" s="180"/>
      <c r="C708" s="180"/>
      <c r="D708" s="180"/>
      <c r="E708" s="180"/>
      <c r="F708" s="225"/>
      <c r="G708" s="180"/>
      <c r="H708" s="180"/>
      <c r="I708" s="180"/>
      <c r="J708" s="211"/>
      <c r="K708" s="180"/>
      <c r="L708" s="212"/>
      <c r="M708" s="180"/>
      <c r="N708" s="180"/>
      <c r="O708" s="180"/>
      <c r="P708" s="123"/>
      <c r="Q708" s="130"/>
      <c r="R708" s="180"/>
      <c r="S708" s="180"/>
      <c r="T708" s="180"/>
      <c r="U708" s="180"/>
      <c r="V708" s="123"/>
      <c r="W708" s="123"/>
      <c r="X708" s="123"/>
      <c r="Y708" s="180"/>
      <c r="Z708" s="180"/>
    </row>
    <row r="709" spans="1:26" ht="45.75" customHeight="1">
      <c r="A709" s="180"/>
      <c r="B709" s="180"/>
      <c r="C709" s="180"/>
      <c r="D709" s="180"/>
      <c r="E709" s="180"/>
      <c r="F709" s="225"/>
      <c r="G709" s="180"/>
      <c r="H709" s="180"/>
      <c r="I709" s="180"/>
      <c r="J709" s="211"/>
      <c r="K709" s="180"/>
      <c r="L709" s="212"/>
      <c r="M709" s="180"/>
      <c r="N709" s="180"/>
      <c r="O709" s="180"/>
      <c r="P709" s="123"/>
      <c r="Q709" s="130"/>
      <c r="R709" s="180"/>
      <c r="S709" s="180"/>
      <c r="T709" s="180"/>
      <c r="U709" s="180"/>
      <c r="V709" s="123"/>
      <c r="W709" s="123"/>
      <c r="X709" s="123"/>
      <c r="Y709" s="180"/>
      <c r="Z709" s="180"/>
    </row>
    <row r="710" spans="1:26" ht="45.75" customHeight="1">
      <c r="A710" s="180"/>
      <c r="B710" s="180"/>
      <c r="C710" s="180"/>
      <c r="D710" s="180"/>
      <c r="E710" s="180"/>
      <c r="F710" s="225"/>
      <c r="G710" s="180"/>
      <c r="H710" s="180"/>
      <c r="I710" s="180"/>
      <c r="J710" s="211"/>
      <c r="K710" s="180"/>
      <c r="L710" s="212"/>
      <c r="M710" s="180"/>
      <c r="N710" s="180"/>
      <c r="O710" s="180"/>
      <c r="P710" s="123"/>
      <c r="Q710" s="130"/>
      <c r="R710" s="180"/>
      <c r="S710" s="180"/>
      <c r="T710" s="180"/>
      <c r="U710" s="180"/>
      <c r="V710" s="123"/>
      <c r="W710" s="123"/>
      <c r="X710" s="123"/>
      <c r="Y710" s="180"/>
      <c r="Z710" s="180"/>
    </row>
    <row r="711" spans="1:26" ht="45.75" customHeight="1">
      <c r="A711" s="180"/>
      <c r="B711" s="180"/>
      <c r="C711" s="180"/>
      <c r="D711" s="180"/>
      <c r="E711" s="180"/>
      <c r="F711" s="225"/>
      <c r="G711" s="180"/>
      <c r="H711" s="180"/>
      <c r="I711" s="180"/>
      <c r="J711" s="211"/>
      <c r="K711" s="180"/>
      <c r="L711" s="212"/>
      <c r="M711" s="180"/>
      <c r="N711" s="180"/>
      <c r="O711" s="180"/>
      <c r="P711" s="123"/>
      <c r="Q711" s="130"/>
      <c r="R711" s="180"/>
      <c r="S711" s="180"/>
      <c r="T711" s="180"/>
      <c r="U711" s="180"/>
      <c r="V711" s="123"/>
      <c r="W711" s="123"/>
      <c r="X711" s="123"/>
      <c r="Y711" s="180"/>
      <c r="Z711" s="180"/>
    </row>
    <row r="712" spans="1:26" ht="45.75" customHeight="1">
      <c r="A712" s="180"/>
      <c r="B712" s="180"/>
      <c r="C712" s="180"/>
      <c r="D712" s="180"/>
      <c r="E712" s="180"/>
      <c r="F712" s="225"/>
      <c r="G712" s="180"/>
      <c r="H712" s="180"/>
      <c r="I712" s="180"/>
      <c r="J712" s="211"/>
      <c r="K712" s="180"/>
      <c r="L712" s="212"/>
      <c r="M712" s="180"/>
      <c r="N712" s="180"/>
      <c r="O712" s="180"/>
      <c r="P712" s="123"/>
      <c r="Q712" s="130"/>
      <c r="R712" s="180"/>
      <c r="S712" s="180"/>
      <c r="T712" s="180"/>
      <c r="U712" s="180"/>
      <c r="V712" s="123"/>
      <c r="W712" s="123"/>
      <c r="X712" s="123"/>
      <c r="Y712" s="180"/>
      <c r="Z712" s="180"/>
    </row>
    <row r="713" spans="1:26" ht="45.75" customHeight="1">
      <c r="A713" s="180"/>
      <c r="B713" s="180"/>
      <c r="C713" s="180"/>
      <c r="D713" s="180"/>
      <c r="E713" s="180"/>
      <c r="F713" s="225"/>
      <c r="G713" s="180"/>
      <c r="H713" s="180"/>
      <c r="I713" s="180"/>
      <c r="J713" s="211"/>
      <c r="K713" s="180"/>
      <c r="L713" s="212"/>
      <c r="M713" s="180"/>
      <c r="N713" s="180"/>
      <c r="O713" s="180"/>
      <c r="P713" s="123"/>
      <c r="Q713" s="130"/>
      <c r="R713" s="180"/>
      <c r="S713" s="180"/>
      <c r="T713" s="180"/>
      <c r="U713" s="180"/>
      <c r="V713" s="123"/>
      <c r="W713" s="123"/>
      <c r="X713" s="123"/>
      <c r="Y713" s="180"/>
      <c r="Z713" s="180"/>
    </row>
    <row r="714" spans="1:26" ht="45.75" customHeight="1">
      <c r="A714" s="180"/>
      <c r="B714" s="180"/>
      <c r="C714" s="180"/>
      <c r="D714" s="180"/>
      <c r="E714" s="180"/>
      <c r="F714" s="225"/>
      <c r="G714" s="180"/>
      <c r="H714" s="180"/>
      <c r="I714" s="180"/>
      <c r="J714" s="211"/>
      <c r="K714" s="180"/>
      <c r="L714" s="212"/>
      <c r="M714" s="180"/>
      <c r="N714" s="180"/>
      <c r="O714" s="180"/>
      <c r="P714" s="123"/>
      <c r="Q714" s="130"/>
      <c r="R714" s="180"/>
      <c r="S714" s="180"/>
      <c r="T714" s="180"/>
      <c r="U714" s="180"/>
      <c r="V714" s="123"/>
      <c r="W714" s="123"/>
      <c r="X714" s="123"/>
      <c r="Y714" s="180"/>
      <c r="Z714" s="180"/>
    </row>
    <row r="715" spans="1:26" ht="45.75" customHeight="1">
      <c r="A715" s="180"/>
      <c r="B715" s="180"/>
      <c r="C715" s="180"/>
      <c r="D715" s="180"/>
      <c r="E715" s="180"/>
      <c r="F715" s="225"/>
      <c r="G715" s="180"/>
      <c r="H715" s="180"/>
      <c r="I715" s="180"/>
      <c r="J715" s="211"/>
      <c r="K715" s="180"/>
      <c r="L715" s="212"/>
      <c r="M715" s="180"/>
      <c r="N715" s="180"/>
      <c r="O715" s="180"/>
      <c r="P715" s="123"/>
      <c r="Q715" s="130"/>
      <c r="R715" s="180"/>
      <c r="S715" s="180"/>
      <c r="T715" s="180"/>
      <c r="U715" s="180"/>
      <c r="V715" s="123"/>
      <c r="W715" s="123"/>
      <c r="X715" s="123"/>
      <c r="Y715" s="180"/>
      <c r="Z715" s="180"/>
    </row>
    <row r="716" spans="1:26" ht="45.75" customHeight="1">
      <c r="A716" s="180"/>
      <c r="B716" s="180"/>
      <c r="C716" s="180"/>
      <c r="D716" s="180"/>
      <c r="E716" s="180"/>
      <c r="F716" s="225"/>
      <c r="G716" s="180"/>
      <c r="H716" s="180"/>
      <c r="I716" s="180"/>
      <c r="J716" s="211"/>
      <c r="K716" s="180"/>
      <c r="L716" s="212"/>
      <c r="M716" s="180"/>
      <c r="N716" s="180"/>
      <c r="O716" s="180"/>
      <c r="P716" s="123"/>
      <c r="Q716" s="130"/>
      <c r="R716" s="180"/>
      <c r="S716" s="180"/>
      <c r="T716" s="180"/>
      <c r="U716" s="180"/>
      <c r="V716" s="123"/>
      <c r="W716" s="123"/>
      <c r="X716" s="123"/>
      <c r="Y716" s="180"/>
      <c r="Z716" s="180"/>
    </row>
    <row r="717" spans="1:26" ht="45.75" customHeight="1">
      <c r="A717" s="180"/>
      <c r="B717" s="180"/>
      <c r="C717" s="180"/>
      <c r="D717" s="180"/>
      <c r="E717" s="180"/>
      <c r="F717" s="225"/>
      <c r="G717" s="180"/>
      <c r="H717" s="180"/>
      <c r="I717" s="180"/>
      <c r="J717" s="211"/>
      <c r="K717" s="180"/>
      <c r="L717" s="212"/>
      <c r="M717" s="180"/>
      <c r="N717" s="180"/>
      <c r="O717" s="180"/>
      <c r="P717" s="123"/>
      <c r="Q717" s="130"/>
      <c r="R717" s="180"/>
      <c r="S717" s="180"/>
      <c r="T717" s="180"/>
      <c r="U717" s="180"/>
      <c r="V717" s="123"/>
      <c r="W717" s="123"/>
      <c r="X717" s="123"/>
      <c r="Y717" s="180"/>
      <c r="Z717" s="180"/>
    </row>
    <row r="718" spans="1:26" ht="45.75" customHeight="1">
      <c r="A718" s="180"/>
      <c r="B718" s="180"/>
      <c r="C718" s="180"/>
      <c r="D718" s="180"/>
      <c r="E718" s="180"/>
      <c r="F718" s="225"/>
      <c r="G718" s="180"/>
      <c r="H718" s="180"/>
      <c r="I718" s="180"/>
      <c r="J718" s="211"/>
      <c r="K718" s="180"/>
      <c r="L718" s="212"/>
      <c r="M718" s="180"/>
      <c r="N718" s="180"/>
      <c r="O718" s="180"/>
      <c r="P718" s="123"/>
      <c r="Q718" s="130"/>
      <c r="R718" s="180"/>
      <c r="S718" s="180"/>
      <c r="T718" s="180"/>
      <c r="U718" s="180"/>
      <c r="V718" s="123"/>
      <c r="W718" s="123"/>
      <c r="X718" s="123"/>
      <c r="Y718" s="180"/>
      <c r="Z718" s="180"/>
    </row>
    <row r="719" spans="1:26" ht="45.75" customHeight="1">
      <c r="A719" s="180"/>
      <c r="B719" s="180"/>
      <c r="C719" s="180"/>
      <c r="D719" s="180"/>
      <c r="E719" s="180"/>
      <c r="F719" s="225"/>
      <c r="G719" s="180"/>
      <c r="H719" s="180"/>
      <c r="I719" s="180"/>
      <c r="J719" s="211"/>
      <c r="K719" s="180"/>
      <c r="L719" s="212"/>
      <c r="M719" s="180"/>
      <c r="N719" s="180"/>
      <c r="O719" s="180"/>
      <c r="P719" s="123"/>
      <c r="Q719" s="130"/>
      <c r="R719" s="180"/>
      <c r="S719" s="180"/>
      <c r="T719" s="180"/>
      <c r="U719" s="180"/>
      <c r="V719" s="123"/>
      <c r="W719" s="123"/>
      <c r="X719" s="123"/>
      <c r="Y719" s="180"/>
      <c r="Z719" s="180"/>
    </row>
    <row r="720" spans="1:26" ht="45.75" customHeight="1">
      <c r="A720" s="180"/>
      <c r="B720" s="180"/>
      <c r="C720" s="180"/>
      <c r="D720" s="180"/>
      <c r="E720" s="180"/>
      <c r="F720" s="225"/>
      <c r="G720" s="180"/>
      <c r="H720" s="180"/>
      <c r="I720" s="180"/>
      <c r="J720" s="211"/>
      <c r="K720" s="180"/>
      <c r="L720" s="212"/>
      <c r="M720" s="180"/>
      <c r="N720" s="180"/>
      <c r="O720" s="180"/>
      <c r="P720" s="123"/>
      <c r="Q720" s="130"/>
      <c r="R720" s="180"/>
      <c r="S720" s="180"/>
      <c r="T720" s="180"/>
      <c r="U720" s="180"/>
      <c r="V720" s="123"/>
      <c r="W720" s="123"/>
      <c r="X720" s="123"/>
      <c r="Y720" s="180"/>
      <c r="Z720" s="180"/>
    </row>
    <row r="721" spans="1:26" ht="45.75" customHeight="1">
      <c r="A721" s="180"/>
      <c r="B721" s="180"/>
      <c r="C721" s="180"/>
      <c r="D721" s="180"/>
      <c r="E721" s="180"/>
      <c r="F721" s="225"/>
      <c r="G721" s="180"/>
      <c r="H721" s="180"/>
      <c r="I721" s="180"/>
      <c r="J721" s="211"/>
      <c r="K721" s="180"/>
      <c r="L721" s="212"/>
      <c r="M721" s="180"/>
      <c r="N721" s="180"/>
      <c r="O721" s="180"/>
      <c r="P721" s="123"/>
      <c r="Q721" s="130"/>
      <c r="R721" s="180"/>
      <c r="S721" s="180"/>
      <c r="T721" s="180"/>
      <c r="U721" s="180"/>
      <c r="V721" s="123"/>
      <c r="W721" s="123"/>
      <c r="X721" s="123"/>
      <c r="Y721" s="180"/>
      <c r="Z721" s="180"/>
    </row>
    <row r="722" spans="1:26" ht="45.75" customHeight="1">
      <c r="A722" s="180"/>
      <c r="B722" s="180"/>
      <c r="C722" s="180"/>
      <c r="D722" s="180"/>
      <c r="E722" s="180"/>
      <c r="F722" s="225"/>
      <c r="G722" s="180"/>
      <c r="H722" s="180"/>
      <c r="I722" s="180"/>
      <c r="J722" s="211"/>
      <c r="K722" s="180"/>
      <c r="L722" s="212"/>
      <c r="M722" s="180"/>
      <c r="N722" s="180"/>
      <c r="O722" s="180"/>
      <c r="P722" s="123"/>
      <c r="Q722" s="130"/>
      <c r="R722" s="180"/>
      <c r="S722" s="180"/>
      <c r="T722" s="180"/>
      <c r="U722" s="180"/>
      <c r="V722" s="123"/>
      <c r="W722" s="123"/>
      <c r="X722" s="123"/>
      <c r="Y722" s="180"/>
      <c r="Z722" s="180"/>
    </row>
    <row r="723" spans="1:26" ht="45.75" customHeight="1">
      <c r="A723" s="180"/>
      <c r="B723" s="180"/>
      <c r="C723" s="180"/>
      <c r="D723" s="180"/>
      <c r="E723" s="180"/>
      <c r="F723" s="225"/>
      <c r="G723" s="180"/>
      <c r="H723" s="180"/>
      <c r="I723" s="180"/>
      <c r="J723" s="211"/>
      <c r="K723" s="180"/>
      <c r="L723" s="212"/>
      <c r="M723" s="180"/>
      <c r="N723" s="180"/>
      <c r="O723" s="180"/>
      <c r="P723" s="123"/>
      <c r="Q723" s="130"/>
      <c r="R723" s="180"/>
      <c r="S723" s="180"/>
      <c r="T723" s="180"/>
      <c r="U723" s="180"/>
      <c r="V723" s="123"/>
      <c r="W723" s="123"/>
      <c r="X723" s="123"/>
      <c r="Y723" s="180"/>
      <c r="Z723" s="180"/>
    </row>
    <row r="724" spans="1:26" ht="45.75" customHeight="1">
      <c r="A724" s="180"/>
      <c r="B724" s="180"/>
      <c r="C724" s="180"/>
      <c r="D724" s="180"/>
      <c r="E724" s="180"/>
      <c r="F724" s="225"/>
      <c r="G724" s="180"/>
      <c r="H724" s="180"/>
      <c r="I724" s="180"/>
      <c r="J724" s="211"/>
      <c r="K724" s="180"/>
      <c r="L724" s="212"/>
      <c r="M724" s="180"/>
      <c r="N724" s="180"/>
      <c r="O724" s="180"/>
      <c r="P724" s="123"/>
      <c r="Q724" s="130"/>
      <c r="R724" s="180"/>
      <c r="S724" s="180"/>
      <c r="T724" s="180"/>
      <c r="U724" s="180"/>
      <c r="V724" s="123"/>
      <c r="W724" s="123"/>
      <c r="X724" s="123"/>
      <c r="Y724" s="180"/>
      <c r="Z724" s="180"/>
    </row>
    <row r="725" spans="1:26" ht="45.75" customHeight="1">
      <c r="A725" s="180"/>
      <c r="B725" s="180"/>
      <c r="C725" s="180"/>
      <c r="D725" s="180"/>
      <c r="E725" s="180"/>
      <c r="F725" s="225"/>
      <c r="G725" s="180"/>
      <c r="H725" s="180"/>
      <c r="I725" s="180"/>
      <c r="J725" s="211"/>
      <c r="K725" s="180"/>
      <c r="L725" s="212"/>
      <c r="M725" s="180"/>
      <c r="N725" s="180"/>
      <c r="O725" s="180"/>
      <c r="P725" s="123"/>
      <c r="Q725" s="130"/>
      <c r="R725" s="180"/>
      <c r="S725" s="180"/>
      <c r="T725" s="180"/>
      <c r="U725" s="180"/>
      <c r="V725" s="123"/>
      <c r="W725" s="123"/>
      <c r="X725" s="123"/>
      <c r="Y725" s="180"/>
      <c r="Z725" s="180"/>
    </row>
    <row r="726" spans="1:26" ht="45.75" customHeight="1">
      <c r="A726" s="180"/>
      <c r="B726" s="180"/>
      <c r="C726" s="180"/>
      <c r="D726" s="180"/>
      <c r="E726" s="180"/>
      <c r="F726" s="225"/>
      <c r="G726" s="180"/>
      <c r="H726" s="180"/>
      <c r="I726" s="180"/>
      <c r="J726" s="211"/>
      <c r="K726" s="180"/>
      <c r="L726" s="212"/>
      <c r="M726" s="180"/>
      <c r="N726" s="180"/>
      <c r="O726" s="180"/>
      <c r="P726" s="123"/>
      <c r="Q726" s="130"/>
      <c r="R726" s="180"/>
      <c r="S726" s="180"/>
      <c r="T726" s="180"/>
      <c r="U726" s="180"/>
      <c r="V726" s="123"/>
      <c r="W726" s="123"/>
      <c r="X726" s="123"/>
      <c r="Y726" s="180"/>
      <c r="Z726" s="180"/>
    </row>
    <row r="727" spans="1:26" ht="45.75" customHeight="1">
      <c r="A727" s="180"/>
      <c r="B727" s="180"/>
      <c r="C727" s="180"/>
      <c r="D727" s="180"/>
      <c r="E727" s="180"/>
      <c r="F727" s="225"/>
      <c r="G727" s="180"/>
      <c r="H727" s="180"/>
      <c r="I727" s="180"/>
      <c r="J727" s="211"/>
      <c r="K727" s="180"/>
      <c r="L727" s="212"/>
      <c r="M727" s="180"/>
      <c r="N727" s="180"/>
      <c r="O727" s="180"/>
      <c r="P727" s="123"/>
      <c r="Q727" s="130"/>
      <c r="R727" s="180"/>
      <c r="S727" s="180"/>
      <c r="T727" s="180"/>
      <c r="U727" s="180"/>
      <c r="V727" s="123"/>
      <c r="W727" s="123"/>
      <c r="X727" s="123"/>
      <c r="Y727" s="180"/>
      <c r="Z727" s="180"/>
    </row>
    <row r="728" spans="1:26" ht="45.75" customHeight="1">
      <c r="A728" s="180"/>
      <c r="B728" s="180"/>
      <c r="C728" s="180"/>
      <c r="D728" s="180"/>
      <c r="E728" s="180"/>
      <c r="F728" s="225"/>
      <c r="G728" s="180"/>
      <c r="H728" s="180"/>
      <c r="I728" s="180"/>
      <c r="J728" s="211"/>
      <c r="K728" s="180"/>
      <c r="L728" s="212"/>
      <c r="M728" s="180"/>
      <c r="N728" s="180"/>
      <c r="O728" s="180"/>
      <c r="P728" s="123"/>
      <c r="Q728" s="130"/>
      <c r="R728" s="180"/>
      <c r="S728" s="180"/>
      <c r="T728" s="180"/>
      <c r="U728" s="180"/>
      <c r="V728" s="123"/>
      <c r="W728" s="123"/>
      <c r="X728" s="123"/>
      <c r="Y728" s="180"/>
      <c r="Z728" s="180"/>
    </row>
    <row r="729" spans="1:26" ht="45.75" customHeight="1">
      <c r="A729" s="180"/>
      <c r="B729" s="180"/>
      <c r="C729" s="180"/>
      <c r="D729" s="180"/>
      <c r="E729" s="180"/>
      <c r="F729" s="225"/>
      <c r="G729" s="180"/>
      <c r="H729" s="180"/>
      <c r="I729" s="180"/>
      <c r="J729" s="211"/>
      <c r="K729" s="180"/>
      <c r="L729" s="212"/>
      <c r="M729" s="180"/>
      <c r="N729" s="180"/>
      <c r="O729" s="180"/>
      <c r="P729" s="123"/>
      <c r="Q729" s="130"/>
      <c r="R729" s="180"/>
      <c r="S729" s="180"/>
      <c r="T729" s="180"/>
      <c r="U729" s="180"/>
      <c r="V729" s="123"/>
      <c r="W729" s="123"/>
      <c r="X729" s="123"/>
      <c r="Y729" s="180"/>
      <c r="Z729" s="180"/>
    </row>
    <row r="730" spans="1:26" ht="45.75" customHeight="1">
      <c r="A730" s="180"/>
      <c r="B730" s="180"/>
      <c r="C730" s="180"/>
      <c r="D730" s="180"/>
      <c r="E730" s="180"/>
      <c r="F730" s="225"/>
      <c r="G730" s="180"/>
      <c r="H730" s="180"/>
      <c r="I730" s="180"/>
      <c r="J730" s="211"/>
      <c r="K730" s="180"/>
      <c r="L730" s="212"/>
      <c r="M730" s="180"/>
      <c r="N730" s="180"/>
      <c r="O730" s="180"/>
      <c r="P730" s="123"/>
      <c r="Q730" s="130"/>
      <c r="R730" s="180"/>
      <c r="S730" s="180"/>
      <c r="T730" s="180"/>
      <c r="U730" s="180"/>
      <c r="V730" s="123"/>
      <c r="W730" s="123"/>
      <c r="X730" s="123"/>
      <c r="Y730" s="180"/>
      <c r="Z730" s="180"/>
    </row>
    <row r="731" spans="1:26" ht="45.75" customHeight="1">
      <c r="A731" s="180"/>
      <c r="B731" s="180"/>
      <c r="C731" s="180"/>
      <c r="D731" s="180"/>
      <c r="E731" s="180"/>
      <c r="F731" s="225"/>
      <c r="G731" s="180"/>
      <c r="H731" s="180"/>
      <c r="I731" s="180"/>
      <c r="J731" s="211"/>
      <c r="K731" s="180"/>
      <c r="L731" s="212"/>
      <c r="M731" s="180"/>
      <c r="N731" s="180"/>
      <c r="O731" s="180"/>
      <c r="P731" s="123"/>
      <c r="Q731" s="130"/>
      <c r="R731" s="180"/>
      <c r="S731" s="180"/>
      <c r="T731" s="180"/>
      <c r="U731" s="180"/>
      <c r="V731" s="123"/>
      <c r="W731" s="123"/>
      <c r="X731" s="123"/>
      <c r="Y731" s="180"/>
      <c r="Z731" s="180"/>
    </row>
    <row r="732" spans="1:26" ht="45.75" customHeight="1">
      <c r="A732" s="180"/>
      <c r="B732" s="180"/>
      <c r="C732" s="180"/>
      <c r="D732" s="180"/>
      <c r="E732" s="180"/>
      <c r="F732" s="225"/>
      <c r="G732" s="180"/>
      <c r="H732" s="180"/>
      <c r="I732" s="180"/>
      <c r="J732" s="211"/>
      <c r="K732" s="180"/>
      <c r="L732" s="212"/>
      <c r="M732" s="180"/>
      <c r="N732" s="180"/>
      <c r="O732" s="180"/>
      <c r="P732" s="123"/>
      <c r="Q732" s="130"/>
      <c r="R732" s="180"/>
      <c r="S732" s="180"/>
      <c r="T732" s="180"/>
      <c r="U732" s="180"/>
      <c r="V732" s="123"/>
      <c r="W732" s="123"/>
      <c r="X732" s="123"/>
      <c r="Y732" s="180"/>
      <c r="Z732" s="180"/>
    </row>
    <row r="733" spans="1:26" ht="45.75" customHeight="1">
      <c r="A733" s="180"/>
      <c r="B733" s="180"/>
      <c r="C733" s="180"/>
      <c r="D733" s="180"/>
      <c r="E733" s="180"/>
      <c r="F733" s="225"/>
      <c r="G733" s="180"/>
      <c r="H733" s="180"/>
      <c r="I733" s="180"/>
      <c r="J733" s="211"/>
      <c r="K733" s="180"/>
      <c r="L733" s="212"/>
      <c r="M733" s="180"/>
      <c r="N733" s="180"/>
      <c r="O733" s="180"/>
      <c r="P733" s="123"/>
      <c r="Q733" s="130"/>
      <c r="R733" s="180"/>
      <c r="S733" s="180"/>
      <c r="T733" s="180"/>
      <c r="U733" s="180"/>
      <c r="V733" s="123"/>
      <c r="W733" s="123"/>
      <c r="X733" s="123"/>
      <c r="Y733" s="180"/>
      <c r="Z733" s="180"/>
    </row>
    <row r="734" spans="1:26" ht="45.75" customHeight="1">
      <c r="A734" s="180"/>
      <c r="B734" s="180"/>
      <c r="C734" s="180"/>
      <c r="D734" s="180"/>
      <c r="E734" s="180"/>
      <c r="F734" s="225"/>
      <c r="G734" s="180"/>
      <c r="H734" s="180"/>
      <c r="I734" s="180"/>
      <c r="J734" s="211"/>
      <c r="K734" s="180"/>
      <c r="L734" s="212"/>
      <c r="M734" s="180"/>
      <c r="N734" s="180"/>
      <c r="O734" s="180"/>
      <c r="P734" s="123"/>
      <c r="Q734" s="130"/>
      <c r="R734" s="180"/>
      <c r="S734" s="180"/>
      <c r="T734" s="180"/>
      <c r="U734" s="180"/>
      <c r="V734" s="123"/>
      <c r="W734" s="123"/>
      <c r="X734" s="123"/>
      <c r="Y734" s="180"/>
      <c r="Z734" s="180"/>
    </row>
    <row r="735" spans="1:26" ht="45.75" customHeight="1">
      <c r="A735" s="180"/>
      <c r="B735" s="180"/>
      <c r="C735" s="180"/>
      <c r="D735" s="180"/>
      <c r="E735" s="180"/>
      <c r="F735" s="225"/>
      <c r="G735" s="180"/>
      <c r="H735" s="180"/>
      <c r="I735" s="180"/>
      <c r="J735" s="211"/>
      <c r="K735" s="180"/>
      <c r="L735" s="212"/>
      <c r="M735" s="180"/>
      <c r="N735" s="180"/>
      <c r="O735" s="180"/>
      <c r="P735" s="123"/>
      <c r="Q735" s="130"/>
      <c r="R735" s="180"/>
      <c r="S735" s="180"/>
      <c r="T735" s="180"/>
      <c r="U735" s="180"/>
      <c r="V735" s="123"/>
      <c r="W735" s="123"/>
      <c r="X735" s="123"/>
      <c r="Y735" s="180"/>
      <c r="Z735" s="180"/>
    </row>
    <row r="736" spans="1:26" ht="45.75" customHeight="1">
      <c r="A736" s="180"/>
      <c r="B736" s="180"/>
      <c r="C736" s="180"/>
      <c r="D736" s="180"/>
      <c r="E736" s="180"/>
      <c r="F736" s="225"/>
      <c r="G736" s="180"/>
      <c r="H736" s="180"/>
      <c r="I736" s="180"/>
      <c r="J736" s="211"/>
      <c r="K736" s="180"/>
      <c r="L736" s="212"/>
      <c r="M736" s="180"/>
      <c r="N736" s="180"/>
      <c r="O736" s="180"/>
      <c r="P736" s="123"/>
      <c r="Q736" s="130"/>
      <c r="R736" s="180"/>
      <c r="S736" s="180"/>
      <c r="T736" s="180"/>
      <c r="U736" s="180"/>
      <c r="V736" s="123"/>
      <c r="W736" s="123"/>
      <c r="X736" s="123"/>
      <c r="Y736" s="180"/>
      <c r="Z736" s="180"/>
    </row>
    <row r="737" spans="1:26" ht="45.75" customHeight="1">
      <c r="A737" s="180"/>
      <c r="B737" s="180"/>
      <c r="C737" s="180"/>
      <c r="D737" s="180"/>
      <c r="E737" s="180"/>
      <c r="F737" s="225"/>
      <c r="G737" s="180"/>
      <c r="H737" s="180"/>
      <c r="I737" s="180"/>
      <c r="J737" s="211"/>
      <c r="K737" s="180"/>
      <c r="L737" s="212"/>
      <c r="M737" s="180"/>
      <c r="N737" s="180"/>
      <c r="O737" s="180"/>
      <c r="P737" s="123"/>
      <c r="Q737" s="130"/>
      <c r="R737" s="180"/>
      <c r="S737" s="180"/>
      <c r="T737" s="180"/>
      <c r="U737" s="180"/>
      <c r="V737" s="123"/>
      <c r="W737" s="123"/>
      <c r="X737" s="123"/>
      <c r="Y737" s="180"/>
      <c r="Z737" s="180"/>
    </row>
    <row r="738" spans="1:26" ht="45.75" customHeight="1">
      <c r="A738" s="180"/>
      <c r="B738" s="180"/>
      <c r="C738" s="180"/>
      <c r="D738" s="180"/>
      <c r="E738" s="180"/>
      <c r="F738" s="225"/>
      <c r="G738" s="180"/>
      <c r="H738" s="180"/>
      <c r="I738" s="180"/>
      <c r="J738" s="211"/>
      <c r="K738" s="180"/>
      <c r="L738" s="212"/>
      <c r="M738" s="180"/>
      <c r="N738" s="180"/>
      <c r="O738" s="180"/>
      <c r="P738" s="123"/>
      <c r="Q738" s="130"/>
      <c r="R738" s="180"/>
      <c r="S738" s="180"/>
      <c r="T738" s="180"/>
      <c r="U738" s="180"/>
      <c r="V738" s="123"/>
      <c r="W738" s="123"/>
      <c r="X738" s="123"/>
      <c r="Y738" s="180"/>
      <c r="Z738" s="180"/>
    </row>
    <row r="739" spans="1:26" ht="45.75" customHeight="1">
      <c r="A739" s="180"/>
      <c r="B739" s="180"/>
      <c r="C739" s="180"/>
      <c r="D739" s="180"/>
      <c r="E739" s="180"/>
      <c r="F739" s="225"/>
      <c r="G739" s="180"/>
      <c r="H739" s="180"/>
      <c r="I739" s="180"/>
      <c r="J739" s="211"/>
      <c r="K739" s="180"/>
      <c r="L739" s="212"/>
      <c r="M739" s="180"/>
      <c r="N739" s="180"/>
      <c r="O739" s="180"/>
      <c r="P739" s="123"/>
      <c r="Q739" s="130"/>
      <c r="R739" s="180"/>
      <c r="S739" s="180"/>
      <c r="T739" s="180"/>
      <c r="U739" s="180"/>
      <c r="V739" s="123"/>
      <c r="W739" s="123"/>
      <c r="X739" s="123"/>
      <c r="Y739" s="180"/>
      <c r="Z739" s="180"/>
    </row>
    <row r="740" spans="1:26" ht="45.75" customHeight="1">
      <c r="A740" s="180"/>
      <c r="B740" s="180"/>
      <c r="C740" s="180"/>
      <c r="D740" s="180"/>
      <c r="E740" s="180"/>
      <c r="F740" s="225"/>
      <c r="G740" s="180"/>
      <c r="H740" s="180"/>
      <c r="I740" s="180"/>
      <c r="J740" s="211"/>
      <c r="K740" s="180"/>
      <c r="L740" s="212"/>
      <c r="M740" s="180"/>
      <c r="N740" s="180"/>
      <c r="O740" s="180"/>
      <c r="P740" s="123"/>
      <c r="Q740" s="130"/>
      <c r="R740" s="180"/>
      <c r="S740" s="180"/>
      <c r="T740" s="180"/>
      <c r="U740" s="180"/>
      <c r="V740" s="123"/>
      <c r="W740" s="123"/>
      <c r="X740" s="123"/>
      <c r="Y740" s="180"/>
      <c r="Z740" s="180"/>
    </row>
    <row r="741" spans="1:26" ht="45.75" customHeight="1">
      <c r="A741" s="180"/>
      <c r="B741" s="180"/>
      <c r="C741" s="180"/>
      <c r="D741" s="180"/>
      <c r="E741" s="180"/>
      <c r="F741" s="225"/>
      <c r="G741" s="180"/>
      <c r="H741" s="180"/>
      <c r="I741" s="180"/>
      <c r="J741" s="211"/>
      <c r="K741" s="180"/>
      <c r="L741" s="212"/>
      <c r="M741" s="180"/>
      <c r="N741" s="180"/>
      <c r="O741" s="180"/>
      <c r="P741" s="123"/>
      <c r="Q741" s="130"/>
      <c r="R741" s="180"/>
      <c r="S741" s="180"/>
      <c r="T741" s="180"/>
      <c r="U741" s="180"/>
      <c r="V741" s="123"/>
      <c r="W741" s="123"/>
      <c r="X741" s="123"/>
      <c r="Y741" s="180"/>
      <c r="Z741" s="180"/>
    </row>
    <row r="742" spans="1:26" ht="45.75" customHeight="1">
      <c r="A742" s="180"/>
      <c r="B742" s="180"/>
      <c r="C742" s="180"/>
      <c r="D742" s="180"/>
      <c r="E742" s="180"/>
      <c r="F742" s="225"/>
      <c r="G742" s="180"/>
      <c r="H742" s="180"/>
      <c r="I742" s="180"/>
      <c r="J742" s="211"/>
      <c r="K742" s="180"/>
      <c r="L742" s="212"/>
      <c r="M742" s="180"/>
      <c r="N742" s="180"/>
      <c r="O742" s="180"/>
      <c r="P742" s="123"/>
      <c r="Q742" s="130"/>
      <c r="R742" s="180"/>
      <c r="S742" s="180"/>
      <c r="T742" s="180"/>
      <c r="U742" s="180"/>
      <c r="V742" s="123"/>
      <c r="W742" s="123"/>
      <c r="X742" s="123"/>
      <c r="Y742" s="180"/>
      <c r="Z742" s="180"/>
    </row>
    <row r="743" spans="1:26" ht="45.75" customHeight="1">
      <c r="A743" s="180"/>
      <c r="B743" s="180"/>
      <c r="C743" s="180"/>
      <c r="D743" s="180"/>
      <c r="E743" s="180"/>
      <c r="F743" s="225"/>
      <c r="G743" s="180"/>
      <c r="H743" s="180"/>
      <c r="I743" s="180"/>
      <c r="J743" s="211"/>
      <c r="K743" s="180"/>
      <c r="L743" s="212"/>
      <c r="M743" s="180"/>
      <c r="N743" s="180"/>
      <c r="O743" s="180"/>
      <c r="P743" s="123"/>
      <c r="Q743" s="130"/>
      <c r="R743" s="180"/>
      <c r="S743" s="180"/>
      <c r="T743" s="180"/>
      <c r="U743" s="180"/>
      <c r="V743" s="123"/>
      <c r="W743" s="123"/>
      <c r="X743" s="123"/>
      <c r="Y743" s="180"/>
      <c r="Z743" s="180"/>
    </row>
    <row r="744" spans="1:26" ht="45.75" customHeight="1">
      <c r="A744" s="180"/>
      <c r="B744" s="180"/>
      <c r="C744" s="180"/>
      <c r="D744" s="180"/>
      <c r="E744" s="180"/>
      <c r="F744" s="225"/>
      <c r="G744" s="180"/>
      <c r="H744" s="180"/>
      <c r="I744" s="180"/>
      <c r="J744" s="211"/>
      <c r="K744" s="180"/>
      <c r="L744" s="212"/>
      <c r="M744" s="180"/>
      <c r="N744" s="180"/>
      <c r="O744" s="180"/>
      <c r="P744" s="123"/>
      <c r="Q744" s="130"/>
      <c r="R744" s="180"/>
      <c r="S744" s="180"/>
      <c r="T744" s="180"/>
      <c r="U744" s="180"/>
      <c r="V744" s="123"/>
      <c r="W744" s="123"/>
      <c r="X744" s="123"/>
      <c r="Y744" s="180"/>
      <c r="Z744" s="180"/>
    </row>
    <row r="745" spans="1:26" ht="45.75" customHeight="1">
      <c r="A745" s="180"/>
      <c r="B745" s="180"/>
      <c r="C745" s="180"/>
      <c r="D745" s="180"/>
      <c r="E745" s="180"/>
      <c r="F745" s="225"/>
      <c r="G745" s="180"/>
      <c r="H745" s="180"/>
      <c r="I745" s="180"/>
      <c r="J745" s="211"/>
      <c r="K745" s="180"/>
      <c r="L745" s="212"/>
      <c r="M745" s="180"/>
      <c r="N745" s="180"/>
      <c r="O745" s="180"/>
      <c r="P745" s="123"/>
      <c r="Q745" s="130"/>
      <c r="R745" s="180"/>
      <c r="S745" s="180"/>
      <c r="T745" s="180"/>
      <c r="U745" s="180"/>
      <c r="V745" s="123"/>
      <c r="W745" s="123"/>
      <c r="X745" s="123"/>
      <c r="Y745" s="180"/>
      <c r="Z745" s="180"/>
    </row>
    <row r="746" spans="1:26" ht="45.75" customHeight="1">
      <c r="A746" s="180"/>
      <c r="B746" s="180"/>
      <c r="C746" s="180"/>
      <c r="D746" s="180"/>
      <c r="E746" s="180"/>
      <c r="F746" s="225"/>
      <c r="G746" s="180"/>
      <c r="H746" s="180"/>
      <c r="I746" s="180"/>
      <c r="J746" s="211"/>
      <c r="K746" s="180"/>
      <c r="L746" s="212"/>
      <c r="M746" s="180"/>
      <c r="N746" s="180"/>
      <c r="O746" s="180"/>
      <c r="P746" s="123"/>
      <c r="Q746" s="130"/>
      <c r="R746" s="180"/>
      <c r="S746" s="180"/>
      <c r="T746" s="180"/>
      <c r="U746" s="180"/>
      <c r="V746" s="123"/>
      <c r="W746" s="123"/>
      <c r="X746" s="123"/>
      <c r="Y746" s="180"/>
      <c r="Z746" s="180"/>
    </row>
    <row r="747" spans="1:26" ht="45.75" customHeight="1">
      <c r="A747" s="180"/>
      <c r="B747" s="180"/>
      <c r="C747" s="180"/>
      <c r="D747" s="180"/>
      <c r="E747" s="180"/>
      <c r="F747" s="225"/>
      <c r="G747" s="180"/>
      <c r="H747" s="180"/>
      <c r="I747" s="180"/>
      <c r="J747" s="211"/>
      <c r="K747" s="180"/>
      <c r="L747" s="212"/>
      <c r="M747" s="180"/>
      <c r="N747" s="180"/>
      <c r="O747" s="180"/>
      <c r="P747" s="123"/>
      <c r="Q747" s="130"/>
      <c r="R747" s="180"/>
      <c r="S747" s="180"/>
      <c r="T747" s="180"/>
      <c r="U747" s="180"/>
      <c r="V747" s="123"/>
      <c r="W747" s="123"/>
      <c r="X747" s="123"/>
      <c r="Y747" s="180"/>
      <c r="Z747" s="180"/>
    </row>
    <row r="748" spans="1:26" ht="45.75" customHeight="1">
      <c r="A748" s="180"/>
      <c r="B748" s="180"/>
      <c r="C748" s="180"/>
      <c r="D748" s="180"/>
      <c r="E748" s="180"/>
      <c r="F748" s="225"/>
      <c r="G748" s="180"/>
      <c r="H748" s="180"/>
      <c r="I748" s="180"/>
      <c r="J748" s="211"/>
      <c r="K748" s="180"/>
      <c r="L748" s="212"/>
      <c r="M748" s="180"/>
      <c r="N748" s="180"/>
      <c r="O748" s="180"/>
      <c r="P748" s="123"/>
      <c r="Q748" s="130"/>
      <c r="R748" s="180"/>
      <c r="S748" s="180"/>
      <c r="T748" s="180"/>
      <c r="U748" s="180"/>
      <c r="V748" s="123"/>
      <c r="W748" s="123"/>
      <c r="X748" s="123"/>
      <c r="Y748" s="180"/>
      <c r="Z748" s="180"/>
    </row>
    <row r="749" spans="1:26" ht="45.75" customHeight="1">
      <c r="A749" s="180"/>
      <c r="B749" s="180"/>
      <c r="C749" s="180"/>
      <c r="D749" s="180"/>
      <c r="E749" s="180"/>
      <c r="F749" s="225"/>
      <c r="G749" s="180"/>
      <c r="H749" s="180"/>
      <c r="I749" s="180"/>
      <c r="J749" s="211"/>
      <c r="K749" s="180"/>
      <c r="L749" s="212"/>
      <c r="M749" s="180"/>
      <c r="N749" s="180"/>
      <c r="O749" s="180"/>
      <c r="P749" s="123"/>
      <c r="Q749" s="130"/>
      <c r="R749" s="180"/>
      <c r="S749" s="180"/>
      <c r="T749" s="180"/>
      <c r="U749" s="180"/>
      <c r="V749" s="123"/>
      <c r="W749" s="123"/>
      <c r="X749" s="123"/>
      <c r="Y749" s="180"/>
      <c r="Z749" s="180"/>
    </row>
    <row r="750" spans="1:26" ht="45.75" customHeight="1">
      <c r="A750" s="180"/>
      <c r="B750" s="180"/>
      <c r="C750" s="180"/>
      <c r="D750" s="180"/>
      <c r="E750" s="180"/>
      <c r="F750" s="225"/>
      <c r="G750" s="180"/>
      <c r="H750" s="180"/>
      <c r="I750" s="180"/>
      <c r="J750" s="211"/>
      <c r="K750" s="180"/>
      <c r="L750" s="212"/>
      <c r="M750" s="180"/>
      <c r="N750" s="180"/>
      <c r="O750" s="180"/>
      <c r="P750" s="123"/>
      <c r="Q750" s="130"/>
      <c r="R750" s="180"/>
      <c r="S750" s="180"/>
      <c r="T750" s="180"/>
      <c r="U750" s="180"/>
      <c r="V750" s="123"/>
      <c r="W750" s="123"/>
      <c r="X750" s="123"/>
      <c r="Y750" s="180"/>
      <c r="Z750" s="180"/>
    </row>
    <row r="751" spans="1:26" ht="45.75" customHeight="1">
      <c r="A751" s="180"/>
      <c r="B751" s="180"/>
      <c r="C751" s="180"/>
      <c r="D751" s="180"/>
      <c r="E751" s="180"/>
      <c r="F751" s="225"/>
      <c r="G751" s="180"/>
      <c r="H751" s="180"/>
      <c r="I751" s="180"/>
      <c r="J751" s="211"/>
      <c r="K751" s="180"/>
      <c r="L751" s="212"/>
      <c r="M751" s="180"/>
      <c r="N751" s="180"/>
      <c r="O751" s="180"/>
      <c r="P751" s="123"/>
      <c r="Q751" s="130"/>
      <c r="R751" s="180"/>
      <c r="S751" s="180"/>
      <c r="T751" s="180"/>
      <c r="U751" s="180"/>
      <c r="V751" s="123"/>
      <c r="W751" s="123"/>
      <c r="X751" s="123"/>
      <c r="Y751" s="180"/>
      <c r="Z751" s="180"/>
    </row>
    <row r="752" spans="1:26" ht="45.75" customHeight="1">
      <c r="A752" s="180"/>
      <c r="B752" s="180"/>
      <c r="C752" s="180"/>
      <c r="D752" s="180"/>
      <c r="E752" s="180"/>
      <c r="F752" s="225"/>
      <c r="G752" s="180"/>
      <c r="H752" s="180"/>
      <c r="I752" s="180"/>
      <c r="J752" s="211"/>
      <c r="K752" s="180"/>
      <c r="L752" s="212"/>
      <c r="M752" s="180"/>
      <c r="N752" s="180"/>
      <c r="O752" s="180"/>
      <c r="P752" s="123"/>
      <c r="Q752" s="130"/>
      <c r="R752" s="180"/>
      <c r="S752" s="180"/>
      <c r="T752" s="180"/>
      <c r="U752" s="180"/>
      <c r="V752" s="123"/>
      <c r="W752" s="123"/>
      <c r="X752" s="123"/>
      <c r="Y752" s="180"/>
      <c r="Z752" s="180"/>
    </row>
    <row r="753" spans="1:26" ht="45.75" customHeight="1">
      <c r="A753" s="180"/>
      <c r="B753" s="180"/>
      <c r="C753" s="180"/>
      <c r="D753" s="180"/>
      <c r="E753" s="180"/>
      <c r="F753" s="225"/>
      <c r="G753" s="180"/>
      <c r="H753" s="180"/>
      <c r="I753" s="180"/>
      <c r="J753" s="211"/>
      <c r="K753" s="180"/>
      <c r="L753" s="212"/>
      <c r="M753" s="180"/>
      <c r="N753" s="180"/>
      <c r="O753" s="180"/>
      <c r="P753" s="123"/>
      <c r="Q753" s="130"/>
      <c r="R753" s="180"/>
      <c r="S753" s="180"/>
      <c r="T753" s="180"/>
      <c r="U753" s="180"/>
      <c r="V753" s="123"/>
      <c r="W753" s="123"/>
      <c r="X753" s="123"/>
      <c r="Y753" s="180"/>
      <c r="Z753" s="180"/>
    </row>
    <row r="754" spans="1:26" ht="45.75" customHeight="1">
      <c r="A754" s="180"/>
      <c r="B754" s="180"/>
      <c r="C754" s="180"/>
      <c r="D754" s="180"/>
      <c r="E754" s="180"/>
      <c r="F754" s="225"/>
      <c r="G754" s="180"/>
      <c r="H754" s="180"/>
      <c r="I754" s="180"/>
      <c r="J754" s="211"/>
      <c r="K754" s="180"/>
      <c r="L754" s="212"/>
      <c r="M754" s="180"/>
      <c r="N754" s="180"/>
      <c r="O754" s="180"/>
      <c r="P754" s="123"/>
      <c r="Q754" s="130"/>
      <c r="R754" s="180"/>
      <c r="S754" s="180"/>
      <c r="T754" s="180"/>
      <c r="U754" s="180"/>
      <c r="V754" s="123"/>
      <c r="W754" s="123"/>
      <c r="X754" s="123"/>
      <c r="Y754" s="180"/>
      <c r="Z754" s="180"/>
    </row>
    <row r="755" spans="1:26" ht="45.75" customHeight="1">
      <c r="A755" s="180"/>
      <c r="B755" s="180"/>
      <c r="C755" s="180"/>
      <c r="D755" s="180"/>
      <c r="E755" s="180"/>
      <c r="F755" s="225"/>
      <c r="G755" s="180"/>
      <c r="H755" s="180"/>
      <c r="I755" s="180"/>
      <c r="J755" s="211"/>
      <c r="K755" s="180"/>
      <c r="L755" s="212"/>
      <c r="M755" s="180"/>
      <c r="N755" s="180"/>
      <c r="O755" s="180"/>
      <c r="P755" s="123"/>
      <c r="Q755" s="130"/>
      <c r="R755" s="180"/>
      <c r="S755" s="180"/>
      <c r="T755" s="180"/>
      <c r="U755" s="180"/>
      <c r="V755" s="123"/>
      <c r="W755" s="123"/>
      <c r="X755" s="123"/>
      <c r="Y755" s="180"/>
      <c r="Z755" s="180"/>
    </row>
    <row r="756" spans="1:26" ht="45.75" customHeight="1">
      <c r="A756" s="180"/>
      <c r="B756" s="180"/>
      <c r="C756" s="180"/>
      <c r="D756" s="180"/>
      <c r="E756" s="180"/>
      <c r="F756" s="225"/>
      <c r="G756" s="180"/>
      <c r="H756" s="180"/>
      <c r="I756" s="180"/>
      <c r="J756" s="211"/>
      <c r="K756" s="180"/>
      <c r="L756" s="212"/>
      <c r="M756" s="180"/>
      <c r="N756" s="180"/>
      <c r="O756" s="180"/>
      <c r="P756" s="123"/>
      <c r="Q756" s="130"/>
      <c r="R756" s="180"/>
      <c r="S756" s="180"/>
      <c r="T756" s="180"/>
      <c r="U756" s="180"/>
      <c r="V756" s="123"/>
      <c r="W756" s="123"/>
      <c r="X756" s="123"/>
      <c r="Y756" s="180"/>
      <c r="Z756" s="180"/>
    </row>
    <row r="757" spans="1:26" ht="45.75" customHeight="1">
      <c r="A757" s="180"/>
      <c r="B757" s="180"/>
      <c r="C757" s="180"/>
      <c r="D757" s="180"/>
      <c r="E757" s="180"/>
      <c r="F757" s="225"/>
      <c r="G757" s="180"/>
      <c r="H757" s="180"/>
      <c r="I757" s="180"/>
      <c r="J757" s="211"/>
      <c r="K757" s="180"/>
      <c r="L757" s="212"/>
      <c r="M757" s="180"/>
      <c r="N757" s="180"/>
      <c r="O757" s="180"/>
      <c r="P757" s="123"/>
      <c r="Q757" s="130"/>
      <c r="R757" s="180"/>
      <c r="S757" s="180"/>
      <c r="T757" s="180"/>
      <c r="U757" s="180"/>
      <c r="V757" s="123"/>
      <c r="W757" s="123"/>
      <c r="X757" s="123"/>
      <c r="Y757" s="180"/>
      <c r="Z757" s="180"/>
    </row>
    <row r="758" spans="1:26" ht="45.75" customHeight="1">
      <c r="A758" s="180"/>
      <c r="B758" s="180"/>
      <c r="C758" s="180"/>
      <c r="D758" s="180"/>
      <c r="E758" s="180"/>
      <c r="F758" s="225"/>
      <c r="G758" s="180"/>
      <c r="H758" s="180"/>
      <c r="I758" s="180"/>
      <c r="J758" s="211"/>
      <c r="K758" s="180"/>
      <c r="L758" s="212"/>
      <c r="M758" s="180"/>
      <c r="N758" s="180"/>
      <c r="O758" s="180"/>
      <c r="P758" s="123"/>
      <c r="Q758" s="130"/>
      <c r="R758" s="180"/>
      <c r="S758" s="180"/>
      <c r="T758" s="180"/>
      <c r="U758" s="180"/>
      <c r="V758" s="123"/>
      <c r="W758" s="123"/>
      <c r="X758" s="123"/>
      <c r="Y758" s="180"/>
      <c r="Z758" s="180"/>
    </row>
    <row r="759" spans="1:26" ht="45.75" customHeight="1">
      <c r="A759" s="180"/>
      <c r="B759" s="180"/>
      <c r="C759" s="180"/>
      <c r="D759" s="180"/>
      <c r="E759" s="180"/>
      <c r="F759" s="225"/>
      <c r="G759" s="180"/>
      <c r="H759" s="180"/>
      <c r="I759" s="180"/>
      <c r="J759" s="211"/>
      <c r="K759" s="180"/>
      <c r="L759" s="212"/>
      <c r="M759" s="180"/>
      <c r="N759" s="180"/>
      <c r="O759" s="180"/>
      <c r="P759" s="123"/>
      <c r="Q759" s="130"/>
      <c r="R759" s="180"/>
      <c r="S759" s="180"/>
      <c r="T759" s="180"/>
      <c r="U759" s="180"/>
      <c r="V759" s="123"/>
      <c r="W759" s="123"/>
      <c r="X759" s="123"/>
      <c r="Y759" s="180"/>
      <c r="Z759" s="180"/>
    </row>
    <row r="760" spans="1:26" ht="45.75" customHeight="1">
      <c r="A760" s="180"/>
      <c r="B760" s="180"/>
      <c r="C760" s="180"/>
      <c r="D760" s="180"/>
      <c r="E760" s="180"/>
      <c r="F760" s="225"/>
      <c r="G760" s="180"/>
      <c r="H760" s="180"/>
      <c r="I760" s="180"/>
      <c r="J760" s="211"/>
      <c r="K760" s="180"/>
      <c r="L760" s="212"/>
      <c r="M760" s="180"/>
      <c r="N760" s="180"/>
      <c r="O760" s="180"/>
      <c r="P760" s="123"/>
      <c r="Q760" s="130"/>
      <c r="R760" s="180"/>
      <c r="S760" s="180"/>
      <c r="T760" s="180"/>
      <c r="U760" s="180"/>
      <c r="V760" s="123"/>
      <c r="W760" s="123"/>
      <c r="X760" s="123"/>
      <c r="Y760" s="180"/>
      <c r="Z760" s="180"/>
    </row>
    <row r="761" spans="1:26" ht="45.75" customHeight="1">
      <c r="A761" s="180"/>
      <c r="B761" s="180"/>
      <c r="C761" s="180"/>
      <c r="D761" s="180"/>
      <c r="E761" s="180"/>
      <c r="F761" s="225"/>
      <c r="G761" s="180"/>
      <c r="H761" s="180"/>
      <c r="I761" s="180"/>
      <c r="J761" s="211"/>
      <c r="K761" s="180"/>
      <c r="L761" s="212"/>
      <c r="M761" s="180"/>
      <c r="N761" s="180"/>
      <c r="O761" s="180"/>
      <c r="P761" s="123"/>
      <c r="Q761" s="130"/>
      <c r="R761" s="180"/>
      <c r="S761" s="180"/>
      <c r="T761" s="180"/>
      <c r="U761" s="180"/>
      <c r="V761" s="123"/>
      <c r="W761" s="123"/>
      <c r="X761" s="123"/>
      <c r="Y761" s="180"/>
      <c r="Z761" s="180"/>
    </row>
    <row r="762" spans="1:26" ht="45.75" customHeight="1">
      <c r="A762" s="180"/>
      <c r="B762" s="180"/>
      <c r="C762" s="180"/>
      <c r="D762" s="180"/>
      <c r="E762" s="180"/>
      <c r="F762" s="225"/>
      <c r="G762" s="180"/>
      <c r="H762" s="180"/>
      <c r="I762" s="180"/>
      <c r="J762" s="211"/>
      <c r="K762" s="180"/>
      <c r="L762" s="212"/>
      <c r="M762" s="180"/>
      <c r="N762" s="180"/>
      <c r="O762" s="180"/>
      <c r="P762" s="123"/>
      <c r="Q762" s="130"/>
      <c r="R762" s="180"/>
      <c r="S762" s="180"/>
      <c r="T762" s="180"/>
      <c r="U762" s="180"/>
      <c r="V762" s="123"/>
      <c r="W762" s="123"/>
      <c r="X762" s="123"/>
      <c r="Y762" s="180"/>
      <c r="Z762" s="180"/>
    </row>
    <row r="763" spans="1:26" ht="45.75" customHeight="1">
      <c r="A763" s="180"/>
      <c r="B763" s="180"/>
      <c r="C763" s="180"/>
      <c r="D763" s="180"/>
      <c r="E763" s="180"/>
      <c r="F763" s="225"/>
      <c r="G763" s="180"/>
      <c r="H763" s="180"/>
      <c r="I763" s="180"/>
      <c r="J763" s="211"/>
      <c r="K763" s="180"/>
      <c r="L763" s="212"/>
      <c r="M763" s="180"/>
      <c r="N763" s="180"/>
      <c r="O763" s="180"/>
      <c r="P763" s="123"/>
      <c r="Q763" s="130"/>
      <c r="R763" s="180"/>
      <c r="S763" s="180"/>
      <c r="T763" s="180"/>
      <c r="U763" s="180"/>
      <c r="V763" s="123"/>
      <c r="W763" s="123"/>
      <c r="X763" s="123"/>
      <c r="Y763" s="180"/>
      <c r="Z763" s="180"/>
    </row>
    <row r="764" spans="1:26" ht="45.75" customHeight="1">
      <c r="A764" s="180"/>
      <c r="B764" s="180"/>
      <c r="C764" s="180"/>
      <c r="D764" s="180"/>
      <c r="E764" s="180"/>
      <c r="F764" s="225"/>
      <c r="G764" s="180"/>
      <c r="H764" s="180"/>
      <c r="I764" s="180"/>
      <c r="J764" s="211"/>
      <c r="K764" s="180"/>
      <c r="L764" s="212"/>
      <c r="M764" s="180"/>
      <c r="N764" s="180"/>
      <c r="O764" s="180"/>
      <c r="P764" s="123"/>
      <c r="Q764" s="130"/>
      <c r="R764" s="180"/>
      <c r="S764" s="180"/>
      <c r="T764" s="180"/>
      <c r="U764" s="180"/>
      <c r="V764" s="123"/>
      <c r="W764" s="123"/>
      <c r="X764" s="123"/>
      <c r="Y764" s="180"/>
      <c r="Z764" s="180"/>
    </row>
    <row r="765" spans="1:26" ht="45.75" customHeight="1">
      <c r="A765" s="180"/>
      <c r="B765" s="180"/>
      <c r="C765" s="180"/>
      <c r="D765" s="180"/>
      <c r="E765" s="180"/>
      <c r="F765" s="225"/>
      <c r="G765" s="180"/>
      <c r="H765" s="180"/>
      <c r="I765" s="180"/>
      <c r="J765" s="211"/>
      <c r="K765" s="180"/>
      <c r="L765" s="212"/>
      <c r="M765" s="180"/>
      <c r="N765" s="180"/>
      <c r="O765" s="180"/>
      <c r="P765" s="123"/>
      <c r="Q765" s="130"/>
      <c r="R765" s="180"/>
      <c r="S765" s="180"/>
      <c r="T765" s="180"/>
      <c r="U765" s="180"/>
      <c r="V765" s="123"/>
      <c r="W765" s="123"/>
      <c r="X765" s="123"/>
      <c r="Y765" s="180"/>
      <c r="Z765" s="180"/>
    </row>
    <row r="766" spans="1:26" ht="45.75" customHeight="1">
      <c r="A766" s="180"/>
      <c r="B766" s="180"/>
      <c r="C766" s="180"/>
      <c r="D766" s="180"/>
      <c r="E766" s="180"/>
      <c r="F766" s="225"/>
      <c r="G766" s="180"/>
      <c r="H766" s="180"/>
      <c r="I766" s="180"/>
      <c r="J766" s="211"/>
      <c r="K766" s="180"/>
      <c r="L766" s="212"/>
      <c r="M766" s="180"/>
      <c r="N766" s="180"/>
      <c r="O766" s="180"/>
      <c r="P766" s="123"/>
      <c r="Q766" s="130"/>
      <c r="R766" s="180"/>
      <c r="S766" s="180"/>
      <c r="T766" s="180"/>
      <c r="U766" s="180"/>
      <c r="V766" s="123"/>
      <c r="W766" s="123"/>
      <c r="X766" s="123"/>
      <c r="Y766" s="180"/>
      <c r="Z766" s="180"/>
    </row>
    <row r="767" spans="1:26" ht="45.75" customHeight="1">
      <c r="A767" s="180"/>
      <c r="B767" s="180"/>
      <c r="C767" s="180"/>
      <c r="D767" s="180"/>
      <c r="E767" s="180"/>
      <c r="F767" s="225"/>
      <c r="G767" s="180"/>
      <c r="H767" s="180"/>
      <c r="I767" s="180"/>
      <c r="J767" s="211"/>
      <c r="K767" s="180"/>
      <c r="L767" s="212"/>
      <c r="M767" s="180"/>
      <c r="N767" s="180"/>
      <c r="O767" s="180"/>
      <c r="P767" s="123"/>
      <c r="Q767" s="130"/>
      <c r="R767" s="180"/>
      <c r="S767" s="180"/>
      <c r="T767" s="180"/>
      <c r="U767" s="180"/>
      <c r="V767" s="123"/>
      <c r="W767" s="123"/>
      <c r="X767" s="123"/>
      <c r="Y767" s="180"/>
      <c r="Z767" s="180"/>
    </row>
    <row r="768" spans="1:26" ht="45.75" customHeight="1">
      <c r="A768" s="180"/>
      <c r="B768" s="180"/>
      <c r="C768" s="180"/>
      <c r="D768" s="180"/>
      <c r="E768" s="180"/>
      <c r="F768" s="225"/>
      <c r="G768" s="180"/>
      <c r="H768" s="180"/>
      <c r="I768" s="180"/>
      <c r="J768" s="211"/>
      <c r="K768" s="180"/>
      <c r="L768" s="212"/>
      <c r="M768" s="180"/>
      <c r="N768" s="180"/>
      <c r="O768" s="180"/>
      <c r="P768" s="123"/>
      <c r="Q768" s="130"/>
      <c r="R768" s="180"/>
      <c r="S768" s="180"/>
      <c r="T768" s="180"/>
      <c r="U768" s="180"/>
      <c r="V768" s="123"/>
      <c r="W768" s="123"/>
      <c r="X768" s="123"/>
      <c r="Y768" s="180"/>
      <c r="Z768" s="180"/>
    </row>
    <row r="769" spans="1:26" ht="45.75" customHeight="1">
      <c r="A769" s="180"/>
      <c r="B769" s="180"/>
      <c r="C769" s="180"/>
      <c r="D769" s="180"/>
      <c r="E769" s="180"/>
      <c r="F769" s="225"/>
      <c r="G769" s="180"/>
      <c r="H769" s="180"/>
      <c r="I769" s="180"/>
      <c r="J769" s="211"/>
      <c r="K769" s="180"/>
      <c r="L769" s="212"/>
      <c r="M769" s="180"/>
      <c r="N769" s="180"/>
      <c r="O769" s="180"/>
      <c r="P769" s="123"/>
      <c r="Q769" s="130"/>
      <c r="R769" s="180"/>
      <c r="S769" s="180"/>
      <c r="T769" s="180"/>
      <c r="U769" s="180"/>
      <c r="V769" s="123"/>
      <c r="W769" s="123"/>
      <c r="X769" s="123"/>
      <c r="Y769" s="180"/>
      <c r="Z769" s="180"/>
    </row>
    <row r="770" spans="1:26" ht="45.75" customHeight="1">
      <c r="A770" s="180"/>
      <c r="B770" s="180"/>
      <c r="C770" s="180"/>
      <c r="D770" s="180"/>
      <c r="E770" s="180"/>
      <c r="F770" s="225"/>
      <c r="G770" s="180"/>
      <c r="H770" s="180"/>
      <c r="I770" s="180"/>
      <c r="J770" s="211"/>
      <c r="K770" s="180"/>
      <c r="L770" s="212"/>
      <c r="M770" s="180"/>
      <c r="N770" s="180"/>
      <c r="O770" s="180"/>
      <c r="P770" s="123"/>
      <c r="Q770" s="130"/>
      <c r="R770" s="180"/>
      <c r="S770" s="180"/>
      <c r="T770" s="180"/>
      <c r="U770" s="180"/>
      <c r="V770" s="123"/>
      <c r="W770" s="123"/>
      <c r="X770" s="123"/>
      <c r="Y770" s="180"/>
      <c r="Z770" s="180"/>
    </row>
    <row r="771" spans="1:26" ht="45.75" customHeight="1">
      <c r="A771" s="180"/>
      <c r="B771" s="180"/>
      <c r="C771" s="180"/>
      <c r="D771" s="180"/>
      <c r="E771" s="180"/>
      <c r="F771" s="225"/>
      <c r="G771" s="180"/>
      <c r="H771" s="180"/>
      <c r="I771" s="180"/>
      <c r="J771" s="211"/>
      <c r="K771" s="180"/>
      <c r="L771" s="212"/>
      <c r="M771" s="180"/>
      <c r="N771" s="180"/>
      <c r="O771" s="180"/>
      <c r="P771" s="123"/>
      <c r="Q771" s="130"/>
      <c r="R771" s="180"/>
      <c r="S771" s="180"/>
      <c r="T771" s="180"/>
      <c r="U771" s="180"/>
      <c r="V771" s="123"/>
      <c r="W771" s="123"/>
      <c r="X771" s="123"/>
      <c r="Y771" s="180"/>
      <c r="Z771" s="180"/>
    </row>
    <row r="772" spans="1:26" ht="45.75" customHeight="1">
      <c r="A772" s="180"/>
      <c r="B772" s="180"/>
      <c r="C772" s="180"/>
      <c r="D772" s="180"/>
      <c r="E772" s="180"/>
      <c r="F772" s="225"/>
      <c r="G772" s="180"/>
      <c r="H772" s="180"/>
      <c r="I772" s="180"/>
      <c r="J772" s="211"/>
      <c r="K772" s="180"/>
      <c r="L772" s="212"/>
      <c r="M772" s="180"/>
      <c r="N772" s="180"/>
      <c r="O772" s="180"/>
      <c r="P772" s="123"/>
      <c r="Q772" s="130"/>
      <c r="R772" s="180"/>
      <c r="S772" s="180"/>
      <c r="T772" s="180"/>
      <c r="U772" s="180"/>
      <c r="V772" s="123"/>
      <c r="W772" s="123"/>
      <c r="X772" s="123"/>
      <c r="Y772" s="180"/>
      <c r="Z772" s="180"/>
    </row>
    <row r="773" spans="1:26" ht="45.75" customHeight="1">
      <c r="A773" s="180"/>
      <c r="B773" s="180"/>
      <c r="C773" s="180"/>
      <c r="D773" s="180"/>
      <c r="E773" s="180"/>
      <c r="F773" s="225"/>
      <c r="G773" s="180"/>
      <c r="H773" s="180"/>
      <c r="I773" s="180"/>
      <c r="J773" s="211"/>
      <c r="K773" s="180"/>
      <c r="L773" s="212"/>
      <c r="M773" s="180"/>
      <c r="N773" s="180"/>
      <c r="O773" s="180"/>
      <c r="P773" s="123"/>
      <c r="Q773" s="130"/>
      <c r="R773" s="180"/>
      <c r="S773" s="180"/>
      <c r="T773" s="180"/>
      <c r="U773" s="180"/>
      <c r="V773" s="123"/>
      <c r="W773" s="123"/>
      <c r="X773" s="123"/>
      <c r="Y773" s="180"/>
      <c r="Z773" s="180"/>
    </row>
    <row r="774" spans="1:26" ht="45.75" customHeight="1">
      <c r="A774" s="180"/>
      <c r="B774" s="180"/>
      <c r="C774" s="180"/>
      <c r="D774" s="180"/>
      <c r="E774" s="180"/>
      <c r="F774" s="225"/>
      <c r="G774" s="180"/>
      <c r="H774" s="180"/>
      <c r="I774" s="180"/>
      <c r="J774" s="211"/>
      <c r="K774" s="180"/>
      <c r="L774" s="212"/>
      <c r="M774" s="180"/>
      <c r="N774" s="180"/>
      <c r="O774" s="180"/>
      <c r="P774" s="123"/>
      <c r="Q774" s="130"/>
      <c r="R774" s="180"/>
      <c r="S774" s="180"/>
      <c r="T774" s="180"/>
      <c r="U774" s="180"/>
      <c r="V774" s="123"/>
      <c r="W774" s="123"/>
      <c r="X774" s="123"/>
      <c r="Y774" s="180"/>
      <c r="Z774" s="180"/>
    </row>
    <row r="775" spans="1:26" ht="45.75" customHeight="1">
      <c r="A775" s="180"/>
      <c r="B775" s="180"/>
      <c r="C775" s="180"/>
      <c r="D775" s="180"/>
      <c r="E775" s="180"/>
      <c r="F775" s="225"/>
      <c r="G775" s="180"/>
      <c r="H775" s="180"/>
      <c r="I775" s="180"/>
      <c r="J775" s="211"/>
      <c r="K775" s="180"/>
      <c r="L775" s="212"/>
      <c r="M775" s="180"/>
      <c r="N775" s="180"/>
      <c r="O775" s="180"/>
      <c r="P775" s="123"/>
      <c r="Q775" s="130"/>
      <c r="R775" s="180"/>
      <c r="S775" s="180"/>
      <c r="T775" s="180"/>
      <c r="U775" s="180"/>
      <c r="V775" s="123"/>
      <c r="W775" s="123"/>
      <c r="X775" s="123"/>
      <c r="Y775" s="180"/>
      <c r="Z775" s="180"/>
    </row>
    <row r="776" spans="1:26" ht="45.75" customHeight="1">
      <c r="A776" s="180"/>
      <c r="B776" s="180"/>
      <c r="C776" s="180"/>
      <c r="D776" s="180"/>
      <c r="E776" s="180"/>
      <c r="F776" s="225"/>
      <c r="G776" s="180"/>
      <c r="H776" s="180"/>
      <c r="I776" s="180"/>
      <c r="J776" s="211"/>
      <c r="K776" s="180"/>
      <c r="L776" s="212"/>
      <c r="M776" s="180"/>
      <c r="N776" s="180"/>
      <c r="O776" s="180"/>
      <c r="P776" s="123"/>
      <c r="Q776" s="130"/>
      <c r="R776" s="180"/>
      <c r="S776" s="180"/>
      <c r="T776" s="180"/>
      <c r="U776" s="180"/>
      <c r="V776" s="123"/>
      <c r="W776" s="123"/>
      <c r="X776" s="123"/>
      <c r="Y776" s="180"/>
      <c r="Z776" s="180"/>
    </row>
    <row r="777" spans="1:26" ht="45.75" customHeight="1">
      <c r="A777" s="180"/>
      <c r="B777" s="180"/>
      <c r="C777" s="180"/>
      <c r="D777" s="180"/>
      <c r="E777" s="180"/>
      <c r="F777" s="225"/>
      <c r="G777" s="180"/>
      <c r="H777" s="180"/>
      <c r="I777" s="180"/>
      <c r="J777" s="211"/>
      <c r="K777" s="180"/>
      <c r="L777" s="212"/>
      <c r="M777" s="180"/>
      <c r="N777" s="180"/>
      <c r="O777" s="180"/>
      <c r="P777" s="123"/>
      <c r="Q777" s="130"/>
      <c r="R777" s="180"/>
      <c r="S777" s="180"/>
      <c r="T777" s="180"/>
      <c r="U777" s="180"/>
      <c r="V777" s="123"/>
      <c r="W777" s="123"/>
      <c r="X777" s="123"/>
      <c r="Y777" s="180"/>
      <c r="Z777" s="180"/>
    </row>
    <row r="778" spans="1:26" ht="45.75" customHeight="1">
      <c r="A778" s="180"/>
      <c r="B778" s="180"/>
      <c r="C778" s="180"/>
      <c r="D778" s="180"/>
      <c r="E778" s="180"/>
      <c r="F778" s="225"/>
      <c r="G778" s="180"/>
      <c r="H778" s="180"/>
      <c r="I778" s="180"/>
      <c r="J778" s="211"/>
      <c r="K778" s="180"/>
      <c r="L778" s="212"/>
      <c r="M778" s="180"/>
      <c r="N778" s="180"/>
      <c r="O778" s="180"/>
      <c r="P778" s="123"/>
      <c r="Q778" s="130"/>
      <c r="R778" s="180"/>
      <c r="S778" s="180"/>
      <c r="T778" s="180"/>
      <c r="U778" s="180"/>
      <c r="V778" s="123"/>
      <c r="W778" s="123"/>
      <c r="X778" s="123"/>
      <c r="Y778" s="180"/>
      <c r="Z778" s="180"/>
    </row>
    <row r="779" spans="1:26" ht="45.75" customHeight="1">
      <c r="A779" s="180"/>
      <c r="B779" s="180"/>
      <c r="C779" s="180"/>
      <c r="D779" s="180"/>
      <c r="E779" s="180"/>
      <c r="F779" s="225"/>
      <c r="G779" s="180"/>
      <c r="H779" s="180"/>
      <c r="I779" s="180"/>
      <c r="J779" s="211"/>
      <c r="K779" s="180"/>
      <c r="L779" s="212"/>
      <c r="M779" s="180"/>
      <c r="N779" s="180"/>
      <c r="O779" s="180"/>
      <c r="P779" s="123"/>
      <c r="Q779" s="130"/>
      <c r="R779" s="180"/>
      <c r="S779" s="180"/>
      <c r="T779" s="180"/>
      <c r="U779" s="180"/>
      <c r="V779" s="123"/>
      <c r="W779" s="123"/>
      <c r="X779" s="123"/>
      <c r="Y779" s="180"/>
      <c r="Z779" s="180"/>
    </row>
    <row r="780" spans="1:26" ht="45.75" customHeight="1">
      <c r="A780" s="180"/>
      <c r="B780" s="180"/>
      <c r="C780" s="180"/>
      <c r="D780" s="180"/>
      <c r="E780" s="180"/>
      <c r="F780" s="225"/>
      <c r="G780" s="180"/>
      <c r="H780" s="180"/>
      <c r="I780" s="180"/>
      <c r="J780" s="211"/>
      <c r="K780" s="180"/>
      <c r="L780" s="212"/>
      <c r="M780" s="180"/>
      <c r="N780" s="180"/>
      <c r="O780" s="180"/>
      <c r="P780" s="123"/>
      <c r="Q780" s="130"/>
      <c r="R780" s="180"/>
      <c r="S780" s="180"/>
      <c r="T780" s="180"/>
      <c r="U780" s="180"/>
      <c r="V780" s="123"/>
      <c r="W780" s="123"/>
      <c r="X780" s="123"/>
      <c r="Y780" s="180"/>
      <c r="Z780" s="180"/>
    </row>
    <row r="781" spans="1:26" ht="45.75" customHeight="1">
      <c r="A781" s="180"/>
      <c r="B781" s="180"/>
      <c r="C781" s="180"/>
      <c r="D781" s="180"/>
      <c r="E781" s="180"/>
      <c r="F781" s="225"/>
      <c r="G781" s="180"/>
      <c r="H781" s="180"/>
      <c r="I781" s="180"/>
      <c r="J781" s="211"/>
      <c r="K781" s="180"/>
      <c r="L781" s="212"/>
      <c r="M781" s="180"/>
      <c r="N781" s="180"/>
      <c r="O781" s="180"/>
      <c r="P781" s="123"/>
      <c r="Q781" s="130"/>
      <c r="R781" s="180"/>
      <c r="S781" s="180"/>
      <c r="T781" s="180"/>
      <c r="U781" s="180"/>
      <c r="V781" s="123"/>
      <c r="W781" s="123"/>
      <c r="X781" s="123"/>
      <c r="Y781" s="180"/>
      <c r="Z781" s="180"/>
    </row>
    <row r="782" spans="1:26" ht="45.75" customHeight="1">
      <c r="A782" s="180"/>
      <c r="B782" s="180"/>
      <c r="C782" s="180"/>
      <c r="D782" s="180"/>
      <c r="E782" s="180"/>
      <c r="F782" s="225"/>
      <c r="G782" s="180"/>
      <c r="H782" s="180"/>
      <c r="I782" s="180"/>
      <c r="J782" s="211"/>
      <c r="K782" s="180"/>
      <c r="L782" s="212"/>
      <c r="M782" s="180"/>
      <c r="N782" s="180"/>
      <c r="O782" s="180"/>
      <c r="P782" s="123"/>
      <c r="Q782" s="130"/>
      <c r="R782" s="180"/>
      <c r="S782" s="180"/>
      <c r="T782" s="180"/>
      <c r="U782" s="180"/>
      <c r="V782" s="123"/>
      <c r="W782" s="123"/>
      <c r="X782" s="123"/>
      <c r="Y782" s="180"/>
      <c r="Z782" s="180"/>
    </row>
    <row r="783" spans="1:26" ht="45.75" customHeight="1">
      <c r="A783" s="180"/>
      <c r="B783" s="180"/>
      <c r="C783" s="180"/>
      <c r="D783" s="180"/>
      <c r="E783" s="180"/>
      <c r="F783" s="225"/>
      <c r="G783" s="180"/>
      <c r="H783" s="180"/>
      <c r="I783" s="180"/>
      <c r="J783" s="211"/>
      <c r="K783" s="180"/>
      <c r="L783" s="212"/>
      <c r="M783" s="180"/>
      <c r="N783" s="180"/>
      <c r="O783" s="180"/>
      <c r="P783" s="123"/>
      <c r="Q783" s="130"/>
      <c r="R783" s="180"/>
      <c r="S783" s="180"/>
      <c r="T783" s="180"/>
      <c r="U783" s="180"/>
      <c r="V783" s="123"/>
      <c r="W783" s="123"/>
      <c r="X783" s="123"/>
      <c r="Y783" s="180"/>
      <c r="Z783" s="180"/>
    </row>
    <row r="784" spans="1:26" ht="45.75" customHeight="1">
      <c r="A784" s="180"/>
      <c r="B784" s="180"/>
      <c r="C784" s="180"/>
      <c r="D784" s="180"/>
      <c r="E784" s="180"/>
      <c r="F784" s="225"/>
      <c r="G784" s="180"/>
      <c r="H784" s="180"/>
      <c r="I784" s="180"/>
      <c r="J784" s="211"/>
      <c r="K784" s="180"/>
      <c r="L784" s="212"/>
      <c r="M784" s="180"/>
      <c r="N784" s="180"/>
      <c r="O784" s="180"/>
      <c r="P784" s="123"/>
      <c r="Q784" s="130"/>
      <c r="R784" s="180"/>
      <c r="S784" s="180"/>
      <c r="T784" s="180"/>
      <c r="U784" s="180"/>
      <c r="V784" s="123"/>
      <c r="W784" s="123"/>
      <c r="X784" s="123"/>
      <c r="Y784" s="180"/>
      <c r="Z784" s="180"/>
    </row>
    <row r="785" spans="1:26" ht="45.75" customHeight="1">
      <c r="A785" s="180"/>
      <c r="B785" s="180"/>
      <c r="C785" s="180"/>
      <c r="D785" s="180"/>
      <c r="E785" s="180"/>
      <c r="F785" s="225"/>
      <c r="G785" s="180"/>
      <c r="H785" s="180"/>
      <c r="I785" s="180"/>
      <c r="J785" s="211"/>
      <c r="K785" s="180"/>
      <c r="L785" s="212"/>
      <c r="M785" s="180"/>
      <c r="N785" s="180"/>
      <c r="O785" s="180"/>
      <c r="P785" s="123"/>
      <c r="Q785" s="130"/>
      <c r="R785" s="180"/>
      <c r="S785" s="180"/>
      <c r="T785" s="180"/>
      <c r="U785" s="180"/>
      <c r="V785" s="123"/>
      <c r="W785" s="123"/>
      <c r="X785" s="123"/>
      <c r="Y785" s="180"/>
      <c r="Z785" s="180"/>
    </row>
    <row r="786" spans="1:26" ht="45.75" customHeight="1">
      <c r="A786" s="180"/>
      <c r="B786" s="180"/>
      <c r="C786" s="180"/>
      <c r="D786" s="180"/>
      <c r="E786" s="180"/>
      <c r="F786" s="225"/>
      <c r="G786" s="180"/>
      <c r="H786" s="180"/>
      <c r="I786" s="180"/>
      <c r="J786" s="211"/>
      <c r="K786" s="180"/>
      <c r="L786" s="212"/>
      <c r="M786" s="180"/>
      <c r="N786" s="180"/>
      <c r="O786" s="180"/>
      <c r="P786" s="123"/>
      <c r="Q786" s="130"/>
      <c r="R786" s="180"/>
      <c r="S786" s="180"/>
      <c r="T786" s="180"/>
      <c r="U786" s="180"/>
      <c r="V786" s="123"/>
      <c r="W786" s="123"/>
      <c r="X786" s="123"/>
      <c r="Y786" s="180"/>
      <c r="Z786" s="180"/>
    </row>
    <row r="787" spans="1:26" ht="45.75" customHeight="1">
      <c r="A787" s="180"/>
      <c r="B787" s="180"/>
      <c r="C787" s="180"/>
      <c r="D787" s="180"/>
      <c r="E787" s="180"/>
      <c r="F787" s="225"/>
      <c r="G787" s="180"/>
      <c r="H787" s="180"/>
      <c r="I787" s="180"/>
      <c r="J787" s="211"/>
      <c r="K787" s="180"/>
      <c r="L787" s="212"/>
      <c r="M787" s="180"/>
      <c r="N787" s="180"/>
      <c r="O787" s="180"/>
      <c r="P787" s="123"/>
      <c r="Q787" s="130"/>
      <c r="R787" s="180"/>
      <c r="S787" s="180"/>
      <c r="T787" s="180"/>
      <c r="U787" s="180"/>
      <c r="V787" s="123"/>
      <c r="W787" s="123"/>
      <c r="X787" s="123"/>
      <c r="Y787" s="180"/>
      <c r="Z787" s="180"/>
    </row>
    <row r="788" spans="1:26" ht="45.75" customHeight="1">
      <c r="A788" s="180"/>
      <c r="B788" s="180"/>
      <c r="C788" s="180"/>
      <c r="D788" s="180"/>
      <c r="E788" s="180"/>
      <c r="F788" s="225"/>
      <c r="G788" s="180"/>
      <c r="H788" s="180"/>
      <c r="I788" s="180"/>
      <c r="J788" s="211"/>
      <c r="K788" s="180"/>
      <c r="L788" s="212"/>
      <c r="M788" s="180"/>
      <c r="N788" s="180"/>
      <c r="O788" s="180"/>
      <c r="P788" s="123"/>
      <c r="Q788" s="130"/>
      <c r="R788" s="180"/>
      <c r="S788" s="180"/>
      <c r="T788" s="180"/>
      <c r="U788" s="180"/>
      <c r="V788" s="123"/>
      <c r="W788" s="123"/>
      <c r="X788" s="123"/>
      <c r="Y788" s="180"/>
      <c r="Z788" s="180"/>
    </row>
    <row r="789" spans="1:26" ht="45.75" customHeight="1">
      <c r="A789" s="180"/>
      <c r="B789" s="180"/>
      <c r="C789" s="180"/>
      <c r="D789" s="180"/>
      <c r="E789" s="180"/>
      <c r="F789" s="225"/>
      <c r="G789" s="180"/>
      <c r="H789" s="180"/>
      <c r="I789" s="180"/>
      <c r="J789" s="211"/>
      <c r="K789" s="180"/>
      <c r="L789" s="212"/>
      <c r="M789" s="180"/>
      <c r="N789" s="180"/>
      <c r="O789" s="180"/>
      <c r="P789" s="123"/>
      <c r="Q789" s="130"/>
      <c r="R789" s="180"/>
      <c r="S789" s="180"/>
      <c r="T789" s="180"/>
      <c r="U789" s="180"/>
      <c r="V789" s="123"/>
      <c r="W789" s="123"/>
      <c r="X789" s="123"/>
      <c r="Y789" s="180"/>
      <c r="Z789" s="180"/>
    </row>
    <row r="790" spans="1:26" ht="45.75" customHeight="1">
      <c r="A790" s="180"/>
      <c r="B790" s="180"/>
      <c r="C790" s="180"/>
      <c r="D790" s="180"/>
      <c r="E790" s="180"/>
      <c r="F790" s="225"/>
      <c r="G790" s="180"/>
      <c r="H790" s="180"/>
      <c r="I790" s="180"/>
      <c r="J790" s="211"/>
      <c r="K790" s="180"/>
      <c r="L790" s="212"/>
      <c r="M790" s="180"/>
      <c r="N790" s="180"/>
      <c r="O790" s="180"/>
      <c r="P790" s="123"/>
      <c r="Q790" s="130"/>
      <c r="R790" s="180"/>
      <c r="S790" s="180"/>
      <c r="T790" s="180"/>
      <c r="U790" s="180"/>
      <c r="V790" s="123"/>
      <c r="W790" s="123"/>
      <c r="X790" s="123"/>
      <c r="Y790" s="180"/>
      <c r="Z790" s="180"/>
    </row>
    <row r="791" spans="1:26" ht="45.75" customHeight="1">
      <c r="A791" s="180"/>
      <c r="B791" s="180"/>
      <c r="C791" s="180"/>
      <c r="D791" s="180"/>
      <c r="E791" s="180"/>
      <c r="F791" s="225"/>
      <c r="G791" s="180"/>
      <c r="H791" s="180"/>
      <c r="I791" s="180"/>
      <c r="J791" s="211"/>
      <c r="K791" s="180"/>
      <c r="L791" s="212"/>
      <c r="M791" s="180"/>
      <c r="N791" s="180"/>
      <c r="O791" s="180"/>
      <c r="P791" s="123"/>
      <c r="Q791" s="130"/>
      <c r="R791" s="180"/>
      <c r="S791" s="180"/>
      <c r="T791" s="180"/>
      <c r="U791" s="180"/>
      <c r="V791" s="123"/>
      <c r="W791" s="123"/>
      <c r="X791" s="123"/>
      <c r="Y791" s="180"/>
      <c r="Z791" s="180"/>
    </row>
    <row r="792" spans="1:26" ht="45.75" customHeight="1">
      <c r="A792" s="180"/>
      <c r="B792" s="180"/>
      <c r="C792" s="180"/>
      <c r="D792" s="180"/>
      <c r="E792" s="180"/>
      <c r="F792" s="225"/>
      <c r="G792" s="180"/>
      <c r="H792" s="180"/>
      <c r="I792" s="180"/>
      <c r="J792" s="211"/>
      <c r="K792" s="180"/>
      <c r="L792" s="212"/>
      <c r="M792" s="180"/>
      <c r="N792" s="180"/>
      <c r="O792" s="180"/>
      <c r="P792" s="123"/>
      <c r="Q792" s="130"/>
      <c r="R792" s="180"/>
      <c r="S792" s="180"/>
      <c r="T792" s="180"/>
      <c r="U792" s="180"/>
      <c r="V792" s="123"/>
      <c r="W792" s="123"/>
      <c r="X792" s="123"/>
      <c r="Y792" s="180"/>
      <c r="Z792" s="180"/>
    </row>
    <row r="793" spans="1:26" ht="45.75" customHeight="1">
      <c r="A793" s="180"/>
      <c r="B793" s="180"/>
      <c r="C793" s="180"/>
      <c r="D793" s="180"/>
      <c r="E793" s="180"/>
      <c r="F793" s="225"/>
      <c r="G793" s="180"/>
      <c r="H793" s="180"/>
      <c r="I793" s="180"/>
      <c r="J793" s="211"/>
      <c r="K793" s="180"/>
      <c r="L793" s="212"/>
      <c r="M793" s="180"/>
      <c r="N793" s="180"/>
      <c r="O793" s="180"/>
      <c r="P793" s="123"/>
      <c r="Q793" s="130"/>
      <c r="R793" s="180"/>
      <c r="S793" s="180"/>
      <c r="T793" s="180"/>
      <c r="U793" s="180"/>
      <c r="V793" s="123"/>
      <c r="W793" s="123"/>
      <c r="X793" s="123"/>
      <c r="Y793" s="180"/>
      <c r="Z793" s="180"/>
    </row>
    <row r="794" spans="1:26" ht="45.75" customHeight="1">
      <c r="A794" s="180"/>
      <c r="B794" s="180"/>
      <c r="C794" s="180"/>
      <c r="D794" s="180"/>
      <c r="E794" s="180"/>
      <c r="F794" s="225"/>
      <c r="G794" s="180"/>
      <c r="H794" s="180"/>
      <c r="I794" s="180"/>
      <c r="J794" s="211"/>
      <c r="K794" s="180"/>
      <c r="L794" s="212"/>
      <c r="M794" s="180"/>
      <c r="N794" s="180"/>
      <c r="O794" s="180"/>
      <c r="P794" s="123"/>
      <c r="Q794" s="130"/>
      <c r="R794" s="180"/>
      <c r="S794" s="180"/>
      <c r="T794" s="180"/>
      <c r="U794" s="180"/>
      <c r="V794" s="123"/>
      <c r="W794" s="123"/>
      <c r="X794" s="123"/>
      <c r="Y794" s="180"/>
      <c r="Z794" s="180"/>
    </row>
    <row r="795" spans="1:26" ht="45.75" customHeight="1">
      <c r="A795" s="180"/>
      <c r="B795" s="180"/>
      <c r="C795" s="180"/>
      <c r="D795" s="180"/>
      <c r="E795" s="180"/>
      <c r="F795" s="225"/>
      <c r="G795" s="180"/>
      <c r="H795" s="180"/>
      <c r="I795" s="180"/>
      <c r="J795" s="211"/>
      <c r="K795" s="180"/>
      <c r="L795" s="212"/>
      <c r="M795" s="180"/>
      <c r="N795" s="180"/>
      <c r="O795" s="180"/>
      <c r="P795" s="123"/>
      <c r="Q795" s="130"/>
      <c r="R795" s="180"/>
      <c r="S795" s="180"/>
      <c r="T795" s="180"/>
      <c r="U795" s="180"/>
      <c r="V795" s="123"/>
      <c r="W795" s="123"/>
      <c r="X795" s="123"/>
      <c r="Y795" s="180"/>
      <c r="Z795" s="180"/>
    </row>
    <row r="796" spans="1:26" ht="45.75" customHeight="1">
      <c r="A796" s="180"/>
      <c r="B796" s="180"/>
      <c r="C796" s="180"/>
      <c r="D796" s="180"/>
      <c r="E796" s="180"/>
      <c r="F796" s="225"/>
      <c r="G796" s="180"/>
      <c r="H796" s="180"/>
      <c r="I796" s="180"/>
      <c r="J796" s="211"/>
      <c r="K796" s="180"/>
      <c r="L796" s="212"/>
      <c r="M796" s="180"/>
      <c r="N796" s="180"/>
      <c r="O796" s="180"/>
      <c r="P796" s="123"/>
      <c r="Q796" s="130"/>
      <c r="R796" s="180"/>
      <c r="S796" s="180"/>
      <c r="T796" s="180"/>
      <c r="U796" s="180"/>
      <c r="V796" s="123"/>
      <c r="W796" s="123"/>
      <c r="X796" s="123"/>
      <c r="Y796" s="180"/>
      <c r="Z796" s="180"/>
    </row>
    <row r="797" spans="1:26" ht="45.75" customHeight="1">
      <c r="A797" s="180"/>
      <c r="B797" s="180"/>
      <c r="C797" s="180"/>
      <c r="D797" s="180"/>
      <c r="E797" s="180"/>
      <c r="F797" s="225"/>
      <c r="G797" s="180"/>
      <c r="H797" s="180"/>
      <c r="I797" s="180"/>
      <c r="J797" s="211"/>
      <c r="K797" s="180"/>
      <c r="L797" s="212"/>
      <c r="M797" s="180"/>
      <c r="N797" s="180"/>
      <c r="O797" s="180"/>
      <c r="P797" s="123"/>
      <c r="Q797" s="130"/>
      <c r="R797" s="180"/>
      <c r="S797" s="180"/>
      <c r="T797" s="180"/>
      <c r="U797" s="180"/>
      <c r="V797" s="123"/>
      <c r="W797" s="123"/>
      <c r="X797" s="123"/>
      <c r="Y797" s="180"/>
      <c r="Z797" s="180"/>
    </row>
    <row r="798" spans="1:26" ht="45.75" customHeight="1">
      <c r="A798" s="180"/>
      <c r="B798" s="180"/>
      <c r="C798" s="180"/>
      <c r="D798" s="180"/>
      <c r="E798" s="180"/>
      <c r="F798" s="225"/>
      <c r="G798" s="180"/>
      <c r="H798" s="180"/>
      <c r="I798" s="180"/>
      <c r="J798" s="211"/>
      <c r="K798" s="180"/>
      <c r="L798" s="212"/>
      <c r="M798" s="180"/>
      <c r="N798" s="180"/>
      <c r="O798" s="180"/>
      <c r="P798" s="123"/>
      <c r="Q798" s="130"/>
      <c r="R798" s="180"/>
      <c r="S798" s="180"/>
      <c r="T798" s="180"/>
      <c r="U798" s="180"/>
      <c r="V798" s="123"/>
      <c r="W798" s="123"/>
      <c r="X798" s="123"/>
      <c r="Y798" s="180"/>
      <c r="Z798" s="180"/>
    </row>
    <row r="799" spans="1:26" ht="45.75" customHeight="1">
      <c r="A799" s="180"/>
      <c r="B799" s="180"/>
      <c r="C799" s="180"/>
      <c r="D799" s="180"/>
      <c r="E799" s="180"/>
      <c r="F799" s="225"/>
      <c r="G799" s="180"/>
      <c r="H799" s="180"/>
      <c r="I799" s="180"/>
      <c r="J799" s="211"/>
      <c r="K799" s="180"/>
      <c r="L799" s="212"/>
      <c r="M799" s="180"/>
      <c r="N799" s="180"/>
      <c r="O799" s="180"/>
      <c r="P799" s="123"/>
      <c r="Q799" s="130"/>
      <c r="R799" s="180"/>
      <c r="S799" s="180"/>
      <c r="T799" s="180"/>
      <c r="U799" s="180"/>
      <c r="V799" s="123"/>
      <c r="W799" s="123"/>
      <c r="X799" s="123"/>
      <c r="Y799" s="180"/>
      <c r="Z799" s="180"/>
    </row>
    <row r="800" spans="1:26" ht="45.75" customHeight="1">
      <c r="A800" s="180"/>
      <c r="B800" s="180"/>
      <c r="C800" s="180"/>
      <c r="D800" s="180"/>
      <c r="E800" s="180"/>
      <c r="F800" s="225"/>
      <c r="G800" s="180"/>
      <c r="H800" s="180"/>
      <c r="I800" s="180"/>
      <c r="J800" s="211"/>
      <c r="K800" s="180"/>
      <c r="L800" s="212"/>
      <c r="M800" s="180"/>
      <c r="N800" s="180"/>
      <c r="O800" s="180"/>
      <c r="P800" s="123"/>
      <c r="Q800" s="130"/>
      <c r="R800" s="180"/>
      <c r="S800" s="180"/>
      <c r="T800" s="180"/>
      <c r="U800" s="180"/>
      <c r="V800" s="123"/>
      <c r="W800" s="123"/>
      <c r="X800" s="123"/>
      <c r="Y800" s="180"/>
      <c r="Z800" s="180"/>
    </row>
    <row r="801" spans="1:26" ht="45.75" customHeight="1">
      <c r="A801" s="180"/>
      <c r="B801" s="180"/>
      <c r="C801" s="180"/>
      <c r="D801" s="180"/>
      <c r="E801" s="180"/>
      <c r="F801" s="225"/>
      <c r="G801" s="180"/>
      <c r="H801" s="180"/>
      <c r="I801" s="180"/>
      <c r="J801" s="211"/>
      <c r="K801" s="180"/>
      <c r="L801" s="212"/>
      <c r="M801" s="180"/>
      <c r="N801" s="180"/>
      <c r="O801" s="180"/>
      <c r="P801" s="123"/>
      <c r="Q801" s="130"/>
      <c r="R801" s="180"/>
      <c r="S801" s="180"/>
      <c r="T801" s="180"/>
      <c r="U801" s="180"/>
      <c r="V801" s="123"/>
      <c r="W801" s="123"/>
      <c r="X801" s="123"/>
      <c r="Y801" s="180"/>
      <c r="Z801" s="180"/>
    </row>
    <row r="802" spans="1:26" ht="45.75" customHeight="1">
      <c r="A802" s="180"/>
      <c r="B802" s="180"/>
      <c r="C802" s="180"/>
      <c r="D802" s="180"/>
      <c r="E802" s="180"/>
      <c r="F802" s="225"/>
      <c r="G802" s="180"/>
      <c r="H802" s="180"/>
      <c r="I802" s="180"/>
      <c r="J802" s="211"/>
      <c r="K802" s="180"/>
      <c r="L802" s="212"/>
      <c r="M802" s="180"/>
      <c r="N802" s="180"/>
      <c r="O802" s="180"/>
      <c r="P802" s="123"/>
      <c r="Q802" s="130"/>
      <c r="R802" s="180"/>
      <c r="S802" s="180"/>
      <c r="T802" s="180"/>
      <c r="U802" s="180"/>
      <c r="V802" s="123"/>
      <c r="W802" s="123"/>
      <c r="X802" s="123"/>
      <c r="Y802" s="180"/>
      <c r="Z802" s="180"/>
    </row>
    <row r="803" spans="1:26" ht="45.75" customHeight="1">
      <c r="A803" s="180"/>
      <c r="B803" s="180"/>
      <c r="C803" s="180"/>
      <c r="D803" s="180"/>
      <c r="E803" s="180"/>
      <c r="F803" s="225"/>
      <c r="G803" s="180"/>
      <c r="H803" s="180"/>
      <c r="I803" s="180"/>
      <c r="J803" s="211"/>
      <c r="K803" s="180"/>
      <c r="L803" s="212"/>
      <c r="M803" s="180"/>
      <c r="N803" s="180"/>
      <c r="O803" s="180"/>
      <c r="P803" s="123"/>
      <c r="Q803" s="130"/>
      <c r="R803" s="180"/>
      <c r="S803" s="180"/>
      <c r="T803" s="180"/>
      <c r="U803" s="180"/>
      <c r="V803" s="123"/>
      <c r="W803" s="123"/>
      <c r="X803" s="123"/>
      <c r="Y803" s="180"/>
      <c r="Z803" s="180"/>
    </row>
    <row r="804" spans="1:26" ht="45.75" customHeight="1">
      <c r="A804" s="180"/>
      <c r="B804" s="180"/>
      <c r="C804" s="180"/>
      <c r="D804" s="180"/>
      <c r="E804" s="180"/>
      <c r="F804" s="225"/>
      <c r="G804" s="180"/>
      <c r="H804" s="180"/>
      <c r="I804" s="180"/>
      <c r="J804" s="211"/>
      <c r="K804" s="180"/>
      <c r="L804" s="212"/>
      <c r="M804" s="180"/>
      <c r="N804" s="180"/>
      <c r="O804" s="180"/>
      <c r="P804" s="123"/>
      <c r="Q804" s="130"/>
      <c r="R804" s="180"/>
      <c r="S804" s="180"/>
      <c r="T804" s="180"/>
      <c r="U804" s="180"/>
      <c r="V804" s="123"/>
      <c r="W804" s="123"/>
      <c r="X804" s="123"/>
      <c r="Y804" s="180"/>
      <c r="Z804" s="180"/>
    </row>
    <row r="805" spans="1:26" ht="45.75" customHeight="1">
      <c r="A805" s="180"/>
      <c r="B805" s="180"/>
      <c r="C805" s="180"/>
      <c r="D805" s="180"/>
      <c r="E805" s="180"/>
      <c r="F805" s="225"/>
      <c r="G805" s="180"/>
      <c r="H805" s="180"/>
      <c r="I805" s="180"/>
      <c r="J805" s="211"/>
      <c r="K805" s="180"/>
      <c r="L805" s="212"/>
      <c r="M805" s="180"/>
      <c r="N805" s="180"/>
      <c r="O805" s="180"/>
      <c r="P805" s="123"/>
      <c r="Q805" s="130"/>
      <c r="R805" s="180"/>
      <c r="S805" s="180"/>
      <c r="T805" s="180"/>
      <c r="U805" s="180"/>
      <c r="V805" s="123"/>
      <c r="W805" s="123"/>
      <c r="X805" s="123"/>
      <c r="Y805" s="180"/>
      <c r="Z805" s="180"/>
    </row>
    <row r="806" spans="1:26" ht="45.75" customHeight="1">
      <c r="A806" s="180"/>
      <c r="B806" s="180"/>
      <c r="C806" s="180"/>
      <c r="D806" s="180"/>
      <c r="E806" s="180"/>
      <c r="F806" s="225"/>
      <c r="G806" s="180"/>
      <c r="H806" s="180"/>
      <c r="I806" s="180"/>
      <c r="J806" s="211"/>
      <c r="K806" s="180"/>
      <c r="L806" s="212"/>
      <c r="M806" s="180"/>
      <c r="N806" s="180"/>
      <c r="O806" s="180"/>
      <c r="P806" s="123"/>
      <c r="Q806" s="130"/>
      <c r="R806" s="180"/>
      <c r="S806" s="180"/>
      <c r="T806" s="180"/>
      <c r="U806" s="180"/>
      <c r="V806" s="123"/>
      <c r="W806" s="123"/>
      <c r="X806" s="123"/>
      <c r="Y806" s="180"/>
      <c r="Z806" s="180"/>
    </row>
    <row r="807" spans="1:26" ht="45.75" customHeight="1">
      <c r="A807" s="180"/>
      <c r="B807" s="180"/>
      <c r="C807" s="180"/>
      <c r="D807" s="180"/>
      <c r="E807" s="180"/>
      <c r="F807" s="225"/>
      <c r="G807" s="180"/>
      <c r="H807" s="180"/>
      <c r="I807" s="180"/>
      <c r="J807" s="211"/>
      <c r="K807" s="180"/>
      <c r="L807" s="212"/>
      <c r="M807" s="180"/>
      <c r="N807" s="180"/>
      <c r="O807" s="180"/>
      <c r="P807" s="123"/>
      <c r="Q807" s="130"/>
      <c r="R807" s="180"/>
      <c r="S807" s="180"/>
      <c r="T807" s="180"/>
      <c r="U807" s="180"/>
      <c r="V807" s="123"/>
      <c r="W807" s="123"/>
      <c r="X807" s="123"/>
      <c r="Y807" s="180"/>
      <c r="Z807" s="180"/>
    </row>
    <row r="808" spans="1:26" ht="45.75" customHeight="1">
      <c r="A808" s="180"/>
      <c r="B808" s="180"/>
      <c r="C808" s="180"/>
      <c r="D808" s="180"/>
      <c r="E808" s="180"/>
      <c r="F808" s="225"/>
      <c r="G808" s="180"/>
      <c r="H808" s="180"/>
      <c r="I808" s="180"/>
      <c r="J808" s="211"/>
      <c r="K808" s="180"/>
      <c r="L808" s="212"/>
      <c r="M808" s="180"/>
      <c r="N808" s="180"/>
      <c r="O808" s="180"/>
      <c r="P808" s="123"/>
      <c r="Q808" s="130"/>
      <c r="R808" s="180"/>
      <c r="S808" s="180"/>
      <c r="T808" s="180"/>
      <c r="U808" s="180"/>
      <c r="V808" s="123"/>
      <c r="W808" s="123"/>
      <c r="X808" s="123"/>
      <c r="Y808" s="180"/>
      <c r="Z808" s="180"/>
    </row>
    <row r="809" spans="1:26" ht="45.75" customHeight="1">
      <c r="A809" s="180"/>
      <c r="B809" s="180"/>
      <c r="C809" s="180"/>
      <c r="D809" s="180"/>
      <c r="E809" s="180"/>
      <c r="F809" s="225"/>
      <c r="G809" s="180"/>
      <c r="H809" s="180"/>
      <c r="I809" s="180"/>
      <c r="J809" s="211"/>
      <c r="K809" s="180"/>
      <c r="L809" s="212"/>
      <c r="M809" s="180"/>
      <c r="N809" s="180"/>
      <c r="O809" s="180"/>
      <c r="P809" s="123"/>
      <c r="Q809" s="130"/>
      <c r="R809" s="180"/>
      <c r="S809" s="180"/>
      <c r="T809" s="180"/>
      <c r="U809" s="180"/>
      <c r="V809" s="123"/>
      <c r="W809" s="123"/>
      <c r="X809" s="123"/>
      <c r="Y809" s="180"/>
      <c r="Z809" s="180"/>
    </row>
    <row r="810" spans="1:26" ht="45.75" customHeight="1">
      <c r="A810" s="180"/>
      <c r="B810" s="180"/>
      <c r="C810" s="180"/>
      <c r="D810" s="180"/>
      <c r="E810" s="180"/>
      <c r="F810" s="225"/>
      <c r="G810" s="180"/>
      <c r="H810" s="180"/>
      <c r="I810" s="180"/>
      <c r="J810" s="211"/>
      <c r="K810" s="180"/>
      <c r="L810" s="212"/>
      <c r="M810" s="180"/>
      <c r="N810" s="180"/>
      <c r="O810" s="180"/>
      <c r="P810" s="123"/>
      <c r="Q810" s="130"/>
      <c r="R810" s="180"/>
      <c r="S810" s="180"/>
      <c r="T810" s="180"/>
      <c r="U810" s="180"/>
      <c r="V810" s="123"/>
      <c r="W810" s="123"/>
      <c r="X810" s="123"/>
      <c r="Y810" s="180"/>
      <c r="Z810" s="180"/>
    </row>
    <row r="811" spans="1:26" ht="45.75" customHeight="1">
      <c r="A811" s="180"/>
      <c r="B811" s="180"/>
      <c r="C811" s="180"/>
      <c r="D811" s="180"/>
      <c r="E811" s="180"/>
      <c r="F811" s="225"/>
      <c r="G811" s="180"/>
      <c r="H811" s="180"/>
      <c r="I811" s="180"/>
      <c r="J811" s="211"/>
      <c r="K811" s="180"/>
      <c r="L811" s="212"/>
      <c r="M811" s="180"/>
      <c r="N811" s="180"/>
      <c r="O811" s="180"/>
      <c r="P811" s="123"/>
      <c r="Q811" s="130"/>
      <c r="R811" s="180"/>
      <c r="S811" s="180"/>
      <c r="T811" s="180"/>
      <c r="U811" s="180"/>
      <c r="V811" s="123"/>
      <c r="W811" s="123"/>
      <c r="X811" s="123"/>
      <c r="Y811" s="180"/>
      <c r="Z811" s="180"/>
    </row>
    <row r="812" spans="1:26" ht="45.75" customHeight="1">
      <c r="A812" s="180"/>
      <c r="B812" s="180"/>
      <c r="C812" s="180"/>
      <c r="D812" s="180"/>
      <c r="E812" s="180"/>
      <c r="F812" s="225"/>
      <c r="G812" s="180"/>
      <c r="H812" s="180"/>
      <c r="I812" s="180"/>
      <c r="J812" s="211"/>
      <c r="K812" s="180"/>
      <c r="L812" s="212"/>
      <c r="M812" s="180"/>
      <c r="N812" s="180"/>
      <c r="O812" s="180"/>
      <c r="P812" s="123"/>
      <c r="Q812" s="130"/>
      <c r="R812" s="180"/>
      <c r="S812" s="180"/>
      <c r="T812" s="180"/>
      <c r="U812" s="180"/>
      <c r="V812" s="123"/>
      <c r="W812" s="123"/>
      <c r="X812" s="123"/>
      <c r="Y812" s="180"/>
      <c r="Z812" s="180"/>
    </row>
    <row r="813" spans="1:26" ht="45.75" customHeight="1">
      <c r="A813" s="180"/>
      <c r="B813" s="180"/>
      <c r="C813" s="180"/>
      <c r="D813" s="180"/>
      <c r="E813" s="180"/>
      <c r="F813" s="225"/>
      <c r="G813" s="180"/>
      <c r="H813" s="180"/>
      <c r="I813" s="180"/>
      <c r="J813" s="211"/>
      <c r="K813" s="180"/>
      <c r="L813" s="212"/>
      <c r="M813" s="180"/>
      <c r="N813" s="180"/>
      <c r="O813" s="180"/>
      <c r="P813" s="123"/>
      <c r="Q813" s="130"/>
      <c r="R813" s="180"/>
      <c r="S813" s="180"/>
      <c r="T813" s="180"/>
      <c r="U813" s="180"/>
      <c r="V813" s="123"/>
      <c r="W813" s="123"/>
      <c r="X813" s="123"/>
      <c r="Y813" s="180"/>
      <c r="Z813" s="180"/>
    </row>
    <row r="814" spans="1:26" ht="45.75" customHeight="1">
      <c r="A814" s="180"/>
      <c r="B814" s="180"/>
      <c r="C814" s="180"/>
      <c r="D814" s="180"/>
      <c r="E814" s="180"/>
      <c r="F814" s="225"/>
      <c r="G814" s="180"/>
      <c r="H814" s="180"/>
      <c r="I814" s="180"/>
      <c r="J814" s="211"/>
      <c r="K814" s="180"/>
      <c r="L814" s="212"/>
      <c r="M814" s="180"/>
      <c r="N814" s="180"/>
      <c r="O814" s="180"/>
      <c r="P814" s="123"/>
      <c r="Q814" s="130"/>
      <c r="R814" s="180"/>
      <c r="S814" s="180"/>
      <c r="T814" s="180"/>
      <c r="U814" s="180"/>
      <c r="V814" s="123"/>
      <c r="W814" s="123"/>
      <c r="X814" s="123"/>
      <c r="Y814" s="180"/>
      <c r="Z814" s="180"/>
    </row>
    <row r="815" spans="1:26" ht="45.75" customHeight="1">
      <c r="A815" s="180"/>
      <c r="B815" s="180"/>
      <c r="C815" s="180"/>
      <c r="D815" s="180"/>
      <c r="E815" s="180"/>
      <c r="F815" s="225"/>
      <c r="G815" s="180"/>
      <c r="H815" s="180"/>
      <c r="I815" s="180"/>
      <c r="J815" s="211"/>
      <c r="K815" s="180"/>
      <c r="L815" s="212"/>
      <c r="M815" s="180"/>
      <c r="N815" s="180"/>
      <c r="O815" s="180"/>
      <c r="P815" s="123"/>
      <c r="Q815" s="130"/>
      <c r="R815" s="180"/>
      <c r="S815" s="180"/>
      <c r="T815" s="180"/>
      <c r="U815" s="180"/>
      <c r="V815" s="123"/>
      <c r="W815" s="123"/>
      <c r="X815" s="123"/>
      <c r="Y815" s="180"/>
      <c r="Z815" s="180"/>
    </row>
    <row r="816" spans="1:26" ht="45.75" customHeight="1">
      <c r="A816" s="180"/>
      <c r="B816" s="180"/>
      <c r="C816" s="180"/>
      <c r="D816" s="180"/>
      <c r="E816" s="180"/>
      <c r="F816" s="225"/>
      <c r="G816" s="180"/>
      <c r="H816" s="180"/>
      <c r="I816" s="180"/>
      <c r="J816" s="211"/>
      <c r="K816" s="180"/>
      <c r="L816" s="212"/>
      <c r="M816" s="180"/>
      <c r="N816" s="180"/>
      <c r="O816" s="180"/>
      <c r="P816" s="123"/>
      <c r="Q816" s="130"/>
      <c r="R816" s="180"/>
      <c r="S816" s="180"/>
      <c r="T816" s="180"/>
      <c r="U816" s="180"/>
      <c r="V816" s="123"/>
      <c r="W816" s="123"/>
      <c r="X816" s="123"/>
      <c r="Y816" s="180"/>
      <c r="Z816" s="180"/>
    </row>
    <row r="817" spans="1:26" ht="45.75" customHeight="1">
      <c r="A817" s="180"/>
      <c r="B817" s="180"/>
      <c r="C817" s="180"/>
      <c r="D817" s="180"/>
      <c r="E817" s="180"/>
      <c r="F817" s="225"/>
      <c r="G817" s="180"/>
      <c r="H817" s="180"/>
      <c r="I817" s="180"/>
      <c r="J817" s="211"/>
      <c r="K817" s="180"/>
      <c r="L817" s="212"/>
      <c r="M817" s="180"/>
      <c r="N817" s="180"/>
      <c r="O817" s="180"/>
      <c r="P817" s="123"/>
      <c r="Q817" s="130"/>
      <c r="R817" s="180"/>
      <c r="S817" s="180"/>
      <c r="T817" s="180"/>
      <c r="U817" s="180"/>
      <c r="V817" s="123"/>
      <c r="W817" s="123"/>
      <c r="X817" s="123"/>
      <c r="Y817" s="180"/>
      <c r="Z817" s="180"/>
    </row>
    <row r="818" spans="1:26" ht="45.75" customHeight="1">
      <c r="A818" s="180"/>
      <c r="B818" s="180"/>
      <c r="C818" s="180"/>
      <c r="D818" s="180"/>
      <c r="E818" s="180"/>
      <c r="F818" s="225"/>
      <c r="G818" s="180"/>
      <c r="H818" s="180"/>
      <c r="I818" s="180"/>
      <c r="J818" s="211"/>
      <c r="K818" s="180"/>
      <c r="L818" s="212"/>
      <c r="M818" s="180"/>
      <c r="N818" s="180"/>
      <c r="O818" s="180"/>
      <c r="P818" s="123"/>
      <c r="Q818" s="130"/>
      <c r="R818" s="180"/>
      <c r="S818" s="180"/>
      <c r="T818" s="180"/>
      <c r="U818" s="180"/>
      <c r="V818" s="123"/>
      <c r="W818" s="123"/>
      <c r="X818" s="123"/>
      <c r="Y818" s="180"/>
      <c r="Z818" s="180"/>
    </row>
    <row r="819" spans="1:26" ht="45.75" customHeight="1">
      <c r="A819" s="180"/>
      <c r="B819" s="180"/>
      <c r="C819" s="180"/>
      <c r="D819" s="180"/>
      <c r="E819" s="180"/>
      <c r="F819" s="225"/>
      <c r="G819" s="180"/>
      <c r="H819" s="180"/>
      <c r="I819" s="180"/>
      <c r="J819" s="211"/>
      <c r="K819" s="180"/>
      <c r="L819" s="212"/>
      <c r="M819" s="180"/>
      <c r="N819" s="180"/>
      <c r="O819" s="180"/>
      <c r="P819" s="123"/>
      <c r="Q819" s="130"/>
      <c r="R819" s="180"/>
      <c r="S819" s="180"/>
      <c r="T819" s="180"/>
      <c r="U819" s="180"/>
      <c r="V819" s="123"/>
      <c r="W819" s="123"/>
      <c r="X819" s="123"/>
      <c r="Y819" s="180"/>
      <c r="Z819" s="180"/>
    </row>
    <row r="820" spans="1:26" ht="45.75" customHeight="1">
      <c r="A820" s="180"/>
      <c r="B820" s="180"/>
      <c r="C820" s="180"/>
      <c r="D820" s="180"/>
      <c r="E820" s="180"/>
      <c r="F820" s="225"/>
      <c r="G820" s="180"/>
      <c r="H820" s="180"/>
      <c r="I820" s="180"/>
      <c r="J820" s="211"/>
      <c r="K820" s="180"/>
      <c r="L820" s="212"/>
      <c r="M820" s="180"/>
      <c r="N820" s="180"/>
      <c r="O820" s="180"/>
      <c r="P820" s="123"/>
      <c r="Q820" s="130"/>
      <c r="R820" s="180"/>
      <c r="S820" s="180"/>
      <c r="T820" s="180"/>
      <c r="U820" s="180"/>
      <c r="V820" s="123"/>
      <c r="W820" s="123"/>
      <c r="X820" s="123"/>
      <c r="Y820" s="180"/>
      <c r="Z820" s="180"/>
    </row>
    <row r="821" spans="1:26" ht="45.75" customHeight="1">
      <c r="A821" s="180"/>
      <c r="B821" s="180"/>
      <c r="C821" s="180"/>
      <c r="D821" s="180"/>
      <c r="E821" s="180"/>
      <c r="F821" s="225"/>
      <c r="G821" s="180"/>
      <c r="H821" s="180"/>
      <c r="I821" s="180"/>
      <c r="J821" s="211"/>
      <c r="K821" s="180"/>
      <c r="L821" s="212"/>
      <c r="M821" s="180"/>
      <c r="N821" s="180"/>
      <c r="O821" s="180"/>
      <c r="P821" s="123"/>
      <c r="Q821" s="130"/>
      <c r="R821" s="180"/>
      <c r="S821" s="180"/>
      <c r="T821" s="180"/>
      <c r="U821" s="180"/>
      <c r="V821" s="123"/>
      <c r="W821" s="123"/>
      <c r="X821" s="123"/>
      <c r="Y821" s="180"/>
      <c r="Z821" s="180"/>
    </row>
    <row r="822" spans="1:26" ht="45.75" customHeight="1">
      <c r="A822" s="180"/>
      <c r="B822" s="180"/>
      <c r="C822" s="180"/>
      <c r="D822" s="180"/>
      <c r="E822" s="180"/>
      <c r="F822" s="225"/>
      <c r="G822" s="180"/>
      <c r="H822" s="180"/>
      <c r="I822" s="180"/>
      <c r="J822" s="211"/>
      <c r="K822" s="180"/>
      <c r="L822" s="212"/>
      <c r="M822" s="180"/>
      <c r="N822" s="180"/>
      <c r="O822" s="180"/>
      <c r="P822" s="123"/>
      <c r="Q822" s="130"/>
      <c r="R822" s="180"/>
      <c r="S822" s="180"/>
      <c r="T822" s="180"/>
      <c r="U822" s="180"/>
      <c r="V822" s="123"/>
      <c r="W822" s="123"/>
      <c r="X822" s="123"/>
      <c r="Y822" s="180"/>
      <c r="Z822" s="180"/>
    </row>
    <row r="823" spans="1:26" ht="45.75" customHeight="1">
      <c r="A823" s="180"/>
      <c r="B823" s="180"/>
      <c r="C823" s="180"/>
      <c r="D823" s="180"/>
      <c r="E823" s="180"/>
      <c r="F823" s="225"/>
      <c r="G823" s="180"/>
      <c r="H823" s="180"/>
      <c r="I823" s="180"/>
      <c r="J823" s="211"/>
      <c r="K823" s="180"/>
      <c r="L823" s="212"/>
      <c r="M823" s="180"/>
      <c r="N823" s="180"/>
      <c r="O823" s="180"/>
      <c r="P823" s="123"/>
      <c r="Q823" s="130"/>
      <c r="R823" s="180"/>
      <c r="S823" s="180"/>
      <c r="T823" s="180"/>
      <c r="U823" s="180"/>
      <c r="V823" s="123"/>
      <c r="W823" s="123"/>
      <c r="X823" s="123"/>
      <c r="Y823" s="180"/>
      <c r="Z823" s="180"/>
    </row>
    <row r="824" spans="1:26" ht="45.75" customHeight="1">
      <c r="A824" s="180"/>
      <c r="B824" s="180"/>
      <c r="C824" s="180"/>
      <c r="D824" s="180"/>
      <c r="E824" s="180"/>
      <c r="F824" s="225"/>
      <c r="G824" s="180"/>
      <c r="H824" s="180"/>
      <c r="I824" s="180"/>
      <c r="J824" s="211"/>
      <c r="K824" s="180"/>
      <c r="L824" s="212"/>
      <c r="M824" s="180"/>
      <c r="N824" s="180"/>
      <c r="O824" s="180"/>
      <c r="P824" s="123"/>
      <c r="Q824" s="130"/>
      <c r="R824" s="180"/>
      <c r="S824" s="180"/>
      <c r="T824" s="180"/>
      <c r="U824" s="180"/>
      <c r="V824" s="123"/>
      <c r="W824" s="123"/>
      <c r="X824" s="123"/>
      <c r="Y824" s="180"/>
      <c r="Z824" s="180"/>
    </row>
    <row r="825" spans="1:26" ht="45.75" customHeight="1">
      <c r="A825" s="180"/>
      <c r="B825" s="180"/>
      <c r="C825" s="180"/>
      <c r="D825" s="180"/>
      <c r="E825" s="180"/>
      <c r="F825" s="225"/>
      <c r="G825" s="180"/>
      <c r="H825" s="180"/>
      <c r="I825" s="180"/>
      <c r="J825" s="211"/>
      <c r="K825" s="180"/>
      <c r="L825" s="212"/>
      <c r="M825" s="180"/>
      <c r="N825" s="180"/>
      <c r="O825" s="180"/>
      <c r="P825" s="123"/>
      <c r="Q825" s="130"/>
      <c r="R825" s="180"/>
      <c r="S825" s="180"/>
      <c r="T825" s="180"/>
      <c r="U825" s="180"/>
      <c r="V825" s="123"/>
      <c r="W825" s="123"/>
      <c r="X825" s="123"/>
      <c r="Y825" s="180"/>
      <c r="Z825" s="180"/>
    </row>
    <row r="826" spans="1:26" ht="45.75" customHeight="1">
      <c r="A826" s="180"/>
      <c r="B826" s="180"/>
      <c r="C826" s="180"/>
      <c r="D826" s="180"/>
      <c r="E826" s="180"/>
      <c r="F826" s="225"/>
      <c r="G826" s="180"/>
      <c r="H826" s="180"/>
      <c r="I826" s="180"/>
      <c r="J826" s="211"/>
      <c r="K826" s="180"/>
      <c r="L826" s="212"/>
      <c r="M826" s="180"/>
      <c r="N826" s="180"/>
      <c r="O826" s="180"/>
      <c r="P826" s="123"/>
      <c r="Q826" s="130"/>
      <c r="R826" s="180"/>
      <c r="S826" s="180"/>
      <c r="T826" s="180"/>
      <c r="U826" s="180"/>
      <c r="V826" s="123"/>
      <c r="W826" s="123"/>
      <c r="X826" s="123"/>
      <c r="Y826" s="180"/>
      <c r="Z826" s="180"/>
    </row>
    <row r="827" spans="1:26" ht="45.75" customHeight="1">
      <c r="A827" s="180"/>
      <c r="B827" s="180"/>
      <c r="C827" s="180"/>
      <c r="D827" s="180"/>
      <c r="E827" s="180"/>
      <c r="F827" s="225"/>
      <c r="G827" s="180"/>
      <c r="H827" s="180"/>
      <c r="I827" s="180"/>
      <c r="J827" s="211"/>
      <c r="K827" s="180"/>
      <c r="L827" s="212"/>
      <c r="M827" s="180"/>
      <c r="N827" s="180"/>
      <c r="O827" s="180"/>
      <c r="P827" s="123"/>
      <c r="Q827" s="130"/>
      <c r="R827" s="180"/>
      <c r="S827" s="180"/>
      <c r="T827" s="180"/>
      <c r="U827" s="180"/>
      <c r="V827" s="123"/>
      <c r="W827" s="123"/>
      <c r="X827" s="123"/>
      <c r="Y827" s="180"/>
      <c r="Z827" s="180"/>
    </row>
    <row r="828" spans="1:26" ht="45.75" customHeight="1">
      <c r="A828" s="180"/>
      <c r="B828" s="180"/>
      <c r="C828" s="180"/>
      <c r="D828" s="180"/>
      <c r="E828" s="180"/>
      <c r="F828" s="225"/>
      <c r="G828" s="180"/>
      <c r="H828" s="180"/>
      <c r="I828" s="180"/>
      <c r="J828" s="211"/>
      <c r="K828" s="180"/>
      <c r="L828" s="212"/>
      <c r="M828" s="180"/>
      <c r="N828" s="180"/>
      <c r="O828" s="180"/>
      <c r="P828" s="123"/>
      <c r="Q828" s="130"/>
      <c r="R828" s="180"/>
      <c r="S828" s="180"/>
      <c r="T828" s="180"/>
      <c r="U828" s="180"/>
      <c r="V828" s="123"/>
      <c r="W828" s="123"/>
      <c r="X828" s="123"/>
      <c r="Y828" s="180"/>
      <c r="Z828" s="180"/>
    </row>
    <row r="829" spans="1:26" ht="45.75" customHeight="1">
      <c r="A829" s="180"/>
      <c r="B829" s="180"/>
      <c r="C829" s="180"/>
      <c r="D829" s="180"/>
      <c r="E829" s="180"/>
      <c r="F829" s="225"/>
      <c r="G829" s="180"/>
      <c r="H829" s="180"/>
      <c r="I829" s="180"/>
      <c r="J829" s="211"/>
      <c r="K829" s="180"/>
      <c r="L829" s="212"/>
      <c r="M829" s="180"/>
      <c r="N829" s="180"/>
      <c r="O829" s="180"/>
      <c r="P829" s="123"/>
      <c r="Q829" s="130"/>
      <c r="R829" s="180"/>
      <c r="S829" s="180"/>
      <c r="T829" s="180"/>
      <c r="U829" s="180"/>
      <c r="V829" s="123"/>
      <c r="W829" s="123"/>
      <c r="X829" s="123"/>
      <c r="Y829" s="180"/>
      <c r="Z829" s="180"/>
    </row>
    <row r="830" spans="1:26" ht="45.75" customHeight="1">
      <c r="A830" s="180"/>
      <c r="B830" s="180"/>
      <c r="C830" s="180"/>
      <c r="D830" s="180"/>
      <c r="E830" s="180"/>
      <c r="F830" s="225"/>
      <c r="G830" s="180"/>
      <c r="H830" s="180"/>
      <c r="I830" s="180"/>
      <c r="J830" s="211"/>
      <c r="K830" s="180"/>
      <c r="L830" s="212"/>
      <c r="M830" s="180"/>
      <c r="N830" s="180"/>
      <c r="O830" s="180"/>
      <c r="P830" s="123"/>
      <c r="Q830" s="130"/>
      <c r="R830" s="180"/>
      <c r="S830" s="180"/>
      <c r="T830" s="180"/>
      <c r="U830" s="180"/>
      <c r="V830" s="123"/>
      <c r="W830" s="123"/>
      <c r="X830" s="123"/>
      <c r="Y830" s="180"/>
      <c r="Z830" s="180"/>
    </row>
    <row r="831" spans="1:26" ht="45.75" customHeight="1">
      <c r="A831" s="180"/>
      <c r="B831" s="180"/>
      <c r="C831" s="180"/>
      <c r="D831" s="180"/>
      <c r="E831" s="180"/>
      <c r="F831" s="225"/>
      <c r="G831" s="180"/>
      <c r="H831" s="180"/>
      <c r="I831" s="180"/>
      <c r="J831" s="211"/>
      <c r="K831" s="180"/>
      <c r="L831" s="212"/>
      <c r="M831" s="180"/>
      <c r="N831" s="180"/>
      <c r="O831" s="180"/>
      <c r="P831" s="123"/>
      <c r="Q831" s="130"/>
      <c r="R831" s="180"/>
      <c r="S831" s="180"/>
      <c r="T831" s="180"/>
      <c r="U831" s="180"/>
      <c r="V831" s="123"/>
      <c r="W831" s="123"/>
      <c r="X831" s="123"/>
      <c r="Y831" s="180"/>
      <c r="Z831" s="180"/>
    </row>
    <row r="832" spans="1:26" ht="45.75" customHeight="1">
      <c r="A832" s="180"/>
      <c r="B832" s="180"/>
      <c r="C832" s="180"/>
      <c r="D832" s="180"/>
      <c r="E832" s="180"/>
      <c r="F832" s="225"/>
      <c r="G832" s="180"/>
      <c r="H832" s="180"/>
      <c r="I832" s="180"/>
      <c r="J832" s="211"/>
      <c r="K832" s="180"/>
      <c r="L832" s="212"/>
      <c r="M832" s="180"/>
      <c r="N832" s="180"/>
      <c r="O832" s="180"/>
      <c r="P832" s="123"/>
      <c r="Q832" s="130"/>
      <c r="R832" s="180"/>
      <c r="S832" s="180"/>
      <c r="T832" s="180"/>
      <c r="U832" s="180"/>
      <c r="V832" s="123"/>
      <c r="W832" s="123"/>
      <c r="X832" s="123"/>
      <c r="Y832" s="180"/>
      <c r="Z832" s="180"/>
    </row>
    <row r="833" spans="1:26" ht="45.75" customHeight="1">
      <c r="A833" s="180"/>
      <c r="B833" s="180"/>
      <c r="C833" s="180"/>
      <c r="D833" s="180"/>
      <c r="E833" s="180"/>
      <c r="F833" s="225"/>
      <c r="G833" s="180"/>
      <c r="H833" s="180"/>
      <c r="I833" s="180"/>
      <c r="J833" s="211"/>
      <c r="K833" s="180"/>
      <c r="L833" s="212"/>
      <c r="M833" s="180"/>
      <c r="N833" s="180"/>
      <c r="O833" s="180"/>
      <c r="P833" s="123"/>
      <c r="Q833" s="130"/>
      <c r="R833" s="180"/>
      <c r="S833" s="180"/>
      <c r="T833" s="180"/>
      <c r="U833" s="180"/>
      <c r="V833" s="123"/>
      <c r="W833" s="123"/>
      <c r="X833" s="123"/>
      <c r="Y833" s="180"/>
      <c r="Z833" s="180"/>
    </row>
    <row r="834" spans="1:26" ht="45.75" customHeight="1">
      <c r="A834" s="180"/>
      <c r="B834" s="180"/>
      <c r="C834" s="180"/>
      <c r="D834" s="180"/>
      <c r="E834" s="180"/>
      <c r="F834" s="225"/>
      <c r="G834" s="180"/>
      <c r="H834" s="180"/>
      <c r="I834" s="180"/>
      <c r="J834" s="211"/>
      <c r="K834" s="180"/>
      <c r="L834" s="212"/>
      <c r="M834" s="180"/>
      <c r="N834" s="180"/>
      <c r="O834" s="180"/>
      <c r="P834" s="123"/>
      <c r="Q834" s="130"/>
      <c r="R834" s="180"/>
      <c r="S834" s="180"/>
      <c r="T834" s="180"/>
      <c r="U834" s="180"/>
      <c r="V834" s="123"/>
      <c r="W834" s="123"/>
      <c r="X834" s="123"/>
      <c r="Y834" s="180"/>
      <c r="Z834" s="180"/>
    </row>
    <row r="835" spans="1:26" ht="45.75" customHeight="1">
      <c r="A835" s="180"/>
      <c r="B835" s="180"/>
      <c r="C835" s="180"/>
      <c r="D835" s="180"/>
      <c r="E835" s="180"/>
      <c r="F835" s="225"/>
      <c r="G835" s="180"/>
      <c r="H835" s="180"/>
      <c r="I835" s="180"/>
      <c r="J835" s="211"/>
      <c r="K835" s="180"/>
      <c r="L835" s="212"/>
      <c r="M835" s="180"/>
      <c r="N835" s="180"/>
      <c r="O835" s="180"/>
      <c r="P835" s="123"/>
      <c r="Q835" s="130"/>
      <c r="R835" s="180"/>
      <c r="S835" s="180"/>
      <c r="T835" s="180"/>
      <c r="U835" s="180"/>
      <c r="V835" s="123"/>
      <c r="W835" s="123"/>
      <c r="X835" s="123"/>
      <c r="Y835" s="180"/>
      <c r="Z835" s="180"/>
    </row>
    <row r="836" spans="1:26" ht="45.75" customHeight="1">
      <c r="A836" s="180"/>
      <c r="B836" s="180"/>
      <c r="C836" s="180"/>
      <c r="D836" s="180"/>
      <c r="E836" s="180"/>
      <c r="F836" s="225"/>
      <c r="G836" s="180"/>
      <c r="H836" s="180"/>
      <c r="I836" s="180"/>
      <c r="J836" s="211"/>
      <c r="K836" s="180"/>
      <c r="L836" s="212"/>
      <c r="M836" s="180"/>
      <c r="N836" s="180"/>
      <c r="O836" s="180"/>
      <c r="P836" s="123"/>
      <c r="Q836" s="130"/>
      <c r="R836" s="180"/>
      <c r="S836" s="180"/>
      <c r="T836" s="180"/>
      <c r="U836" s="180"/>
      <c r="V836" s="123"/>
      <c r="W836" s="123"/>
      <c r="X836" s="123"/>
      <c r="Y836" s="180"/>
      <c r="Z836" s="180"/>
    </row>
    <row r="837" spans="1:26" ht="45.75" customHeight="1">
      <c r="A837" s="180"/>
      <c r="B837" s="180"/>
      <c r="C837" s="180"/>
      <c r="D837" s="180"/>
      <c r="E837" s="180"/>
      <c r="F837" s="225"/>
      <c r="G837" s="180"/>
      <c r="H837" s="180"/>
      <c r="I837" s="180"/>
      <c r="J837" s="211"/>
      <c r="K837" s="180"/>
      <c r="L837" s="212"/>
      <c r="M837" s="180"/>
      <c r="N837" s="180"/>
      <c r="O837" s="180"/>
      <c r="P837" s="123"/>
      <c r="Q837" s="130"/>
      <c r="R837" s="180"/>
      <c r="S837" s="180"/>
      <c r="T837" s="180"/>
      <c r="U837" s="180"/>
      <c r="V837" s="123"/>
      <c r="W837" s="123"/>
      <c r="X837" s="123"/>
      <c r="Y837" s="180"/>
      <c r="Z837" s="180"/>
    </row>
    <row r="838" spans="1:26" ht="45.75" customHeight="1">
      <c r="A838" s="180"/>
      <c r="B838" s="180"/>
      <c r="C838" s="180"/>
      <c r="D838" s="180"/>
      <c r="E838" s="180"/>
      <c r="F838" s="225"/>
      <c r="G838" s="180"/>
      <c r="H838" s="180"/>
      <c r="I838" s="180"/>
      <c r="J838" s="211"/>
      <c r="K838" s="180"/>
      <c r="L838" s="212"/>
      <c r="M838" s="180"/>
      <c r="N838" s="180"/>
      <c r="O838" s="180"/>
      <c r="P838" s="123"/>
      <c r="Q838" s="130"/>
      <c r="R838" s="180"/>
      <c r="S838" s="180"/>
      <c r="T838" s="180"/>
      <c r="U838" s="180"/>
      <c r="V838" s="123"/>
      <c r="W838" s="123"/>
      <c r="X838" s="123"/>
      <c r="Y838" s="180"/>
      <c r="Z838" s="180"/>
    </row>
    <row r="839" spans="1:26" ht="45.75" customHeight="1">
      <c r="A839" s="180"/>
      <c r="B839" s="180"/>
      <c r="C839" s="180"/>
      <c r="D839" s="180"/>
      <c r="E839" s="180"/>
      <c r="F839" s="225"/>
      <c r="G839" s="180"/>
      <c r="H839" s="180"/>
      <c r="I839" s="180"/>
      <c r="J839" s="211"/>
      <c r="K839" s="180"/>
      <c r="L839" s="212"/>
      <c r="M839" s="180"/>
      <c r="N839" s="180"/>
      <c r="O839" s="180"/>
      <c r="P839" s="123"/>
      <c r="Q839" s="130"/>
      <c r="R839" s="180"/>
      <c r="S839" s="180"/>
      <c r="T839" s="180"/>
      <c r="U839" s="180"/>
      <c r="V839" s="123"/>
      <c r="W839" s="123"/>
      <c r="X839" s="123"/>
      <c r="Y839" s="180"/>
      <c r="Z839" s="180"/>
    </row>
    <row r="840" spans="1:26" ht="45.75" customHeight="1">
      <c r="A840" s="180"/>
      <c r="B840" s="180"/>
      <c r="C840" s="180"/>
      <c r="D840" s="180"/>
      <c r="E840" s="180"/>
      <c r="F840" s="225"/>
      <c r="G840" s="180"/>
      <c r="H840" s="180"/>
      <c r="I840" s="180"/>
      <c r="J840" s="211"/>
      <c r="K840" s="180"/>
      <c r="L840" s="212"/>
      <c r="M840" s="180"/>
      <c r="N840" s="180"/>
      <c r="O840" s="180"/>
      <c r="P840" s="123"/>
      <c r="Q840" s="130"/>
      <c r="R840" s="180"/>
      <c r="S840" s="180"/>
      <c r="T840" s="180"/>
      <c r="U840" s="180"/>
      <c r="V840" s="123"/>
      <c r="W840" s="123"/>
      <c r="X840" s="123"/>
      <c r="Y840" s="180"/>
      <c r="Z840" s="180"/>
    </row>
    <row r="841" spans="1:26" ht="45.75" customHeight="1">
      <c r="A841" s="180"/>
      <c r="B841" s="180"/>
      <c r="C841" s="180"/>
      <c r="D841" s="180"/>
      <c r="E841" s="180"/>
      <c r="F841" s="225"/>
      <c r="G841" s="180"/>
      <c r="H841" s="180"/>
      <c r="I841" s="180"/>
      <c r="J841" s="211"/>
      <c r="K841" s="180"/>
      <c r="L841" s="212"/>
      <c r="M841" s="180"/>
      <c r="N841" s="180"/>
      <c r="O841" s="180"/>
      <c r="P841" s="123"/>
      <c r="Q841" s="130"/>
      <c r="R841" s="180"/>
      <c r="S841" s="180"/>
      <c r="T841" s="180"/>
      <c r="U841" s="180"/>
      <c r="V841" s="123"/>
      <c r="W841" s="123"/>
      <c r="X841" s="123"/>
      <c r="Y841" s="180"/>
      <c r="Z841" s="180"/>
    </row>
    <row r="842" spans="1:26" ht="45.75" customHeight="1">
      <c r="A842" s="180"/>
      <c r="B842" s="180"/>
      <c r="C842" s="180"/>
      <c r="D842" s="180"/>
      <c r="E842" s="180"/>
      <c r="F842" s="225"/>
      <c r="G842" s="180"/>
      <c r="H842" s="180"/>
      <c r="I842" s="180"/>
      <c r="J842" s="211"/>
      <c r="K842" s="180"/>
      <c r="L842" s="212"/>
      <c r="M842" s="180"/>
      <c r="N842" s="180"/>
      <c r="O842" s="180"/>
      <c r="P842" s="123"/>
      <c r="Q842" s="130"/>
      <c r="R842" s="180"/>
      <c r="S842" s="180"/>
      <c r="T842" s="180"/>
      <c r="U842" s="180"/>
      <c r="V842" s="123"/>
      <c r="W842" s="123"/>
      <c r="X842" s="123"/>
      <c r="Y842" s="180"/>
      <c r="Z842" s="180"/>
    </row>
    <row r="843" spans="1:26" ht="45.75" customHeight="1">
      <c r="A843" s="180"/>
      <c r="B843" s="180"/>
      <c r="C843" s="180"/>
      <c r="D843" s="180"/>
      <c r="E843" s="180"/>
      <c r="F843" s="225"/>
      <c r="G843" s="180"/>
      <c r="H843" s="180"/>
      <c r="I843" s="180"/>
      <c r="J843" s="211"/>
      <c r="K843" s="180"/>
      <c r="L843" s="212"/>
      <c r="M843" s="180"/>
      <c r="N843" s="180"/>
      <c r="O843" s="180"/>
      <c r="P843" s="123"/>
      <c r="Q843" s="130"/>
      <c r="R843" s="180"/>
      <c r="S843" s="180"/>
      <c r="T843" s="180"/>
      <c r="U843" s="180"/>
      <c r="V843" s="123"/>
      <c r="W843" s="123"/>
      <c r="X843" s="123"/>
      <c r="Y843" s="180"/>
      <c r="Z843" s="180"/>
    </row>
    <row r="844" spans="1:26" ht="45.75" customHeight="1">
      <c r="A844" s="180"/>
      <c r="B844" s="180"/>
      <c r="C844" s="180"/>
      <c r="D844" s="180"/>
      <c r="E844" s="180"/>
      <c r="F844" s="225"/>
      <c r="G844" s="180"/>
      <c r="H844" s="180"/>
      <c r="I844" s="180"/>
      <c r="J844" s="211"/>
      <c r="K844" s="180"/>
      <c r="L844" s="212"/>
      <c r="M844" s="180"/>
      <c r="N844" s="180"/>
      <c r="O844" s="180"/>
      <c r="P844" s="123"/>
      <c r="Q844" s="130"/>
      <c r="R844" s="180"/>
      <c r="S844" s="180"/>
      <c r="T844" s="180"/>
      <c r="U844" s="180"/>
      <c r="V844" s="123"/>
      <c r="W844" s="123"/>
      <c r="X844" s="123"/>
      <c r="Y844" s="180"/>
      <c r="Z844" s="180"/>
    </row>
    <row r="845" spans="1:26" ht="45.75" customHeight="1">
      <c r="A845" s="180"/>
      <c r="B845" s="180"/>
      <c r="C845" s="180"/>
      <c r="D845" s="180"/>
      <c r="E845" s="180"/>
      <c r="F845" s="225"/>
      <c r="G845" s="180"/>
      <c r="H845" s="180"/>
      <c r="I845" s="180"/>
      <c r="J845" s="211"/>
      <c r="K845" s="180"/>
      <c r="L845" s="212"/>
      <c r="M845" s="180"/>
      <c r="N845" s="180"/>
      <c r="O845" s="180"/>
      <c r="P845" s="123"/>
      <c r="Q845" s="130"/>
      <c r="R845" s="180"/>
      <c r="S845" s="180"/>
      <c r="T845" s="180"/>
      <c r="U845" s="180"/>
      <c r="V845" s="123"/>
      <c r="W845" s="123"/>
      <c r="X845" s="123"/>
      <c r="Y845" s="180"/>
      <c r="Z845" s="180"/>
    </row>
    <row r="846" spans="1:26" ht="45.75" customHeight="1">
      <c r="A846" s="180"/>
      <c r="B846" s="180"/>
      <c r="C846" s="180"/>
      <c r="D846" s="180"/>
      <c r="E846" s="180"/>
      <c r="F846" s="225"/>
      <c r="G846" s="180"/>
      <c r="H846" s="180"/>
      <c r="I846" s="180"/>
      <c r="J846" s="211"/>
      <c r="K846" s="180"/>
      <c r="L846" s="212"/>
      <c r="M846" s="180"/>
      <c r="N846" s="180"/>
      <c r="O846" s="180"/>
      <c r="P846" s="123"/>
      <c r="Q846" s="130"/>
      <c r="R846" s="180"/>
      <c r="S846" s="180"/>
      <c r="T846" s="180"/>
      <c r="U846" s="180"/>
      <c r="V846" s="123"/>
      <c r="W846" s="123"/>
      <c r="X846" s="123"/>
      <c r="Y846" s="180"/>
      <c r="Z846" s="180"/>
    </row>
    <row r="847" spans="1:26" ht="45.75" customHeight="1">
      <c r="A847" s="180"/>
      <c r="B847" s="180"/>
      <c r="C847" s="180"/>
      <c r="D847" s="180"/>
      <c r="E847" s="180"/>
      <c r="F847" s="225"/>
      <c r="G847" s="180"/>
      <c r="H847" s="180"/>
      <c r="I847" s="180"/>
      <c r="J847" s="211"/>
      <c r="K847" s="180"/>
      <c r="L847" s="212"/>
      <c r="M847" s="180"/>
      <c r="N847" s="180"/>
      <c r="O847" s="180"/>
      <c r="P847" s="123"/>
      <c r="Q847" s="130"/>
      <c r="R847" s="180"/>
      <c r="S847" s="180"/>
      <c r="T847" s="180"/>
      <c r="U847" s="180"/>
      <c r="V847" s="123"/>
      <c r="W847" s="123"/>
      <c r="X847" s="123"/>
      <c r="Y847" s="180"/>
      <c r="Z847" s="180"/>
    </row>
    <row r="848" spans="1:26" ht="45.75" customHeight="1">
      <c r="A848" s="180"/>
      <c r="B848" s="180"/>
      <c r="C848" s="180"/>
      <c r="D848" s="180"/>
      <c r="E848" s="180"/>
      <c r="F848" s="225"/>
      <c r="G848" s="180"/>
      <c r="H848" s="180"/>
      <c r="I848" s="180"/>
      <c r="J848" s="211"/>
      <c r="K848" s="180"/>
      <c r="L848" s="212"/>
      <c r="M848" s="180"/>
      <c r="N848" s="180"/>
      <c r="O848" s="180"/>
      <c r="P848" s="123"/>
      <c r="Q848" s="130"/>
      <c r="R848" s="180"/>
      <c r="S848" s="180"/>
      <c r="T848" s="180"/>
      <c r="U848" s="180"/>
      <c r="V848" s="123"/>
      <c r="W848" s="123"/>
      <c r="X848" s="123"/>
      <c r="Y848" s="180"/>
      <c r="Z848" s="180"/>
    </row>
    <row r="849" spans="1:26" ht="45.75" customHeight="1">
      <c r="A849" s="180"/>
      <c r="B849" s="180"/>
      <c r="C849" s="180"/>
      <c r="D849" s="180"/>
      <c r="E849" s="180"/>
      <c r="F849" s="225"/>
      <c r="G849" s="180"/>
      <c r="H849" s="180"/>
      <c r="I849" s="180"/>
      <c r="J849" s="211"/>
      <c r="K849" s="180"/>
      <c r="L849" s="212"/>
      <c r="M849" s="180"/>
      <c r="N849" s="180"/>
      <c r="O849" s="180"/>
      <c r="P849" s="123"/>
      <c r="Q849" s="130"/>
      <c r="R849" s="180"/>
      <c r="S849" s="180"/>
      <c r="T849" s="180"/>
      <c r="U849" s="180"/>
      <c r="V849" s="123"/>
      <c r="W849" s="123"/>
      <c r="X849" s="123"/>
      <c r="Y849" s="180"/>
      <c r="Z849" s="180"/>
    </row>
    <row r="850" spans="1:26" ht="45.75" customHeight="1">
      <c r="A850" s="180"/>
      <c r="B850" s="180"/>
      <c r="C850" s="180"/>
      <c r="D850" s="180"/>
      <c r="E850" s="180"/>
      <c r="F850" s="225"/>
      <c r="G850" s="180"/>
      <c r="H850" s="180"/>
      <c r="I850" s="180"/>
      <c r="J850" s="211"/>
      <c r="K850" s="180"/>
      <c r="L850" s="212"/>
      <c r="M850" s="180"/>
      <c r="N850" s="180"/>
      <c r="O850" s="180"/>
      <c r="P850" s="123"/>
      <c r="Q850" s="130"/>
      <c r="R850" s="180"/>
      <c r="S850" s="180"/>
      <c r="T850" s="180"/>
      <c r="U850" s="180"/>
      <c r="V850" s="123"/>
      <c r="W850" s="123"/>
      <c r="X850" s="123"/>
      <c r="Y850" s="180"/>
      <c r="Z850" s="180"/>
    </row>
    <row r="851" spans="1:26" ht="45.75" customHeight="1">
      <c r="A851" s="180"/>
      <c r="B851" s="180"/>
      <c r="C851" s="180"/>
      <c r="D851" s="180"/>
      <c r="E851" s="180"/>
      <c r="F851" s="225"/>
      <c r="G851" s="180"/>
      <c r="H851" s="180"/>
      <c r="I851" s="180"/>
      <c r="J851" s="211"/>
      <c r="K851" s="180"/>
      <c r="L851" s="212"/>
      <c r="M851" s="180"/>
      <c r="N851" s="180"/>
      <c r="O851" s="180"/>
      <c r="P851" s="123"/>
      <c r="Q851" s="130"/>
      <c r="R851" s="180"/>
      <c r="S851" s="180"/>
      <c r="T851" s="180"/>
      <c r="U851" s="180"/>
      <c r="V851" s="123"/>
      <c r="W851" s="123"/>
      <c r="X851" s="123"/>
      <c r="Y851" s="180"/>
      <c r="Z851" s="180"/>
    </row>
    <row r="852" spans="1:26" ht="45.75" customHeight="1">
      <c r="A852" s="180"/>
      <c r="B852" s="180"/>
      <c r="C852" s="180"/>
      <c r="D852" s="180"/>
      <c r="E852" s="180"/>
      <c r="F852" s="225"/>
      <c r="G852" s="180"/>
      <c r="H852" s="180"/>
      <c r="I852" s="180"/>
      <c r="J852" s="211"/>
      <c r="K852" s="180"/>
      <c r="L852" s="212"/>
      <c r="M852" s="180"/>
      <c r="N852" s="180"/>
      <c r="O852" s="180"/>
      <c r="P852" s="123"/>
      <c r="Q852" s="130"/>
      <c r="R852" s="180"/>
      <c r="S852" s="180"/>
      <c r="T852" s="180"/>
      <c r="U852" s="180"/>
      <c r="V852" s="123"/>
      <c r="W852" s="123"/>
      <c r="X852" s="123"/>
      <c r="Y852" s="180"/>
      <c r="Z852" s="180"/>
    </row>
    <row r="853" spans="1:26" ht="45.75" customHeight="1">
      <c r="A853" s="180"/>
      <c r="B853" s="180"/>
      <c r="C853" s="180"/>
      <c r="D853" s="180"/>
      <c r="E853" s="180"/>
      <c r="F853" s="225"/>
      <c r="G853" s="180"/>
      <c r="H853" s="180"/>
      <c r="I853" s="180"/>
      <c r="J853" s="211"/>
      <c r="K853" s="180"/>
      <c r="L853" s="212"/>
      <c r="M853" s="180"/>
      <c r="N853" s="180"/>
      <c r="O853" s="180"/>
      <c r="P853" s="123"/>
      <c r="Q853" s="130"/>
      <c r="R853" s="180"/>
      <c r="S853" s="180"/>
      <c r="T853" s="180"/>
      <c r="U853" s="180"/>
      <c r="V853" s="123"/>
      <c r="W853" s="123"/>
      <c r="X853" s="123"/>
      <c r="Y853" s="180"/>
      <c r="Z853" s="180"/>
    </row>
    <row r="854" spans="1:26" ht="45.75" customHeight="1">
      <c r="A854" s="180"/>
      <c r="B854" s="180"/>
      <c r="C854" s="180"/>
      <c r="D854" s="180"/>
      <c r="E854" s="180"/>
      <c r="F854" s="225"/>
      <c r="G854" s="180"/>
      <c r="H854" s="180"/>
      <c r="I854" s="180"/>
      <c r="J854" s="211"/>
      <c r="K854" s="180"/>
      <c r="L854" s="212"/>
      <c r="M854" s="180"/>
      <c r="N854" s="180"/>
      <c r="O854" s="180"/>
      <c r="P854" s="123"/>
      <c r="Q854" s="130"/>
      <c r="R854" s="180"/>
      <c r="S854" s="180"/>
      <c r="T854" s="180"/>
      <c r="U854" s="180"/>
      <c r="V854" s="123"/>
      <c r="W854" s="123"/>
      <c r="X854" s="123"/>
      <c r="Y854" s="180"/>
      <c r="Z854" s="180"/>
    </row>
    <row r="855" spans="1:26" ht="45.75" customHeight="1">
      <c r="A855" s="180"/>
      <c r="B855" s="180"/>
      <c r="C855" s="180"/>
      <c r="D855" s="180"/>
      <c r="E855" s="180"/>
      <c r="F855" s="225"/>
      <c r="G855" s="180"/>
      <c r="H855" s="180"/>
      <c r="I855" s="180"/>
      <c r="J855" s="211"/>
      <c r="K855" s="180"/>
      <c r="L855" s="212"/>
      <c r="M855" s="180"/>
      <c r="N855" s="180"/>
      <c r="O855" s="180"/>
      <c r="P855" s="123"/>
      <c r="Q855" s="130"/>
      <c r="R855" s="180"/>
      <c r="S855" s="180"/>
      <c r="T855" s="180"/>
      <c r="U855" s="180"/>
      <c r="V855" s="123"/>
      <c r="W855" s="123"/>
      <c r="X855" s="123"/>
      <c r="Y855" s="180"/>
      <c r="Z855" s="180"/>
    </row>
    <row r="856" spans="1:26" ht="45.75" customHeight="1">
      <c r="A856" s="180"/>
      <c r="B856" s="180"/>
      <c r="C856" s="180"/>
      <c r="D856" s="180"/>
      <c r="E856" s="180"/>
      <c r="F856" s="225"/>
      <c r="G856" s="180"/>
      <c r="H856" s="180"/>
      <c r="I856" s="180"/>
      <c r="J856" s="211"/>
      <c r="K856" s="180"/>
      <c r="L856" s="212"/>
      <c r="M856" s="180"/>
      <c r="N856" s="180"/>
      <c r="O856" s="180"/>
      <c r="P856" s="123"/>
      <c r="Q856" s="130"/>
      <c r="R856" s="180"/>
      <c r="S856" s="180"/>
      <c r="T856" s="180"/>
      <c r="U856" s="180"/>
      <c r="V856" s="123"/>
      <c r="W856" s="123"/>
      <c r="X856" s="123"/>
      <c r="Y856" s="180"/>
      <c r="Z856" s="180"/>
    </row>
    <row r="857" spans="1:26" ht="45.75" customHeight="1">
      <c r="A857" s="180"/>
      <c r="B857" s="180"/>
      <c r="C857" s="180"/>
      <c r="D857" s="180"/>
      <c r="E857" s="180"/>
      <c r="F857" s="225"/>
      <c r="G857" s="180"/>
      <c r="H857" s="180"/>
      <c r="I857" s="180"/>
      <c r="J857" s="211"/>
      <c r="K857" s="180"/>
      <c r="L857" s="212"/>
      <c r="M857" s="180"/>
      <c r="N857" s="180"/>
      <c r="O857" s="180"/>
      <c r="P857" s="123"/>
      <c r="Q857" s="130"/>
      <c r="R857" s="180"/>
      <c r="S857" s="180"/>
      <c r="T857" s="180"/>
      <c r="U857" s="180"/>
      <c r="V857" s="123"/>
      <c r="W857" s="123"/>
      <c r="X857" s="123"/>
      <c r="Y857" s="180"/>
      <c r="Z857" s="180"/>
    </row>
    <row r="858" spans="1:26" ht="45.75" customHeight="1">
      <c r="A858" s="180"/>
      <c r="B858" s="180"/>
      <c r="C858" s="180"/>
      <c r="D858" s="180"/>
      <c r="E858" s="180"/>
      <c r="F858" s="225"/>
      <c r="G858" s="180"/>
      <c r="H858" s="180"/>
      <c r="I858" s="180"/>
      <c r="J858" s="211"/>
      <c r="K858" s="180"/>
      <c r="L858" s="212"/>
      <c r="M858" s="180"/>
      <c r="N858" s="180"/>
      <c r="O858" s="180"/>
      <c r="P858" s="123"/>
      <c r="Q858" s="130"/>
      <c r="R858" s="180"/>
      <c r="S858" s="180"/>
      <c r="T858" s="180"/>
      <c r="U858" s="180"/>
      <c r="V858" s="123"/>
      <c r="W858" s="123"/>
      <c r="X858" s="123"/>
      <c r="Y858" s="180"/>
      <c r="Z858" s="180"/>
    </row>
    <row r="859" spans="1:26" ht="45.75" customHeight="1">
      <c r="A859" s="180"/>
      <c r="B859" s="180"/>
      <c r="C859" s="180"/>
      <c r="D859" s="180"/>
      <c r="E859" s="180"/>
      <c r="F859" s="225"/>
      <c r="G859" s="180"/>
      <c r="H859" s="180"/>
      <c r="I859" s="180"/>
      <c r="J859" s="211"/>
      <c r="K859" s="180"/>
      <c r="L859" s="212"/>
      <c r="M859" s="180"/>
      <c r="N859" s="180"/>
      <c r="O859" s="180"/>
      <c r="P859" s="123"/>
      <c r="Q859" s="130"/>
      <c r="R859" s="180"/>
      <c r="S859" s="180"/>
      <c r="T859" s="180"/>
      <c r="U859" s="180"/>
      <c r="V859" s="123"/>
      <c r="W859" s="123"/>
      <c r="X859" s="123"/>
      <c r="Y859" s="180"/>
      <c r="Z859" s="180"/>
    </row>
    <row r="860" spans="1:26" ht="45.75" customHeight="1">
      <c r="A860" s="180"/>
      <c r="B860" s="180"/>
      <c r="C860" s="180"/>
      <c r="D860" s="180"/>
      <c r="E860" s="180"/>
      <c r="F860" s="225"/>
      <c r="G860" s="180"/>
      <c r="H860" s="180"/>
      <c r="I860" s="180"/>
      <c r="J860" s="211"/>
      <c r="K860" s="180"/>
      <c r="L860" s="212"/>
      <c r="M860" s="180"/>
      <c r="N860" s="180"/>
      <c r="O860" s="180"/>
      <c r="P860" s="123"/>
      <c r="Q860" s="130"/>
      <c r="R860" s="180"/>
      <c r="S860" s="180"/>
      <c r="T860" s="180"/>
      <c r="U860" s="180"/>
      <c r="V860" s="123"/>
      <c r="W860" s="123"/>
      <c r="X860" s="123"/>
      <c r="Y860" s="180"/>
      <c r="Z860" s="180"/>
    </row>
    <row r="861" spans="1:26" ht="45.75" customHeight="1">
      <c r="A861" s="180"/>
      <c r="B861" s="180"/>
      <c r="C861" s="180"/>
      <c r="D861" s="180"/>
      <c r="E861" s="180"/>
      <c r="F861" s="225"/>
      <c r="G861" s="180"/>
      <c r="H861" s="180"/>
      <c r="I861" s="180"/>
      <c r="J861" s="211"/>
      <c r="K861" s="180"/>
      <c r="L861" s="212"/>
      <c r="M861" s="180"/>
      <c r="N861" s="180"/>
      <c r="O861" s="180"/>
      <c r="P861" s="123"/>
      <c r="Q861" s="130"/>
      <c r="R861" s="180"/>
      <c r="S861" s="180"/>
      <c r="T861" s="180"/>
      <c r="U861" s="180"/>
      <c r="V861" s="123"/>
      <c r="W861" s="123"/>
      <c r="X861" s="123"/>
      <c r="Y861" s="180"/>
      <c r="Z861" s="180"/>
    </row>
    <row r="862" spans="1:26" ht="45.75" customHeight="1">
      <c r="A862" s="180"/>
      <c r="B862" s="180"/>
      <c r="C862" s="180"/>
      <c r="D862" s="180"/>
      <c r="E862" s="180"/>
      <c r="F862" s="225"/>
      <c r="G862" s="180"/>
      <c r="H862" s="180"/>
      <c r="I862" s="180"/>
      <c r="J862" s="211"/>
      <c r="K862" s="180"/>
      <c r="L862" s="212"/>
      <c r="M862" s="180"/>
      <c r="N862" s="180"/>
      <c r="O862" s="180"/>
      <c r="P862" s="123"/>
      <c r="Q862" s="130"/>
      <c r="R862" s="180"/>
      <c r="S862" s="180"/>
      <c r="T862" s="180"/>
      <c r="U862" s="180"/>
      <c r="V862" s="123"/>
      <c r="W862" s="123"/>
      <c r="X862" s="123"/>
      <c r="Y862" s="180"/>
      <c r="Z862" s="180"/>
    </row>
    <row r="863" spans="1:26" ht="45.75" customHeight="1">
      <c r="A863" s="180"/>
      <c r="B863" s="180"/>
      <c r="C863" s="180"/>
      <c r="D863" s="180"/>
      <c r="E863" s="180"/>
      <c r="F863" s="225"/>
      <c r="G863" s="180"/>
      <c r="H863" s="180"/>
      <c r="I863" s="180"/>
      <c r="J863" s="211"/>
      <c r="K863" s="180"/>
      <c r="L863" s="212"/>
      <c r="M863" s="180"/>
      <c r="N863" s="180"/>
      <c r="O863" s="180"/>
      <c r="P863" s="123"/>
      <c r="Q863" s="130"/>
      <c r="R863" s="180"/>
      <c r="S863" s="180"/>
      <c r="T863" s="180"/>
      <c r="U863" s="180"/>
      <c r="V863" s="123"/>
      <c r="W863" s="123"/>
      <c r="X863" s="123"/>
      <c r="Y863" s="180"/>
      <c r="Z863" s="180"/>
    </row>
    <row r="864" spans="1:26" ht="45.75" customHeight="1">
      <c r="A864" s="180"/>
      <c r="B864" s="180"/>
      <c r="C864" s="180"/>
      <c r="D864" s="180"/>
      <c r="E864" s="180"/>
      <c r="F864" s="225"/>
      <c r="G864" s="180"/>
      <c r="H864" s="180"/>
      <c r="I864" s="180"/>
      <c r="J864" s="211"/>
      <c r="K864" s="180"/>
      <c r="L864" s="212"/>
      <c r="M864" s="180"/>
      <c r="N864" s="180"/>
      <c r="O864" s="180"/>
      <c r="P864" s="123"/>
      <c r="Q864" s="130"/>
      <c r="R864" s="180"/>
      <c r="S864" s="180"/>
      <c r="T864" s="180"/>
      <c r="U864" s="180"/>
      <c r="V864" s="123"/>
      <c r="W864" s="123"/>
      <c r="X864" s="123"/>
      <c r="Y864" s="180"/>
      <c r="Z864" s="180"/>
    </row>
    <row r="865" spans="1:26" ht="45.75" customHeight="1">
      <c r="A865" s="180"/>
      <c r="B865" s="180"/>
      <c r="C865" s="180"/>
      <c r="D865" s="180"/>
      <c r="E865" s="180"/>
      <c r="F865" s="225"/>
      <c r="G865" s="180"/>
      <c r="H865" s="180"/>
      <c r="I865" s="180"/>
      <c r="J865" s="211"/>
      <c r="K865" s="180"/>
      <c r="L865" s="212"/>
      <c r="M865" s="180"/>
      <c r="N865" s="180"/>
      <c r="O865" s="180"/>
      <c r="P865" s="123"/>
      <c r="Q865" s="130"/>
      <c r="R865" s="180"/>
      <c r="S865" s="180"/>
      <c r="T865" s="180"/>
      <c r="U865" s="180"/>
      <c r="V865" s="123"/>
      <c r="W865" s="123"/>
      <c r="X865" s="123"/>
      <c r="Y865" s="180"/>
      <c r="Z865" s="180"/>
    </row>
    <row r="866" spans="1:26" ht="45.75" customHeight="1">
      <c r="A866" s="180"/>
      <c r="B866" s="180"/>
      <c r="C866" s="180"/>
      <c r="D866" s="180"/>
      <c r="E866" s="180"/>
      <c r="F866" s="225"/>
      <c r="G866" s="180"/>
      <c r="H866" s="180"/>
      <c r="I866" s="180"/>
      <c r="J866" s="211"/>
      <c r="K866" s="180"/>
      <c r="L866" s="212"/>
      <c r="M866" s="180"/>
      <c r="N866" s="180"/>
      <c r="O866" s="180"/>
      <c r="P866" s="123"/>
      <c r="Q866" s="130"/>
      <c r="R866" s="180"/>
      <c r="S866" s="180"/>
      <c r="T866" s="180"/>
      <c r="U866" s="180"/>
      <c r="V866" s="123"/>
      <c r="W866" s="123"/>
      <c r="X866" s="123"/>
      <c r="Y866" s="180"/>
      <c r="Z866" s="180"/>
    </row>
    <row r="867" spans="1:26" ht="45.75" customHeight="1">
      <c r="A867" s="180"/>
      <c r="B867" s="180"/>
      <c r="C867" s="180"/>
      <c r="D867" s="180"/>
      <c r="E867" s="180"/>
      <c r="F867" s="225"/>
      <c r="G867" s="180"/>
      <c r="H867" s="180"/>
      <c r="I867" s="180"/>
      <c r="J867" s="211"/>
      <c r="K867" s="180"/>
      <c r="L867" s="212"/>
      <c r="M867" s="180"/>
      <c r="N867" s="180"/>
      <c r="O867" s="180"/>
      <c r="P867" s="123"/>
      <c r="Q867" s="130"/>
      <c r="R867" s="180"/>
      <c r="S867" s="180"/>
      <c r="T867" s="180"/>
      <c r="U867" s="180"/>
      <c r="V867" s="123"/>
      <c r="W867" s="123"/>
      <c r="X867" s="123"/>
      <c r="Y867" s="180"/>
      <c r="Z867" s="180"/>
    </row>
    <row r="868" spans="1:26" ht="45.75" customHeight="1">
      <c r="A868" s="180"/>
      <c r="B868" s="180"/>
      <c r="C868" s="180"/>
      <c r="D868" s="180"/>
      <c r="E868" s="180"/>
      <c r="F868" s="225"/>
      <c r="G868" s="180"/>
      <c r="H868" s="180"/>
      <c r="I868" s="180"/>
      <c r="J868" s="211"/>
      <c r="K868" s="180"/>
      <c r="L868" s="212"/>
      <c r="M868" s="180"/>
      <c r="N868" s="180"/>
      <c r="O868" s="180"/>
      <c r="P868" s="123"/>
      <c r="Q868" s="130"/>
      <c r="R868" s="180"/>
      <c r="S868" s="180"/>
      <c r="T868" s="180"/>
      <c r="U868" s="180"/>
      <c r="V868" s="123"/>
      <c r="W868" s="123"/>
      <c r="X868" s="123"/>
      <c r="Y868" s="180"/>
      <c r="Z868" s="180"/>
    </row>
    <row r="869" spans="1:26" ht="45.75" customHeight="1">
      <c r="A869" s="180"/>
      <c r="B869" s="180"/>
      <c r="C869" s="180"/>
      <c r="D869" s="180"/>
      <c r="E869" s="180"/>
      <c r="F869" s="225"/>
      <c r="G869" s="180"/>
      <c r="H869" s="180"/>
      <c r="I869" s="180"/>
      <c r="J869" s="211"/>
      <c r="K869" s="180"/>
      <c r="L869" s="212"/>
      <c r="M869" s="180"/>
      <c r="N869" s="180"/>
      <c r="O869" s="180"/>
      <c r="P869" s="123"/>
      <c r="Q869" s="130"/>
      <c r="R869" s="180"/>
      <c r="S869" s="180"/>
      <c r="T869" s="180"/>
      <c r="U869" s="180"/>
      <c r="V869" s="123"/>
      <c r="W869" s="123"/>
      <c r="X869" s="123"/>
      <c r="Y869" s="180"/>
      <c r="Z869" s="180"/>
    </row>
    <row r="870" spans="1:26" ht="45.75" customHeight="1">
      <c r="A870" s="180"/>
      <c r="B870" s="180"/>
      <c r="C870" s="180"/>
      <c r="D870" s="180"/>
      <c r="E870" s="180"/>
      <c r="F870" s="225"/>
      <c r="G870" s="180"/>
      <c r="H870" s="180"/>
      <c r="I870" s="180"/>
      <c r="J870" s="211"/>
      <c r="K870" s="180"/>
      <c r="L870" s="212"/>
      <c r="M870" s="180"/>
      <c r="N870" s="180"/>
      <c r="O870" s="180"/>
      <c r="P870" s="123"/>
      <c r="Q870" s="130"/>
      <c r="R870" s="180"/>
      <c r="S870" s="180"/>
      <c r="T870" s="180"/>
      <c r="U870" s="180"/>
      <c r="V870" s="123"/>
      <c r="W870" s="123"/>
      <c r="X870" s="123"/>
      <c r="Y870" s="180"/>
      <c r="Z870" s="180"/>
    </row>
    <row r="871" spans="1:26" ht="45.75" customHeight="1">
      <c r="A871" s="180"/>
      <c r="B871" s="180"/>
      <c r="C871" s="180"/>
      <c r="D871" s="180"/>
      <c r="E871" s="180"/>
      <c r="F871" s="225"/>
      <c r="G871" s="180"/>
      <c r="H871" s="180"/>
      <c r="I871" s="180"/>
      <c r="J871" s="211"/>
      <c r="K871" s="180"/>
      <c r="L871" s="212"/>
      <c r="M871" s="180"/>
      <c r="N871" s="180"/>
      <c r="O871" s="180"/>
      <c r="P871" s="123"/>
      <c r="Q871" s="130"/>
      <c r="R871" s="180"/>
      <c r="S871" s="180"/>
      <c r="T871" s="180"/>
      <c r="U871" s="180"/>
      <c r="V871" s="123"/>
      <c r="W871" s="123"/>
      <c r="X871" s="123"/>
      <c r="Y871" s="180"/>
      <c r="Z871" s="180"/>
    </row>
    <row r="872" spans="1:26" ht="45.75" customHeight="1">
      <c r="A872" s="180"/>
      <c r="B872" s="180"/>
      <c r="C872" s="180"/>
      <c r="D872" s="180"/>
      <c r="E872" s="180"/>
      <c r="F872" s="225"/>
      <c r="G872" s="180"/>
      <c r="H872" s="180"/>
      <c r="I872" s="180"/>
      <c r="J872" s="211"/>
      <c r="K872" s="180"/>
      <c r="L872" s="212"/>
      <c r="M872" s="180"/>
      <c r="N872" s="180"/>
      <c r="O872" s="180"/>
      <c r="P872" s="123"/>
      <c r="Q872" s="130"/>
      <c r="R872" s="180"/>
      <c r="S872" s="180"/>
      <c r="T872" s="180"/>
      <c r="U872" s="180"/>
      <c r="V872" s="123"/>
      <c r="W872" s="123"/>
      <c r="X872" s="123"/>
      <c r="Y872" s="180"/>
      <c r="Z872" s="180"/>
    </row>
    <row r="873" spans="1:26" ht="45.75" customHeight="1">
      <c r="A873" s="180"/>
      <c r="B873" s="180"/>
      <c r="C873" s="180"/>
      <c r="D873" s="180"/>
      <c r="E873" s="180"/>
      <c r="F873" s="225"/>
      <c r="G873" s="180"/>
      <c r="H873" s="180"/>
      <c r="I873" s="180"/>
      <c r="J873" s="211"/>
      <c r="K873" s="180"/>
      <c r="L873" s="212"/>
      <c r="M873" s="180"/>
      <c r="N873" s="180"/>
      <c r="O873" s="180"/>
      <c r="P873" s="123"/>
      <c r="Q873" s="130"/>
      <c r="R873" s="180"/>
      <c r="S873" s="180"/>
      <c r="T873" s="180"/>
      <c r="U873" s="180"/>
      <c r="V873" s="123"/>
      <c r="W873" s="123"/>
      <c r="X873" s="123"/>
      <c r="Y873" s="180"/>
      <c r="Z873" s="180"/>
    </row>
    <row r="874" spans="1:26" ht="45.75" customHeight="1">
      <c r="A874" s="180"/>
      <c r="B874" s="180"/>
      <c r="C874" s="180"/>
      <c r="D874" s="180"/>
      <c r="E874" s="180"/>
      <c r="F874" s="225"/>
      <c r="G874" s="180"/>
      <c r="H874" s="180"/>
      <c r="I874" s="180"/>
      <c r="J874" s="211"/>
      <c r="K874" s="180"/>
      <c r="L874" s="212"/>
      <c r="M874" s="180"/>
      <c r="N874" s="180"/>
      <c r="O874" s="180"/>
      <c r="P874" s="123"/>
      <c r="Q874" s="130"/>
      <c r="R874" s="180"/>
      <c r="S874" s="180"/>
      <c r="T874" s="180"/>
      <c r="U874" s="180"/>
      <c r="V874" s="123"/>
      <c r="W874" s="123"/>
      <c r="X874" s="123"/>
      <c r="Y874" s="180"/>
      <c r="Z874" s="180"/>
    </row>
    <row r="875" spans="1:26" ht="45.75" customHeight="1">
      <c r="A875" s="180"/>
      <c r="B875" s="180"/>
      <c r="C875" s="180"/>
      <c r="D875" s="180"/>
      <c r="E875" s="180"/>
      <c r="F875" s="225"/>
      <c r="G875" s="180"/>
      <c r="H875" s="180"/>
      <c r="I875" s="180"/>
      <c r="J875" s="211"/>
      <c r="K875" s="180"/>
      <c r="L875" s="212"/>
      <c r="M875" s="180"/>
      <c r="N875" s="180"/>
      <c r="O875" s="180"/>
      <c r="P875" s="123"/>
      <c r="Q875" s="130"/>
      <c r="R875" s="180"/>
      <c r="S875" s="180"/>
      <c r="T875" s="180"/>
      <c r="U875" s="180"/>
      <c r="V875" s="123"/>
      <c r="W875" s="123"/>
      <c r="X875" s="123"/>
      <c r="Y875" s="180"/>
      <c r="Z875" s="180"/>
    </row>
    <row r="876" spans="1:26" ht="45.75" customHeight="1">
      <c r="A876" s="180"/>
      <c r="B876" s="180"/>
      <c r="C876" s="180"/>
      <c r="D876" s="180"/>
      <c r="E876" s="180"/>
      <c r="F876" s="225"/>
      <c r="G876" s="180"/>
      <c r="H876" s="180"/>
      <c r="I876" s="180"/>
      <c r="J876" s="211"/>
      <c r="K876" s="180"/>
      <c r="L876" s="212"/>
      <c r="M876" s="180"/>
      <c r="N876" s="180"/>
      <c r="O876" s="180"/>
      <c r="P876" s="123"/>
      <c r="Q876" s="130"/>
      <c r="R876" s="180"/>
      <c r="S876" s="180"/>
      <c r="T876" s="180"/>
      <c r="U876" s="180"/>
      <c r="V876" s="123"/>
      <c r="W876" s="123"/>
      <c r="X876" s="123"/>
      <c r="Y876" s="180"/>
      <c r="Z876" s="180"/>
    </row>
    <row r="877" spans="1:26" ht="45.75" customHeight="1">
      <c r="A877" s="180"/>
      <c r="B877" s="180"/>
      <c r="C877" s="180"/>
      <c r="D877" s="180"/>
      <c r="E877" s="180"/>
      <c r="F877" s="225"/>
      <c r="G877" s="180"/>
      <c r="H877" s="180"/>
      <c r="I877" s="180"/>
      <c r="J877" s="211"/>
      <c r="K877" s="180"/>
      <c r="L877" s="212"/>
      <c r="M877" s="180"/>
      <c r="N877" s="180"/>
      <c r="O877" s="180"/>
      <c r="P877" s="123"/>
      <c r="Q877" s="130"/>
      <c r="R877" s="180"/>
      <c r="S877" s="180"/>
      <c r="T877" s="180"/>
      <c r="U877" s="180"/>
      <c r="V877" s="123"/>
      <c r="W877" s="123"/>
      <c r="X877" s="123"/>
      <c r="Y877" s="180"/>
      <c r="Z877" s="180"/>
    </row>
    <row r="878" spans="1:26" ht="45.75" customHeight="1">
      <c r="A878" s="180"/>
      <c r="B878" s="180"/>
      <c r="C878" s="180"/>
      <c r="D878" s="180"/>
      <c r="E878" s="180"/>
      <c r="F878" s="225"/>
      <c r="G878" s="180"/>
      <c r="H878" s="180"/>
      <c r="I878" s="180"/>
      <c r="J878" s="211"/>
      <c r="K878" s="180"/>
      <c r="L878" s="212"/>
      <c r="M878" s="180"/>
      <c r="N878" s="180"/>
      <c r="O878" s="180"/>
      <c r="P878" s="123"/>
      <c r="Q878" s="130"/>
      <c r="R878" s="180"/>
      <c r="S878" s="180"/>
      <c r="T878" s="180"/>
      <c r="U878" s="180"/>
      <c r="V878" s="123"/>
      <c r="W878" s="123"/>
      <c r="X878" s="123"/>
      <c r="Y878" s="180"/>
      <c r="Z878" s="180"/>
    </row>
    <row r="879" spans="1:26" ht="45.75" customHeight="1">
      <c r="A879" s="180"/>
      <c r="B879" s="180"/>
      <c r="C879" s="180"/>
      <c r="D879" s="180"/>
      <c r="E879" s="180"/>
      <c r="F879" s="225"/>
      <c r="G879" s="180"/>
      <c r="H879" s="180"/>
      <c r="I879" s="180"/>
      <c r="J879" s="211"/>
      <c r="K879" s="180"/>
      <c r="L879" s="212"/>
      <c r="M879" s="180"/>
      <c r="N879" s="180"/>
      <c r="O879" s="180"/>
      <c r="P879" s="123"/>
      <c r="Q879" s="130"/>
      <c r="R879" s="180"/>
      <c r="S879" s="180"/>
      <c r="T879" s="180"/>
      <c r="U879" s="180"/>
      <c r="V879" s="123"/>
      <c r="W879" s="123"/>
      <c r="X879" s="123"/>
      <c r="Y879" s="180"/>
      <c r="Z879" s="180"/>
    </row>
    <row r="880" spans="1:26" ht="45.75" customHeight="1">
      <c r="A880" s="180"/>
      <c r="B880" s="180"/>
      <c r="C880" s="180"/>
      <c r="D880" s="180"/>
      <c r="E880" s="180"/>
      <c r="F880" s="225"/>
      <c r="G880" s="180"/>
      <c r="H880" s="180"/>
      <c r="I880" s="180"/>
      <c r="J880" s="211"/>
      <c r="K880" s="180"/>
      <c r="L880" s="212"/>
      <c r="M880" s="180"/>
      <c r="N880" s="180"/>
      <c r="O880" s="180"/>
      <c r="P880" s="123"/>
      <c r="Q880" s="130"/>
      <c r="R880" s="180"/>
      <c r="S880" s="180"/>
      <c r="T880" s="180"/>
      <c r="U880" s="180"/>
      <c r="V880" s="123"/>
      <c r="W880" s="123"/>
      <c r="X880" s="123"/>
      <c r="Y880" s="180"/>
      <c r="Z880" s="180"/>
    </row>
    <row r="881" spans="1:26" ht="45.75" customHeight="1">
      <c r="A881" s="180"/>
      <c r="B881" s="180"/>
      <c r="C881" s="180"/>
      <c r="D881" s="180"/>
      <c r="E881" s="180"/>
      <c r="F881" s="225"/>
      <c r="G881" s="180"/>
      <c r="H881" s="180"/>
      <c r="I881" s="180"/>
      <c r="J881" s="211"/>
      <c r="K881" s="180"/>
      <c r="L881" s="212"/>
      <c r="M881" s="180"/>
      <c r="N881" s="180"/>
      <c r="O881" s="180"/>
      <c r="P881" s="123"/>
      <c r="Q881" s="130"/>
      <c r="R881" s="180"/>
      <c r="S881" s="180"/>
      <c r="T881" s="180"/>
      <c r="U881" s="180"/>
      <c r="V881" s="123"/>
      <c r="W881" s="123"/>
      <c r="X881" s="123"/>
      <c r="Y881" s="180"/>
      <c r="Z881" s="180"/>
    </row>
    <row r="882" spans="1:26" ht="45.75" customHeight="1">
      <c r="A882" s="180"/>
      <c r="B882" s="180"/>
      <c r="C882" s="180"/>
      <c r="D882" s="180"/>
      <c r="E882" s="180"/>
      <c r="F882" s="225"/>
      <c r="G882" s="180"/>
      <c r="H882" s="180"/>
      <c r="I882" s="180"/>
      <c r="J882" s="211"/>
      <c r="K882" s="180"/>
      <c r="L882" s="212"/>
      <c r="M882" s="180"/>
      <c r="N882" s="180"/>
      <c r="O882" s="180"/>
      <c r="P882" s="123"/>
      <c r="Q882" s="130"/>
      <c r="R882" s="180"/>
      <c r="S882" s="180"/>
      <c r="T882" s="180"/>
      <c r="U882" s="180"/>
      <c r="V882" s="123"/>
      <c r="W882" s="123"/>
      <c r="X882" s="123"/>
      <c r="Y882" s="180"/>
      <c r="Z882" s="180"/>
    </row>
    <row r="883" spans="1:26" ht="45.75" customHeight="1">
      <c r="A883" s="180"/>
      <c r="B883" s="180"/>
      <c r="C883" s="180"/>
      <c r="D883" s="180"/>
      <c r="E883" s="180"/>
      <c r="F883" s="225"/>
      <c r="G883" s="180"/>
      <c r="H883" s="180"/>
      <c r="I883" s="180"/>
      <c r="J883" s="211"/>
      <c r="K883" s="180"/>
      <c r="L883" s="212"/>
      <c r="M883" s="180"/>
      <c r="N883" s="180"/>
      <c r="O883" s="180"/>
      <c r="P883" s="123"/>
      <c r="Q883" s="130"/>
      <c r="R883" s="180"/>
      <c r="S883" s="180"/>
      <c r="T883" s="180"/>
      <c r="U883" s="180"/>
      <c r="V883" s="123"/>
      <c r="W883" s="123"/>
      <c r="X883" s="123"/>
      <c r="Y883" s="180"/>
      <c r="Z883" s="180"/>
    </row>
    <row r="884" spans="1:26" ht="45.75" customHeight="1">
      <c r="A884" s="180"/>
      <c r="B884" s="180"/>
      <c r="C884" s="180"/>
      <c r="D884" s="180"/>
      <c r="E884" s="180"/>
      <c r="F884" s="225"/>
      <c r="G884" s="180"/>
      <c r="H884" s="180"/>
      <c r="I884" s="180"/>
      <c r="J884" s="211"/>
      <c r="K884" s="180"/>
      <c r="L884" s="212"/>
      <c r="M884" s="180"/>
      <c r="N884" s="180"/>
      <c r="O884" s="180"/>
      <c r="P884" s="123"/>
      <c r="Q884" s="130"/>
      <c r="R884" s="180"/>
      <c r="S884" s="180"/>
      <c r="T884" s="180"/>
      <c r="U884" s="180"/>
      <c r="V884" s="123"/>
      <c r="W884" s="123"/>
      <c r="X884" s="123"/>
      <c r="Y884" s="180"/>
      <c r="Z884" s="180"/>
    </row>
    <row r="885" spans="1:26" ht="45.75" customHeight="1">
      <c r="A885" s="180"/>
      <c r="B885" s="180"/>
      <c r="C885" s="180"/>
      <c r="D885" s="180"/>
      <c r="E885" s="180"/>
      <c r="F885" s="225"/>
      <c r="G885" s="180"/>
      <c r="H885" s="180"/>
      <c r="I885" s="180"/>
      <c r="J885" s="211"/>
      <c r="K885" s="180"/>
      <c r="L885" s="212"/>
      <c r="M885" s="180"/>
      <c r="N885" s="180"/>
      <c r="O885" s="180"/>
      <c r="P885" s="123"/>
      <c r="Q885" s="130"/>
      <c r="R885" s="180"/>
      <c r="S885" s="180"/>
      <c r="T885" s="180"/>
      <c r="U885" s="180"/>
      <c r="V885" s="123"/>
      <c r="W885" s="123"/>
      <c r="X885" s="123"/>
      <c r="Y885" s="180"/>
      <c r="Z885" s="180"/>
    </row>
    <row r="886" spans="1:26" ht="45.75" customHeight="1">
      <c r="A886" s="180"/>
      <c r="B886" s="180"/>
      <c r="C886" s="180"/>
      <c r="D886" s="180"/>
      <c r="E886" s="180"/>
      <c r="F886" s="225"/>
      <c r="G886" s="180"/>
      <c r="H886" s="180"/>
      <c r="I886" s="180"/>
      <c r="J886" s="211"/>
      <c r="K886" s="180"/>
      <c r="L886" s="212"/>
      <c r="M886" s="180"/>
      <c r="N886" s="180"/>
      <c r="O886" s="180"/>
      <c r="P886" s="123"/>
      <c r="Q886" s="130"/>
      <c r="R886" s="180"/>
      <c r="S886" s="180"/>
      <c r="T886" s="180"/>
      <c r="U886" s="180"/>
      <c r="V886" s="123"/>
      <c r="W886" s="123"/>
      <c r="X886" s="123"/>
      <c r="Y886" s="180"/>
      <c r="Z886" s="180"/>
    </row>
    <row r="887" spans="1:26" ht="45.75" customHeight="1">
      <c r="A887" s="180"/>
      <c r="B887" s="180"/>
      <c r="C887" s="180"/>
      <c r="D887" s="180"/>
      <c r="E887" s="180"/>
      <c r="F887" s="225"/>
      <c r="G887" s="180"/>
      <c r="H887" s="180"/>
      <c r="I887" s="180"/>
      <c r="J887" s="211"/>
      <c r="K887" s="180"/>
      <c r="L887" s="212"/>
      <c r="M887" s="180"/>
      <c r="N887" s="180"/>
      <c r="O887" s="180"/>
      <c r="P887" s="123"/>
      <c r="Q887" s="130"/>
      <c r="R887" s="180"/>
      <c r="S887" s="180"/>
      <c r="T887" s="180"/>
      <c r="U887" s="180"/>
      <c r="V887" s="123"/>
      <c r="W887" s="123"/>
      <c r="X887" s="123"/>
      <c r="Y887" s="180"/>
      <c r="Z887" s="180"/>
    </row>
    <row r="888" spans="1:26" ht="45.75" customHeight="1">
      <c r="A888" s="180"/>
      <c r="B888" s="180"/>
      <c r="C888" s="180"/>
      <c r="D888" s="180"/>
      <c r="E888" s="180"/>
      <c r="F888" s="225"/>
      <c r="G888" s="180"/>
      <c r="H888" s="180"/>
      <c r="I888" s="180"/>
      <c r="J888" s="211"/>
      <c r="K888" s="180"/>
      <c r="L888" s="212"/>
      <c r="M888" s="180"/>
      <c r="N888" s="180"/>
      <c r="O888" s="180"/>
      <c r="P888" s="123"/>
      <c r="Q888" s="130"/>
      <c r="R888" s="180"/>
      <c r="S888" s="180"/>
      <c r="T888" s="180"/>
      <c r="U888" s="180"/>
      <c r="V888" s="123"/>
      <c r="W888" s="123"/>
      <c r="X888" s="123"/>
      <c r="Y888" s="180"/>
      <c r="Z888" s="180"/>
    </row>
    <row r="889" spans="1:26" ht="45.75" customHeight="1">
      <c r="A889" s="180"/>
      <c r="B889" s="180"/>
      <c r="C889" s="180"/>
      <c r="D889" s="180"/>
      <c r="E889" s="180"/>
      <c r="F889" s="225"/>
      <c r="G889" s="180"/>
      <c r="H889" s="180"/>
      <c r="I889" s="180"/>
      <c r="J889" s="211"/>
      <c r="K889" s="180"/>
      <c r="L889" s="212"/>
      <c r="M889" s="180"/>
      <c r="N889" s="180"/>
      <c r="O889" s="180"/>
      <c r="P889" s="123"/>
      <c r="Q889" s="130"/>
      <c r="R889" s="180"/>
      <c r="S889" s="180"/>
      <c r="T889" s="180"/>
      <c r="U889" s="180"/>
      <c r="V889" s="123"/>
      <c r="W889" s="123"/>
      <c r="X889" s="123"/>
      <c r="Y889" s="180"/>
      <c r="Z889" s="180"/>
    </row>
    <row r="890" spans="1:26" ht="45.75" customHeight="1">
      <c r="A890" s="180"/>
      <c r="B890" s="180"/>
      <c r="C890" s="180"/>
      <c r="D890" s="180"/>
      <c r="E890" s="180"/>
      <c r="F890" s="225"/>
      <c r="G890" s="180"/>
      <c r="H890" s="180"/>
      <c r="I890" s="180"/>
      <c r="J890" s="211"/>
      <c r="K890" s="180"/>
      <c r="L890" s="212"/>
      <c r="M890" s="180"/>
      <c r="N890" s="180"/>
      <c r="O890" s="180"/>
      <c r="P890" s="123"/>
      <c r="Q890" s="130"/>
      <c r="R890" s="180"/>
      <c r="S890" s="180"/>
      <c r="T890" s="180"/>
      <c r="U890" s="180"/>
      <c r="V890" s="123"/>
      <c r="W890" s="123"/>
      <c r="X890" s="123"/>
      <c r="Y890" s="180"/>
      <c r="Z890" s="180"/>
    </row>
    <row r="891" spans="1:26" ht="45.75" customHeight="1">
      <c r="A891" s="180"/>
      <c r="B891" s="180"/>
      <c r="C891" s="180"/>
      <c r="D891" s="180"/>
      <c r="E891" s="180"/>
      <c r="F891" s="225"/>
      <c r="G891" s="180"/>
      <c r="H891" s="180"/>
      <c r="I891" s="180"/>
      <c r="J891" s="211"/>
      <c r="K891" s="180"/>
      <c r="L891" s="212"/>
      <c r="M891" s="180"/>
      <c r="N891" s="180"/>
      <c r="O891" s="180"/>
      <c r="P891" s="123"/>
      <c r="Q891" s="130"/>
      <c r="R891" s="180"/>
      <c r="S891" s="180"/>
      <c r="T891" s="180"/>
      <c r="U891" s="180"/>
      <c r="V891" s="123"/>
      <c r="W891" s="123"/>
      <c r="X891" s="123"/>
      <c r="Y891" s="180"/>
      <c r="Z891" s="180"/>
    </row>
    <row r="892" spans="1:26" ht="45.75" customHeight="1">
      <c r="A892" s="180"/>
      <c r="B892" s="180"/>
      <c r="C892" s="180"/>
      <c r="D892" s="180"/>
      <c r="E892" s="180"/>
      <c r="F892" s="225"/>
      <c r="G892" s="180"/>
      <c r="H892" s="180"/>
      <c r="I892" s="180"/>
      <c r="J892" s="211"/>
      <c r="K892" s="180"/>
      <c r="L892" s="212"/>
      <c r="M892" s="180"/>
      <c r="N892" s="180"/>
      <c r="O892" s="180"/>
      <c r="P892" s="123"/>
      <c r="Q892" s="130"/>
      <c r="R892" s="180"/>
      <c r="S892" s="180"/>
      <c r="T892" s="180"/>
      <c r="U892" s="180"/>
      <c r="V892" s="123"/>
      <c r="W892" s="123"/>
      <c r="X892" s="123"/>
      <c r="Y892" s="180"/>
      <c r="Z892" s="180"/>
    </row>
    <row r="893" spans="1:26" ht="45.75" customHeight="1">
      <c r="A893" s="180"/>
      <c r="B893" s="180"/>
      <c r="C893" s="180"/>
      <c r="D893" s="180"/>
      <c r="E893" s="180"/>
      <c r="F893" s="225"/>
      <c r="G893" s="180"/>
      <c r="H893" s="180"/>
      <c r="I893" s="180"/>
      <c r="J893" s="211"/>
      <c r="K893" s="180"/>
      <c r="L893" s="212"/>
      <c r="M893" s="180"/>
      <c r="N893" s="180"/>
      <c r="O893" s="180"/>
      <c r="P893" s="123"/>
      <c r="Q893" s="130"/>
      <c r="R893" s="180"/>
      <c r="S893" s="180"/>
      <c r="T893" s="180"/>
      <c r="U893" s="180"/>
      <c r="V893" s="123"/>
      <c r="W893" s="123"/>
      <c r="X893" s="123"/>
      <c r="Y893" s="180"/>
      <c r="Z893" s="180"/>
    </row>
    <row r="894" spans="1:26" ht="45.75" customHeight="1">
      <c r="A894" s="180"/>
      <c r="B894" s="180"/>
      <c r="C894" s="180"/>
      <c r="D894" s="180"/>
      <c r="E894" s="180"/>
      <c r="F894" s="225"/>
      <c r="G894" s="180"/>
      <c r="H894" s="180"/>
      <c r="I894" s="180"/>
      <c r="J894" s="211"/>
      <c r="K894" s="180"/>
      <c r="L894" s="212"/>
      <c r="M894" s="180"/>
      <c r="N894" s="180"/>
      <c r="O894" s="180"/>
      <c r="P894" s="123"/>
      <c r="Q894" s="130"/>
      <c r="R894" s="180"/>
      <c r="S894" s="180"/>
      <c r="T894" s="180"/>
      <c r="U894" s="180"/>
      <c r="V894" s="123"/>
      <c r="W894" s="123"/>
      <c r="X894" s="123"/>
      <c r="Y894" s="180"/>
      <c r="Z894" s="180"/>
    </row>
    <row r="895" spans="1:26" ht="45.75" customHeight="1">
      <c r="A895" s="180"/>
      <c r="B895" s="180"/>
      <c r="C895" s="180"/>
      <c r="D895" s="180"/>
      <c r="E895" s="180"/>
      <c r="F895" s="225"/>
      <c r="G895" s="180"/>
      <c r="H895" s="180"/>
      <c r="I895" s="180"/>
      <c r="J895" s="211"/>
      <c r="K895" s="180"/>
      <c r="L895" s="212"/>
      <c r="M895" s="180"/>
      <c r="N895" s="180"/>
      <c r="O895" s="180"/>
      <c r="P895" s="123"/>
      <c r="Q895" s="130"/>
      <c r="R895" s="180"/>
      <c r="S895" s="180"/>
      <c r="T895" s="180"/>
      <c r="U895" s="180"/>
      <c r="V895" s="123"/>
      <c r="W895" s="123"/>
      <c r="X895" s="123"/>
      <c r="Y895" s="180"/>
      <c r="Z895" s="180"/>
    </row>
    <row r="896" spans="1:26" ht="45.75" customHeight="1">
      <c r="A896" s="180"/>
      <c r="B896" s="180"/>
      <c r="C896" s="180"/>
      <c r="D896" s="180"/>
      <c r="E896" s="180"/>
      <c r="F896" s="225"/>
      <c r="G896" s="180"/>
      <c r="H896" s="180"/>
      <c r="I896" s="180"/>
      <c r="J896" s="211"/>
      <c r="K896" s="180"/>
      <c r="L896" s="212"/>
      <c r="M896" s="180"/>
      <c r="N896" s="180"/>
      <c r="O896" s="180"/>
      <c r="P896" s="123"/>
      <c r="Q896" s="130"/>
      <c r="R896" s="180"/>
      <c r="S896" s="180"/>
      <c r="T896" s="180"/>
      <c r="U896" s="180"/>
      <c r="V896" s="123"/>
      <c r="W896" s="123"/>
      <c r="X896" s="123"/>
      <c r="Y896" s="180"/>
      <c r="Z896" s="180"/>
    </row>
    <row r="897" spans="1:26" ht="45.75" customHeight="1">
      <c r="A897" s="180"/>
      <c r="B897" s="180"/>
      <c r="C897" s="180"/>
      <c r="D897" s="180"/>
      <c r="E897" s="180"/>
      <c r="F897" s="225"/>
      <c r="G897" s="180"/>
      <c r="H897" s="180"/>
      <c r="I897" s="180"/>
      <c r="J897" s="211"/>
      <c r="K897" s="180"/>
      <c r="L897" s="212"/>
      <c r="M897" s="180"/>
      <c r="N897" s="180"/>
      <c r="O897" s="180"/>
      <c r="P897" s="123"/>
      <c r="Q897" s="130"/>
      <c r="R897" s="180"/>
      <c r="S897" s="180"/>
      <c r="T897" s="180"/>
      <c r="U897" s="180"/>
      <c r="V897" s="123"/>
      <c r="W897" s="123"/>
      <c r="X897" s="123"/>
      <c r="Y897" s="180"/>
      <c r="Z897" s="180"/>
    </row>
    <row r="898" spans="1:26" ht="45.75" customHeight="1">
      <c r="A898" s="180"/>
      <c r="B898" s="180"/>
      <c r="C898" s="180"/>
      <c r="D898" s="180"/>
      <c r="E898" s="180"/>
      <c r="F898" s="225"/>
      <c r="G898" s="180"/>
      <c r="H898" s="180"/>
      <c r="I898" s="180"/>
      <c r="J898" s="211"/>
      <c r="K898" s="180"/>
      <c r="L898" s="212"/>
      <c r="M898" s="180"/>
      <c r="N898" s="180"/>
      <c r="O898" s="180"/>
      <c r="P898" s="123"/>
      <c r="Q898" s="130"/>
      <c r="R898" s="180"/>
      <c r="S898" s="180"/>
      <c r="T898" s="180"/>
      <c r="U898" s="180"/>
      <c r="V898" s="123"/>
      <c r="W898" s="123"/>
      <c r="X898" s="123"/>
      <c r="Y898" s="180"/>
      <c r="Z898" s="180"/>
    </row>
    <row r="899" spans="1:26" ht="45.75" customHeight="1">
      <c r="A899" s="180"/>
      <c r="B899" s="180"/>
      <c r="C899" s="180"/>
      <c r="D899" s="180"/>
      <c r="E899" s="180"/>
      <c r="F899" s="225"/>
      <c r="G899" s="180"/>
      <c r="H899" s="180"/>
      <c r="I899" s="180"/>
      <c r="J899" s="211"/>
      <c r="K899" s="180"/>
      <c r="L899" s="212"/>
      <c r="M899" s="180"/>
      <c r="N899" s="180"/>
      <c r="O899" s="180"/>
      <c r="P899" s="123"/>
      <c r="Q899" s="130"/>
      <c r="R899" s="180"/>
      <c r="S899" s="180"/>
      <c r="T899" s="180"/>
      <c r="U899" s="180"/>
      <c r="V899" s="123"/>
      <c r="W899" s="123"/>
      <c r="X899" s="123"/>
      <c r="Y899" s="180"/>
      <c r="Z899" s="180"/>
    </row>
    <row r="900" spans="1:26" ht="45.75" customHeight="1">
      <c r="A900" s="180"/>
      <c r="B900" s="180"/>
      <c r="C900" s="180"/>
      <c r="D900" s="180"/>
      <c r="E900" s="180"/>
      <c r="F900" s="225"/>
      <c r="G900" s="180"/>
      <c r="H900" s="180"/>
      <c r="I900" s="180"/>
      <c r="J900" s="211"/>
      <c r="K900" s="180"/>
      <c r="L900" s="212"/>
      <c r="M900" s="180"/>
      <c r="N900" s="180"/>
      <c r="O900" s="180"/>
      <c r="P900" s="123"/>
      <c r="Q900" s="130"/>
      <c r="R900" s="180"/>
      <c r="S900" s="180"/>
      <c r="T900" s="180"/>
      <c r="U900" s="180"/>
      <c r="V900" s="123"/>
      <c r="W900" s="123"/>
      <c r="X900" s="123"/>
      <c r="Y900" s="180"/>
      <c r="Z900" s="180"/>
    </row>
    <row r="901" spans="1:26" ht="45.75" customHeight="1">
      <c r="A901" s="180"/>
      <c r="B901" s="180"/>
      <c r="C901" s="180"/>
      <c r="D901" s="180"/>
      <c r="E901" s="180"/>
      <c r="F901" s="225"/>
      <c r="G901" s="180"/>
      <c r="H901" s="180"/>
      <c r="I901" s="180"/>
      <c r="J901" s="211"/>
      <c r="K901" s="180"/>
      <c r="L901" s="212"/>
      <c r="M901" s="180"/>
      <c r="N901" s="180"/>
      <c r="O901" s="180"/>
      <c r="P901" s="123"/>
      <c r="Q901" s="130"/>
      <c r="R901" s="180"/>
      <c r="S901" s="180"/>
      <c r="T901" s="180"/>
      <c r="U901" s="180"/>
      <c r="V901" s="123"/>
      <c r="W901" s="123"/>
      <c r="X901" s="123"/>
      <c r="Y901" s="180"/>
      <c r="Z901" s="180"/>
    </row>
    <row r="902" spans="1:26" ht="45.75" customHeight="1">
      <c r="A902" s="180"/>
      <c r="B902" s="180"/>
      <c r="C902" s="180"/>
      <c r="D902" s="180"/>
      <c r="E902" s="180"/>
      <c r="F902" s="225"/>
      <c r="G902" s="180"/>
      <c r="H902" s="180"/>
      <c r="I902" s="180"/>
      <c r="J902" s="211"/>
      <c r="K902" s="180"/>
      <c r="L902" s="212"/>
      <c r="M902" s="180"/>
      <c r="N902" s="180"/>
      <c r="O902" s="180"/>
      <c r="P902" s="123"/>
      <c r="Q902" s="130"/>
      <c r="R902" s="180"/>
      <c r="S902" s="180"/>
      <c r="T902" s="180"/>
      <c r="U902" s="180"/>
      <c r="V902" s="123"/>
      <c r="W902" s="123"/>
      <c r="X902" s="123"/>
      <c r="Y902" s="180"/>
      <c r="Z902" s="180"/>
    </row>
    <row r="903" spans="1:26" ht="45.75" customHeight="1">
      <c r="A903" s="180"/>
      <c r="B903" s="180"/>
      <c r="C903" s="180"/>
      <c r="D903" s="180"/>
      <c r="E903" s="180"/>
      <c r="F903" s="225"/>
      <c r="G903" s="180"/>
      <c r="H903" s="180"/>
      <c r="I903" s="180"/>
      <c r="J903" s="211"/>
      <c r="K903" s="180"/>
      <c r="L903" s="212"/>
      <c r="M903" s="180"/>
      <c r="N903" s="180"/>
      <c r="O903" s="180"/>
      <c r="P903" s="123"/>
      <c r="Q903" s="130"/>
      <c r="R903" s="180"/>
      <c r="S903" s="180"/>
      <c r="T903" s="180"/>
      <c r="U903" s="180"/>
      <c r="V903" s="123"/>
      <c r="W903" s="123"/>
      <c r="X903" s="123"/>
      <c r="Y903" s="180"/>
      <c r="Z903" s="180"/>
    </row>
    <row r="904" spans="1:26" ht="45.75" customHeight="1">
      <c r="A904" s="180"/>
      <c r="B904" s="180"/>
      <c r="C904" s="180"/>
      <c r="D904" s="180"/>
      <c r="E904" s="180"/>
      <c r="F904" s="225"/>
      <c r="G904" s="180"/>
      <c r="H904" s="180"/>
      <c r="I904" s="180"/>
      <c r="J904" s="211"/>
      <c r="K904" s="180"/>
      <c r="L904" s="212"/>
      <c r="M904" s="180"/>
      <c r="N904" s="180"/>
      <c r="O904" s="180"/>
      <c r="P904" s="123"/>
      <c r="Q904" s="130"/>
      <c r="R904" s="180"/>
      <c r="S904" s="180"/>
      <c r="T904" s="180"/>
      <c r="U904" s="180"/>
      <c r="V904" s="123"/>
      <c r="W904" s="123"/>
      <c r="X904" s="123"/>
      <c r="Y904" s="180"/>
      <c r="Z904" s="180"/>
    </row>
    <row r="905" spans="1:26" ht="45.75" customHeight="1">
      <c r="A905" s="180"/>
      <c r="B905" s="180"/>
      <c r="C905" s="180"/>
      <c r="D905" s="180"/>
      <c r="E905" s="180"/>
      <c r="F905" s="225"/>
      <c r="G905" s="180"/>
      <c r="H905" s="180"/>
      <c r="I905" s="180"/>
      <c r="J905" s="211"/>
      <c r="K905" s="180"/>
      <c r="L905" s="212"/>
      <c r="M905" s="180"/>
      <c r="N905" s="180"/>
      <c r="O905" s="180"/>
      <c r="P905" s="123"/>
      <c r="Q905" s="130"/>
      <c r="R905" s="180"/>
      <c r="S905" s="180"/>
      <c r="T905" s="180"/>
      <c r="U905" s="180"/>
      <c r="V905" s="123"/>
      <c r="W905" s="123"/>
      <c r="X905" s="123"/>
      <c r="Y905" s="180"/>
      <c r="Z905" s="180"/>
    </row>
    <row r="906" spans="1:26" ht="45.75" customHeight="1">
      <c r="A906" s="180"/>
      <c r="B906" s="180"/>
      <c r="C906" s="180"/>
      <c r="D906" s="180"/>
      <c r="E906" s="180"/>
      <c r="F906" s="225"/>
      <c r="G906" s="180"/>
      <c r="H906" s="180"/>
      <c r="I906" s="180"/>
      <c r="J906" s="211"/>
      <c r="K906" s="180"/>
      <c r="L906" s="212"/>
      <c r="M906" s="180"/>
      <c r="N906" s="180"/>
      <c r="O906" s="180"/>
      <c r="P906" s="123"/>
      <c r="Q906" s="130"/>
      <c r="R906" s="180"/>
      <c r="S906" s="180"/>
      <c r="T906" s="180"/>
      <c r="U906" s="180"/>
      <c r="V906" s="123"/>
      <c r="W906" s="123"/>
      <c r="X906" s="123"/>
      <c r="Y906" s="180"/>
      <c r="Z906" s="180"/>
    </row>
    <row r="907" spans="1:26" ht="45.75" customHeight="1">
      <c r="A907" s="180"/>
      <c r="B907" s="180"/>
      <c r="C907" s="180"/>
      <c r="D907" s="180"/>
      <c r="E907" s="180"/>
      <c r="F907" s="225"/>
      <c r="G907" s="180"/>
      <c r="H907" s="180"/>
      <c r="I907" s="180"/>
      <c r="J907" s="211"/>
      <c r="K907" s="180"/>
      <c r="L907" s="212"/>
      <c r="M907" s="180"/>
      <c r="N907" s="180"/>
      <c r="O907" s="180"/>
      <c r="P907" s="123"/>
      <c r="Q907" s="130"/>
      <c r="R907" s="180"/>
      <c r="S907" s="180"/>
      <c r="T907" s="180"/>
      <c r="U907" s="180"/>
      <c r="V907" s="123"/>
      <c r="W907" s="123"/>
      <c r="X907" s="123"/>
      <c r="Y907" s="180"/>
      <c r="Z907" s="180"/>
    </row>
    <row r="908" spans="1:26" ht="45.75" customHeight="1">
      <c r="A908" s="180"/>
      <c r="B908" s="180"/>
      <c r="C908" s="180"/>
      <c r="D908" s="180"/>
      <c r="E908" s="180"/>
      <c r="F908" s="225"/>
      <c r="G908" s="180"/>
      <c r="H908" s="180"/>
      <c r="I908" s="180"/>
      <c r="J908" s="211"/>
      <c r="K908" s="180"/>
      <c r="L908" s="212"/>
      <c r="M908" s="180"/>
      <c r="N908" s="180"/>
      <c r="O908" s="180"/>
      <c r="P908" s="123"/>
      <c r="Q908" s="130"/>
      <c r="R908" s="180"/>
      <c r="S908" s="180"/>
      <c r="T908" s="180"/>
      <c r="U908" s="180"/>
      <c r="V908" s="123"/>
      <c r="W908" s="123"/>
      <c r="X908" s="123"/>
      <c r="Y908" s="180"/>
      <c r="Z908" s="180"/>
    </row>
    <row r="909" spans="1:26" ht="45.75" customHeight="1">
      <c r="A909" s="180"/>
      <c r="B909" s="180"/>
      <c r="C909" s="180"/>
      <c r="D909" s="180"/>
      <c r="E909" s="180"/>
      <c r="F909" s="225"/>
      <c r="G909" s="180"/>
      <c r="H909" s="180"/>
      <c r="I909" s="180"/>
      <c r="J909" s="211"/>
      <c r="K909" s="180"/>
      <c r="L909" s="212"/>
      <c r="M909" s="180"/>
      <c r="N909" s="180"/>
      <c r="O909" s="180"/>
      <c r="P909" s="123"/>
      <c r="Q909" s="130"/>
      <c r="R909" s="180"/>
      <c r="S909" s="180"/>
      <c r="T909" s="180"/>
      <c r="U909" s="180"/>
      <c r="V909" s="123"/>
      <c r="W909" s="123"/>
      <c r="X909" s="123"/>
      <c r="Y909" s="180"/>
      <c r="Z909" s="180"/>
    </row>
    <row r="910" spans="1:26" ht="45.75" customHeight="1">
      <c r="A910" s="180"/>
      <c r="B910" s="180"/>
      <c r="C910" s="180"/>
      <c r="D910" s="180"/>
      <c r="E910" s="180"/>
      <c r="F910" s="225"/>
      <c r="G910" s="180"/>
      <c r="H910" s="180"/>
      <c r="I910" s="180"/>
      <c r="J910" s="211"/>
      <c r="K910" s="180"/>
      <c r="L910" s="212"/>
      <c r="M910" s="180"/>
      <c r="N910" s="180"/>
      <c r="O910" s="180"/>
      <c r="P910" s="123"/>
      <c r="Q910" s="130"/>
      <c r="R910" s="180"/>
      <c r="S910" s="180"/>
      <c r="T910" s="180"/>
      <c r="U910" s="180"/>
      <c r="V910" s="123"/>
      <c r="W910" s="123"/>
      <c r="X910" s="123"/>
      <c r="Y910" s="180"/>
      <c r="Z910" s="180"/>
    </row>
    <row r="911" spans="1:26" ht="45.75" customHeight="1">
      <c r="A911" s="180"/>
      <c r="B911" s="180"/>
      <c r="C911" s="180"/>
      <c r="D911" s="180"/>
      <c r="E911" s="180"/>
      <c r="F911" s="225"/>
      <c r="G911" s="180"/>
      <c r="H911" s="180"/>
      <c r="I911" s="180"/>
      <c r="J911" s="211"/>
      <c r="K911" s="180"/>
      <c r="L911" s="212"/>
      <c r="M911" s="180"/>
      <c r="N911" s="180"/>
      <c r="O911" s="180"/>
      <c r="P911" s="123"/>
      <c r="Q911" s="130"/>
      <c r="R911" s="180"/>
      <c r="S911" s="180"/>
      <c r="T911" s="180"/>
      <c r="U911" s="180"/>
      <c r="V911" s="123"/>
      <c r="W911" s="123"/>
      <c r="X911" s="123"/>
      <c r="Y911" s="180"/>
      <c r="Z911" s="180"/>
    </row>
    <row r="912" spans="1:26" ht="45.75" customHeight="1">
      <c r="A912" s="180"/>
      <c r="B912" s="180"/>
      <c r="C912" s="180"/>
      <c r="D912" s="180"/>
      <c r="E912" s="180"/>
      <c r="F912" s="225"/>
      <c r="G912" s="180"/>
      <c r="H912" s="180"/>
      <c r="I912" s="180"/>
      <c r="J912" s="211"/>
      <c r="K912" s="180"/>
      <c r="L912" s="212"/>
      <c r="M912" s="180"/>
      <c r="N912" s="180"/>
      <c r="O912" s="180"/>
      <c r="P912" s="123"/>
      <c r="Q912" s="130"/>
      <c r="R912" s="180"/>
      <c r="S912" s="180"/>
      <c r="T912" s="180"/>
      <c r="U912" s="180"/>
      <c r="V912" s="123"/>
      <c r="W912" s="123"/>
      <c r="X912" s="123"/>
      <c r="Y912" s="180"/>
      <c r="Z912" s="180"/>
    </row>
    <row r="913" spans="1:26" ht="45.75" customHeight="1">
      <c r="A913" s="180"/>
      <c r="B913" s="180"/>
      <c r="C913" s="180"/>
      <c r="D913" s="180"/>
      <c r="E913" s="180"/>
      <c r="F913" s="225"/>
      <c r="G913" s="180"/>
      <c r="H913" s="180"/>
      <c r="I913" s="180"/>
      <c r="J913" s="211"/>
      <c r="K913" s="180"/>
      <c r="L913" s="212"/>
      <c r="M913" s="180"/>
      <c r="N913" s="180"/>
      <c r="O913" s="180"/>
      <c r="P913" s="123"/>
      <c r="Q913" s="130"/>
      <c r="R913" s="180"/>
      <c r="S913" s="180"/>
      <c r="T913" s="180"/>
      <c r="U913" s="180"/>
      <c r="V913" s="123"/>
      <c r="W913" s="123"/>
      <c r="X913" s="123"/>
      <c r="Y913" s="180"/>
      <c r="Z913" s="180"/>
    </row>
    <row r="914" spans="1:26" ht="45.75" customHeight="1">
      <c r="A914" s="180"/>
      <c r="B914" s="180"/>
      <c r="C914" s="180"/>
      <c r="D914" s="180"/>
      <c r="E914" s="180"/>
      <c r="F914" s="225"/>
      <c r="G914" s="180"/>
      <c r="H914" s="180"/>
      <c r="I914" s="180"/>
      <c r="J914" s="211"/>
      <c r="K914" s="180"/>
      <c r="L914" s="212"/>
      <c r="M914" s="180"/>
      <c r="N914" s="180"/>
      <c r="O914" s="180"/>
      <c r="P914" s="123"/>
      <c r="Q914" s="130"/>
      <c r="R914" s="180"/>
      <c r="S914" s="180"/>
      <c r="T914" s="180"/>
      <c r="U914" s="180"/>
      <c r="V914" s="123"/>
      <c r="W914" s="123"/>
      <c r="X914" s="123"/>
      <c r="Y914" s="180"/>
      <c r="Z914" s="180"/>
    </row>
    <row r="915" spans="1:26" ht="45.75" customHeight="1">
      <c r="A915" s="180"/>
      <c r="B915" s="180"/>
      <c r="C915" s="180"/>
      <c r="D915" s="180"/>
      <c r="E915" s="180"/>
      <c r="F915" s="225"/>
      <c r="G915" s="180"/>
      <c r="H915" s="180"/>
      <c r="I915" s="180"/>
      <c r="J915" s="211"/>
      <c r="K915" s="180"/>
      <c r="L915" s="212"/>
      <c r="M915" s="180"/>
      <c r="N915" s="180"/>
      <c r="O915" s="180"/>
      <c r="P915" s="123"/>
      <c r="Q915" s="130"/>
      <c r="R915" s="180"/>
      <c r="S915" s="180"/>
      <c r="T915" s="180"/>
      <c r="U915" s="180"/>
      <c r="V915" s="123"/>
      <c r="W915" s="123"/>
      <c r="X915" s="123"/>
      <c r="Y915" s="180"/>
      <c r="Z915" s="180"/>
    </row>
    <row r="916" spans="1:26" ht="45.75" customHeight="1">
      <c r="A916" s="180"/>
      <c r="B916" s="180"/>
      <c r="C916" s="180"/>
      <c r="D916" s="180"/>
      <c r="E916" s="180"/>
      <c r="F916" s="225"/>
      <c r="G916" s="180"/>
      <c r="H916" s="180"/>
      <c r="I916" s="180"/>
      <c r="J916" s="211"/>
      <c r="K916" s="180"/>
      <c r="L916" s="212"/>
      <c r="M916" s="180"/>
      <c r="N916" s="180"/>
      <c r="O916" s="180"/>
      <c r="P916" s="123"/>
      <c r="Q916" s="130"/>
      <c r="R916" s="180"/>
      <c r="S916" s="180"/>
      <c r="T916" s="180"/>
      <c r="U916" s="180"/>
      <c r="V916" s="123"/>
      <c r="W916" s="123"/>
      <c r="X916" s="123"/>
      <c r="Y916" s="180"/>
      <c r="Z916" s="180"/>
    </row>
    <row r="917" spans="1:26" ht="45.75" customHeight="1">
      <c r="A917" s="180"/>
      <c r="B917" s="180"/>
      <c r="C917" s="180"/>
      <c r="D917" s="180"/>
      <c r="E917" s="180"/>
      <c r="F917" s="225"/>
      <c r="G917" s="180"/>
      <c r="H917" s="180"/>
      <c r="I917" s="180"/>
      <c r="J917" s="211"/>
      <c r="K917" s="180"/>
      <c r="L917" s="212"/>
      <c r="M917" s="180"/>
      <c r="N917" s="180"/>
      <c r="O917" s="180"/>
      <c r="P917" s="123"/>
      <c r="Q917" s="130"/>
      <c r="R917" s="180"/>
      <c r="S917" s="180"/>
      <c r="T917" s="180"/>
      <c r="U917" s="180"/>
      <c r="V917" s="123"/>
      <c r="W917" s="123"/>
      <c r="X917" s="123"/>
      <c r="Y917" s="180"/>
      <c r="Z917" s="180"/>
    </row>
    <row r="918" spans="1:26" ht="45.75" customHeight="1">
      <c r="A918" s="180"/>
      <c r="B918" s="180"/>
      <c r="C918" s="180"/>
      <c r="D918" s="180"/>
      <c r="E918" s="180"/>
      <c r="F918" s="225"/>
      <c r="G918" s="180"/>
      <c r="H918" s="180"/>
      <c r="I918" s="180"/>
      <c r="J918" s="211"/>
      <c r="K918" s="180"/>
      <c r="L918" s="212"/>
      <c r="M918" s="180"/>
      <c r="N918" s="180"/>
      <c r="O918" s="180"/>
      <c r="P918" s="123"/>
      <c r="Q918" s="130"/>
      <c r="R918" s="180"/>
      <c r="S918" s="180"/>
      <c r="T918" s="180"/>
      <c r="U918" s="180"/>
      <c r="V918" s="123"/>
      <c r="W918" s="123"/>
      <c r="X918" s="123"/>
      <c r="Y918" s="180"/>
      <c r="Z918" s="180"/>
    </row>
    <row r="919" spans="1:26" ht="45.75" customHeight="1">
      <c r="A919" s="180"/>
      <c r="B919" s="180"/>
      <c r="C919" s="180"/>
      <c r="D919" s="180"/>
      <c r="E919" s="180"/>
      <c r="F919" s="225"/>
      <c r="G919" s="180"/>
      <c r="H919" s="180"/>
      <c r="I919" s="180"/>
      <c r="J919" s="211"/>
      <c r="K919" s="180"/>
      <c r="L919" s="212"/>
      <c r="M919" s="180"/>
      <c r="N919" s="180"/>
      <c r="O919" s="180"/>
      <c r="P919" s="123"/>
      <c r="Q919" s="130"/>
      <c r="R919" s="180"/>
      <c r="S919" s="180"/>
      <c r="T919" s="180"/>
      <c r="U919" s="180"/>
      <c r="V919" s="123"/>
      <c r="W919" s="123"/>
      <c r="X919" s="123"/>
      <c r="Y919" s="180"/>
      <c r="Z919" s="180"/>
    </row>
    <row r="920" spans="1:26" ht="45.75" customHeight="1">
      <c r="A920" s="180"/>
      <c r="B920" s="180"/>
      <c r="C920" s="180"/>
      <c r="D920" s="180"/>
      <c r="E920" s="180"/>
      <c r="F920" s="225"/>
      <c r="G920" s="180"/>
      <c r="H920" s="180"/>
      <c r="I920" s="180"/>
      <c r="J920" s="211"/>
      <c r="K920" s="180"/>
      <c r="L920" s="212"/>
      <c r="M920" s="180"/>
      <c r="N920" s="180"/>
      <c r="O920" s="180"/>
      <c r="P920" s="123"/>
      <c r="Q920" s="130"/>
      <c r="R920" s="180"/>
      <c r="S920" s="180"/>
      <c r="T920" s="180"/>
      <c r="U920" s="180"/>
      <c r="V920" s="123"/>
      <c r="W920" s="123"/>
      <c r="X920" s="123"/>
      <c r="Y920" s="180"/>
      <c r="Z920" s="180"/>
    </row>
    <row r="921" spans="1:26" ht="45.75" customHeight="1">
      <c r="A921" s="180"/>
      <c r="B921" s="180"/>
      <c r="C921" s="180"/>
      <c r="D921" s="180"/>
      <c r="E921" s="180"/>
      <c r="F921" s="225"/>
      <c r="G921" s="180"/>
      <c r="H921" s="180"/>
      <c r="I921" s="180"/>
      <c r="J921" s="211"/>
      <c r="K921" s="180"/>
      <c r="L921" s="212"/>
      <c r="M921" s="180"/>
      <c r="N921" s="180"/>
      <c r="O921" s="180"/>
      <c r="P921" s="123"/>
      <c r="Q921" s="130"/>
      <c r="R921" s="180"/>
      <c r="S921" s="180"/>
      <c r="T921" s="180"/>
      <c r="U921" s="180"/>
      <c r="V921" s="123"/>
      <c r="W921" s="123"/>
      <c r="X921" s="123"/>
      <c r="Y921" s="180"/>
      <c r="Z921" s="180"/>
    </row>
    <row r="922" spans="1:26" ht="45.75" customHeight="1">
      <c r="A922" s="180"/>
      <c r="B922" s="180"/>
      <c r="C922" s="180"/>
      <c r="D922" s="180"/>
      <c r="E922" s="180"/>
      <c r="F922" s="225"/>
      <c r="G922" s="180"/>
      <c r="H922" s="180"/>
      <c r="I922" s="180"/>
      <c r="J922" s="211"/>
      <c r="K922" s="180"/>
      <c r="L922" s="212"/>
      <c r="M922" s="180"/>
      <c r="N922" s="180"/>
      <c r="O922" s="180"/>
      <c r="P922" s="123"/>
      <c r="Q922" s="130"/>
      <c r="R922" s="180"/>
      <c r="S922" s="180"/>
      <c r="T922" s="180"/>
      <c r="U922" s="180"/>
      <c r="V922" s="123"/>
      <c r="W922" s="123"/>
      <c r="X922" s="123"/>
      <c r="Y922" s="180"/>
      <c r="Z922" s="180"/>
    </row>
    <row r="923" spans="1:26" ht="45.75" customHeight="1">
      <c r="A923" s="180"/>
      <c r="B923" s="180"/>
      <c r="C923" s="180"/>
      <c r="D923" s="180"/>
      <c r="E923" s="180"/>
      <c r="F923" s="225"/>
      <c r="G923" s="180"/>
      <c r="H923" s="180"/>
      <c r="I923" s="180"/>
      <c r="J923" s="211"/>
      <c r="K923" s="180"/>
      <c r="L923" s="212"/>
      <c r="M923" s="180"/>
      <c r="N923" s="180"/>
      <c r="O923" s="180"/>
      <c r="P923" s="123"/>
      <c r="Q923" s="130"/>
      <c r="R923" s="180"/>
      <c r="S923" s="180"/>
      <c r="T923" s="180"/>
      <c r="U923" s="180"/>
      <c r="V923" s="123"/>
      <c r="W923" s="123"/>
      <c r="X923" s="123"/>
      <c r="Y923" s="180"/>
      <c r="Z923" s="180"/>
    </row>
    <row r="924" spans="1:26" ht="45.75" customHeight="1">
      <c r="A924" s="180"/>
      <c r="B924" s="180"/>
      <c r="C924" s="180"/>
      <c r="D924" s="180"/>
      <c r="E924" s="180"/>
      <c r="F924" s="225"/>
      <c r="G924" s="180"/>
      <c r="H924" s="180"/>
      <c r="I924" s="180"/>
      <c r="J924" s="211"/>
      <c r="K924" s="180"/>
      <c r="L924" s="212"/>
      <c r="M924" s="180"/>
      <c r="N924" s="180"/>
      <c r="O924" s="180"/>
      <c r="P924" s="123"/>
      <c r="Q924" s="130"/>
      <c r="R924" s="180"/>
      <c r="S924" s="180"/>
      <c r="T924" s="180"/>
      <c r="U924" s="180"/>
      <c r="V924" s="123"/>
      <c r="W924" s="123"/>
      <c r="X924" s="123"/>
      <c r="Y924" s="180"/>
      <c r="Z924" s="180"/>
    </row>
    <row r="925" spans="1:26" ht="45.75" customHeight="1">
      <c r="A925" s="180"/>
      <c r="B925" s="180"/>
      <c r="C925" s="180"/>
      <c r="D925" s="180"/>
      <c r="E925" s="180"/>
      <c r="F925" s="225"/>
      <c r="G925" s="180"/>
      <c r="H925" s="180"/>
      <c r="I925" s="180"/>
      <c r="J925" s="211"/>
      <c r="K925" s="180"/>
      <c r="L925" s="212"/>
      <c r="M925" s="180"/>
      <c r="N925" s="180"/>
      <c r="O925" s="180"/>
      <c r="P925" s="123"/>
      <c r="Q925" s="130"/>
      <c r="R925" s="180"/>
      <c r="S925" s="180"/>
      <c r="T925" s="180"/>
      <c r="U925" s="180"/>
      <c r="V925" s="123"/>
      <c r="W925" s="123"/>
      <c r="X925" s="123"/>
      <c r="Y925" s="180"/>
      <c r="Z925" s="180"/>
    </row>
    <row r="926" spans="1:26" ht="45.75" customHeight="1">
      <c r="A926" s="180"/>
      <c r="B926" s="180"/>
      <c r="C926" s="180"/>
      <c r="D926" s="180"/>
      <c r="E926" s="180"/>
      <c r="F926" s="225"/>
      <c r="G926" s="180"/>
      <c r="H926" s="180"/>
      <c r="I926" s="180"/>
      <c r="J926" s="211"/>
      <c r="K926" s="180"/>
      <c r="L926" s="212"/>
      <c r="M926" s="180"/>
      <c r="N926" s="180"/>
      <c r="O926" s="180"/>
      <c r="P926" s="123"/>
      <c r="Q926" s="130"/>
      <c r="R926" s="180"/>
      <c r="S926" s="180"/>
      <c r="T926" s="180"/>
      <c r="U926" s="180"/>
      <c r="V926" s="123"/>
      <c r="W926" s="123"/>
      <c r="X926" s="123"/>
      <c r="Y926" s="180"/>
      <c r="Z926" s="180"/>
    </row>
    <row r="927" spans="1:26" ht="45.75" customHeight="1">
      <c r="A927" s="180"/>
      <c r="B927" s="180"/>
      <c r="C927" s="180"/>
      <c r="D927" s="180"/>
      <c r="E927" s="180"/>
      <c r="F927" s="225"/>
      <c r="G927" s="180"/>
      <c r="H927" s="180"/>
      <c r="I927" s="180"/>
      <c r="J927" s="211"/>
      <c r="K927" s="180"/>
      <c r="L927" s="212"/>
      <c r="M927" s="180"/>
      <c r="N927" s="180"/>
      <c r="O927" s="180"/>
      <c r="P927" s="123"/>
      <c r="Q927" s="130"/>
      <c r="R927" s="180"/>
      <c r="S927" s="180"/>
      <c r="T927" s="180"/>
      <c r="U927" s="180"/>
      <c r="V927" s="123"/>
      <c r="W927" s="123"/>
      <c r="X927" s="123"/>
      <c r="Y927" s="180"/>
      <c r="Z927" s="180"/>
    </row>
    <row r="928" spans="1:26" ht="45.75" customHeight="1">
      <c r="A928" s="180"/>
      <c r="B928" s="180"/>
      <c r="C928" s="180"/>
      <c r="D928" s="180"/>
      <c r="E928" s="180"/>
      <c r="F928" s="225"/>
      <c r="G928" s="180"/>
      <c r="H928" s="180"/>
      <c r="I928" s="180"/>
      <c r="J928" s="211"/>
      <c r="K928" s="180"/>
      <c r="L928" s="212"/>
      <c r="M928" s="180"/>
      <c r="N928" s="180"/>
      <c r="O928" s="180"/>
      <c r="P928" s="123"/>
      <c r="Q928" s="130"/>
      <c r="R928" s="180"/>
      <c r="S928" s="180"/>
      <c r="T928" s="180"/>
      <c r="U928" s="180"/>
      <c r="V928" s="123"/>
      <c r="W928" s="123"/>
      <c r="X928" s="123"/>
      <c r="Y928" s="180"/>
      <c r="Z928" s="180"/>
    </row>
    <row r="929" spans="1:26" ht="45.75" customHeight="1">
      <c r="A929" s="180"/>
      <c r="B929" s="180"/>
      <c r="C929" s="180"/>
      <c r="D929" s="180"/>
      <c r="E929" s="180"/>
      <c r="F929" s="225"/>
      <c r="G929" s="180"/>
      <c r="H929" s="180"/>
      <c r="I929" s="180"/>
      <c r="J929" s="211"/>
      <c r="K929" s="180"/>
      <c r="L929" s="212"/>
      <c r="M929" s="180"/>
      <c r="N929" s="180"/>
      <c r="O929" s="180"/>
      <c r="P929" s="123"/>
      <c r="Q929" s="130"/>
      <c r="R929" s="180"/>
      <c r="S929" s="180"/>
      <c r="T929" s="180"/>
      <c r="U929" s="180"/>
      <c r="V929" s="123"/>
      <c r="W929" s="123"/>
      <c r="X929" s="123"/>
      <c r="Y929" s="180"/>
      <c r="Z929" s="180"/>
    </row>
    <row r="930" spans="1:26" ht="45.75" customHeight="1">
      <c r="A930" s="180"/>
      <c r="B930" s="180"/>
      <c r="C930" s="180"/>
      <c r="D930" s="180"/>
      <c r="E930" s="180"/>
      <c r="F930" s="225"/>
      <c r="G930" s="180"/>
      <c r="H930" s="180"/>
      <c r="I930" s="180"/>
      <c r="J930" s="211"/>
      <c r="K930" s="180"/>
      <c r="L930" s="212"/>
      <c r="M930" s="180"/>
      <c r="N930" s="180"/>
      <c r="O930" s="180"/>
      <c r="P930" s="123"/>
      <c r="Q930" s="130"/>
      <c r="R930" s="180"/>
      <c r="S930" s="180"/>
      <c r="T930" s="180"/>
      <c r="U930" s="180"/>
      <c r="V930" s="123"/>
      <c r="W930" s="123"/>
      <c r="X930" s="123"/>
      <c r="Y930" s="180"/>
      <c r="Z930" s="180"/>
    </row>
    <row r="931" spans="1:26" ht="45.75" customHeight="1">
      <c r="A931" s="180"/>
      <c r="B931" s="180"/>
      <c r="C931" s="180"/>
      <c r="D931" s="180"/>
      <c r="E931" s="180"/>
      <c r="F931" s="225"/>
      <c r="G931" s="180"/>
      <c r="H931" s="180"/>
      <c r="I931" s="180"/>
      <c r="J931" s="211"/>
      <c r="K931" s="180"/>
      <c r="L931" s="212"/>
      <c r="M931" s="180"/>
      <c r="N931" s="180"/>
      <c r="O931" s="180"/>
      <c r="P931" s="123"/>
      <c r="Q931" s="130"/>
      <c r="R931" s="180"/>
      <c r="S931" s="180"/>
      <c r="T931" s="180"/>
      <c r="U931" s="180"/>
      <c r="V931" s="123"/>
      <c r="W931" s="123"/>
      <c r="X931" s="123"/>
      <c r="Y931" s="180"/>
      <c r="Z931" s="180"/>
    </row>
    <row r="932" spans="1:26" ht="45.75" customHeight="1">
      <c r="A932" s="180"/>
      <c r="B932" s="180"/>
      <c r="C932" s="180"/>
      <c r="D932" s="180"/>
      <c r="E932" s="180"/>
      <c r="F932" s="225"/>
      <c r="G932" s="180"/>
      <c r="H932" s="180"/>
      <c r="I932" s="180"/>
      <c r="J932" s="211"/>
      <c r="K932" s="180"/>
      <c r="L932" s="212"/>
      <c r="M932" s="180"/>
      <c r="N932" s="180"/>
      <c r="O932" s="180"/>
      <c r="P932" s="123"/>
      <c r="Q932" s="130"/>
      <c r="R932" s="180"/>
      <c r="S932" s="180"/>
      <c r="T932" s="180"/>
      <c r="U932" s="180"/>
      <c r="V932" s="123"/>
      <c r="W932" s="123"/>
      <c r="X932" s="123"/>
      <c r="Y932" s="180"/>
      <c r="Z932" s="180"/>
    </row>
    <row r="933" spans="1:26" ht="45.75" customHeight="1">
      <c r="A933" s="180"/>
      <c r="B933" s="180"/>
      <c r="C933" s="180"/>
      <c r="D933" s="180"/>
      <c r="E933" s="180"/>
      <c r="F933" s="225"/>
      <c r="G933" s="180"/>
      <c r="H933" s="180"/>
      <c r="I933" s="180"/>
      <c r="J933" s="211"/>
      <c r="K933" s="180"/>
      <c r="L933" s="212"/>
      <c r="M933" s="180"/>
      <c r="N933" s="180"/>
      <c r="O933" s="180"/>
      <c r="P933" s="123"/>
      <c r="Q933" s="130"/>
      <c r="R933" s="180"/>
      <c r="S933" s="180"/>
      <c r="T933" s="180"/>
      <c r="U933" s="180"/>
      <c r="V933" s="123"/>
      <c r="W933" s="123"/>
      <c r="X933" s="123"/>
      <c r="Y933" s="180"/>
      <c r="Z933" s="180"/>
    </row>
    <row r="934" spans="1:26" ht="45.75" customHeight="1">
      <c r="A934" s="180"/>
      <c r="B934" s="180"/>
      <c r="C934" s="180"/>
      <c r="D934" s="180"/>
      <c r="E934" s="180"/>
      <c r="F934" s="225"/>
      <c r="G934" s="180"/>
      <c r="H934" s="180"/>
      <c r="I934" s="180"/>
      <c r="J934" s="211"/>
      <c r="K934" s="180"/>
      <c r="L934" s="212"/>
      <c r="M934" s="180"/>
      <c r="N934" s="180"/>
      <c r="O934" s="180"/>
      <c r="P934" s="123"/>
      <c r="Q934" s="130"/>
      <c r="R934" s="180"/>
      <c r="S934" s="180"/>
      <c r="T934" s="180"/>
      <c r="U934" s="180"/>
      <c r="V934" s="123"/>
      <c r="W934" s="123"/>
      <c r="X934" s="123"/>
      <c r="Y934" s="180"/>
      <c r="Z934" s="180"/>
    </row>
    <row r="935" spans="1:26" ht="45.75" customHeight="1">
      <c r="A935" s="180"/>
      <c r="B935" s="180"/>
      <c r="C935" s="180"/>
      <c r="D935" s="180"/>
      <c r="E935" s="180"/>
      <c r="F935" s="225"/>
      <c r="G935" s="180"/>
      <c r="H935" s="180"/>
      <c r="I935" s="180"/>
      <c r="J935" s="211"/>
      <c r="K935" s="180"/>
      <c r="L935" s="212"/>
      <c r="M935" s="180"/>
      <c r="N935" s="180"/>
      <c r="O935" s="180"/>
      <c r="P935" s="123"/>
      <c r="Q935" s="130"/>
      <c r="R935" s="180"/>
      <c r="S935" s="180"/>
      <c r="T935" s="180"/>
      <c r="U935" s="180"/>
      <c r="V935" s="123"/>
      <c r="W935" s="123"/>
      <c r="X935" s="123"/>
      <c r="Y935" s="180"/>
      <c r="Z935" s="180"/>
    </row>
    <row r="936" spans="1:26" ht="45.75" customHeight="1">
      <c r="A936" s="180"/>
      <c r="B936" s="180"/>
      <c r="C936" s="180"/>
      <c r="D936" s="180"/>
      <c r="E936" s="180"/>
      <c r="F936" s="225"/>
      <c r="G936" s="180"/>
      <c r="H936" s="180"/>
      <c r="I936" s="180"/>
      <c r="J936" s="211"/>
      <c r="K936" s="180"/>
      <c r="L936" s="212"/>
      <c r="M936" s="180"/>
      <c r="N936" s="180"/>
      <c r="O936" s="180"/>
      <c r="P936" s="123"/>
      <c r="Q936" s="130"/>
      <c r="R936" s="180"/>
      <c r="S936" s="180"/>
      <c r="T936" s="180"/>
      <c r="U936" s="180"/>
      <c r="V936" s="123"/>
      <c r="W936" s="123"/>
      <c r="X936" s="123"/>
      <c r="Y936" s="180"/>
      <c r="Z936" s="180"/>
    </row>
    <row r="937" spans="1:26" ht="45.75" customHeight="1">
      <c r="A937" s="180"/>
      <c r="B937" s="180"/>
      <c r="C937" s="180"/>
      <c r="D937" s="180"/>
      <c r="E937" s="180"/>
      <c r="F937" s="225"/>
      <c r="G937" s="180"/>
      <c r="H937" s="180"/>
      <c r="I937" s="180"/>
      <c r="J937" s="211"/>
      <c r="K937" s="180"/>
      <c r="L937" s="212"/>
      <c r="M937" s="180"/>
      <c r="N937" s="180"/>
      <c r="O937" s="180"/>
      <c r="P937" s="123"/>
      <c r="Q937" s="130"/>
      <c r="R937" s="180"/>
      <c r="S937" s="180"/>
      <c r="T937" s="180"/>
      <c r="U937" s="180"/>
      <c r="V937" s="123"/>
      <c r="W937" s="123"/>
      <c r="X937" s="123"/>
      <c r="Y937" s="180"/>
      <c r="Z937" s="180"/>
    </row>
    <row r="938" spans="1:26" ht="45.75" customHeight="1">
      <c r="A938" s="180"/>
      <c r="B938" s="180"/>
      <c r="C938" s="180"/>
      <c r="D938" s="180"/>
      <c r="E938" s="180"/>
      <c r="F938" s="225"/>
      <c r="G938" s="180"/>
      <c r="H938" s="180"/>
      <c r="I938" s="180"/>
      <c r="J938" s="211"/>
      <c r="K938" s="180"/>
      <c r="L938" s="212"/>
      <c r="M938" s="180"/>
      <c r="N938" s="180"/>
      <c r="O938" s="180"/>
      <c r="P938" s="123"/>
      <c r="Q938" s="130"/>
      <c r="R938" s="180"/>
      <c r="S938" s="180"/>
      <c r="T938" s="180"/>
      <c r="U938" s="180"/>
      <c r="V938" s="123"/>
      <c r="W938" s="123"/>
      <c r="X938" s="123"/>
      <c r="Y938" s="180"/>
      <c r="Z938" s="180"/>
    </row>
    <row r="939" spans="1:26" ht="45.75" customHeight="1">
      <c r="A939" s="180"/>
      <c r="B939" s="180"/>
      <c r="C939" s="180"/>
      <c r="D939" s="180"/>
      <c r="E939" s="180"/>
      <c r="F939" s="225"/>
      <c r="G939" s="180"/>
      <c r="H939" s="180"/>
      <c r="I939" s="180"/>
      <c r="J939" s="211"/>
      <c r="K939" s="180"/>
      <c r="L939" s="212"/>
      <c r="M939" s="180"/>
      <c r="N939" s="180"/>
      <c r="O939" s="180"/>
      <c r="P939" s="123"/>
      <c r="Q939" s="130"/>
      <c r="R939" s="180"/>
      <c r="S939" s="180"/>
      <c r="T939" s="180"/>
      <c r="U939" s="180"/>
      <c r="V939" s="123"/>
      <c r="W939" s="123"/>
      <c r="X939" s="123"/>
      <c r="Y939" s="180"/>
      <c r="Z939" s="180"/>
    </row>
    <row r="940" spans="1:26" ht="45.75" customHeight="1">
      <c r="A940" s="180"/>
      <c r="B940" s="180"/>
      <c r="C940" s="180"/>
      <c r="D940" s="180"/>
      <c r="E940" s="180"/>
      <c r="F940" s="225"/>
      <c r="G940" s="180"/>
      <c r="H940" s="180"/>
      <c r="I940" s="180"/>
      <c r="J940" s="211"/>
      <c r="K940" s="180"/>
      <c r="L940" s="212"/>
      <c r="M940" s="180"/>
      <c r="N940" s="180"/>
      <c r="O940" s="180"/>
      <c r="P940" s="123"/>
      <c r="Q940" s="130"/>
      <c r="R940" s="180"/>
      <c r="S940" s="180"/>
      <c r="T940" s="180"/>
      <c r="U940" s="180"/>
      <c r="V940" s="123"/>
      <c r="W940" s="123"/>
      <c r="X940" s="123"/>
      <c r="Y940" s="180"/>
      <c r="Z940" s="180"/>
    </row>
    <row r="941" spans="1:26" ht="45.75" customHeight="1">
      <c r="A941" s="180"/>
      <c r="B941" s="180"/>
      <c r="C941" s="180"/>
      <c r="D941" s="180"/>
      <c r="E941" s="180"/>
      <c r="F941" s="225"/>
      <c r="G941" s="180"/>
      <c r="H941" s="180"/>
      <c r="I941" s="180"/>
      <c r="J941" s="211"/>
      <c r="K941" s="180"/>
      <c r="L941" s="212"/>
      <c r="M941" s="180"/>
      <c r="N941" s="180"/>
      <c r="O941" s="180"/>
      <c r="P941" s="123"/>
      <c r="Q941" s="130"/>
      <c r="R941" s="180"/>
      <c r="S941" s="180"/>
      <c r="T941" s="180"/>
      <c r="U941" s="180"/>
      <c r="V941" s="123"/>
      <c r="W941" s="123"/>
      <c r="X941" s="123"/>
      <c r="Y941" s="180"/>
      <c r="Z941" s="180"/>
    </row>
    <row r="942" spans="1:26" ht="45.75" customHeight="1">
      <c r="A942" s="180"/>
      <c r="B942" s="180"/>
      <c r="C942" s="180"/>
      <c r="D942" s="180"/>
      <c r="E942" s="180"/>
      <c r="F942" s="225"/>
      <c r="G942" s="180"/>
      <c r="H942" s="180"/>
      <c r="I942" s="180"/>
      <c r="J942" s="211"/>
      <c r="K942" s="180"/>
      <c r="L942" s="212"/>
      <c r="M942" s="180"/>
      <c r="N942" s="180"/>
      <c r="O942" s="180"/>
      <c r="P942" s="123"/>
      <c r="Q942" s="130"/>
      <c r="R942" s="180"/>
      <c r="S942" s="180"/>
      <c r="T942" s="180"/>
      <c r="U942" s="180"/>
      <c r="V942" s="123"/>
      <c r="W942" s="123"/>
      <c r="X942" s="123"/>
      <c r="Y942" s="180"/>
      <c r="Z942" s="180"/>
    </row>
    <row r="943" spans="1:26" ht="45.75" customHeight="1">
      <c r="A943" s="180"/>
      <c r="B943" s="180"/>
      <c r="C943" s="180"/>
      <c r="D943" s="180"/>
      <c r="E943" s="180"/>
      <c r="F943" s="225"/>
      <c r="G943" s="180"/>
      <c r="H943" s="180"/>
      <c r="I943" s="180"/>
      <c r="J943" s="211"/>
      <c r="K943" s="180"/>
      <c r="L943" s="212"/>
      <c r="M943" s="180"/>
      <c r="N943" s="180"/>
      <c r="O943" s="180"/>
      <c r="P943" s="123"/>
      <c r="Q943" s="130"/>
      <c r="R943" s="180"/>
      <c r="S943" s="180"/>
      <c r="T943" s="180"/>
      <c r="U943" s="180"/>
      <c r="V943" s="123"/>
      <c r="W943" s="123"/>
      <c r="X943" s="123"/>
      <c r="Y943" s="180"/>
      <c r="Z943" s="180"/>
    </row>
    <row r="944" spans="1:26" ht="45.75" customHeight="1">
      <c r="A944" s="180"/>
      <c r="B944" s="180"/>
      <c r="C944" s="180"/>
      <c r="D944" s="180"/>
      <c r="E944" s="180"/>
      <c r="F944" s="225"/>
      <c r="G944" s="180"/>
      <c r="H944" s="180"/>
      <c r="I944" s="180"/>
      <c r="J944" s="211"/>
      <c r="K944" s="180"/>
      <c r="L944" s="212"/>
      <c r="M944" s="180"/>
      <c r="N944" s="180"/>
      <c r="O944" s="180"/>
      <c r="P944" s="123"/>
      <c r="Q944" s="130"/>
      <c r="R944" s="180"/>
      <c r="S944" s="180"/>
      <c r="T944" s="180"/>
      <c r="U944" s="180"/>
      <c r="V944" s="123"/>
      <c r="W944" s="123"/>
      <c r="X944" s="123"/>
      <c r="Y944" s="180"/>
      <c r="Z944" s="180"/>
    </row>
    <row r="945" spans="1:26" ht="45.75" customHeight="1">
      <c r="A945" s="180"/>
      <c r="B945" s="180"/>
      <c r="C945" s="180"/>
      <c r="D945" s="180"/>
      <c r="E945" s="180"/>
      <c r="F945" s="225"/>
      <c r="G945" s="180"/>
      <c r="H945" s="180"/>
      <c r="I945" s="180"/>
      <c r="J945" s="211"/>
      <c r="K945" s="180"/>
      <c r="L945" s="212"/>
      <c r="M945" s="180"/>
      <c r="N945" s="180"/>
      <c r="O945" s="180"/>
      <c r="P945" s="123"/>
      <c r="Q945" s="130"/>
      <c r="R945" s="180"/>
      <c r="S945" s="180"/>
      <c r="T945" s="180"/>
      <c r="U945" s="180"/>
      <c r="V945" s="123"/>
      <c r="W945" s="123"/>
      <c r="X945" s="123"/>
      <c r="Y945" s="180"/>
      <c r="Z945" s="180"/>
    </row>
    <row r="946" spans="1:26" ht="45.75" customHeight="1">
      <c r="A946" s="180"/>
      <c r="B946" s="180"/>
      <c r="C946" s="180"/>
      <c r="D946" s="180"/>
      <c r="E946" s="180"/>
      <c r="F946" s="225"/>
      <c r="G946" s="180"/>
      <c r="H946" s="180"/>
      <c r="I946" s="180"/>
      <c r="J946" s="211"/>
      <c r="K946" s="180"/>
      <c r="L946" s="212"/>
      <c r="M946" s="180"/>
      <c r="N946" s="180"/>
      <c r="O946" s="180"/>
      <c r="P946" s="123"/>
      <c r="Q946" s="130"/>
      <c r="R946" s="180"/>
      <c r="S946" s="180"/>
      <c r="T946" s="180"/>
      <c r="U946" s="180"/>
      <c r="V946" s="123"/>
      <c r="W946" s="123"/>
      <c r="X946" s="123"/>
      <c r="Y946" s="180"/>
      <c r="Z946" s="180"/>
    </row>
    <row r="947" spans="1:26" ht="45.75" customHeight="1">
      <c r="A947" s="180"/>
      <c r="B947" s="180"/>
      <c r="C947" s="180"/>
      <c r="D947" s="180"/>
      <c r="E947" s="180"/>
      <c r="F947" s="225"/>
      <c r="G947" s="180"/>
      <c r="H947" s="180"/>
      <c r="I947" s="180"/>
      <c r="J947" s="211"/>
      <c r="K947" s="180"/>
      <c r="L947" s="212"/>
      <c r="M947" s="180"/>
      <c r="N947" s="180"/>
      <c r="O947" s="180"/>
      <c r="P947" s="123"/>
      <c r="Q947" s="130"/>
      <c r="R947" s="180"/>
      <c r="S947" s="180"/>
      <c r="T947" s="180"/>
      <c r="U947" s="180"/>
      <c r="V947" s="123"/>
      <c r="W947" s="123"/>
      <c r="X947" s="123"/>
      <c r="Y947" s="180"/>
      <c r="Z947" s="180"/>
    </row>
    <row r="948" spans="1:26" ht="45.75" customHeight="1">
      <c r="A948" s="180"/>
      <c r="B948" s="180"/>
      <c r="C948" s="180"/>
      <c r="D948" s="180"/>
      <c r="E948" s="180"/>
      <c r="F948" s="225"/>
      <c r="G948" s="180"/>
      <c r="H948" s="180"/>
      <c r="I948" s="180"/>
      <c r="J948" s="211"/>
      <c r="K948" s="180"/>
      <c r="L948" s="212"/>
      <c r="M948" s="180"/>
      <c r="N948" s="180"/>
      <c r="O948" s="180"/>
      <c r="P948" s="123"/>
      <c r="Q948" s="130"/>
      <c r="R948" s="180"/>
      <c r="S948" s="180"/>
      <c r="T948" s="180"/>
      <c r="U948" s="180"/>
      <c r="V948" s="123"/>
      <c r="W948" s="123"/>
      <c r="X948" s="123"/>
      <c r="Y948" s="180"/>
      <c r="Z948" s="180"/>
    </row>
    <row r="949" spans="1:26" ht="45.75" customHeight="1">
      <c r="A949" s="180"/>
      <c r="B949" s="180"/>
      <c r="C949" s="180"/>
      <c r="D949" s="180"/>
      <c r="E949" s="180"/>
      <c r="F949" s="225"/>
      <c r="G949" s="180"/>
      <c r="H949" s="180"/>
      <c r="I949" s="180"/>
      <c r="J949" s="211"/>
      <c r="K949" s="180"/>
      <c r="L949" s="212"/>
      <c r="M949" s="180"/>
      <c r="N949" s="180"/>
      <c r="O949" s="180"/>
      <c r="P949" s="123"/>
      <c r="Q949" s="130"/>
      <c r="R949" s="180"/>
      <c r="S949" s="180"/>
      <c r="T949" s="180"/>
      <c r="U949" s="180"/>
      <c r="V949" s="123"/>
      <c r="W949" s="123"/>
      <c r="X949" s="123"/>
      <c r="Y949" s="180"/>
      <c r="Z949" s="180"/>
    </row>
    <row r="950" spans="1:26" ht="45.75" customHeight="1">
      <c r="A950" s="180"/>
      <c r="B950" s="180"/>
      <c r="C950" s="180"/>
      <c r="D950" s="180"/>
      <c r="E950" s="180"/>
      <c r="F950" s="225"/>
      <c r="G950" s="180"/>
      <c r="H950" s="180"/>
      <c r="I950" s="180"/>
      <c r="J950" s="211"/>
      <c r="K950" s="180"/>
      <c r="L950" s="212"/>
      <c r="M950" s="180"/>
      <c r="N950" s="180"/>
      <c r="O950" s="180"/>
      <c r="P950" s="123"/>
      <c r="Q950" s="130"/>
      <c r="R950" s="180"/>
      <c r="S950" s="180"/>
      <c r="T950" s="180"/>
      <c r="U950" s="180"/>
      <c r="V950" s="123"/>
      <c r="W950" s="123"/>
      <c r="X950" s="123"/>
      <c r="Y950" s="180"/>
      <c r="Z950" s="180"/>
    </row>
    <row r="951" spans="1:26" ht="45.75" customHeight="1">
      <c r="A951" s="180"/>
      <c r="B951" s="180"/>
      <c r="C951" s="180"/>
      <c r="D951" s="180"/>
      <c r="E951" s="180"/>
      <c r="F951" s="225"/>
      <c r="G951" s="180"/>
      <c r="H951" s="180"/>
      <c r="I951" s="180"/>
      <c r="J951" s="211"/>
      <c r="K951" s="180"/>
      <c r="L951" s="212"/>
      <c r="M951" s="180"/>
      <c r="N951" s="180"/>
      <c r="O951" s="180"/>
      <c r="P951" s="123"/>
      <c r="Q951" s="130"/>
      <c r="R951" s="180"/>
      <c r="S951" s="180"/>
      <c r="T951" s="180"/>
      <c r="U951" s="180"/>
      <c r="V951" s="123"/>
      <c r="W951" s="123"/>
      <c r="X951" s="123"/>
      <c r="Y951" s="180"/>
      <c r="Z951" s="180"/>
    </row>
    <row r="952" spans="1:26" ht="45.75" customHeight="1">
      <c r="A952" s="180"/>
      <c r="B952" s="180"/>
      <c r="C952" s="180"/>
      <c r="D952" s="180"/>
      <c r="E952" s="180"/>
      <c r="F952" s="225"/>
      <c r="G952" s="180"/>
      <c r="H952" s="180"/>
      <c r="I952" s="180"/>
      <c r="J952" s="211"/>
      <c r="K952" s="180"/>
      <c r="L952" s="212"/>
      <c r="M952" s="180"/>
      <c r="N952" s="180"/>
      <c r="O952" s="180"/>
      <c r="P952" s="123"/>
      <c r="Q952" s="130"/>
      <c r="R952" s="180"/>
      <c r="S952" s="180"/>
      <c r="T952" s="180"/>
      <c r="U952" s="180"/>
      <c r="V952" s="123"/>
      <c r="W952" s="123"/>
      <c r="X952" s="123"/>
      <c r="Y952" s="180"/>
      <c r="Z952" s="180"/>
    </row>
    <row r="953" spans="1:26" ht="45.75" customHeight="1">
      <c r="A953" s="180"/>
      <c r="B953" s="180"/>
      <c r="C953" s="180"/>
      <c r="D953" s="180"/>
      <c r="E953" s="180"/>
      <c r="F953" s="225"/>
      <c r="G953" s="180"/>
      <c r="H953" s="180"/>
      <c r="I953" s="180"/>
      <c r="J953" s="211"/>
      <c r="K953" s="180"/>
      <c r="L953" s="212"/>
      <c r="M953" s="180"/>
      <c r="N953" s="180"/>
      <c r="O953" s="180"/>
      <c r="P953" s="123"/>
      <c r="Q953" s="130"/>
      <c r="R953" s="180"/>
      <c r="S953" s="180"/>
      <c r="T953" s="180"/>
      <c r="U953" s="180"/>
      <c r="V953" s="123"/>
      <c r="W953" s="123"/>
      <c r="X953" s="123"/>
      <c r="Y953" s="180"/>
      <c r="Z953" s="180"/>
    </row>
    <row r="954" spans="1:26" ht="45.75" customHeight="1">
      <c r="A954" s="180"/>
      <c r="B954" s="180"/>
      <c r="C954" s="180"/>
      <c r="D954" s="180"/>
      <c r="E954" s="180"/>
      <c r="F954" s="225"/>
      <c r="G954" s="180"/>
      <c r="H954" s="180"/>
      <c r="I954" s="180"/>
      <c r="J954" s="211"/>
      <c r="K954" s="180"/>
      <c r="L954" s="212"/>
      <c r="M954" s="180"/>
      <c r="N954" s="180"/>
      <c r="O954" s="180"/>
      <c r="P954" s="123"/>
      <c r="Q954" s="130"/>
      <c r="R954" s="180"/>
      <c r="S954" s="180"/>
      <c r="T954" s="180"/>
      <c r="U954" s="180"/>
      <c r="V954" s="123"/>
      <c r="W954" s="123"/>
      <c r="X954" s="123"/>
      <c r="Y954" s="180"/>
      <c r="Z954" s="180"/>
    </row>
    <row r="955" spans="1:26" ht="45.75" customHeight="1">
      <c r="A955" s="180"/>
      <c r="B955" s="180"/>
      <c r="C955" s="180"/>
      <c r="D955" s="180"/>
      <c r="E955" s="180"/>
      <c r="F955" s="225"/>
      <c r="G955" s="180"/>
      <c r="H955" s="180"/>
      <c r="I955" s="180"/>
      <c r="J955" s="211"/>
      <c r="K955" s="180"/>
      <c r="L955" s="212"/>
      <c r="M955" s="180"/>
      <c r="N955" s="180"/>
      <c r="O955" s="180"/>
      <c r="P955" s="123"/>
      <c r="Q955" s="130"/>
      <c r="R955" s="180"/>
      <c r="S955" s="180"/>
      <c r="T955" s="180"/>
      <c r="U955" s="180"/>
      <c r="V955" s="123"/>
      <c r="W955" s="123"/>
      <c r="X955" s="123"/>
      <c r="Y955" s="180"/>
      <c r="Z955" s="180"/>
    </row>
    <row r="956" spans="1:26" ht="45.75" customHeight="1">
      <c r="A956" s="180"/>
      <c r="B956" s="180"/>
      <c r="C956" s="180"/>
      <c r="D956" s="180"/>
      <c r="E956" s="180"/>
      <c r="F956" s="225"/>
      <c r="G956" s="180"/>
      <c r="H956" s="180"/>
      <c r="I956" s="180"/>
      <c r="J956" s="211"/>
      <c r="K956" s="180"/>
      <c r="L956" s="212"/>
      <c r="M956" s="180"/>
      <c r="N956" s="180"/>
      <c r="O956" s="180"/>
      <c r="P956" s="123"/>
      <c r="Q956" s="130"/>
      <c r="R956" s="180"/>
      <c r="S956" s="180"/>
      <c r="T956" s="180"/>
      <c r="U956" s="180"/>
      <c r="V956" s="123"/>
      <c r="W956" s="123"/>
      <c r="X956" s="123"/>
      <c r="Y956" s="180"/>
      <c r="Z956" s="180"/>
    </row>
    <row r="957" spans="1:26" ht="45.75" customHeight="1">
      <c r="A957" s="180"/>
      <c r="B957" s="180"/>
      <c r="C957" s="180"/>
      <c r="D957" s="180"/>
      <c r="E957" s="180"/>
      <c r="F957" s="225"/>
      <c r="G957" s="180"/>
      <c r="H957" s="180"/>
      <c r="I957" s="180"/>
      <c r="J957" s="211"/>
      <c r="K957" s="180"/>
      <c r="L957" s="212"/>
      <c r="M957" s="180"/>
      <c r="N957" s="180"/>
      <c r="O957" s="180"/>
      <c r="P957" s="123"/>
      <c r="Q957" s="130"/>
      <c r="R957" s="180"/>
      <c r="S957" s="180"/>
      <c r="T957" s="180"/>
      <c r="U957" s="180"/>
      <c r="V957" s="123"/>
      <c r="W957" s="123"/>
      <c r="X957" s="123"/>
      <c r="Y957" s="180"/>
      <c r="Z957" s="180"/>
    </row>
    <row r="958" spans="1:26" ht="45.75" customHeight="1">
      <c r="A958" s="180"/>
      <c r="B958" s="180"/>
      <c r="C958" s="180"/>
      <c r="D958" s="180"/>
      <c r="E958" s="180"/>
      <c r="F958" s="225"/>
      <c r="G958" s="180"/>
      <c r="H958" s="180"/>
      <c r="I958" s="180"/>
      <c r="J958" s="211"/>
      <c r="K958" s="180"/>
      <c r="L958" s="212"/>
      <c r="M958" s="180"/>
      <c r="N958" s="180"/>
      <c r="O958" s="180"/>
      <c r="P958" s="123"/>
      <c r="Q958" s="130"/>
      <c r="R958" s="180"/>
      <c r="S958" s="180"/>
      <c r="T958" s="180"/>
      <c r="U958" s="180"/>
      <c r="V958" s="123"/>
      <c r="W958" s="123"/>
      <c r="X958" s="123"/>
      <c r="Y958" s="180"/>
      <c r="Z958" s="180"/>
    </row>
    <row r="959" spans="1:26" ht="45.75" customHeight="1">
      <c r="A959" s="180"/>
      <c r="B959" s="180"/>
      <c r="C959" s="180"/>
      <c r="D959" s="180"/>
      <c r="E959" s="180"/>
      <c r="F959" s="225"/>
      <c r="G959" s="180"/>
      <c r="H959" s="180"/>
      <c r="I959" s="180"/>
      <c r="J959" s="211"/>
      <c r="K959" s="180"/>
      <c r="L959" s="212"/>
      <c r="M959" s="180"/>
      <c r="N959" s="180"/>
      <c r="O959" s="180"/>
      <c r="P959" s="123"/>
      <c r="Q959" s="130"/>
      <c r="R959" s="180"/>
      <c r="S959" s="180"/>
      <c r="T959" s="180"/>
      <c r="U959" s="180"/>
      <c r="V959" s="123"/>
      <c r="W959" s="123"/>
      <c r="X959" s="123"/>
      <c r="Y959" s="180"/>
      <c r="Z959" s="180"/>
    </row>
    <row r="960" spans="1:26" ht="45.75" customHeight="1">
      <c r="A960" s="180"/>
      <c r="B960" s="180"/>
      <c r="C960" s="180"/>
      <c r="D960" s="180"/>
      <c r="E960" s="180"/>
      <c r="F960" s="225"/>
      <c r="G960" s="180"/>
      <c r="H960" s="180"/>
      <c r="I960" s="180"/>
      <c r="J960" s="211"/>
      <c r="K960" s="180"/>
      <c r="L960" s="212"/>
      <c r="M960" s="180"/>
      <c r="N960" s="180"/>
      <c r="O960" s="180"/>
      <c r="P960" s="123"/>
      <c r="Q960" s="130"/>
      <c r="R960" s="180"/>
      <c r="S960" s="180"/>
      <c r="T960" s="180"/>
      <c r="U960" s="180"/>
      <c r="V960" s="123"/>
      <c r="W960" s="123"/>
      <c r="X960" s="123"/>
      <c r="Y960" s="180"/>
      <c r="Z960" s="180"/>
    </row>
    <row r="961" spans="1:26" ht="45.75" customHeight="1">
      <c r="A961" s="180"/>
      <c r="B961" s="180"/>
      <c r="C961" s="180"/>
      <c r="D961" s="180"/>
      <c r="E961" s="180"/>
      <c r="F961" s="225"/>
      <c r="G961" s="180"/>
      <c r="H961" s="180"/>
      <c r="I961" s="180"/>
      <c r="J961" s="211"/>
      <c r="K961" s="180"/>
      <c r="L961" s="212"/>
      <c r="M961" s="180"/>
      <c r="N961" s="180"/>
      <c r="O961" s="180"/>
      <c r="P961" s="123"/>
      <c r="Q961" s="130"/>
      <c r="R961" s="180"/>
      <c r="S961" s="180"/>
      <c r="T961" s="180"/>
      <c r="U961" s="180"/>
      <c r="V961" s="123"/>
      <c r="W961" s="123"/>
      <c r="X961" s="123"/>
      <c r="Y961" s="180"/>
      <c r="Z961" s="180"/>
    </row>
    <row r="962" spans="1:26" ht="45.75" customHeight="1">
      <c r="A962" s="180"/>
      <c r="B962" s="180"/>
      <c r="C962" s="180"/>
      <c r="D962" s="180"/>
      <c r="E962" s="180"/>
      <c r="F962" s="225"/>
      <c r="G962" s="180"/>
      <c r="H962" s="180"/>
      <c r="I962" s="180"/>
      <c r="J962" s="211"/>
      <c r="K962" s="180"/>
      <c r="L962" s="212"/>
      <c r="M962" s="180"/>
      <c r="N962" s="180"/>
      <c r="O962" s="180"/>
      <c r="P962" s="123"/>
      <c r="Q962" s="130"/>
      <c r="R962" s="180"/>
      <c r="S962" s="180"/>
      <c r="T962" s="180"/>
      <c r="U962" s="180"/>
      <c r="V962" s="123"/>
      <c r="W962" s="123"/>
      <c r="X962" s="123"/>
      <c r="Y962" s="180"/>
      <c r="Z962" s="180"/>
    </row>
    <row r="963" spans="1:26" ht="45.75" customHeight="1">
      <c r="A963" s="180"/>
      <c r="B963" s="180"/>
      <c r="C963" s="180"/>
      <c r="D963" s="180"/>
      <c r="E963" s="180"/>
      <c r="F963" s="225"/>
      <c r="G963" s="180"/>
      <c r="H963" s="180"/>
      <c r="I963" s="180"/>
      <c r="J963" s="211"/>
      <c r="K963" s="180"/>
      <c r="L963" s="212"/>
      <c r="M963" s="180"/>
      <c r="N963" s="180"/>
      <c r="O963" s="180"/>
      <c r="P963" s="123"/>
      <c r="Q963" s="130"/>
      <c r="R963" s="180"/>
      <c r="S963" s="180"/>
      <c r="T963" s="180"/>
      <c r="U963" s="180"/>
      <c r="V963" s="123"/>
      <c r="W963" s="123"/>
      <c r="X963" s="123"/>
      <c r="Y963" s="180"/>
      <c r="Z963" s="180"/>
    </row>
    <row r="964" spans="1:26" ht="45.75" customHeight="1">
      <c r="A964" s="180"/>
      <c r="B964" s="180"/>
      <c r="C964" s="180"/>
      <c r="D964" s="180"/>
      <c r="E964" s="180"/>
      <c r="F964" s="225"/>
      <c r="G964" s="180"/>
      <c r="H964" s="180"/>
      <c r="I964" s="180"/>
      <c r="J964" s="211"/>
      <c r="K964" s="180"/>
      <c r="L964" s="212"/>
      <c r="M964" s="180"/>
      <c r="N964" s="180"/>
      <c r="O964" s="180"/>
      <c r="P964" s="123"/>
      <c r="Q964" s="130"/>
      <c r="R964" s="180"/>
      <c r="S964" s="180"/>
      <c r="T964" s="180"/>
      <c r="U964" s="180"/>
      <c r="V964" s="123"/>
      <c r="W964" s="123"/>
      <c r="X964" s="123"/>
      <c r="Y964" s="180"/>
      <c r="Z964" s="180"/>
    </row>
    <row r="965" spans="1:26" ht="45.75" customHeight="1">
      <c r="A965" s="180"/>
      <c r="B965" s="180"/>
      <c r="C965" s="180"/>
      <c r="D965" s="180"/>
      <c r="E965" s="180"/>
      <c r="F965" s="225"/>
      <c r="G965" s="180"/>
      <c r="H965" s="180"/>
      <c r="I965" s="180"/>
      <c r="J965" s="211"/>
      <c r="K965" s="180"/>
      <c r="L965" s="212"/>
      <c r="M965" s="180"/>
      <c r="N965" s="180"/>
      <c r="O965" s="180"/>
      <c r="P965" s="123"/>
      <c r="Q965" s="130"/>
      <c r="R965" s="180"/>
      <c r="S965" s="180"/>
      <c r="T965" s="180"/>
      <c r="U965" s="180"/>
      <c r="V965" s="123"/>
      <c r="W965" s="123"/>
      <c r="X965" s="123"/>
      <c r="Y965" s="180"/>
      <c r="Z965" s="180"/>
    </row>
    <row r="966" spans="1:26" ht="45.75" customHeight="1">
      <c r="A966" s="180"/>
      <c r="B966" s="180"/>
      <c r="C966" s="180"/>
      <c r="D966" s="180"/>
      <c r="E966" s="180"/>
      <c r="F966" s="225"/>
      <c r="G966" s="180"/>
      <c r="H966" s="180"/>
      <c r="I966" s="180"/>
      <c r="J966" s="211"/>
      <c r="K966" s="180"/>
      <c r="L966" s="212"/>
      <c r="M966" s="180"/>
      <c r="N966" s="180"/>
      <c r="O966" s="180"/>
      <c r="P966" s="123"/>
      <c r="Q966" s="130"/>
      <c r="R966" s="180"/>
      <c r="S966" s="180"/>
      <c r="T966" s="180"/>
      <c r="U966" s="180"/>
      <c r="V966" s="123"/>
      <c r="W966" s="123"/>
      <c r="X966" s="123"/>
      <c r="Y966" s="180"/>
      <c r="Z966" s="180"/>
    </row>
    <row r="967" spans="1:26" ht="45.75" customHeight="1">
      <c r="A967" s="180"/>
      <c r="B967" s="180"/>
      <c r="C967" s="180"/>
      <c r="D967" s="180"/>
      <c r="E967" s="180"/>
      <c r="F967" s="225"/>
      <c r="G967" s="180"/>
      <c r="H967" s="180"/>
      <c r="I967" s="180"/>
      <c r="J967" s="211"/>
      <c r="K967" s="180"/>
      <c r="L967" s="212"/>
      <c r="M967" s="180"/>
      <c r="N967" s="180"/>
      <c r="O967" s="180"/>
      <c r="P967" s="123"/>
      <c r="Q967" s="130"/>
      <c r="R967" s="180"/>
      <c r="S967" s="180"/>
      <c r="T967" s="180"/>
      <c r="U967" s="180"/>
      <c r="V967" s="123"/>
      <c r="W967" s="123"/>
      <c r="X967" s="123"/>
      <c r="Y967" s="180"/>
      <c r="Z967" s="180"/>
    </row>
    <row r="968" spans="1:26" ht="45.75" customHeight="1">
      <c r="A968" s="180"/>
      <c r="B968" s="180"/>
      <c r="C968" s="180"/>
      <c r="D968" s="180"/>
      <c r="E968" s="180"/>
      <c r="F968" s="225"/>
      <c r="G968" s="180"/>
      <c r="H968" s="180"/>
      <c r="I968" s="180"/>
      <c r="J968" s="211"/>
      <c r="K968" s="180"/>
      <c r="L968" s="212"/>
      <c r="M968" s="180"/>
      <c r="N968" s="180"/>
      <c r="O968" s="180"/>
      <c r="P968" s="123"/>
      <c r="Q968" s="130"/>
      <c r="R968" s="180"/>
      <c r="S968" s="180"/>
      <c r="T968" s="180"/>
      <c r="U968" s="180"/>
      <c r="V968" s="123"/>
      <c r="W968" s="123"/>
      <c r="X968" s="123"/>
      <c r="Y968" s="180"/>
      <c r="Z968" s="180"/>
    </row>
    <row r="969" spans="1:26" ht="45.75" customHeight="1">
      <c r="A969" s="180"/>
      <c r="B969" s="180"/>
      <c r="C969" s="180"/>
      <c r="D969" s="180"/>
      <c r="E969" s="180"/>
      <c r="F969" s="225"/>
      <c r="G969" s="180"/>
      <c r="H969" s="180"/>
      <c r="I969" s="180"/>
      <c r="J969" s="211"/>
      <c r="K969" s="180"/>
      <c r="L969" s="212"/>
      <c r="M969" s="180"/>
      <c r="N969" s="180"/>
      <c r="O969" s="180"/>
      <c r="P969" s="123"/>
      <c r="Q969" s="130"/>
      <c r="R969" s="180"/>
      <c r="S969" s="180"/>
      <c r="T969" s="180"/>
      <c r="U969" s="180"/>
      <c r="V969" s="123"/>
      <c r="W969" s="123"/>
      <c r="X969" s="123"/>
      <c r="Y969" s="180"/>
      <c r="Z969" s="180"/>
    </row>
    <row r="970" spans="1:26" ht="45.75" customHeight="1">
      <c r="A970" s="180"/>
      <c r="B970" s="180"/>
      <c r="C970" s="180"/>
      <c r="D970" s="180"/>
      <c r="E970" s="180"/>
      <c r="F970" s="225"/>
      <c r="G970" s="180"/>
      <c r="H970" s="180"/>
      <c r="I970" s="180"/>
      <c r="J970" s="211"/>
      <c r="K970" s="180"/>
      <c r="L970" s="212"/>
      <c r="M970" s="180"/>
      <c r="N970" s="180"/>
      <c r="O970" s="180"/>
      <c r="P970" s="123"/>
      <c r="Q970" s="130"/>
      <c r="R970" s="180"/>
      <c r="S970" s="180"/>
      <c r="T970" s="180"/>
      <c r="U970" s="180"/>
      <c r="V970" s="123"/>
      <c r="W970" s="123"/>
      <c r="X970" s="123"/>
      <c r="Y970" s="180"/>
      <c r="Z970" s="180"/>
    </row>
    <row r="971" spans="1:26" ht="45.75" customHeight="1">
      <c r="A971" s="180"/>
      <c r="B971" s="180"/>
      <c r="C971" s="180"/>
      <c r="D971" s="180"/>
      <c r="E971" s="180"/>
      <c r="F971" s="225"/>
      <c r="G971" s="180"/>
      <c r="H971" s="180"/>
      <c r="I971" s="180"/>
      <c r="J971" s="211"/>
      <c r="K971" s="180"/>
      <c r="L971" s="212"/>
      <c r="M971" s="180"/>
      <c r="N971" s="180"/>
      <c r="O971" s="180"/>
      <c r="P971" s="123"/>
      <c r="Q971" s="130"/>
      <c r="R971" s="180"/>
      <c r="S971" s="180"/>
      <c r="T971" s="180"/>
      <c r="U971" s="180"/>
      <c r="V971" s="123"/>
      <c r="W971" s="123"/>
      <c r="X971" s="123"/>
      <c r="Y971" s="180"/>
      <c r="Z971" s="180"/>
    </row>
    <row r="972" spans="1:26" ht="45.75" customHeight="1">
      <c r="A972" s="180"/>
      <c r="B972" s="180"/>
      <c r="C972" s="180"/>
      <c r="D972" s="180"/>
      <c r="E972" s="180"/>
      <c r="F972" s="225"/>
      <c r="G972" s="180"/>
      <c r="H972" s="180"/>
      <c r="I972" s="180"/>
      <c r="J972" s="211"/>
      <c r="K972" s="180"/>
      <c r="L972" s="212"/>
      <c r="M972" s="180"/>
      <c r="N972" s="180"/>
      <c r="O972" s="180"/>
      <c r="P972" s="123"/>
      <c r="Q972" s="130"/>
      <c r="R972" s="180"/>
      <c r="S972" s="180"/>
      <c r="T972" s="180"/>
      <c r="U972" s="180"/>
      <c r="V972" s="123"/>
      <c r="W972" s="123"/>
      <c r="X972" s="123"/>
      <c r="Y972" s="180"/>
      <c r="Z972" s="180"/>
    </row>
    <row r="973" spans="1:26" ht="45.75" customHeight="1">
      <c r="A973" s="180"/>
      <c r="B973" s="180"/>
      <c r="C973" s="180"/>
      <c r="D973" s="180"/>
      <c r="E973" s="180"/>
      <c r="F973" s="225"/>
      <c r="G973" s="180"/>
      <c r="H973" s="180"/>
      <c r="I973" s="180"/>
      <c r="J973" s="211"/>
      <c r="K973" s="180"/>
      <c r="L973" s="212"/>
      <c r="M973" s="180"/>
      <c r="N973" s="180"/>
      <c r="O973" s="180"/>
      <c r="P973" s="123"/>
      <c r="Q973" s="130"/>
      <c r="R973" s="180"/>
      <c r="S973" s="180"/>
      <c r="T973" s="180"/>
      <c r="U973" s="180"/>
      <c r="V973" s="123"/>
      <c r="W973" s="123"/>
      <c r="X973" s="123"/>
      <c r="Y973" s="180"/>
      <c r="Z973" s="180"/>
    </row>
    <row r="974" spans="1:26" ht="45.75" customHeight="1">
      <c r="A974" s="180"/>
      <c r="B974" s="180"/>
      <c r="C974" s="180"/>
      <c r="D974" s="180"/>
      <c r="E974" s="180"/>
      <c r="F974" s="225"/>
      <c r="G974" s="180"/>
      <c r="H974" s="180"/>
      <c r="I974" s="180"/>
      <c r="J974" s="211"/>
      <c r="K974" s="180"/>
      <c r="L974" s="212"/>
      <c r="M974" s="180"/>
      <c r="N974" s="180"/>
      <c r="O974" s="180"/>
      <c r="P974" s="123"/>
      <c r="Q974" s="130"/>
      <c r="R974" s="180"/>
      <c r="S974" s="180"/>
      <c r="T974" s="180"/>
      <c r="U974" s="180"/>
      <c r="V974" s="123"/>
      <c r="W974" s="123"/>
      <c r="X974" s="123"/>
      <c r="Y974" s="180"/>
      <c r="Z974" s="180"/>
    </row>
    <row r="975" spans="1:26" ht="45.75" customHeight="1">
      <c r="A975" s="180"/>
      <c r="B975" s="180"/>
      <c r="C975" s="180"/>
      <c r="D975" s="180"/>
      <c r="E975" s="180"/>
      <c r="F975" s="225"/>
      <c r="G975" s="180"/>
      <c r="H975" s="180"/>
      <c r="I975" s="180"/>
      <c r="J975" s="211"/>
      <c r="K975" s="180"/>
      <c r="L975" s="212"/>
      <c r="M975" s="180"/>
      <c r="N975" s="180"/>
      <c r="O975" s="180"/>
      <c r="P975" s="123"/>
      <c r="Q975" s="130"/>
      <c r="R975" s="180"/>
      <c r="S975" s="180"/>
      <c r="T975" s="180"/>
      <c r="U975" s="180"/>
      <c r="V975" s="123"/>
      <c r="W975" s="123"/>
      <c r="X975" s="123"/>
      <c r="Y975" s="180"/>
      <c r="Z975" s="180"/>
    </row>
    <row r="976" spans="1:26" ht="45.75" customHeight="1">
      <c r="A976" s="180"/>
      <c r="B976" s="180"/>
      <c r="C976" s="180"/>
      <c r="D976" s="180"/>
      <c r="E976" s="180"/>
      <c r="F976" s="225"/>
      <c r="G976" s="180"/>
      <c r="H976" s="180"/>
      <c r="I976" s="180"/>
      <c r="J976" s="211"/>
      <c r="K976" s="180"/>
      <c r="L976" s="212"/>
      <c r="M976" s="180"/>
      <c r="N976" s="180"/>
      <c r="O976" s="180"/>
      <c r="P976" s="123"/>
      <c r="Q976" s="130"/>
      <c r="R976" s="180"/>
      <c r="S976" s="180"/>
      <c r="T976" s="180"/>
      <c r="U976" s="180"/>
      <c r="V976" s="123"/>
      <c r="W976" s="123"/>
      <c r="X976" s="123"/>
      <c r="Y976" s="180"/>
      <c r="Z976" s="180"/>
    </row>
    <row r="977" spans="1:26" ht="45.75" customHeight="1">
      <c r="A977" s="180"/>
      <c r="B977" s="180"/>
      <c r="C977" s="180"/>
      <c r="D977" s="180"/>
      <c r="E977" s="180"/>
      <c r="F977" s="225"/>
      <c r="G977" s="180"/>
      <c r="H977" s="180"/>
      <c r="I977" s="180"/>
      <c r="J977" s="211"/>
      <c r="K977" s="180"/>
      <c r="L977" s="212"/>
      <c r="M977" s="180"/>
      <c r="N977" s="180"/>
      <c r="O977" s="180"/>
      <c r="P977" s="123"/>
      <c r="Q977" s="130"/>
      <c r="R977" s="180"/>
      <c r="S977" s="180"/>
      <c r="T977" s="180"/>
      <c r="U977" s="180"/>
      <c r="V977" s="123"/>
      <c r="W977" s="123"/>
      <c r="X977" s="123"/>
      <c r="Y977" s="180"/>
      <c r="Z977" s="180"/>
    </row>
    <row r="978" spans="1:26" ht="45.75" customHeight="1">
      <c r="A978" s="180"/>
      <c r="B978" s="180"/>
      <c r="C978" s="180"/>
      <c r="D978" s="180"/>
      <c r="E978" s="180"/>
      <c r="F978" s="225"/>
      <c r="G978" s="180"/>
      <c r="H978" s="180"/>
      <c r="I978" s="180"/>
      <c r="J978" s="211"/>
      <c r="K978" s="180"/>
      <c r="L978" s="212"/>
      <c r="M978" s="180"/>
      <c r="N978" s="180"/>
      <c r="O978" s="180"/>
      <c r="P978" s="123"/>
      <c r="Q978" s="130"/>
      <c r="R978" s="180"/>
      <c r="S978" s="180"/>
      <c r="T978" s="180"/>
      <c r="U978" s="180"/>
      <c r="V978" s="123"/>
      <c r="W978" s="123"/>
      <c r="X978" s="123"/>
      <c r="Y978" s="180"/>
      <c r="Z978" s="180"/>
    </row>
    <row r="979" spans="1:26" ht="45.75" customHeight="1">
      <c r="A979" s="180"/>
      <c r="B979" s="180"/>
      <c r="C979" s="180"/>
      <c r="D979" s="180"/>
      <c r="E979" s="180"/>
      <c r="F979" s="225"/>
      <c r="G979" s="180"/>
      <c r="H979" s="180"/>
      <c r="I979" s="180"/>
      <c r="J979" s="211"/>
      <c r="K979" s="180"/>
      <c r="L979" s="212"/>
      <c r="M979" s="180"/>
      <c r="N979" s="180"/>
      <c r="O979" s="180"/>
      <c r="P979" s="123"/>
      <c r="Q979" s="130"/>
      <c r="R979" s="180"/>
      <c r="S979" s="180"/>
      <c r="T979" s="180"/>
      <c r="U979" s="180"/>
      <c r="V979" s="123"/>
      <c r="W979" s="123"/>
      <c r="X979" s="123"/>
      <c r="Y979" s="180"/>
      <c r="Z979" s="180"/>
    </row>
    <row r="980" spans="1:26" ht="45.75" customHeight="1">
      <c r="A980" s="180"/>
      <c r="B980" s="180"/>
      <c r="C980" s="180"/>
      <c r="D980" s="180"/>
      <c r="E980" s="180"/>
      <c r="F980" s="225"/>
      <c r="G980" s="180"/>
      <c r="H980" s="180"/>
      <c r="I980" s="180"/>
      <c r="J980" s="211"/>
      <c r="K980" s="180"/>
      <c r="L980" s="212"/>
      <c r="M980" s="180"/>
      <c r="N980" s="180"/>
      <c r="O980" s="180"/>
      <c r="P980" s="123"/>
      <c r="Q980" s="130"/>
      <c r="R980" s="180"/>
      <c r="S980" s="180"/>
      <c r="T980" s="180"/>
      <c r="U980" s="180"/>
      <c r="V980" s="123"/>
      <c r="W980" s="123"/>
      <c r="X980" s="123"/>
      <c r="Y980" s="180"/>
      <c r="Z980" s="180"/>
    </row>
    <row r="981" spans="1:26" ht="45.75" customHeight="1">
      <c r="A981" s="180"/>
      <c r="B981" s="180"/>
      <c r="C981" s="180"/>
      <c r="D981" s="180"/>
      <c r="E981" s="180"/>
      <c r="F981" s="225"/>
      <c r="G981" s="180"/>
      <c r="H981" s="180"/>
      <c r="I981" s="180"/>
      <c r="J981" s="211"/>
      <c r="K981" s="180"/>
      <c r="L981" s="212"/>
      <c r="M981" s="180"/>
      <c r="N981" s="180"/>
      <c r="O981" s="180"/>
      <c r="P981" s="123"/>
      <c r="Q981" s="130"/>
      <c r="R981" s="180"/>
      <c r="S981" s="180"/>
      <c r="T981" s="180"/>
      <c r="U981" s="180"/>
      <c r="V981" s="123"/>
      <c r="W981" s="123"/>
      <c r="X981" s="123"/>
      <c r="Y981" s="180"/>
      <c r="Z981" s="180"/>
    </row>
    <row r="982" spans="1:26" ht="45.75" customHeight="1">
      <c r="A982" s="180"/>
      <c r="B982" s="180"/>
      <c r="C982" s="180"/>
      <c r="D982" s="180"/>
      <c r="E982" s="180"/>
      <c r="F982" s="225"/>
      <c r="G982" s="180"/>
      <c r="H982" s="180"/>
      <c r="I982" s="180"/>
      <c r="J982" s="211"/>
      <c r="K982" s="180"/>
      <c r="L982" s="212"/>
      <c r="M982" s="180"/>
      <c r="N982" s="180"/>
      <c r="O982" s="180"/>
      <c r="P982" s="123"/>
      <c r="Q982" s="130"/>
      <c r="R982" s="180"/>
      <c r="S982" s="180"/>
      <c r="T982" s="180"/>
      <c r="U982" s="180"/>
      <c r="V982" s="123"/>
      <c r="W982" s="123"/>
      <c r="X982" s="123"/>
      <c r="Y982" s="180"/>
      <c r="Z982" s="180"/>
    </row>
    <row r="983" spans="1:26" ht="45.75" customHeight="1">
      <c r="A983" s="180"/>
      <c r="B983" s="180"/>
      <c r="C983" s="180"/>
      <c r="D983" s="180"/>
      <c r="E983" s="180"/>
      <c r="F983" s="225"/>
      <c r="G983" s="180"/>
      <c r="H983" s="180"/>
      <c r="I983" s="180"/>
      <c r="J983" s="211"/>
      <c r="K983" s="180"/>
      <c r="L983" s="212"/>
      <c r="M983" s="180"/>
      <c r="N983" s="180"/>
      <c r="O983" s="180"/>
      <c r="P983" s="123"/>
      <c r="Q983" s="130"/>
      <c r="R983" s="180"/>
      <c r="S983" s="180"/>
      <c r="T983" s="180"/>
      <c r="U983" s="180"/>
      <c r="V983" s="123"/>
      <c r="W983" s="123"/>
      <c r="X983" s="123"/>
      <c r="Y983" s="180"/>
      <c r="Z983" s="180"/>
    </row>
    <row r="984" spans="1:26" ht="45.75" customHeight="1">
      <c r="A984" s="180"/>
      <c r="B984" s="180"/>
      <c r="C984" s="180"/>
      <c r="D984" s="180"/>
      <c r="E984" s="180"/>
      <c r="F984" s="225"/>
      <c r="G984" s="180"/>
      <c r="H984" s="180"/>
      <c r="I984" s="180"/>
      <c r="J984" s="211"/>
      <c r="K984" s="180"/>
      <c r="L984" s="212"/>
      <c r="M984" s="180"/>
      <c r="N984" s="180"/>
      <c r="O984" s="180"/>
      <c r="P984" s="123"/>
      <c r="Q984" s="130"/>
      <c r="R984" s="180"/>
      <c r="S984" s="180"/>
      <c r="T984" s="180"/>
      <c r="U984" s="180"/>
      <c r="V984" s="123"/>
      <c r="W984" s="123"/>
      <c r="X984" s="123"/>
      <c r="Y984" s="180"/>
      <c r="Z984" s="180"/>
    </row>
    <row r="985" spans="1:26" ht="45.75" customHeight="1">
      <c r="A985" s="180"/>
      <c r="B985" s="180"/>
      <c r="C985" s="180"/>
      <c r="D985" s="180"/>
      <c r="E985" s="180"/>
      <c r="F985" s="225"/>
      <c r="G985" s="180"/>
      <c r="H985" s="180"/>
      <c r="I985" s="180"/>
      <c r="J985" s="211"/>
      <c r="K985" s="180"/>
      <c r="L985" s="212"/>
      <c r="M985" s="180"/>
      <c r="N985" s="180"/>
      <c r="O985" s="180"/>
      <c r="P985" s="123"/>
      <c r="Q985" s="130"/>
      <c r="R985" s="180"/>
      <c r="S985" s="180"/>
      <c r="T985" s="180"/>
      <c r="U985" s="180"/>
      <c r="V985" s="123"/>
      <c r="W985" s="123"/>
      <c r="X985" s="123"/>
      <c r="Y985" s="180"/>
      <c r="Z985" s="180"/>
    </row>
    <row r="986" spans="1:26" ht="45.75" customHeight="1">
      <c r="A986" s="180"/>
      <c r="B986" s="180"/>
      <c r="C986" s="180"/>
      <c r="D986" s="180"/>
      <c r="E986" s="180"/>
      <c r="F986" s="225"/>
      <c r="G986" s="180"/>
      <c r="H986" s="180"/>
      <c r="I986" s="180"/>
      <c r="J986" s="211"/>
      <c r="K986" s="180"/>
      <c r="L986" s="212"/>
      <c r="M986" s="180"/>
      <c r="N986" s="180"/>
      <c r="O986" s="180"/>
      <c r="P986" s="123"/>
      <c r="Q986" s="130"/>
      <c r="R986" s="180"/>
      <c r="S986" s="180"/>
      <c r="T986" s="180"/>
      <c r="U986" s="180"/>
      <c r="V986" s="123"/>
      <c r="W986" s="123"/>
      <c r="X986" s="123"/>
      <c r="Y986" s="180"/>
      <c r="Z986" s="180"/>
    </row>
    <row r="987" spans="1:26" ht="45.75" customHeight="1">
      <c r="A987" s="180"/>
      <c r="B987" s="180"/>
      <c r="C987" s="180"/>
      <c r="D987" s="180"/>
      <c r="E987" s="180"/>
      <c r="F987" s="225"/>
      <c r="G987" s="180"/>
      <c r="H987" s="180"/>
      <c r="I987" s="180"/>
      <c r="J987" s="211"/>
      <c r="K987" s="180"/>
      <c r="L987" s="212"/>
      <c r="M987" s="180"/>
      <c r="N987" s="180"/>
      <c r="O987" s="180"/>
      <c r="P987" s="123"/>
      <c r="Q987" s="130"/>
      <c r="R987" s="180"/>
      <c r="S987" s="180"/>
      <c r="T987" s="180"/>
      <c r="U987" s="180"/>
      <c r="V987" s="123"/>
      <c r="W987" s="123"/>
      <c r="X987" s="123"/>
      <c r="Y987" s="180"/>
      <c r="Z987" s="18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pane ySplit="1" topLeftCell="A17" activePane="bottomLeft" state="frozen"/>
      <selection pane="bottomLeft" activeCell="B18" sqref="B18"/>
    </sheetView>
  </sheetViews>
  <sheetFormatPr baseColWidth="10" defaultColWidth="12.6328125" defaultRowHeight="15.75" customHeight="1"/>
  <cols>
    <col min="3" max="3" width="33.90625" customWidth="1"/>
    <col min="4" max="4" width="44.08984375" customWidth="1"/>
    <col min="5" max="5" width="35.26953125" customWidth="1"/>
    <col min="7" max="7" width="31.08984375" customWidth="1"/>
    <col min="9" max="9" width="14.6328125" customWidth="1"/>
    <col min="11" max="11" width="50.453125" customWidth="1"/>
    <col min="12" max="12" width="15.08984375" customWidth="1"/>
    <col min="13" max="13" width="17.453125" customWidth="1"/>
    <col min="22" max="23" width="12.6328125" style="368"/>
  </cols>
  <sheetData>
    <row r="1" spans="1:26" ht="40.5" customHeight="1">
      <c r="A1" s="231" t="s">
        <v>0</v>
      </c>
      <c r="B1" s="232" t="s">
        <v>531</v>
      </c>
      <c r="C1" s="233" t="s">
        <v>538</v>
      </c>
      <c r="D1" s="234" t="s">
        <v>2</v>
      </c>
      <c r="E1" s="233" t="s">
        <v>3</v>
      </c>
      <c r="F1" s="233" t="s">
        <v>4</v>
      </c>
      <c r="G1" s="235" t="s">
        <v>721</v>
      </c>
      <c r="H1" s="233" t="s">
        <v>5</v>
      </c>
      <c r="I1" s="233" t="s">
        <v>655</v>
      </c>
      <c r="J1" s="233" t="s">
        <v>532</v>
      </c>
      <c r="K1" s="233" t="s">
        <v>7</v>
      </c>
      <c r="L1" s="233" t="s">
        <v>893</v>
      </c>
      <c r="M1" s="233" t="s">
        <v>10</v>
      </c>
      <c r="N1" s="233" t="s">
        <v>12</v>
      </c>
      <c r="O1" s="235" t="s">
        <v>13</v>
      </c>
      <c r="P1" s="235" t="s">
        <v>14</v>
      </c>
      <c r="Q1" s="235" t="s">
        <v>656</v>
      </c>
      <c r="R1" s="235" t="s">
        <v>658</v>
      </c>
      <c r="S1" s="235" t="s">
        <v>659</v>
      </c>
      <c r="T1" s="236" t="s">
        <v>803</v>
      </c>
      <c r="U1" s="83"/>
      <c r="V1" s="363" t="s">
        <v>2583</v>
      </c>
      <c r="W1" s="363" t="s">
        <v>2670</v>
      </c>
      <c r="X1" s="237"/>
      <c r="Y1" s="237"/>
      <c r="Z1" s="237"/>
    </row>
    <row r="2" spans="1:26" ht="26.25" customHeight="1">
      <c r="A2" s="238" t="s">
        <v>1002</v>
      </c>
      <c r="B2" s="239">
        <v>490000</v>
      </c>
      <c r="C2" s="240" t="s">
        <v>714</v>
      </c>
      <c r="D2" s="241" t="s">
        <v>1003</v>
      </c>
      <c r="E2" s="240" t="s">
        <v>1004</v>
      </c>
      <c r="F2" s="240" t="s">
        <v>1005</v>
      </c>
      <c r="G2" s="83" t="s">
        <v>1006</v>
      </c>
      <c r="H2" s="242" t="s">
        <v>540</v>
      </c>
      <c r="I2" s="240" t="s">
        <v>1007</v>
      </c>
      <c r="J2" s="243" t="s">
        <v>1008</v>
      </c>
      <c r="K2" s="83" t="s">
        <v>1009</v>
      </c>
      <c r="L2" s="244">
        <v>45325</v>
      </c>
      <c r="M2" s="245">
        <v>45337</v>
      </c>
      <c r="N2" s="240" t="s">
        <v>809</v>
      </c>
      <c r="O2" s="83"/>
      <c r="P2" s="83"/>
      <c r="Q2" s="83" t="s">
        <v>841</v>
      </c>
      <c r="R2" s="237" t="s">
        <v>849</v>
      </c>
      <c r="S2" s="237" t="s">
        <v>773</v>
      </c>
      <c r="T2" s="83" t="s">
        <v>813</v>
      </c>
      <c r="U2" s="83" t="s">
        <v>814</v>
      </c>
      <c r="V2" s="83" t="s">
        <v>2584</v>
      </c>
      <c r="W2" s="83"/>
      <c r="X2" s="83"/>
      <c r="Y2" s="83"/>
      <c r="Z2" s="83"/>
    </row>
    <row r="3" spans="1:26" ht="19.5" customHeight="1">
      <c r="A3" s="238" t="s">
        <v>1010</v>
      </c>
      <c r="B3" s="246">
        <v>214600</v>
      </c>
      <c r="C3" s="238" t="s">
        <v>1011</v>
      </c>
      <c r="D3" s="247" t="s">
        <v>1012</v>
      </c>
      <c r="E3" s="238" t="s">
        <v>1013</v>
      </c>
      <c r="F3" s="238">
        <v>3226544448</v>
      </c>
      <c r="G3" s="237" t="s">
        <v>1014</v>
      </c>
      <c r="H3" s="242" t="s">
        <v>1015</v>
      </c>
      <c r="I3" s="238" t="s">
        <v>1016</v>
      </c>
      <c r="J3" s="248" t="s">
        <v>1017</v>
      </c>
      <c r="K3" s="363" t="s">
        <v>1018</v>
      </c>
      <c r="L3" s="249" t="s">
        <v>1019</v>
      </c>
      <c r="M3" s="238" t="s">
        <v>1020</v>
      </c>
      <c r="N3" s="238" t="s">
        <v>809</v>
      </c>
      <c r="O3" s="237"/>
      <c r="P3" s="83"/>
      <c r="Q3" s="83" t="s">
        <v>1021</v>
      </c>
      <c r="R3" s="237"/>
      <c r="S3" s="237"/>
      <c r="T3" s="83" t="s">
        <v>813</v>
      </c>
      <c r="U3" s="83" t="s">
        <v>814</v>
      </c>
      <c r="V3" s="83" t="s">
        <v>2585</v>
      </c>
      <c r="W3" s="83"/>
      <c r="X3" s="237"/>
      <c r="Y3" s="237"/>
      <c r="Z3" s="237"/>
    </row>
    <row r="4" spans="1:26" ht="31.5" customHeight="1">
      <c r="A4" s="238" t="s">
        <v>1022</v>
      </c>
      <c r="B4" s="246">
        <v>203000</v>
      </c>
      <c r="C4" s="238" t="s">
        <v>1023</v>
      </c>
      <c r="D4" s="247" t="s">
        <v>1024</v>
      </c>
      <c r="E4" s="238" t="s">
        <v>1025</v>
      </c>
      <c r="F4" s="238">
        <v>3013232965</v>
      </c>
      <c r="G4" s="237" t="s">
        <v>1026</v>
      </c>
      <c r="H4" s="242" t="s">
        <v>540</v>
      </c>
      <c r="I4" s="238" t="s">
        <v>1027</v>
      </c>
      <c r="J4" s="248" t="s">
        <v>1028</v>
      </c>
      <c r="K4" s="363" t="s">
        <v>1029</v>
      </c>
      <c r="L4" s="249" t="s">
        <v>1030</v>
      </c>
      <c r="M4" s="238" t="s">
        <v>1031</v>
      </c>
      <c r="N4" s="238" t="s">
        <v>809</v>
      </c>
      <c r="O4" s="237"/>
      <c r="P4" s="83"/>
      <c r="Q4" s="83" t="s">
        <v>1032</v>
      </c>
      <c r="R4" s="237"/>
      <c r="S4" s="237"/>
      <c r="T4" s="83" t="s">
        <v>813</v>
      </c>
      <c r="U4" s="83" t="s">
        <v>814</v>
      </c>
      <c r="V4" s="83" t="s">
        <v>2586</v>
      </c>
      <c r="W4" s="83"/>
      <c r="X4" s="237"/>
      <c r="Y4" s="237"/>
      <c r="Z4" s="237"/>
    </row>
    <row r="5" spans="1:26" ht="32.25" customHeight="1">
      <c r="A5" s="238" t="s">
        <v>1033</v>
      </c>
      <c r="B5" s="246">
        <v>350000</v>
      </c>
      <c r="C5" s="238" t="s">
        <v>1034</v>
      </c>
      <c r="D5" s="247" t="s">
        <v>1035</v>
      </c>
      <c r="E5" s="238" t="s">
        <v>1036</v>
      </c>
      <c r="F5" s="238">
        <v>3013736353</v>
      </c>
      <c r="G5" s="237" t="s">
        <v>1037</v>
      </c>
      <c r="H5" s="242" t="s">
        <v>1015</v>
      </c>
      <c r="I5" s="238" t="s">
        <v>1038</v>
      </c>
      <c r="J5" s="248" t="s">
        <v>1039</v>
      </c>
      <c r="K5" s="83" t="s">
        <v>1040</v>
      </c>
      <c r="L5" s="244">
        <v>45348</v>
      </c>
      <c r="M5" s="240" t="s">
        <v>1041</v>
      </c>
      <c r="N5" s="238" t="s">
        <v>809</v>
      </c>
      <c r="O5" s="237"/>
      <c r="P5" s="83"/>
      <c r="Q5" s="83" t="s">
        <v>1032</v>
      </c>
      <c r="R5" s="237"/>
      <c r="S5" s="237"/>
      <c r="T5" s="83" t="s">
        <v>813</v>
      </c>
      <c r="U5" s="83" t="s">
        <v>814</v>
      </c>
      <c r="V5" s="83" t="s">
        <v>2584</v>
      </c>
      <c r="W5" s="83"/>
      <c r="X5" s="237"/>
      <c r="Y5" s="237"/>
      <c r="Z5" s="237"/>
    </row>
    <row r="6" spans="1:26" ht="58.5" customHeight="1">
      <c r="A6" s="238" t="s">
        <v>1042</v>
      </c>
      <c r="B6" s="246">
        <v>318400</v>
      </c>
      <c r="C6" s="238" t="s">
        <v>1043</v>
      </c>
      <c r="D6" s="250" t="s">
        <v>1044</v>
      </c>
      <c r="E6" s="238" t="s">
        <v>1045</v>
      </c>
      <c r="F6" s="238">
        <v>3122433575</v>
      </c>
      <c r="G6" s="237" t="s">
        <v>1046</v>
      </c>
      <c r="H6" s="251" t="s">
        <v>1015</v>
      </c>
      <c r="I6" s="238" t="s">
        <v>1047</v>
      </c>
      <c r="J6" s="248" t="s">
        <v>1048</v>
      </c>
      <c r="K6" s="83" t="s">
        <v>1049</v>
      </c>
      <c r="L6" s="244">
        <v>45351</v>
      </c>
      <c r="M6" s="240" t="s">
        <v>1050</v>
      </c>
      <c r="N6" s="238" t="s">
        <v>809</v>
      </c>
      <c r="O6" s="237"/>
      <c r="P6" s="83"/>
      <c r="Q6" s="83" t="s">
        <v>1032</v>
      </c>
      <c r="R6" s="237"/>
      <c r="S6" s="237"/>
      <c r="T6" s="83" t="s">
        <v>813</v>
      </c>
      <c r="U6" s="83" t="s">
        <v>814</v>
      </c>
      <c r="V6" s="83" t="s">
        <v>2587</v>
      </c>
      <c r="W6" s="83"/>
      <c r="X6" s="237"/>
      <c r="Y6" s="237"/>
      <c r="Z6" s="237"/>
    </row>
    <row r="7" spans="1:26" ht="32.25" customHeight="1">
      <c r="A7" s="238" t="s">
        <v>1051</v>
      </c>
      <c r="B7" s="252">
        <v>537000</v>
      </c>
      <c r="C7" s="238" t="s">
        <v>1052</v>
      </c>
      <c r="D7" s="250" t="s">
        <v>1053</v>
      </c>
      <c r="E7" s="253" t="s">
        <v>1054</v>
      </c>
      <c r="F7" s="253">
        <v>3213401372</v>
      </c>
      <c r="G7" s="237" t="s">
        <v>1055</v>
      </c>
      <c r="H7" s="251" t="s">
        <v>540</v>
      </c>
      <c r="I7" s="238" t="s">
        <v>1056</v>
      </c>
      <c r="J7" s="248" t="s">
        <v>1057</v>
      </c>
      <c r="K7" s="83" t="s">
        <v>1058</v>
      </c>
      <c r="L7" s="244">
        <v>45323</v>
      </c>
      <c r="M7" s="240" t="s">
        <v>1059</v>
      </c>
      <c r="N7" s="238" t="s">
        <v>809</v>
      </c>
      <c r="O7" s="237"/>
      <c r="P7" s="83"/>
      <c r="Q7" s="83" t="s">
        <v>1021</v>
      </c>
      <c r="R7" s="237"/>
      <c r="S7" s="237"/>
      <c r="T7" s="83" t="s">
        <v>813</v>
      </c>
      <c r="U7" s="83" t="s">
        <v>814</v>
      </c>
      <c r="V7" s="83" t="s">
        <v>2588</v>
      </c>
      <c r="W7" s="83"/>
      <c r="X7" s="237"/>
      <c r="Y7" s="237"/>
      <c r="Z7" s="237"/>
    </row>
    <row r="8" spans="1:26" ht="40.5" customHeight="1">
      <c r="A8" s="251">
        <v>900745400</v>
      </c>
      <c r="B8" s="252">
        <v>633035</v>
      </c>
      <c r="C8" s="238" t="s">
        <v>1060</v>
      </c>
      <c r="D8" s="250" t="s">
        <v>1061</v>
      </c>
      <c r="E8" s="238" t="s">
        <v>1062</v>
      </c>
      <c r="F8" s="238">
        <v>3045218463</v>
      </c>
      <c r="G8" s="237" t="s">
        <v>1063</v>
      </c>
      <c r="H8" s="251" t="s">
        <v>1015</v>
      </c>
      <c r="I8" s="238" t="s">
        <v>1064</v>
      </c>
      <c r="J8" s="248" t="s">
        <v>1065</v>
      </c>
      <c r="K8" s="363" t="s">
        <v>1066</v>
      </c>
      <c r="L8" s="244">
        <v>45351</v>
      </c>
      <c r="M8" s="238" t="s">
        <v>1067</v>
      </c>
      <c r="N8" s="238" t="s">
        <v>809</v>
      </c>
      <c r="O8" s="237"/>
      <c r="P8" s="83"/>
      <c r="Q8" s="83" t="s">
        <v>1068</v>
      </c>
      <c r="R8" s="237"/>
      <c r="S8" s="237"/>
      <c r="T8" s="83" t="s">
        <v>813</v>
      </c>
      <c r="U8" s="83" t="s">
        <v>814</v>
      </c>
      <c r="V8" s="83" t="s">
        <v>2584</v>
      </c>
      <c r="W8" s="83"/>
      <c r="X8" s="237"/>
      <c r="Y8" s="237"/>
      <c r="Z8" s="237"/>
    </row>
    <row r="9" spans="1:26" ht="33.75" customHeight="1">
      <c r="A9" s="238" t="s">
        <v>1069</v>
      </c>
      <c r="B9" s="252">
        <v>380000</v>
      </c>
      <c r="C9" s="238" t="s">
        <v>1070</v>
      </c>
      <c r="D9" s="247" t="s">
        <v>1071</v>
      </c>
      <c r="E9" s="238" t="s">
        <v>1072</v>
      </c>
      <c r="F9" s="238">
        <v>3008143074</v>
      </c>
      <c r="G9" s="237" t="s">
        <v>1073</v>
      </c>
      <c r="H9" s="251" t="s">
        <v>540</v>
      </c>
      <c r="I9" s="238" t="s">
        <v>1074</v>
      </c>
      <c r="J9" s="248" t="s">
        <v>1075</v>
      </c>
      <c r="K9" s="83" t="s">
        <v>1076</v>
      </c>
      <c r="L9" s="244">
        <v>45323</v>
      </c>
      <c r="M9" s="238" t="s">
        <v>1077</v>
      </c>
      <c r="N9" s="238" t="s">
        <v>809</v>
      </c>
      <c r="O9" s="237"/>
      <c r="P9" s="83"/>
      <c r="Q9" s="83" t="s">
        <v>1021</v>
      </c>
      <c r="R9" s="237"/>
      <c r="S9" s="237"/>
      <c r="T9" s="83" t="s">
        <v>813</v>
      </c>
      <c r="U9" s="83" t="s">
        <v>814</v>
      </c>
      <c r="V9" s="363" t="s">
        <v>2573</v>
      </c>
      <c r="W9" s="83"/>
      <c r="X9" s="237"/>
      <c r="Y9" s="237"/>
      <c r="Z9" s="237"/>
    </row>
    <row r="10" spans="1:26" ht="44.25" customHeight="1">
      <c r="A10" s="251" t="s">
        <v>1078</v>
      </c>
      <c r="B10" s="252">
        <v>1000000</v>
      </c>
      <c r="C10" s="238" t="s">
        <v>1034</v>
      </c>
      <c r="D10" s="250" t="s">
        <v>1079</v>
      </c>
      <c r="E10" s="238" t="s">
        <v>1080</v>
      </c>
      <c r="F10" s="238">
        <v>3118481493</v>
      </c>
      <c r="G10" s="237" t="s">
        <v>1081</v>
      </c>
      <c r="H10" s="251" t="s">
        <v>540</v>
      </c>
      <c r="I10" s="238" t="s">
        <v>1082</v>
      </c>
      <c r="J10" s="248" t="s">
        <v>1083</v>
      </c>
      <c r="K10" s="83" t="s">
        <v>1084</v>
      </c>
      <c r="L10" s="254">
        <v>45351</v>
      </c>
      <c r="M10" s="240" t="s">
        <v>1085</v>
      </c>
      <c r="N10" s="238" t="s">
        <v>809</v>
      </c>
      <c r="O10" s="237"/>
      <c r="P10" s="83"/>
      <c r="Q10" s="83" t="s">
        <v>841</v>
      </c>
      <c r="R10" s="237"/>
      <c r="S10" s="237"/>
      <c r="T10" s="83" t="s">
        <v>813</v>
      </c>
      <c r="U10" s="255" t="s">
        <v>1086</v>
      </c>
      <c r="V10" s="83" t="s">
        <v>2589</v>
      </c>
      <c r="W10" s="83"/>
      <c r="X10" s="237"/>
      <c r="Y10" s="237"/>
      <c r="Z10" s="237"/>
    </row>
    <row r="11" spans="1:26" ht="44.25" customHeight="1">
      <c r="A11" s="256" t="s">
        <v>1087</v>
      </c>
      <c r="B11" s="257">
        <v>200000</v>
      </c>
      <c r="C11" s="258" t="s">
        <v>1088</v>
      </c>
      <c r="D11" s="259" t="s">
        <v>1089</v>
      </c>
      <c r="E11" s="260" t="s">
        <v>1090</v>
      </c>
      <c r="F11" s="260">
        <v>3015989706</v>
      </c>
      <c r="G11" s="260" t="s">
        <v>1081</v>
      </c>
      <c r="H11" s="256" t="s">
        <v>1015</v>
      </c>
      <c r="I11" s="258" t="s">
        <v>1091</v>
      </c>
      <c r="J11" s="261" t="s">
        <v>1083</v>
      </c>
      <c r="K11" s="262" t="s">
        <v>1084</v>
      </c>
      <c r="L11" s="263">
        <v>45351</v>
      </c>
      <c r="M11" s="264" t="s">
        <v>1085</v>
      </c>
      <c r="N11" s="258" t="s">
        <v>809</v>
      </c>
      <c r="O11" s="265"/>
      <c r="P11" s="262"/>
      <c r="Q11" s="262" t="s">
        <v>841</v>
      </c>
      <c r="R11" s="265"/>
      <c r="S11" s="265"/>
      <c r="T11" s="262" t="s">
        <v>813</v>
      </c>
      <c r="U11" s="266" t="s">
        <v>1086</v>
      </c>
      <c r="V11" s="83" t="s">
        <v>2589</v>
      </c>
      <c r="W11" s="262"/>
      <c r="X11" s="265"/>
      <c r="Y11" s="265"/>
      <c r="Z11" s="265"/>
    </row>
    <row r="12" spans="1:26" ht="29.25" customHeight="1">
      <c r="A12" s="251">
        <v>901594960</v>
      </c>
      <c r="B12" s="267">
        <v>436800</v>
      </c>
      <c r="C12" s="251" t="s">
        <v>572</v>
      </c>
      <c r="D12" s="250" t="s">
        <v>1092</v>
      </c>
      <c r="E12" s="253" t="s">
        <v>1093</v>
      </c>
      <c r="F12" s="256">
        <v>3232874100</v>
      </c>
      <c r="G12" s="268" t="s">
        <v>1094</v>
      </c>
      <c r="H12" s="251" t="s">
        <v>540</v>
      </c>
      <c r="I12" s="251" t="s">
        <v>1095</v>
      </c>
      <c r="J12" s="248" t="s">
        <v>1096</v>
      </c>
      <c r="K12" s="369" t="s">
        <v>1097</v>
      </c>
      <c r="L12" s="244">
        <v>45351</v>
      </c>
      <c r="M12" s="251" t="s">
        <v>1098</v>
      </c>
      <c r="N12" s="251" t="s">
        <v>809</v>
      </c>
      <c r="O12" s="268"/>
      <c r="P12" s="255"/>
      <c r="Q12" s="255" t="s">
        <v>1021</v>
      </c>
      <c r="R12" s="268"/>
      <c r="S12" s="268"/>
      <c r="T12" s="255" t="s">
        <v>813</v>
      </c>
      <c r="U12" s="255" t="s">
        <v>814</v>
      </c>
      <c r="V12" s="255" t="s">
        <v>2590</v>
      </c>
      <c r="W12" s="255"/>
      <c r="X12" s="268"/>
      <c r="Y12" s="268"/>
      <c r="Z12" s="268"/>
    </row>
    <row r="13" spans="1:26" ht="35.25" customHeight="1">
      <c r="A13" s="238" t="s">
        <v>1099</v>
      </c>
      <c r="B13" s="252">
        <v>320000</v>
      </c>
      <c r="C13" s="251" t="s">
        <v>572</v>
      </c>
      <c r="D13" s="250" t="s">
        <v>1100</v>
      </c>
      <c r="E13" s="238" t="s">
        <v>1101</v>
      </c>
      <c r="F13" s="238">
        <v>3175333498</v>
      </c>
      <c r="G13" s="237" t="s">
        <v>1102</v>
      </c>
      <c r="H13" s="251" t="s">
        <v>540</v>
      </c>
      <c r="I13" s="238" t="s">
        <v>1103</v>
      </c>
      <c r="J13" s="248" t="s">
        <v>1104</v>
      </c>
      <c r="K13" s="83" t="s">
        <v>1105</v>
      </c>
      <c r="L13" s="249" t="s">
        <v>1106</v>
      </c>
      <c r="M13" s="269">
        <v>45323</v>
      </c>
      <c r="N13" s="238" t="s">
        <v>809</v>
      </c>
      <c r="O13" s="270"/>
      <c r="P13" s="270"/>
      <c r="Q13" s="83" t="s">
        <v>1021</v>
      </c>
      <c r="R13" s="270"/>
      <c r="S13" s="270"/>
      <c r="T13" s="83" t="s">
        <v>813</v>
      </c>
      <c r="U13" s="255" t="s">
        <v>814</v>
      </c>
      <c r="V13" s="364" t="s">
        <v>2575</v>
      </c>
      <c r="W13" s="364"/>
      <c r="X13" s="270"/>
      <c r="Y13" s="270"/>
      <c r="Z13" s="270"/>
    </row>
    <row r="14" spans="1:26" ht="24" customHeight="1">
      <c r="A14" s="271" t="s">
        <v>1107</v>
      </c>
      <c r="B14" s="252">
        <v>450000</v>
      </c>
      <c r="C14" s="238" t="s">
        <v>568</v>
      </c>
      <c r="D14" s="247" t="s">
        <v>1108</v>
      </c>
      <c r="E14" s="238" t="s">
        <v>1109</v>
      </c>
      <c r="F14" s="238">
        <v>3165310085</v>
      </c>
      <c r="G14" s="237" t="s">
        <v>1110</v>
      </c>
      <c r="H14" s="251" t="s">
        <v>540</v>
      </c>
      <c r="I14" s="238" t="s">
        <v>1111</v>
      </c>
      <c r="J14" s="248" t="s">
        <v>1104</v>
      </c>
      <c r="K14" s="363" t="s">
        <v>1112</v>
      </c>
      <c r="L14" s="254">
        <v>45351</v>
      </c>
      <c r="M14" s="269">
        <v>45337</v>
      </c>
      <c r="N14" s="238" t="s">
        <v>809</v>
      </c>
      <c r="O14" s="270"/>
      <c r="P14" s="270"/>
      <c r="Q14" s="237" t="s">
        <v>841</v>
      </c>
      <c r="R14" s="270"/>
      <c r="S14" s="270"/>
      <c r="T14" s="83" t="s">
        <v>813</v>
      </c>
      <c r="U14" s="255" t="s">
        <v>1086</v>
      </c>
      <c r="V14" s="364" t="s">
        <v>2591</v>
      </c>
      <c r="W14" s="364"/>
      <c r="X14" s="270"/>
      <c r="Y14" s="270"/>
      <c r="Z14" s="270"/>
    </row>
    <row r="15" spans="1:26" ht="28.5" customHeight="1">
      <c r="A15" s="238" t="s">
        <v>1113</v>
      </c>
      <c r="B15" s="252">
        <v>400000</v>
      </c>
      <c r="C15" s="238" t="s">
        <v>1114</v>
      </c>
      <c r="D15" s="250" t="s">
        <v>1115</v>
      </c>
      <c r="E15" s="238" t="s">
        <v>1116</v>
      </c>
      <c r="F15" s="238">
        <v>3185417640</v>
      </c>
      <c r="G15" s="272" t="s">
        <v>1117</v>
      </c>
      <c r="H15" s="251" t="s">
        <v>540</v>
      </c>
      <c r="I15" s="238" t="s">
        <v>1118</v>
      </c>
      <c r="J15" s="248" t="s">
        <v>1104</v>
      </c>
      <c r="K15" s="363" t="s">
        <v>1119</v>
      </c>
      <c r="L15" s="249" t="s">
        <v>1106</v>
      </c>
      <c r="M15" s="238" t="s">
        <v>1120</v>
      </c>
      <c r="N15" s="238" t="s">
        <v>809</v>
      </c>
      <c r="O15" s="270"/>
      <c r="P15" s="270"/>
      <c r="Q15" s="237" t="s">
        <v>841</v>
      </c>
      <c r="R15" s="270"/>
      <c r="S15" s="270"/>
      <c r="T15" s="83" t="s">
        <v>813</v>
      </c>
      <c r="U15" s="255" t="s">
        <v>1086</v>
      </c>
      <c r="V15" s="364" t="s">
        <v>2591</v>
      </c>
      <c r="W15" s="364"/>
      <c r="X15" s="270"/>
      <c r="Y15" s="270"/>
      <c r="Z15" s="270"/>
    </row>
    <row r="16" spans="1:26" ht="30" customHeight="1">
      <c r="A16" s="238" t="s">
        <v>1121</v>
      </c>
      <c r="B16" s="273">
        <v>300000</v>
      </c>
      <c r="C16" s="238" t="s">
        <v>1114</v>
      </c>
      <c r="D16" s="247" t="s">
        <v>961</v>
      </c>
      <c r="E16" s="238" t="s">
        <v>1122</v>
      </c>
      <c r="F16" s="238">
        <v>3226114128</v>
      </c>
      <c r="G16" s="237" t="s">
        <v>1123</v>
      </c>
      <c r="H16" s="251" t="s">
        <v>540</v>
      </c>
      <c r="I16" s="238" t="s">
        <v>964</v>
      </c>
      <c r="J16" s="248" t="s">
        <v>1008</v>
      </c>
      <c r="K16" s="363" t="s">
        <v>1124</v>
      </c>
      <c r="L16" s="249" t="s">
        <v>1125</v>
      </c>
      <c r="M16" s="238" t="s">
        <v>1126</v>
      </c>
      <c r="N16" s="238" t="s">
        <v>809</v>
      </c>
      <c r="O16" s="270"/>
      <c r="P16" s="270"/>
      <c r="Q16" s="237" t="s">
        <v>1127</v>
      </c>
      <c r="R16" s="270"/>
      <c r="S16" s="270"/>
      <c r="T16" s="83" t="s">
        <v>813</v>
      </c>
      <c r="U16" s="83" t="s">
        <v>814</v>
      </c>
      <c r="V16" s="363" t="s">
        <v>2592</v>
      </c>
      <c r="W16" s="364"/>
      <c r="X16" s="270"/>
      <c r="Y16" s="270"/>
      <c r="Z16" s="270"/>
    </row>
    <row r="17" spans="1:26" ht="37.5" customHeight="1">
      <c r="A17" s="238" t="s">
        <v>1128</v>
      </c>
      <c r="B17" s="252">
        <v>392000</v>
      </c>
      <c r="C17" s="238" t="s">
        <v>944</v>
      </c>
      <c r="D17" s="250" t="s">
        <v>1129</v>
      </c>
      <c r="E17" s="238" t="s">
        <v>1130</v>
      </c>
      <c r="F17" s="238">
        <v>3104878625</v>
      </c>
      <c r="G17" s="272" t="s">
        <v>1131</v>
      </c>
      <c r="H17" s="251" t="s">
        <v>540</v>
      </c>
      <c r="I17" s="238" t="s">
        <v>1132</v>
      </c>
      <c r="J17" s="248" t="s">
        <v>1133</v>
      </c>
      <c r="K17" s="363" t="s">
        <v>1134</v>
      </c>
      <c r="L17" s="249" t="s">
        <v>1135</v>
      </c>
      <c r="M17" s="238" t="s">
        <v>1075</v>
      </c>
      <c r="N17" s="238" t="s">
        <v>809</v>
      </c>
      <c r="O17" s="270"/>
      <c r="P17" s="270"/>
      <c r="Q17" s="237" t="s">
        <v>1127</v>
      </c>
      <c r="R17" s="270"/>
      <c r="S17" s="270"/>
      <c r="T17" s="83" t="s">
        <v>813</v>
      </c>
      <c r="U17" s="83" t="s">
        <v>814</v>
      </c>
      <c r="V17" s="364" t="s">
        <v>2592</v>
      </c>
      <c r="W17" s="364"/>
      <c r="X17" s="270"/>
      <c r="Y17" s="270"/>
      <c r="Z17" s="270"/>
    </row>
    <row r="18" spans="1:26" ht="36.75" customHeight="1">
      <c r="A18" s="238" t="s">
        <v>1136</v>
      </c>
      <c r="B18" s="273">
        <v>92736</v>
      </c>
      <c r="C18" s="274" t="s">
        <v>580</v>
      </c>
      <c r="D18" s="247" t="s">
        <v>1137</v>
      </c>
      <c r="E18" s="274" t="s">
        <v>1138</v>
      </c>
      <c r="F18" s="274">
        <v>3164939321</v>
      </c>
      <c r="G18" s="253" t="s">
        <v>1139</v>
      </c>
      <c r="H18" s="251" t="s">
        <v>540</v>
      </c>
      <c r="I18" s="238" t="s">
        <v>1140</v>
      </c>
      <c r="J18" s="248" t="s">
        <v>1141</v>
      </c>
      <c r="K18" s="363" t="s">
        <v>1142</v>
      </c>
      <c r="L18" s="249" t="s">
        <v>1143</v>
      </c>
      <c r="M18" s="238" t="s">
        <v>1030</v>
      </c>
      <c r="N18" s="238" t="s">
        <v>809</v>
      </c>
      <c r="O18" s="270"/>
      <c r="P18" s="270"/>
      <c r="Q18" s="237" t="s">
        <v>1144</v>
      </c>
      <c r="R18" s="270"/>
      <c r="S18" s="270"/>
      <c r="T18" s="83" t="s">
        <v>813</v>
      </c>
      <c r="U18" s="83" t="s">
        <v>814</v>
      </c>
      <c r="V18" s="83" t="s">
        <v>2586</v>
      </c>
      <c r="W18" s="364" t="s">
        <v>2673</v>
      </c>
      <c r="X18" s="270"/>
      <c r="Y18" s="270"/>
      <c r="Z18" s="270"/>
    </row>
    <row r="19" spans="1:26" ht="37.5" customHeight="1">
      <c r="A19" s="238">
        <v>9003697891</v>
      </c>
      <c r="B19" s="273">
        <v>637200</v>
      </c>
      <c r="C19" s="238" t="s">
        <v>604</v>
      </c>
      <c r="D19" s="250" t="s">
        <v>1145</v>
      </c>
      <c r="E19" s="238" t="s">
        <v>1146</v>
      </c>
      <c r="F19" s="238">
        <v>3174376477</v>
      </c>
      <c r="G19" s="237" t="s">
        <v>1147</v>
      </c>
      <c r="H19" s="251" t="s">
        <v>540</v>
      </c>
      <c r="I19" s="238" t="s">
        <v>1148</v>
      </c>
      <c r="J19" s="248" t="s">
        <v>1149</v>
      </c>
      <c r="K19" s="363" t="s">
        <v>1150</v>
      </c>
      <c r="L19" s="254">
        <v>45351</v>
      </c>
      <c r="M19" s="238" t="s">
        <v>1151</v>
      </c>
      <c r="N19" s="238" t="s">
        <v>809</v>
      </c>
      <c r="O19" s="270"/>
      <c r="P19" s="270"/>
      <c r="Q19" s="237" t="s">
        <v>1032</v>
      </c>
      <c r="R19" s="270"/>
      <c r="S19" s="270"/>
      <c r="T19" s="83" t="s">
        <v>813</v>
      </c>
      <c r="U19" s="255" t="s">
        <v>1086</v>
      </c>
      <c r="V19" s="364" t="s">
        <v>2575</v>
      </c>
      <c r="W19" s="364" t="s">
        <v>2672</v>
      </c>
      <c r="X19" s="270"/>
      <c r="Y19" s="270"/>
      <c r="Z19" s="270"/>
    </row>
    <row r="20" spans="1:26" ht="30.75" customHeight="1">
      <c r="A20" s="271" t="s">
        <v>1152</v>
      </c>
      <c r="B20" s="252">
        <v>201274</v>
      </c>
      <c r="C20" s="238" t="s">
        <v>637</v>
      </c>
      <c r="D20" s="247" t="s">
        <v>1153</v>
      </c>
      <c r="E20" s="238" t="s">
        <v>1154</v>
      </c>
      <c r="F20" s="238">
        <v>3105593132</v>
      </c>
      <c r="G20" s="237" t="s">
        <v>1155</v>
      </c>
      <c r="H20" s="251" t="s">
        <v>540</v>
      </c>
      <c r="I20" s="238" t="s">
        <v>1156</v>
      </c>
      <c r="J20" s="248" t="s">
        <v>1157</v>
      </c>
      <c r="K20" s="370" t="s">
        <v>1158</v>
      </c>
      <c r="L20" s="249" t="s">
        <v>1159</v>
      </c>
      <c r="M20" s="238" t="s">
        <v>1160</v>
      </c>
      <c r="N20" s="238" t="s">
        <v>809</v>
      </c>
      <c r="O20" s="270"/>
      <c r="P20" s="270"/>
      <c r="Q20" s="237" t="s">
        <v>1161</v>
      </c>
      <c r="R20" s="270"/>
      <c r="S20" s="270"/>
      <c r="T20" s="83" t="s">
        <v>813</v>
      </c>
      <c r="U20" s="255" t="s">
        <v>1086</v>
      </c>
      <c r="V20" s="364" t="s">
        <v>2578</v>
      </c>
      <c r="W20" s="142" t="s">
        <v>2673</v>
      </c>
      <c r="X20" s="270"/>
      <c r="Y20" s="270"/>
      <c r="Z20" s="270"/>
    </row>
    <row r="21" spans="1:26" ht="27" customHeight="1">
      <c r="A21" s="276" t="s">
        <v>1162</v>
      </c>
      <c r="B21" s="277">
        <v>420000</v>
      </c>
      <c r="C21" s="276" t="s">
        <v>914</v>
      </c>
      <c r="D21" s="278" t="s">
        <v>1163</v>
      </c>
      <c r="E21" s="276" t="s">
        <v>1164</v>
      </c>
      <c r="F21" s="276">
        <v>312247702</v>
      </c>
      <c r="G21" s="279" t="s">
        <v>1165</v>
      </c>
      <c r="H21" s="276" t="s">
        <v>540</v>
      </c>
      <c r="I21" s="276" t="s">
        <v>1166</v>
      </c>
      <c r="J21" s="276" t="s">
        <v>1167</v>
      </c>
      <c r="K21" s="371" t="s">
        <v>1168</v>
      </c>
      <c r="L21" s="276"/>
      <c r="M21" s="276" t="s">
        <v>1169</v>
      </c>
      <c r="N21" s="276" t="s">
        <v>923</v>
      </c>
      <c r="O21" s="280" t="s">
        <v>1170</v>
      </c>
      <c r="P21" s="280"/>
      <c r="Q21" s="279" t="s">
        <v>1171</v>
      </c>
      <c r="R21" s="280"/>
      <c r="S21" s="280"/>
      <c r="T21" s="281" t="s">
        <v>813</v>
      </c>
      <c r="U21" s="280"/>
      <c r="V21" s="365" t="s">
        <v>2593</v>
      </c>
      <c r="W21" s="365" t="s">
        <v>2686</v>
      </c>
      <c r="X21" s="280"/>
      <c r="Y21" s="280"/>
      <c r="Z21" s="280"/>
    </row>
    <row r="22" spans="1:26" ht="50">
      <c r="A22" s="271" t="s">
        <v>1172</v>
      </c>
      <c r="B22" s="273">
        <v>470400</v>
      </c>
      <c r="C22" s="238" t="s">
        <v>895</v>
      </c>
      <c r="D22" s="247" t="s">
        <v>1173</v>
      </c>
      <c r="E22" s="238" t="s">
        <v>1174</v>
      </c>
      <c r="F22" s="238">
        <v>3217252266</v>
      </c>
      <c r="G22" s="272" t="s">
        <v>1175</v>
      </c>
      <c r="H22" s="251" t="s">
        <v>540</v>
      </c>
      <c r="I22" s="238" t="s">
        <v>1176</v>
      </c>
      <c r="J22" s="248" t="s">
        <v>1177</v>
      </c>
      <c r="K22" s="275" t="s">
        <v>1178</v>
      </c>
      <c r="L22" s="249" t="s">
        <v>1179</v>
      </c>
      <c r="M22" s="238" t="s">
        <v>1180</v>
      </c>
      <c r="N22" s="238" t="s">
        <v>809</v>
      </c>
      <c r="O22" s="270"/>
      <c r="P22" s="270"/>
      <c r="Q22" s="237" t="s">
        <v>1171</v>
      </c>
      <c r="R22" s="270"/>
      <c r="S22" s="270"/>
      <c r="T22" s="83" t="s">
        <v>813</v>
      </c>
      <c r="U22" s="255" t="s">
        <v>1086</v>
      </c>
      <c r="V22" s="364" t="s">
        <v>2573</v>
      </c>
      <c r="W22" s="142" t="s">
        <v>2573</v>
      </c>
      <c r="X22" s="270"/>
      <c r="Y22" s="270"/>
      <c r="Z22" s="270"/>
    </row>
    <row r="23" spans="1:26" ht="50">
      <c r="A23" s="271">
        <v>900145045</v>
      </c>
      <c r="B23" s="252">
        <v>200000</v>
      </c>
      <c r="C23" s="238" t="s">
        <v>604</v>
      </c>
      <c r="D23" s="247" t="s">
        <v>1181</v>
      </c>
      <c r="E23" s="238" t="s">
        <v>1182</v>
      </c>
      <c r="F23" s="238">
        <v>3215981196</v>
      </c>
      <c r="G23" s="237" t="s">
        <v>1183</v>
      </c>
      <c r="H23" s="251" t="s">
        <v>540</v>
      </c>
      <c r="I23" s="238" t="s">
        <v>1184</v>
      </c>
      <c r="J23" s="248" t="s">
        <v>1185</v>
      </c>
      <c r="K23" s="275" t="s">
        <v>1186</v>
      </c>
      <c r="L23" s="249" t="s">
        <v>1187</v>
      </c>
      <c r="M23" s="238" t="s">
        <v>1188</v>
      </c>
      <c r="N23" s="238" t="s">
        <v>809</v>
      </c>
      <c r="O23" s="270"/>
      <c r="P23" s="270"/>
      <c r="Q23" s="237" t="s">
        <v>1032</v>
      </c>
      <c r="R23" s="270"/>
      <c r="S23" s="270"/>
      <c r="T23" s="83" t="s">
        <v>813</v>
      </c>
      <c r="U23" s="255" t="s">
        <v>1086</v>
      </c>
      <c r="V23" s="364" t="s">
        <v>2573</v>
      </c>
      <c r="W23" s="364" t="s">
        <v>2573</v>
      </c>
      <c r="X23" s="270"/>
      <c r="Y23" s="270"/>
      <c r="Z23" s="270"/>
    </row>
    <row r="24" spans="1:26" ht="13">
      <c r="A24" s="282" t="s">
        <v>1189</v>
      </c>
      <c r="B24" s="283">
        <f>SUM(B2:B23)</f>
        <v>8646445</v>
      </c>
      <c r="C24" s="284"/>
      <c r="D24" s="285"/>
      <c r="E24" s="284"/>
      <c r="F24" s="284"/>
      <c r="G24" s="286"/>
      <c r="H24" s="284"/>
      <c r="I24" s="284"/>
      <c r="J24" s="248"/>
      <c r="K24" s="287"/>
      <c r="L24" s="249"/>
      <c r="M24" s="284"/>
      <c r="N24" s="284"/>
      <c r="O24" s="288"/>
      <c r="P24" s="288"/>
      <c r="Q24" s="286"/>
      <c r="R24" s="288"/>
      <c r="S24" s="288"/>
      <c r="T24" s="288"/>
      <c r="U24" s="288"/>
      <c r="V24" s="366"/>
      <c r="W24" s="366"/>
      <c r="X24" s="288"/>
      <c r="Y24" s="288"/>
      <c r="Z24" s="288"/>
    </row>
    <row r="25" spans="1:26" ht="13">
      <c r="A25" s="251"/>
      <c r="B25" s="289"/>
      <c r="C25" s="251"/>
      <c r="D25" s="290"/>
      <c r="E25" s="251"/>
      <c r="F25" s="251"/>
      <c r="G25" s="268"/>
      <c r="H25" s="251"/>
      <c r="I25" s="251"/>
      <c r="J25" s="251"/>
      <c r="K25" s="275"/>
      <c r="L25" s="251"/>
      <c r="M25" s="251"/>
      <c r="N25" s="251"/>
      <c r="O25" s="92"/>
      <c r="P25" s="92"/>
      <c r="Q25" s="268"/>
      <c r="R25" s="92"/>
      <c r="S25" s="92"/>
      <c r="T25" s="92"/>
      <c r="U25" s="92"/>
      <c r="V25" s="367"/>
      <c r="W25" s="367"/>
      <c r="X25" s="92"/>
      <c r="Y25" s="92"/>
      <c r="Z25" s="92"/>
    </row>
    <row r="26" spans="1:26" ht="18.75" customHeight="1">
      <c r="A26" s="274"/>
      <c r="B26" s="252"/>
      <c r="C26" s="238"/>
      <c r="D26" s="291"/>
      <c r="E26" s="238"/>
      <c r="F26" s="238"/>
      <c r="G26" s="237"/>
      <c r="H26" s="238"/>
      <c r="I26" s="238"/>
      <c r="J26" s="248"/>
      <c r="K26" s="83"/>
      <c r="L26" s="249"/>
      <c r="M26" s="238"/>
      <c r="N26" s="238"/>
      <c r="O26" s="270"/>
      <c r="P26" s="270"/>
      <c r="Q26" s="237"/>
      <c r="R26" s="270"/>
      <c r="S26" s="270"/>
      <c r="T26" s="270"/>
      <c r="U26" s="270"/>
      <c r="V26" s="364"/>
      <c r="W26" s="364"/>
      <c r="X26" s="270"/>
      <c r="Y26" s="270"/>
      <c r="Z26" s="270"/>
    </row>
    <row r="27" spans="1:26" ht="18" customHeight="1">
      <c r="A27" s="271"/>
      <c r="B27" s="273"/>
      <c r="C27" s="256"/>
      <c r="D27" s="291"/>
      <c r="E27" s="274"/>
      <c r="F27" s="274"/>
      <c r="G27" s="253"/>
      <c r="H27" s="238"/>
      <c r="I27" s="238"/>
      <c r="J27" s="248"/>
      <c r="K27" s="83"/>
      <c r="L27" s="249"/>
      <c r="M27" s="238"/>
      <c r="N27" s="238"/>
      <c r="O27" s="270"/>
      <c r="P27" s="270"/>
      <c r="Q27" s="237"/>
      <c r="R27" s="270"/>
      <c r="S27" s="270"/>
      <c r="T27" s="270"/>
      <c r="U27" s="270"/>
      <c r="V27" s="364"/>
      <c r="W27" s="364"/>
      <c r="X27" s="270"/>
      <c r="Y27" s="270"/>
      <c r="Z27" s="270"/>
    </row>
    <row r="28" spans="1:26" ht="13">
      <c r="A28" s="251"/>
      <c r="B28" s="267"/>
      <c r="C28" s="251"/>
      <c r="D28" s="290"/>
      <c r="E28" s="251"/>
      <c r="F28" s="251"/>
      <c r="G28" s="268"/>
      <c r="H28" s="251"/>
      <c r="I28" s="251"/>
      <c r="J28" s="251"/>
      <c r="K28" s="255"/>
      <c r="L28" s="251"/>
      <c r="M28" s="251"/>
      <c r="N28" s="251"/>
      <c r="O28" s="92"/>
      <c r="P28" s="92"/>
      <c r="Q28" s="268"/>
      <c r="R28" s="92"/>
      <c r="S28" s="92"/>
      <c r="T28" s="92"/>
      <c r="U28" s="92"/>
      <c r="V28" s="367"/>
      <c r="W28" s="367"/>
      <c r="X28" s="92"/>
      <c r="Y28" s="92"/>
      <c r="Z28" s="92"/>
    </row>
    <row r="29" spans="1:26" ht="12.5">
      <c r="A29" s="238"/>
      <c r="B29" s="292"/>
      <c r="C29" s="36"/>
      <c r="D29" s="37"/>
      <c r="E29" s="36"/>
      <c r="F29" s="36"/>
      <c r="G29" s="84"/>
      <c r="H29" s="36"/>
      <c r="I29" s="36"/>
      <c r="J29" s="293"/>
      <c r="K29" s="83"/>
      <c r="L29" s="293"/>
      <c r="M29" s="36"/>
      <c r="N29" s="36"/>
      <c r="O29" s="37"/>
      <c r="P29" s="37"/>
      <c r="Q29" s="237"/>
      <c r="R29" s="37"/>
      <c r="S29" s="37"/>
      <c r="T29" s="37"/>
      <c r="U29" s="37"/>
      <c r="V29" s="122"/>
      <c r="W29" s="122"/>
      <c r="X29" s="37"/>
      <c r="Y29" s="37"/>
      <c r="Z29" s="37"/>
    </row>
    <row r="30" spans="1:26" ht="13">
      <c r="A30" s="238"/>
      <c r="B30" s="292"/>
      <c r="C30" s="36"/>
      <c r="D30" s="290"/>
      <c r="E30" s="36"/>
      <c r="F30" s="36"/>
      <c r="G30" s="84"/>
      <c r="H30" s="36"/>
      <c r="I30" s="36"/>
      <c r="J30" s="293"/>
      <c r="K30" s="83"/>
      <c r="L30" s="293"/>
      <c r="M30" s="36"/>
      <c r="N30" s="36"/>
      <c r="O30" s="37"/>
      <c r="P30" s="37"/>
      <c r="Q30" s="237"/>
      <c r="R30" s="37"/>
      <c r="S30" s="37"/>
      <c r="T30" s="37"/>
      <c r="U30" s="37"/>
      <c r="V30" s="122"/>
      <c r="W30" s="122"/>
      <c r="X30" s="37"/>
      <c r="Y30" s="37"/>
      <c r="Z30" s="37"/>
    </row>
    <row r="31" spans="1:26" ht="13">
      <c r="A31" s="238"/>
      <c r="B31" s="292"/>
      <c r="C31" s="36"/>
      <c r="D31" s="290"/>
      <c r="E31" s="36"/>
      <c r="F31" s="36"/>
      <c r="G31" s="84"/>
      <c r="H31" s="36"/>
      <c r="I31" s="36"/>
      <c r="J31" s="293"/>
      <c r="K31" s="83"/>
      <c r="L31" s="293"/>
      <c r="M31" s="36"/>
      <c r="N31" s="36"/>
      <c r="O31" s="37"/>
      <c r="P31" s="37"/>
      <c r="Q31" s="237"/>
      <c r="R31" s="37"/>
      <c r="S31" s="37"/>
      <c r="T31" s="37"/>
      <c r="U31" s="37"/>
      <c r="V31" s="122"/>
      <c r="W31" s="122"/>
      <c r="X31" s="37"/>
      <c r="Y31" s="37"/>
      <c r="Z31" s="37"/>
    </row>
    <row r="32" spans="1:26" ht="13">
      <c r="A32" s="238"/>
      <c r="B32" s="292"/>
      <c r="C32" s="36"/>
      <c r="D32" s="290"/>
      <c r="E32" s="36"/>
      <c r="F32" s="36"/>
      <c r="G32" s="84"/>
      <c r="H32" s="36"/>
      <c r="I32" s="36"/>
      <c r="J32" s="293"/>
      <c r="K32" s="83"/>
      <c r="L32" s="293"/>
      <c r="M32" s="36"/>
      <c r="N32" s="36"/>
      <c r="O32" s="37"/>
      <c r="P32" s="37"/>
      <c r="Q32" s="237"/>
      <c r="R32" s="37"/>
      <c r="S32" s="37"/>
      <c r="T32" s="37"/>
      <c r="U32" s="37"/>
      <c r="V32" s="122"/>
      <c r="W32" s="122"/>
      <c r="X32" s="37"/>
      <c r="Y32" s="37"/>
      <c r="Z32" s="37"/>
    </row>
    <row r="33" spans="1:26" ht="13">
      <c r="A33" s="238"/>
      <c r="B33" s="292"/>
      <c r="C33" s="36"/>
      <c r="D33" s="290"/>
      <c r="E33" s="36"/>
      <c r="F33" s="36"/>
      <c r="G33" s="84"/>
      <c r="H33" s="36"/>
      <c r="I33" s="36"/>
      <c r="J33" s="293"/>
      <c r="K33" s="83"/>
      <c r="L33" s="293"/>
      <c r="M33" s="36"/>
      <c r="N33" s="36"/>
      <c r="O33" s="37"/>
      <c r="P33" s="37"/>
      <c r="Q33" s="237"/>
      <c r="R33" s="37"/>
      <c r="S33" s="37"/>
      <c r="T33" s="37"/>
      <c r="U33" s="37"/>
      <c r="V33" s="122"/>
      <c r="W33" s="122"/>
      <c r="X33" s="37"/>
      <c r="Y33" s="37"/>
      <c r="Z33" s="37"/>
    </row>
    <row r="34" spans="1:26" ht="13">
      <c r="A34" s="238"/>
      <c r="B34" s="292"/>
      <c r="C34" s="36"/>
      <c r="D34" s="290"/>
      <c r="E34" s="36"/>
      <c r="F34" s="36"/>
      <c r="G34" s="84"/>
      <c r="H34" s="36"/>
      <c r="I34" s="36"/>
      <c r="J34" s="293"/>
      <c r="K34" s="83"/>
      <c r="L34" s="293"/>
      <c r="M34" s="36"/>
      <c r="N34" s="36"/>
      <c r="O34" s="37"/>
      <c r="P34" s="37"/>
      <c r="Q34" s="237"/>
      <c r="R34" s="37"/>
      <c r="S34" s="37"/>
      <c r="T34" s="37"/>
      <c r="U34" s="37"/>
      <c r="V34" s="122"/>
      <c r="W34" s="122"/>
      <c r="X34" s="37"/>
      <c r="Y34" s="37"/>
      <c r="Z34" s="37"/>
    </row>
    <row r="35" spans="1:26" ht="13">
      <c r="A35" s="238"/>
      <c r="B35" s="292"/>
      <c r="C35" s="36"/>
      <c r="D35" s="290"/>
      <c r="E35" s="36"/>
      <c r="F35" s="36"/>
      <c r="G35" s="84"/>
      <c r="H35" s="36"/>
      <c r="I35" s="36"/>
      <c r="J35" s="293"/>
      <c r="K35" s="83"/>
      <c r="L35" s="293"/>
      <c r="M35" s="36"/>
      <c r="N35" s="36"/>
      <c r="O35" s="37"/>
      <c r="P35" s="37"/>
      <c r="Q35" s="237"/>
      <c r="R35" s="37"/>
      <c r="S35" s="37"/>
      <c r="T35" s="37"/>
      <c r="U35" s="37"/>
      <c r="V35" s="122"/>
      <c r="W35" s="122"/>
      <c r="X35" s="37"/>
      <c r="Y35" s="37"/>
      <c r="Z35" s="37"/>
    </row>
    <row r="36" spans="1:26" ht="13">
      <c r="A36" s="238"/>
      <c r="B36" s="292"/>
      <c r="C36" s="36"/>
      <c r="D36" s="290"/>
      <c r="E36" s="36"/>
      <c r="F36" s="36"/>
      <c r="G36" s="84"/>
      <c r="H36" s="36"/>
      <c r="I36" s="36"/>
      <c r="J36" s="293"/>
      <c r="K36" s="83"/>
      <c r="L36" s="293"/>
      <c r="M36" s="36"/>
      <c r="N36" s="36"/>
      <c r="O36" s="37"/>
      <c r="P36" s="37"/>
      <c r="Q36" s="237"/>
      <c r="R36" s="37"/>
      <c r="S36" s="37"/>
      <c r="T36" s="37"/>
      <c r="U36" s="37"/>
      <c r="V36" s="122"/>
      <c r="W36" s="122"/>
      <c r="X36" s="37"/>
      <c r="Y36" s="37"/>
      <c r="Z36" s="37"/>
    </row>
    <row r="37" spans="1:26" ht="13">
      <c r="A37" s="238"/>
      <c r="B37" s="292"/>
      <c r="C37" s="36"/>
      <c r="D37" s="290"/>
      <c r="E37" s="36"/>
      <c r="F37" s="36"/>
      <c r="G37" s="84"/>
      <c r="H37" s="36"/>
      <c r="I37" s="36"/>
      <c r="J37" s="293"/>
      <c r="K37" s="83"/>
      <c r="L37" s="293"/>
      <c r="M37" s="36"/>
      <c r="N37" s="36"/>
      <c r="O37" s="37"/>
      <c r="P37" s="37"/>
      <c r="Q37" s="237"/>
      <c r="R37" s="37"/>
      <c r="S37" s="37"/>
      <c r="T37" s="37"/>
      <c r="U37" s="37"/>
      <c r="V37" s="122"/>
      <c r="W37" s="122"/>
      <c r="X37" s="37"/>
      <c r="Y37" s="37"/>
      <c r="Z37" s="37"/>
    </row>
    <row r="38" spans="1:26" ht="13">
      <c r="A38" s="238"/>
      <c r="B38" s="292"/>
      <c r="C38" s="36"/>
      <c r="D38" s="290"/>
      <c r="E38" s="36"/>
      <c r="F38" s="36"/>
      <c r="G38" s="84"/>
      <c r="H38" s="36"/>
      <c r="I38" s="36"/>
      <c r="J38" s="293"/>
      <c r="K38" s="83"/>
      <c r="L38" s="293"/>
      <c r="M38" s="36"/>
      <c r="N38" s="36"/>
      <c r="O38" s="37"/>
      <c r="P38" s="37"/>
      <c r="Q38" s="237"/>
      <c r="R38" s="37"/>
      <c r="S38" s="37"/>
      <c r="T38" s="37"/>
      <c r="U38" s="37"/>
      <c r="V38" s="122"/>
      <c r="W38" s="122"/>
      <c r="X38" s="37"/>
      <c r="Y38" s="37"/>
      <c r="Z38" s="37"/>
    </row>
    <row r="39" spans="1:26" ht="13">
      <c r="A39" s="238"/>
      <c r="B39" s="292"/>
      <c r="C39" s="36"/>
      <c r="D39" s="290"/>
      <c r="E39" s="36"/>
      <c r="F39" s="36"/>
      <c r="G39" s="84"/>
      <c r="H39" s="36"/>
      <c r="I39" s="36"/>
      <c r="J39" s="293"/>
      <c r="K39" s="83"/>
      <c r="L39" s="293"/>
      <c r="M39" s="36"/>
      <c r="N39" s="36"/>
      <c r="O39" s="37"/>
      <c r="P39" s="37"/>
      <c r="Q39" s="237"/>
      <c r="R39" s="37"/>
      <c r="S39" s="37"/>
      <c r="T39" s="37"/>
      <c r="U39" s="37"/>
      <c r="V39" s="122"/>
      <c r="W39" s="122"/>
      <c r="X39" s="37"/>
      <c r="Y39" s="37"/>
      <c r="Z39" s="37"/>
    </row>
    <row r="40" spans="1:26" ht="13">
      <c r="A40" s="238"/>
      <c r="B40" s="292"/>
      <c r="C40" s="36"/>
      <c r="D40" s="290"/>
      <c r="E40" s="36"/>
      <c r="F40" s="36"/>
      <c r="G40" s="84"/>
      <c r="H40" s="36"/>
      <c r="I40" s="36"/>
      <c r="J40" s="293"/>
      <c r="K40" s="83"/>
      <c r="L40" s="293"/>
      <c r="M40" s="36"/>
      <c r="N40" s="36"/>
      <c r="O40" s="37"/>
      <c r="P40" s="37"/>
      <c r="Q40" s="237"/>
      <c r="R40" s="37"/>
      <c r="S40" s="37"/>
      <c r="T40" s="37"/>
      <c r="U40" s="37"/>
      <c r="V40" s="122"/>
      <c r="W40" s="122"/>
      <c r="X40" s="37"/>
      <c r="Y40" s="37"/>
      <c r="Z40" s="37"/>
    </row>
    <row r="41" spans="1:26" ht="13">
      <c r="A41" s="238"/>
      <c r="B41" s="292"/>
      <c r="C41" s="36"/>
      <c r="D41" s="290"/>
      <c r="E41" s="36"/>
      <c r="F41" s="36"/>
      <c r="G41" s="84"/>
      <c r="H41" s="36"/>
      <c r="I41" s="36"/>
      <c r="J41" s="293"/>
      <c r="K41" s="83"/>
      <c r="L41" s="293"/>
      <c r="M41" s="36"/>
      <c r="N41" s="36"/>
      <c r="O41" s="37"/>
      <c r="P41" s="37"/>
      <c r="Q41" s="237"/>
      <c r="R41" s="37"/>
      <c r="S41" s="37"/>
      <c r="T41" s="37"/>
      <c r="U41" s="37"/>
      <c r="V41" s="122"/>
      <c r="W41" s="122"/>
      <c r="X41" s="37"/>
      <c r="Y41" s="37"/>
      <c r="Z41" s="37"/>
    </row>
    <row r="42" spans="1:26" ht="13">
      <c r="A42" s="238"/>
      <c r="B42" s="292"/>
      <c r="C42" s="36"/>
      <c r="D42" s="290"/>
      <c r="E42" s="36"/>
      <c r="F42" s="36"/>
      <c r="G42" s="84"/>
      <c r="H42" s="36"/>
      <c r="I42" s="36"/>
      <c r="J42" s="293"/>
      <c r="K42" s="83"/>
      <c r="L42" s="293"/>
      <c r="M42" s="36"/>
      <c r="N42" s="36"/>
      <c r="O42" s="37"/>
      <c r="P42" s="37"/>
      <c r="Q42" s="237"/>
      <c r="R42" s="37"/>
      <c r="S42" s="37"/>
      <c r="T42" s="37"/>
      <c r="U42" s="37"/>
      <c r="V42" s="122"/>
      <c r="W42" s="122"/>
      <c r="X42" s="37"/>
      <c r="Y42" s="37"/>
      <c r="Z42" s="37"/>
    </row>
    <row r="43" spans="1:26" ht="13">
      <c r="A43" s="238"/>
      <c r="B43" s="292"/>
      <c r="C43" s="36"/>
      <c r="D43" s="290"/>
      <c r="E43" s="36"/>
      <c r="F43" s="36"/>
      <c r="G43" s="84"/>
      <c r="H43" s="36"/>
      <c r="I43" s="36"/>
      <c r="J43" s="293"/>
      <c r="K43" s="83"/>
      <c r="L43" s="293"/>
      <c r="M43" s="36"/>
      <c r="N43" s="36"/>
      <c r="O43" s="37"/>
      <c r="P43" s="37"/>
      <c r="Q43" s="237"/>
      <c r="R43" s="37"/>
      <c r="S43" s="37"/>
      <c r="T43" s="37"/>
      <c r="U43" s="37"/>
      <c r="V43" s="122"/>
      <c r="W43" s="122"/>
      <c r="X43" s="37"/>
      <c r="Y43" s="37"/>
      <c r="Z43" s="37"/>
    </row>
    <row r="44" spans="1:26" ht="13">
      <c r="A44" s="238"/>
      <c r="B44" s="292"/>
      <c r="C44" s="36"/>
      <c r="D44" s="290"/>
      <c r="E44" s="36"/>
      <c r="F44" s="36"/>
      <c r="G44" s="84"/>
      <c r="H44" s="36"/>
      <c r="I44" s="36"/>
      <c r="J44" s="293"/>
      <c r="K44" s="83"/>
      <c r="L44" s="293"/>
      <c r="M44" s="36"/>
      <c r="N44" s="36"/>
      <c r="O44" s="37"/>
      <c r="P44" s="37"/>
      <c r="Q44" s="237"/>
      <c r="R44" s="37"/>
      <c r="S44" s="37"/>
      <c r="T44" s="37"/>
      <c r="U44" s="37"/>
      <c r="V44" s="122"/>
      <c r="W44" s="122"/>
      <c r="X44" s="37"/>
      <c r="Y44" s="37"/>
      <c r="Z44" s="37"/>
    </row>
    <row r="45" spans="1:26" ht="13">
      <c r="A45" s="238"/>
      <c r="B45" s="292"/>
      <c r="C45" s="36"/>
      <c r="D45" s="290"/>
      <c r="E45" s="36"/>
      <c r="F45" s="36"/>
      <c r="G45" s="84"/>
      <c r="H45" s="36"/>
      <c r="I45" s="36"/>
      <c r="J45" s="293"/>
      <c r="K45" s="83"/>
      <c r="L45" s="293"/>
      <c r="M45" s="36"/>
      <c r="N45" s="36"/>
      <c r="O45" s="37"/>
      <c r="P45" s="37"/>
      <c r="Q45" s="237"/>
      <c r="R45" s="37"/>
      <c r="S45" s="37"/>
      <c r="T45" s="37"/>
      <c r="U45" s="37"/>
      <c r="V45" s="122"/>
      <c r="W45" s="122"/>
      <c r="X45" s="37"/>
      <c r="Y45" s="37"/>
      <c r="Z45" s="37"/>
    </row>
    <row r="46" spans="1:26" ht="13">
      <c r="A46" s="238"/>
      <c r="B46" s="292"/>
      <c r="C46" s="36"/>
      <c r="D46" s="290"/>
      <c r="E46" s="36"/>
      <c r="F46" s="36"/>
      <c r="G46" s="84"/>
      <c r="H46" s="36"/>
      <c r="I46" s="36"/>
      <c r="J46" s="293"/>
      <c r="K46" s="83"/>
      <c r="L46" s="293"/>
      <c r="M46" s="36"/>
      <c r="N46" s="36"/>
      <c r="O46" s="37"/>
      <c r="P46" s="37"/>
      <c r="Q46" s="237"/>
      <c r="R46" s="37"/>
      <c r="S46" s="37"/>
      <c r="T46" s="37"/>
      <c r="U46" s="37"/>
      <c r="V46" s="122"/>
      <c r="W46" s="122"/>
      <c r="X46" s="37"/>
      <c r="Y46" s="37"/>
      <c r="Z46" s="37"/>
    </row>
    <row r="47" spans="1:26" ht="13">
      <c r="A47" s="238"/>
      <c r="B47" s="292"/>
      <c r="C47" s="36"/>
      <c r="D47" s="290"/>
      <c r="E47" s="36"/>
      <c r="F47" s="36"/>
      <c r="G47" s="84"/>
      <c r="H47" s="36"/>
      <c r="I47" s="36"/>
      <c r="J47" s="293"/>
      <c r="K47" s="83"/>
      <c r="L47" s="293"/>
      <c r="M47" s="36"/>
      <c r="N47" s="36"/>
      <c r="O47" s="37"/>
      <c r="P47" s="37"/>
      <c r="Q47" s="237"/>
      <c r="R47" s="37"/>
      <c r="S47" s="37"/>
      <c r="T47" s="37"/>
      <c r="U47" s="37"/>
      <c r="V47" s="122"/>
      <c r="W47" s="122"/>
      <c r="X47" s="37"/>
      <c r="Y47" s="37"/>
      <c r="Z47" s="37"/>
    </row>
    <row r="48" spans="1:26" ht="13">
      <c r="A48" s="238"/>
      <c r="B48" s="292"/>
      <c r="C48" s="36"/>
      <c r="D48" s="290"/>
      <c r="E48" s="36"/>
      <c r="F48" s="36"/>
      <c r="G48" s="84"/>
      <c r="H48" s="36"/>
      <c r="I48" s="36"/>
      <c r="J48" s="293"/>
      <c r="K48" s="83"/>
      <c r="L48" s="293"/>
      <c r="M48" s="36"/>
      <c r="N48" s="36"/>
      <c r="O48" s="37"/>
      <c r="P48" s="37"/>
      <c r="Q48" s="237"/>
      <c r="R48" s="37"/>
      <c r="S48" s="37"/>
      <c r="T48" s="37"/>
      <c r="U48" s="37"/>
      <c r="V48" s="122"/>
      <c r="W48" s="122"/>
      <c r="X48" s="37"/>
      <c r="Y48" s="37"/>
      <c r="Z48" s="37"/>
    </row>
    <row r="49" spans="1:26" ht="13">
      <c r="A49" s="238"/>
      <c r="B49" s="292"/>
      <c r="C49" s="36"/>
      <c r="D49" s="290"/>
      <c r="E49" s="36"/>
      <c r="F49" s="36"/>
      <c r="G49" s="84"/>
      <c r="H49" s="36"/>
      <c r="I49" s="36"/>
      <c r="J49" s="293"/>
      <c r="K49" s="83"/>
      <c r="L49" s="293"/>
      <c r="M49" s="36"/>
      <c r="N49" s="36"/>
      <c r="O49" s="37"/>
      <c r="P49" s="37"/>
      <c r="Q49" s="237"/>
      <c r="R49" s="37"/>
      <c r="S49" s="37"/>
      <c r="T49" s="37"/>
      <c r="U49" s="37"/>
      <c r="V49" s="122"/>
      <c r="W49" s="122"/>
      <c r="X49" s="37"/>
      <c r="Y49" s="37"/>
      <c r="Z49" s="37"/>
    </row>
    <row r="50" spans="1:26" ht="13">
      <c r="A50" s="238"/>
      <c r="B50" s="292"/>
      <c r="C50" s="36"/>
      <c r="D50" s="290"/>
      <c r="E50" s="36"/>
      <c r="F50" s="36"/>
      <c r="G50" s="84"/>
      <c r="H50" s="36"/>
      <c r="I50" s="36"/>
      <c r="J50" s="293"/>
      <c r="K50" s="83"/>
      <c r="L50" s="293"/>
      <c r="M50" s="36"/>
      <c r="N50" s="36"/>
      <c r="O50" s="37"/>
      <c r="P50" s="37"/>
      <c r="Q50" s="237"/>
      <c r="R50" s="37"/>
      <c r="S50" s="37"/>
      <c r="T50" s="37"/>
      <c r="U50" s="37"/>
      <c r="V50" s="122"/>
      <c r="W50" s="122"/>
      <c r="X50" s="37"/>
      <c r="Y50" s="37"/>
      <c r="Z50" s="37"/>
    </row>
    <row r="51" spans="1:26" ht="13">
      <c r="A51" s="238"/>
      <c r="B51" s="292"/>
      <c r="C51" s="36"/>
      <c r="D51" s="290"/>
      <c r="E51" s="36"/>
      <c r="F51" s="36"/>
      <c r="G51" s="84"/>
      <c r="H51" s="36"/>
      <c r="I51" s="36"/>
      <c r="J51" s="293"/>
      <c r="K51" s="83"/>
      <c r="L51" s="293"/>
      <c r="M51" s="36"/>
      <c r="N51" s="36"/>
      <c r="O51" s="37"/>
      <c r="P51" s="37"/>
      <c r="Q51" s="237"/>
      <c r="R51" s="37"/>
      <c r="S51" s="37"/>
      <c r="T51" s="37"/>
      <c r="U51" s="37"/>
      <c r="V51" s="122"/>
      <c r="W51" s="122"/>
      <c r="X51" s="37"/>
      <c r="Y51" s="37"/>
      <c r="Z51" s="37"/>
    </row>
    <row r="52" spans="1:26" ht="13">
      <c r="A52" s="238"/>
      <c r="B52" s="292"/>
      <c r="C52" s="36"/>
      <c r="D52" s="290"/>
      <c r="E52" s="36"/>
      <c r="F52" s="36"/>
      <c r="G52" s="84"/>
      <c r="H52" s="36"/>
      <c r="I52" s="36"/>
      <c r="J52" s="293"/>
      <c r="K52" s="83"/>
      <c r="L52" s="293"/>
      <c r="M52" s="36"/>
      <c r="N52" s="36"/>
      <c r="O52" s="37"/>
      <c r="P52" s="37"/>
      <c r="Q52" s="237"/>
      <c r="R52" s="37"/>
      <c r="S52" s="37"/>
      <c r="T52" s="37"/>
      <c r="U52" s="37"/>
      <c r="V52" s="122"/>
      <c r="W52" s="122"/>
      <c r="X52" s="37"/>
      <c r="Y52" s="37"/>
      <c r="Z52" s="37"/>
    </row>
    <row r="53" spans="1:26" ht="13">
      <c r="A53" s="238"/>
      <c r="B53" s="292"/>
      <c r="C53" s="36"/>
      <c r="D53" s="290"/>
      <c r="E53" s="36"/>
      <c r="F53" s="36"/>
      <c r="G53" s="84"/>
      <c r="H53" s="36"/>
      <c r="I53" s="36"/>
      <c r="J53" s="293"/>
      <c r="K53" s="83"/>
      <c r="L53" s="293"/>
      <c r="M53" s="36"/>
      <c r="N53" s="36"/>
      <c r="O53" s="37"/>
      <c r="P53" s="37"/>
      <c r="Q53" s="237"/>
      <c r="R53" s="37"/>
      <c r="S53" s="37"/>
      <c r="T53" s="37"/>
      <c r="U53" s="37"/>
      <c r="V53" s="122"/>
      <c r="W53" s="122"/>
      <c r="X53" s="37"/>
      <c r="Y53" s="37"/>
      <c r="Z53" s="37"/>
    </row>
    <row r="54" spans="1:26" ht="13">
      <c r="A54" s="238"/>
      <c r="B54" s="292"/>
      <c r="C54" s="36"/>
      <c r="D54" s="290"/>
      <c r="E54" s="36"/>
      <c r="F54" s="36"/>
      <c r="G54" s="84"/>
      <c r="H54" s="36"/>
      <c r="I54" s="36"/>
      <c r="J54" s="293"/>
      <c r="K54" s="83"/>
      <c r="L54" s="293"/>
      <c r="M54" s="36"/>
      <c r="N54" s="36"/>
      <c r="O54" s="37"/>
      <c r="P54" s="37"/>
      <c r="Q54" s="237"/>
      <c r="R54" s="37"/>
      <c r="S54" s="37"/>
      <c r="T54" s="37"/>
      <c r="U54" s="37"/>
      <c r="V54" s="122"/>
      <c r="W54" s="122"/>
      <c r="X54" s="37"/>
      <c r="Y54" s="37"/>
      <c r="Z54" s="37"/>
    </row>
    <row r="55" spans="1:26" ht="13">
      <c r="A55" s="238"/>
      <c r="B55" s="292"/>
      <c r="C55" s="36"/>
      <c r="D55" s="290"/>
      <c r="E55" s="36"/>
      <c r="F55" s="36"/>
      <c r="G55" s="84"/>
      <c r="H55" s="36"/>
      <c r="I55" s="36"/>
      <c r="J55" s="293"/>
      <c r="K55" s="83"/>
      <c r="L55" s="293"/>
      <c r="M55" s="36"/>
      <c r="N55" s="36"/>
      <c r="O55" s="37"/>
      <c r="P55" s="37"/>
      <c r="Q55" s="237"/>
      <c r="R55" s="37"/>
      <c r="S55" s="37"/>
      <c r="T55" s="37"/>
      <c r="U55" s="37"/>
      <c r="V55" s="122"/>
      <c r="W55" s="122"/>
      <c r="X55" s="37"/>
      <c r="Y55" s="37"/>
      <c r="Z55" s="37"/>
    </row>
    <row r="56" spans="1:26" ht="13">
      <c r="A56" s="238"/>
      <c r="B56" s="292"/>
      <c r="C56" s="36"/>
      <c r="D56" s="290"/>
      <c r="E56" s="36"/>
      <c r="F56" s="36"/>
      <c r="G56" s="84"/>
      <c r="H56" s="36"/>
      <c r="I56" s="36"/>
      <c r="J56" s="293"/>
      <c r="K56" s="83"/>
      <c r="L56" s="293"/>
      <c r="M56" s="36"/>
      <c r="N56" s="36"/>
      <c r="O56" s="37"/>
      <c r="P56" s="37"/>
      <c r="Q56" s="237"/>
      <c r="R56" s="37"/>
      <c r="S56" s="37"/>
      <c r="T56" s="37"/>
      <c r="U56" s="37"/>
      <c r="V56" s="122"/>
      <c r="W56" s="122"/>
      <c r="X56" s="37"/>
      <c r="Y56" s="37"/>
      <c r="Z56" s="37"/>
    </row>
    <row r="57" spans="1:26" ht="13">
      <c r="A57" s="238"/>
      <c r="B57" s="292"/>
      <c r="C57" s="36"/>
      <c r="D57" s="290"/>
      <c r="E57" s="36"/>
      <c r="F57" s="36"/>
      <c r="G57" s="84"/>
      <c r="H57" s="36"/>
      <c r="I57" s="36"/>
      <c r="J57" s="293"/>
      <c r="K57" s="83"/>
      <c r="L57" s="293"/>
      <c r="M57" s="36"/>
      <c r="N57" s="36"/>
      <c r="O57" s="37"/>
      <c r="P57" s="37"/>
      <c r="Q57" s="237"/>
      <c r="R57" s="37"/>
      <c r="S57" s="37"/>
      <c r="T57" s="37"/>
      <c r="U57" s="37"/>
      <c r="V57" s="122"/>
      <c r="W57" s="122"/>
      <c r="X57" s="37"/>
      <c r="Y57" s="37"/>
      <c r="Z57" s="37"/>
    </row>
    <row r="58" spans="1:26" ht="13">
      <c r="A58" s="238"/>
      <c r="B58" s="292"/>
      <c r="C58" s="36"/>
      <c r="D58" s="290"/>
      <c r="E58" s="36"/>
      <c r="F58" s="36"/>
      <c r="G58" s="84"/>
      <c r="H58" s="36"/>
      <c r="I58" s="36"/>
      <c r="J58" s="293"/>
      <c r="K58" s="83"/>
      <c r="L58" s="293"/>
      <c r="M58" s="36"/>
      <c r="N58" s="36"/>
      <c r="O58" s="37"/>
      <c r="P58" s="37"/>
      <c r="Q58" s="237"/>
      <c r="R58" s="37"/>
      <c r="S58" s="37"/>
      <c r="T58" s="37"/>
      <c r="U58" s="37"/>
      <c r="V58" s="122"/>
      <c r="W58" s="122"/>
      <c r="X58" s="37"/>
      <c r="Y58" s="37"/>
      <c r="Z58" s="37"/>
    </row>
    <row r="59" spans="1:26" ht="13">
      <c r="A59" s="238"/>
      <c r="B59" s="292"/>
      <c r="C59" s="36"/>
      <c r="D59" s="290"/>
      <c r="E59" s="36"/>
      <c r="F59" s="36"/>
      <c r="G59" s="84"/>
      <c r="H59" s="36"/>
      <c r="I59" s="36"/>
      <c r="J59" s="293"/>
      <c r="K59" s="83"/>
      <c r="L59" s="293"/>
      <c r="M59" s="36"/>
      <c r="N59" s="36"/>
      <c r="O59" s="37"/>
      <c r="P59" s="37"/>
      <c r="Q59" s="237"/>
      <c r="R59" s="37"/>
      <c r="S59" s="37"/>
      <c r="T59" s="37"/>
      <c r="U59" s="37"/>
      <c r="V59" s="122"/>
      <c r="W59" s="122"/>
      <c r="X59" s="37"/>
      <c r="Y59" s="37"/>
      <c r="Z59" s="37"/>
    </row>
    <row r="60" spans="1:26" ht="13">
      <c r="A60" s="238"/>
      <c r="B60" s="292"/>
      <c r="C60" s="36"/>
      <c r="D60" s="290"/>
      <c r="E60" s="36"/>
      <c r="F60" s="36"/>
      <c r="G60" s="84"/>
      <c r="H60" s="36"/>
      <c r="I60" s="36"/>
      <c r="J60" s="293"/>
      <c r="K60" s="83"/>
      <c r="L60" s="293"/>
      <c r="M60" s="36"/>
      <c r="N60" s="36"/>
      <c r="O60" s="37"/>
      <c r="P60" s="37"/>
      <c r="Q60" s="237"/>
      <c r="R60" s="37"/>
      <c r="S60" s="37"/>
      <c r="T60" s="37"/>
      <c r="U60" s="37"/>
      <c r="V60" s="122"/>
      <c r="W60" s="122"/>
      <c r="X60" s="37"/>
      <c r="Y60" s="37"/>
      <c r="Z60" s="37"/>
    </row>
    <row r="61" spans="1:26" ht="13">
      <c r="A61" s="238"/>
      <c r="B61" s="292"/>
      <c r="C61" s="36"/>
      <c r="D61" s="290"/>
      <c r="E61" s="36"/>
      <c r="F61" s="36"/>
      <c r="G61" s="84"/>
      <c r="H61" s="36"/>
      <c r="I61" s="36"/>
      <c r="J61" s="293"/>
      <c r="K61" s="83"/>
      <c r="L61" s="293"/>
      <c r="M61" s="36"/>
      <c r="N61" s="36"/>
      <c r="O61" s="37"/>
      <c r="P61" s="37"/>
      <c r="Q61" s="237"/>
      <c r="R61" s="37"/>
      <c r="S61" s="37"/>
      <c r="T61" s="37"/>
      <c r="U61" s="37"/>
      <c r="V61" s="122"/>
      <c r="W61" s="122"/>
      <c r="X61" s="37"/>
      <c r="Y61" s="37"/>
      <c r="Z61" s="37"/>
    </row>
    <row r="62" spans="1:26" ht="13">
      <c r="A62" s="238"/>
      <c r="B62" s="292"/>
      <c r="C62" s="36"/>
      <c r="D62" s="290"/>
      <c r="E62" s="36"/>
      <c r="F62" s="36"/>
      <c r="G62" s="84"/>
      <c r="H62" s="36"/>
      <c r="I62" s="36"/>
      <c r="J62" s="293"/>
      <c r="K62" s="83"/>
      <c r="L62" s="293"/>
      <c r="M62" s="36"/>
      <c r="N62" s="36"/>
      <c r="O62" s="37"/>
      <c r="P62" s="37"/>
      <c r="Q62" s="237"/>
      <c r="R62" s="37"/>
      <c r="S62" s="37"/>
      <c r="T62" s="37"/>
      <c r="U62" s="37"/>
      <c r="V62" s="122"/>
      <c r="W62" s="122"/>
      <c r="X62" s="37"/>
      <c r="Y62" s="37"/>
      <c r="Z62" s="37"/>
    </row>
    <row r="63" spans="1:26" ht="13">
      <c r="A63" s="238"/>
      <c r="B63" s="292"/>
      <c r="C63" s="36"/>
      <c r="D63" s="290"/>
      <c r="E63" s="36"/>
      <c r="F63" s="36"/>
      <c r="G63" s="84"/>
      <c r="H63" s="36"/>
      <c r="I63" s="36"/>
      <c r="J63" s="293"/>
      <c r="K63" s="83"/>
      <c r="L63" s="293"/>
      <c r="M63" s="36"/>
      <c r="N63" s="36"/>
      <c r="O63" s="37"/>
      <c r="P63" s="37"/>
      <c r="Q63" s="237"/>
      <c r="R63" s="37"/>
      <c r="S63" s="37"/>
      <c r="T63" s="37"/>
      <c r="U63" s="37"/>
      <c r="V63" s="122"/>
      <c r="W63" s="122"/>
      <c r="X63" s="37"/>
      <c r="Y63" s="37"/>
      <c r="Z63" s="37"/>
    </row>
    <row r="64" spans="1:26" ht="13">
      <c r="A64" s="238"/>
      <c r="B64" s="292"/>
      <c r="C64" s="36"/>
      <c r="D64" s="290"/>
      <c r="E64" s="36"/>
      <c r="F64" s="36"/>
      <c r="G64" s="84"/>
      <c r="H64" s="36"/>
      <c r="I64" s="36"/>
      <c r="J64" s="293"/>
      <c r="K64" s="83"/>
      <c r="L64" s="293"/>
      <c r="M64" s="36"/>
      <c r="N64" s="36"/>
      <c r="O64" s="37"/>
      <c r="P64" s="37"/>
      <c r="Q64" s="237"/>
      <c r="R64" s="37"/>
      <c r="S64" s="37"/>
      <c r="T64" s="37"/>
      <c r="U64" s="37"/>
      <c r="V64" s="122"/>
      <c r="W64" s="122"/>
      <c r="X64" s="37"/>
      <c r="Y64" s="37"/>
      <c r="Z64" s="37"/>
    </row>
    <row r="65" spans="1:26" ht="13">
      <c r="A65" s="238"/>
      <c r="B65" s="292"/>
      <c r="C65" s="36"/>
      <c r="D65" s="290"/>
      <c r="E65" s="36"/>
      <c r="F65" s="36"/>
      <c r="G65" s="84"/>
      <c r="H65" s="36"/>
      <c r="I65" s="36"/>
      <c r="J65" s="293"/>
      <c r="K65" s="83"/>
      <c r="L65" s="293"/>
      <c r="M65" s="36"/>
      <c r="N65" s="36"/>
      <c r="O65" s="37"/>
      <c r="P65" s="37"/>
      <c r="Q65" s="237"/>
      <c r="R65" s="37"/>
      <c r="S65" s="37"/>
      <c r="T65" s="37"/>
      <c r="U65" s="37"/>
      <c r="V65" s="122"/>
      <c r="W65" s="122"/>
      <c r="X65" s="37"/>
      <c r="Y65" s="37"/>
      <c r="Z65" s="37"/>
    </row>
    <row r="66" spans="1:26" ht="13">
      <c r="A66" s="238"/>
      <c r="B66" s="292"/>
      <c r="C66" s="36"/>
      <c r="D66" s="290"/>
      <c r="E66" s="36"/>
      <c r="F66" s="36"/>
      <c r="G66" s="84"/>
      <c r="H66" s="36"/>
      <c r="I66" s="36"/>
      <c r="J66" s="293"/>
      <c r="K66" s="83"/>
      <c r="L66" s="293"/>
      <c r="M66" s="36"/>
      <c r="N66" s="36"/>
      <c r="O66" s="37"/>
      <c r="P66" s="37"/>
      <c r="Q66" s="237"/>
      <c r="R66" s="37"/>
      <c r="S66" s="37"/>
      <c r="T66" s="37"/>
      <c r="U66" s="37"/>
      <c r="V66" s="122"/>
      <c r="W66" s="122"/>
      <c r="X66" s="37"/>
      <c r="Y66" s="37"/>
      <c r="Z66" s="37"/>
    </row>
    <row r="67" spans="1:26" ht="13">
      <c r="A67" s="238"/>
      <c r="B67" s="292"/>
      <c r="C67" s="36"/>
      <c r="D67" s="290"/>
      <c r="E67" s="36"/>
      <c r="F67" s="36"/>
      <c r="G67" s="84"/>
      <c r="H67" s="36"/>
      <c r="I67" s="36"/>
      <c r="J67" s="293"/>
      <c r="K67" s="83"/>
      <c r="L67" s="293"/>
      <c r="M67" s="36"/>
      <c r="N67" s="36"/>
      <c r="O67" s="37"/>
      <c r="P67" s="37"/>
      <c r="Q67" s="237"/>
      <c r="R67" s="37"/>
      <c r="S67" s="37"/>
      <c r="T67" s="37"/>
      <c r="U67" s="37"/>
      <c r="V67" s="122"/>
      <c r="W67" s="122"/>
      <c r="X67" s="37"/>
      <c r="Y67" s="37"/>
      <c r="Z67" s="37"/>
    </row>
    <row r="68" spans="1:26" ht="13">
      <c r="A68" s="238"/>
      <c r="B68" s="292"/>
      <c r="C68" s="36"/>
      <c r="D68" s="290"/>
      <c r="E68" s="36"/>
      <c r="F68" s="36"/>
      <c r="G68" s="84"/>
      <c r="H68" s="36"/>
      <c r="I68" s="36"/>
      <c r="J68" s="293"/>
      <c r="K68" s="83"/>
      <c r="L68" s="293"/>
      <c r="M68" s="36"/>
      <c r="N68" s="36"/>
      <c r="O68" s="37"/>
      <c r="P68" s="37"/>
      <c r="Q68" s="237"/>
      <c r="R68" s="37"/>
      <c r="S68" s="37"/>
      <c r="T68" s="37"/>
      <c r="U68" s="37"/>
      <c r="V68" s="122"/>
      <c r="W68" s="122"/>
      <c r="X68" s="37"/>
      <c r="Y68" s="37"/>
      <c r="Z68" s="37"/>
    </row>
    <row r="69" spans="1:26" ht="13">
      <c r="A69" s="238"/>
      <c r="B69" s="292"/>
      <c r="C69" s="36"/>
      <c r="D69" s="290"/>
      <c r="E69" s="36"/>
      <c r="F69" s="36"/>
      <c r="G69" s="84"/>
      <c r="H69" s="36"/>
      <c r="I69" s="36"/>
      <c r="J69" s="293"/>
      <c r="K69" s="83"/>
      <c r="L69" s="293"/>
      <c r="M69" s="36"/>
      <c r="N69" s="36"/>
      <c r="O69" s="37"/>
      <c r="P69" s="37"/>
      <c r="Q69" s="237"/>
      <c r="R69" s="37"/>
      <c r="S69" s="37"/>
      <c r="T69" s="37"/>
      <c r="U69" s="37"/>
      <c r="V69" s="122"/>
      <c r="W69" s="122"/>
      <c r="X69" s="37"/>
      <c r="Y69" s="37"/>
      <c r="Z69" s="37"/>
    </row>
    <row r="70" spans="1:26" ht="13">
      <c r="A70" s="238"/>
      <c r="B70" s="292"/>
      <c r="C70" s="36"/>
      <c r="D70" s="290"/>
      <c r="E70" s="36"/>
      <c r="F70" s="36"/>
      <c r="G70" s="84"/>
      <c r="H70" s="36"/>
      <c r="I70" s="36"/>
      <c r="J70" s="293"/>
      <c r="K70" s="83"/>
      <c r="L70" s="293"/>
      <c r="M70" s="36"/>
      <c r="N70" s="36"/>
      <c r="O70" s="37"/>
      <c r="P70" s="37"/>
      <c r="Q70" s="237"/>
      <c r="R70" s="37"/>
      <c r="S70" s="37"/>
      <c r="T70" s="37"/>
      <c r="U70" s="37"/>
      <c r="V70" s="122"/>
      <c r="W70" s="122"/>
      <c r="X70" s="37"/>
      <c r="Y70" s="37"/>
      <c r="Z70" s="37"/>
    </row>
    <row r="71" spans="1:26" ht="13">
      <c r="A71" s="238"/>
      <c r="B71" s="292"/>
      <c r="C71" s="36"/>
      <c r="D71" s="290"/>
      <c r="E71" s="36"/>
      <c r="F71" s="36"/>
      <c r="G71" s="84"/>
      <c r="H71" s="36"/>
      <c r="I71" s="36"/>
      <c r="J71" s="293"/>
      <c r="K71" s="83"/>
      <c r="L71" s="293"/>
      <c r="M71" s="36"/>
      <c r="N71" s="36"/>
      <c r="O71" s="37"/>
      <c r="P71" s="37"/>
      <c r="Q71" s="237"/>
      <c r="R71" s="37"/>
      <c r="S71" s="37"/>
      <c r="T71" s="37"/>
      <c r="U71" s="37"/>
      <c r="V71" s="122"/>
      <c r="W71" s="122"/>
      <c r="X71" s="37"/>
      <c r="Y71" s="37"/>
      <c r="Z71" s="37"/>
    </row>
    <row r="72" spans="1:26" ht="13">
      <c r="A72" s="238"/>
      <c r="B72" s="292"/>
      <c r="C72" s="36"/>
      <c r="D72" s="290"/>
      <c r="E72" s="36"/>
      <c r="F72" s="36"/>
      <c r="G72" s="84"/>
      <c r="H72" s="36"/>
      <c r="I72" s="36"/>
      <c r="J72" s="293"/>
      <c r="K72" s="83"/>
      <c r="L72" s="293"/>
      <c r="M72" s="36"/>
      <c r="N72" s="36"/>
      <c r="O72" s="37"/>
      <c r="P72" s="37"/>
      <c r="Q72" s="237"/>
      <c r="R72" s="37"/>
      <c r="S72" s="37"/>
      <c r="T72" s="37"/>
      <c r="U72" s="37"/>
      <c r="V72" s="122"/>
      <c r="W72" s="122"/>
      <c r="X72" s="37"/>
      <c r="Y72" s="37"/>
      <c r="Z72" s="37"/>
    </row>
    <row r="73" spans="1:26" ht="13">
      <c r="A73" s="238"/>
      <c r="B73" s="292"/>
      <c r="C73" s="36"/>
      <c r="D73" s="290"/>
      <c r="E73" s="36"/>
      <c r="F73" s="36"/>
      <c r="G73" s="84"/>
      <c r="H73" s="36"/>
      <c r="I73" s="36"/>
      <c r="J73" s="293"/>
      <c r="K73" s="83"/>
      <c r="L73" s="293"/>
      <c r="M73" s="36"/>
      <c r="N73" s="36"/>
      <c r="O73" s="37"/>
      <c r="P73" s="37"/>
      <c r="Q73" s="237"/>
      <c r="R73" s="37"/>
      <c r="S73" s="37"/>
      <c r="T73" s="37"/>
      <c r="U73" s="37"/>
      <c r="V73" s="122"/>
      <c r="W73" s="122"/>
      <c r="X73" s="37"/>
      <c r="Y73" s="37"/>
      <c r="Z73" s="37"/>
    </row>
    <row r="74" spans="1:26" ht="13">
      <c r="A74" s="238"/>
      <c r="B74" s="292"/>
      <c r="C74" s="36"/>
      <c r="D74" s="290"/>
      <c r="E74" s="36"/>
      <c r="F74" s="36"/>
      <c r="G74" s="84"/>
      <c r="H74" s="36"/>
      <c r="I74" s="36"/>
      <c r="J74" s="293"/>
      <c r="K74" s="83"/>
      <c r="L74" s="293"/>
      <c r="M74" s="36"/>
      <c r="N74" s="36"/>
      <c r="O74" s="37"/>
      <c r="P74" s="37"/>
      <c r="Q74" s="237"/>
      <c r="R74" s="37"/>
      <c r="S74" s="37"/>
      <c r="T74" s="37"/>
      <c r="U74" s="37"/>
      <c r="V74" s="122"/>
      <c r="W74" s="122"/>
      <c r="X74" s="37"/>
      <c r="Y74" s="37"/>
      <c r="Z74" s="37"/>
    </row>
    <row r="75" spans="1:26" ht="13">
      <c r="A75" s="238"/>
      <c r="B75" s="292"/>
      <c r="C75" s="36"/>
      <c r="D75" s="290"/>
      <c r="E75" s="36"/>
      <c r="F75" s="36"/>
      <c r="G75" s="84"/>
      <c r="H75" s="36"/>
      <c r="I75" s="36"/>
      <c r="J75" s="293"/>
      <c r="K75" s="83"/>
      <c r="L75" s="293"/>
      <c r="M75" s="36"/>
      <c r="N75" s="36"/>
      <c r="O75" s="37"/>
      <c r="P75" s="37"/>
      <c r="Q75" s="237"/>
      <c r="R75" s="37"/>
      <c r="S75" s="37"/>
      <c r="T75" s="37"/>
      <c r="U75" s="37"/>
      <c r="V75" s="122"/>
      <c r="W75" s="122"/>
      <c r="X75" s="37"/>
      <c r="Y75" s="37"/>
      <c r="Z75" s="37"/>
    </row>
    <row r="76" spans="1:26" ht="13">
      <c r="A76" s="238"/>
      <c r="B76" s="292"/>
      <c r="C76" s="36"/>
      <c r="D76" s="290"/>
      <c r="E76" s="36"/>
      <c r="F76" s="36"/>
      <c r="G76" s="84"/>
      <c r="H76" s="36"/>
      <c r="I76" s="36"/>
      <c r="J76" s="293"/>
      <c r="K76" s="83"/>
      <c r="L76" s="293"/>
      <c r="M76" s="36"/>
      <c r="N76" s="36"/>
      <c r="O76" s="37"/>
      <c r="P76" s="37"/>
      <c r="Q76" s="237"/>
      <c r="R76" s="37"/>
      <c r="S76" s="37"/>
      <c r="T76" s="37"/>
      <c r="U76" s="37"/>
      <c r="V76" s="122"/>
      <c r="W76" s="122"/>
      <c r="X76" s="37"/>
      <c r="Y76" s="37"/>
      <c r="Z76" s="37"/>
    </row>
    <row r="77" spans="1:26" ht="13">
      <c r="A77" s="238"/>
      <c r="B77" s="292"/>
      <c r="C77" s="36"/>
      <c r="D77" s="290"/>
      <c r="E77" s="36"/>
      <c r="F77" s="36"/>
      <c r="G77" s="84"/>
      <c r="H77" s="36"/>
      <c r="I77" s="36"/>
      <c r="J77" s="293"/>
      <c r="K77" s="83"/>
      <c r="L77" s="293"/>
      <c r="M77" s="36"/>
      <c r="N77" s="36"/>
      <c r="O77" s="37"/>
      <c r="P77" s="37"/>
      <c r="Q77" s="237"/>
      <c r="R77" s="37"/>
      <c r="S77" s="37"/>
      <c r="T77" s="37"/>
      <c r="U77" s="37"/>
      <c r="V77" s="122"/>
      <c r="W77" s="122"/>
      <c r="X77" s="37"/>
      <c r="Y77" s="37"/>
      <c r="Z77" s="37"/>
    </row>
    <row r="78" spans="1:26" ht="13">
      <c r="A78" s="238"/>
      <c r="B78" s="292"/>
      <c r="C78" s="36"/>
      <c r="D78" s="290"/>
      <c r="E78" s="36"/>
      <c r="F78" s="36"/>
      <c r="G78" s="84"/>
      <c r="H78" s="36"/>
      <c r="I78" s="36"/>
      <c r="J78" s="293"/>
      <c r="K78" s="83"/>
      <c r="L78" s="293"/>
      <c r="M78" s="36"/>
      <c r="N78" s="36"/>
      <c r="O78" s="37"/>
      <c r="P78" s="37"/>
      <c r="Q78" s="237"/>
      <c r="R78" s="37"/>
      <c r="S78" s="37"/>
      <c r="T78" s="37"/>
      <c r="U78" s="37"/>
      <c r="V78" s="122"/>
      <c r="W78" s="122"/>
      <c r="X78" s="37"/>
      <c r="Y78" s="37"/>
      <c r="Z78" s="37"/>
    </row>
    <row r="79" spans="1:26" ht="13">
      <c r="A79" s="238"/>
      <c r="B79" s="292"/>
      <c r="C79" s="36"/>
      <c r="D79" s="290"/>
      <c r="E79" s="36"/>
      <c r="F79" s="36"/>
      <c r="G79" s="84"/>
      <c r="H79" s="36"/>
      <c r="I79" s="36"/>
      <c r="J79" s="293"/>
      <c r="K79" s="83"/>
      <c r="L79" s="293"/>
      <c r="M79" s="36"/>
      <c r="N79" s="36"/>
      <c r="O79" s="37"/>
      <c r="P79" s="37"/>
      <c r="Q79" s="237"/>
      <c r="R79" s="37"/>
      <c r="S79" s="37"/>
      <c r="T79" s="37"/>
      <c r="U79" s="37"/>
      <c r="V79" s="122"/>
      <c r="W79" s="122"/>
      <c r="X79" s="37"/>
      <c r="Y79" s="37"/>
      <c r="Z79" s="37"/>
    </row>
    <row r="80" spans="1:26" ht="13">
      <c r="A80" s="238"/>
      <c r="B80" s="292"/>
      <c r="C80" s="36"/>
      <c r="D80" s="290"/>
      <c r="E80" s="36"/>
      <c r="F80" s="36"/>
      <c r="G80" s="84"/>
      <c r="H80" s="36"/>
      <c r="I80" s="36"/>
      <c r="J80" s="293"/>
      <c r="K80" s="83"/>
      <c r="L80" s="293"/>
      <c r="M80" s="36"/>
      <c r="N80" s="36"/>
      <c r="O80" s="37"/>
      <c r="P80" s="37"/>
      <c r="Q80" s="237"/>
      <c r="R80" s="37"/>
      <c r="S80" s="37"/>
      <c r="T80" s="37"/>
      <c r="U80" s="37"/>
      <c r="V80" s="122"/>
      <c r="W80" s="122"/>
      <c r="X80" s="37"/>
      <c r="Y80" s="37"/>
      <c r="Z80" s="37"/>
    </row>
    <row r="81" spans="1:26" ht="13">
      <c r="A81" s="238"/>
      <c r="B81" s="292"/>
      <c r="C81" s="36"/>
      <c r="D81" s="290"/>
      <c r="E81" s="36"/>
      <c r="F81" s="36"/>
      <c r="G81" s="84"/>
      <c r="H81" s="36"/>
      <c r="I81" s="36"/>
      <c r="J81" s="293"/>
      <c r="K81" s="83"/>
      <c r="L81" s="293"/>
      <c r="M81" s="36"/>
      <c r="N81" s="36"/>
      <c r="O81" s="37"/>
      <c r="P81" s="37"/>
      <c r="Q81" s="237"/>
      <c r="R81" s="37"/>
      <c r="S81" s="37"/>
      <c r="T81" s="37"/>
      <c r="U81" s="37"/>
      <c r="V81" s="122"/>
      <c r="W81" s="122"/>
      <c r="X81" s="37"/>
      <c r="Y81" s="37"/>
      <c r="Z81" s="37"/>
    </row>
    <row r="82" spans="1:26" ht="13">
      <c r="A82" s="238"/>
      <c r="B82" s="292"/>
      <c r="C82" s="36"/>
      <c r="D82" s="290"/>
      <c r="E82" s="36"/>
      <c r="F82" s="36"/>
      <c r="G82" s="84"/>
      <c r="H82" s="36"/>
      <c r="I82" s="36"/>
      <c r="J82" s="293"/>
      <c r="K82" s="83"/>
      <c r="L82" s="293"/>
      <c r="M82" s="36"/>
      <c r="N82" s="36"/>
      <c r="O82" s="37"/>
      <c r="P82" s="37"/>
      <c r="Q82" s="237"/>
      <c r="R82" s="37"/>
      <c r="S82" s="37"/>
      <c r="T82" s="37"/>
      <c r="U82" s="37"/>
      <c r="V82" s="122"/>
      <c r="W82" s="122"/>
      <c r="X82" s="37"/>
      <c r="Y82" s="37"/>
      <c r="Z82" s="37"/>
    </row>
    <row r="83" spans="1:26" ht="13">
      <c r="A83" s="238"/>
      <c r="B83" s="292"/>
      <c r="C83" s="36"/>
      <c r="D83" s="290"/>
      <c r="E83" s="36"/>
      <c r="F83" s="36"/>
      <c r="G83" s="84"/>
      <c r="H83" s="36"/>
      <c r="I83" s="36"/>
      <c r="J83" s="293"/>
      <c r="K83" s="83"/>
      <c r="L83" s="293"/>
      <c r="M83" s="36"/>
      <c r="N83" s="36"/>
      <c r="O83" s="37"/>
      <c r="P83" s="37"/>
      <c r="Q83" s="237"/>
      <c r="R83" s="37"/>
      <c r="S83" s="37"/>
      <c r="T83" s="37"/>
      <c r="U83" s="37"/>
      <c r="V83" s="122"/>
      <c r="W83" s="122"/>
      <c r="X83" s="37"/>
      <c r="Y83" s="37"/>
      <c r="Z83" s="37"/>
    </row>
    <row r="84" spans="1:26" ht="13">
      <c r="A84" s="238"/>
      <c r="B84" s="292"/>
      <c r="C84" s="36"/>
      <c r="D84" s="290"/>
      <c r="E84" s="36"/>
      <c r="F84" s="36"/>
      <c r="G84" s="84"/>
      <c r="H84" s="36"/>
      <c r="I84" s="36"/>
      <c r="J84" s="293"/>
      <c r="K84" s="83"/>
      <c r="L84" s="293"/>
      <c r="M84" s="36"/>
      <c r="N84" s="36"/>
      <c r="O84" s="37"/>
      <c r="P84" s="37"/>
      <c r="Q84" s="237"/>
      <c r="R84" s="37"/>
      <c r="S84" s="37"/>
      <c r="T84" s="37"/>
      <c r="U84" s="37"/>
      <c r="V84" s="122"/>
      <c r="W84" s="122"/>
      <c r="X84" s="37"/>
      <c r="Y84" s="37"/>
      <c r="Z84" s="37"/>
    </row>
    <row r="85" spans="1:26" ht="13">
      <c r="A85" s="238"/>
      <c r="B85" s="292"/>
      <c r="C85" s="36"/>
      <c r="D85" s="290"/>
      <c r="E85" s="36"/>
      <c r="F85" s="36"/>
      <c r="G85" s="84"/>
      <c r="H85" s="36"/>
      <c r="I85" s="36"/>
      <c r="J85" s="293"/>
      <c r="K85" s="83"/>
      <c r="L85" s="293"/>
      <c r="M85" s="36"/>
      <c r="N85" s="36"/>
      <c r="O85" s="37"/>
      <c r="P85" s="37"/>
      <c r="Q85" s="237"/>
      <c r="R85" s="37"/>
      <c r="S85" s="37"/>
      <c r="T85" s="37"/>
      <c r="U85" s="37"/>
      <c r="V85" s="122"/>
      <c r="W85" s="122"/>
      <c r="X85" s="37"/>
      <c r="Y85" s="37"/>
      <c r="Z85" s="37"/>
    </row>
    <row r="86" spans="1:26" ht="13">
      <c r="A86" s="238"/>
      <c r="B86" s="292"/>
      <c r="C86" s="36"/>
      <c r="D86" s="290"/>
      <c r="E86" s="36"/>
      <c r="F86" s="36"/>
      <c r="G86" s="84"/>
      <c r="H86" s="36"/>
      <c r="I86" s="36"/>
      <c r="J86" s="293"/>
      <c r="K86" s="83"/>
      <c r="L86" s="293"/>
      <c r="M86" s="36"/>
      <c r="N86" s="36"/>
      <c r="O86" s="37"/>
      <c r="P86" s="37"/>
      <c r="Q86" s="237"/>
      <c r="R86" s="37"/>
      <c r="S86" s="37"/>
      <c r="T86" s="37"/>
      <c r="U86" s="37"/>
      <c r="V86" s="122"/>
      <c r="W86" s="122"/>
      <c r="X86" s="37"/>
      <c r="Y86" s="37"/>
      <c r="Z86" s="37"/>
    </row>
    <row r="87" spans="1:26" ht="13">
      <c r="A87" s="238"/>
      <c r="B87" s="292"/>
      <c r="C87" s="36"/>
      <c r="D87" s="290"/>
      <c r="E87" s="36"/>
      <c r="F87" s="36"/>
      <c r="G87" s="84"/>
      <c r="H87" s="36"/>
      <c r="I87" s="36"/>
      <c r="J87" s="293"/>
      <c r="K87" s="83"/>
      <c r="L87" s="293"/>
      <c r="M87" s="36"/>
      <c r="N87" s="36"/>
      <c r="O87" s="37"/>
      <c r="P87" s="37"/>
      <c r="Q87" s="237"/>
      <c r="R87" s="37"/>
      <c r="S87" s="37"/>
      <c r="T87" s="37"/>
      <c r="U87" s="37"/>
      <c r="V87" s="122"/>
      <c r="W87" s="122"/>
      <c r="X87" s="37"/>
      <c r="Y87" s="37"/>
      <c r="Z87" s="37"/>
    </row>
    <row r="88" spans="1:26" ht="13">
      <c r="A88" s="238"/>
      <c r="B88" s="292"/>
      <c r="C88" s="36"/>
      <c r="D88" s="290"/>
      <c r="E88" s="36"/>
      <c r="F88" s="36"/>
      <c r="G88" s="84"/>
      <c r="H88" s="36"/>
      <c r="I88" s="36"/>
      <c r="J88" s="293"/>
      <c r="K88" s="83"/>
      <c r="L88" s="293"/>
      <c r="M88" s="36"/>
      <c r="N88" s="36"/>
      <c r="O88" s="37"/>
      <c r="P88" s="37"/>
      <c r="Q88" s="237"/>
      <c r="R88" s="37"/>
      <c r="S88" s="37"/>
      <c r="T88" s="37"/>
      <c r="U88" s="37"/>
      <c r="V88" s="122"/>
      <c r="W88" s="122"/>
      <c r="X88" s="37"/>
      <c r="Y88" s="37"/>
      <c r="Z88" s="37"/>
    </row>
    <row r="89" spans="1:26" ht="13">
      <c r="A89" s="238"/>
      <c r="B89" s="292"/>
      <c r="C89" s="36"/>
      <c r="D89" s="290"/>
      <c r="E89" s="36"/>
      <c r="F89" s="36"/>
      <c r="G89" s="84"/>
      <c r="H89" s="36"/>
      <c r="I89" s="36"/>
      <c r="J89" s="293"/>
      <c r="K89" s="83"/>
      <c r="L89" s="293"/>
      <c r="M89" s="36"/>
      <c r="N89" s="36"/>
      <c r="O89" s="37"/>
      <c r="P89" s="37"/>
      <c r="Q89" s="237"/>
      <c r="R89" s="37"/>
      <c r="S89" s="37"/>
      <c r="T89" s="37"/>
      <c r="U89" s="37"/>
      <c r="V89" s="122"/>
      <c r="W89" s="122"/>
      <c r="X89" s="37"/>
      <c r="Y89" s="37"/>
      <c r="Z89" s="37"/>
    </row>
    <row r="90" spans="1:26" ht="13">
      <c r="A90" s="238"/>
      <c r="B90" s="292"/>
      <c r="C90" s="36"/>
      <c r="D90" s="290"/>
      <c r="E90" s="36"/>
      <c r="F90" s="36"/>
      <c r="G90" s="84"/>
      <c r="H90" s="36"/>
      <c r="I90" s="36"/>
      <c r="J90" s="293"/>
      <c r="K90" s="83"/>
      <c r="L90" s="293"/>
      <c r="M90" s="36"/>
      <c r="N90" s="36"/>
      <c r="O90" s="37"/>
      <c r="P90" s="37"/>
      <c r="Q90" s="237"/>
      <c r="R90" s="37"/>
      <c r="S90" s="37"/>
      <c r="T90" s="37"/>
      <c r="U90" s="37"/>
      <c r="V90" s="122"/>
      <c r="W90" s="122"/>
      <c r="X90" s="37"/>
      <c r="Y90" s="37"/>
      <c r="Z90" s="37"/>
    </row>
    <row r="91" spans="1:26" ht="13">
      <c r="A91" s="238"/>
      <c r="B91" s="292"/>
      <c r="C91" s="36"/>
      <c r="D91" s="290"/>
      <c r="E91" s="36"/>
      <c r="F91" s="36"/>
      <c r="G91" s="84"/>
      <c r="H91" s="36"/>
      <c r="I91" s="36"/>
      <c r="J91" s="293"/>
      <c r="K91" s="83"/>
      <c r="L91" s="293"/>
      <c r="M91" s="36"/>
      <c r="N91" s="36"/>
      <c r="O91" s="37"/>
      <c r="P91" s="37"/>
      <c r="Q91" s="237"/>
      <c r="R91" s="37"/>
      <c r="S91" s="37"/>
      <c r="T91" s="37"/>
      <c r="U91" s="37"/>
      <c r="V91" s="122"/>
      <c r="W91" s="122"/>
      <c r="X91" s="37"/>
      <c r="Y91" s="37"/>
      <c r="Z91" s="37"/>
    </row>
    <row r="92" spans="1:26" ht="13">
      <c r="A92" s="238"/>
      <c r="B92" s="292"/>
      <c r="C92" s="36"/>
      <c r="D92" s="290"/>
      <c r="E92" s="36"/>
      <c r="F92" s="36"/>
      <c r="G92" s="84"/>
      <c r="H92" s="36"/>
      <c r="I92" s="36"/>
      <c r="J92" s="293"/>
      <c r="K92" s="83"/>
      <c r="L92" s="293"/>
      <c r="M92" s="36"/>
      <c r="N92" s="36"/>
      <c r="O92" s="37"/>
      <c r="P92" s="37"/>
      <c r="Q92" s="237"/>
      <c r="R92" s="37"/>
      <c r="S92" s="37"/>
      <c r="T92" s="37"/>
      <c r="U92" s="37"/>
      <c r="V92" s="122"/>
      <c r="W92" s="122"/>
      <c r="X92" s="37"/>
      <c r="Y92" s="37"/>
      <c r="Z92" s="37"/>
    </row>
    <row r="93" spans="1:26" ht="13">
      <c r="A93" s="238"/>
      <c r="B93" s="292"/>
      <c r="C93" s="36"/>
      <c r="D93" s="290"/>
      <c r="E93" s="36"/>
      <c r="F93" s="36"/>
      <c r="G93" s="84"/>
      <c r="H93" s="36"/>
      <c r="I93" s="36"/>
      <c r="J93" s="293"/>
      <c r="K93" s="83"/>
      <c r="L93" s="293"/>
      <c r="M93" s="36"/>
      <c r="N93" s="36"/>
      <c r="O93" s="37"/>
      <c r="P93" s="37"/>
      <c r="Q93" s="237"/>
      <c r="R93" s="37"/>
      <c r="S93" s="37"/>
      <c r="T93" s="37"/>
      <c r="U93" s="37"/>
      <c r="V93" s="122"/>
      <c r="W93" s="122"/>
      <c r="X93" s="37"/>
      <c r="Y93" s="37"/>
      <c r="Z93" s="37"/>
    </row>
    <row r="94" spans="1:26" ht="13">
      <c r="A94" s="238"/>
      <c r="B94" s="292"/>
      <c r="C94" s="36"/>
      <c r="D94" s="290"/>
      <c r="E94" s="36"/>
      <c r="F94" s="36"/>
      <c r="G94" s="84"/>
      <c r="H94" s="36"/>
      <c r="I94" s="36"/>
      <c r="J94" s="293"/>
      <c r="K94" s="83"/>
      <c r="L94" s="293"/>
      <c r="M94" s="36"/>
      <c r="N94" s="36"/>
      <c r="O94" s="37"/>
      <c r="P94" s="37"/>
      <c r="Q94" s="237"/>
      <c r="R94" s="37"/>
      <c r="S94" s="37"/>
      <c r="T94" s="37"/>
      <c r="U94" s="37"/>
      <c r="V94" s="122"/>
      <c r="W94" s="122"/>
      <c r="X94" s="37"/>
      <c r="Y94" s="37"/>
      <c r="Z94" s="37"/>
    </row>
    <row r="95" spans="1:26" ht="13">
      <c r="A95" s="238"/>
      <c r="B95" s="292"/>
      <c r="C95" s="36"/>
      <c r="D95" s="290"/>
      <c r="E95" s="36"/>
      <c r="F95" s="36"/>
      <c r="G95" s="84"/>
      <c r="H95" s="36"/>
      <c r="I95" s="36"/>
      <c r="J95" s="293"/>
      <c r="K95" s="83"/>
      <c r="L95" s="293"/>
      <c r="M95" s="36"/>
      <c r="N95" s="36"/>
      <c r="O95" s="37"/>
      <c r="P95" s="37"/>
      <c r="Q95" s="237"/>
      <c r="R95" s="37"/>
      <c r="S95" s="37"/>
      <c r="T95" s="37"/>
      <c r="U95" s="37"/>
      <c r="V95" s="122"/>
      <c r="W95" s="122"/>
      <c r="X95" s="37"/>
      <c r="Y95" s="37"/>
      <c r="Z95" s="37"/>
    </row>
    <row r="96" spans="1:26" ht="13">
      <c r="A96" s="238"/>
      <c r="B96" s="292"/>
      <c r="C96" s="36"/>
      <c r="D96" s="290"/>
      <c r="E96" s="36"/>
      <c r="F96" s="36"/>
      <c r="G96" s="84"/>
      <c r="H96" s="36"/>
      <c r="I96" s="36"/>
      <c r="J96" s="293"/>
      <c r="K96" s="83"/>
      <c r="L96" s="293"/>
      <c r="M96" s="36"/>
      <c r="N96" s="36"/>
      <c r="O96" s="37"/>
      <c r="P96" s="37"/>
      <c r="Q96" s="237"/>
      <c r="R96" s="37"/>
      <c r="S96" s="37"/>
      <c r="T96" s="37"/>
      <c r="U96" s="37"/>
      <c r="V96" s="122"/>
      <c r="W96" s="122"/>
      <c r="X96" s="37"/>
      <c r="Y96" s="37"/>
      <c r="Z96" s="37"/>
    </row>
    <row r="97" spans="1:26" ht="13">
      <c r="A97" s="238"/>
      <c r="B97" s="292"/>
      <c r="C97" s="36"/>
      <c r="D97" s="290"/>
      <c r="E97" s="36"/>
      <c r="F97" s="36"/>
      <c r="G97" s="84"/>
      <c r="H97" s="36"/>
      <c r="I97" s="36"/>
      <c r="J97" s="293"/>
      <c r="K97" s="83"/>
      <c r="L97" s="293"/>
      <c r="M97" s="36"/>
      <c r="N97" s="36"/>
      <c r="O97" s="37"/>
      <c r="P97" s="37"/>
      <c r="Q97" s="237"/>
      <c r="R97" s="37"/>
      <c r="S97" s="37"/>
      <c r="T97" s="37"/>
      <c r="U97" s="37"/>
      <c r="V97" s="122"/>
      <c r="W97" s="122"/>
      <c r="X97" s="37"/>
      <c r="Y97" s="37"/>
      <c r="Z97" s="37"/>
    </row>
    <row r="98" spans="1:26" ht="13">
      <c r="A98" s="238"/>
      <c r="B98" s="292"/>
      <c r="C98" s="36"/>
      <c r="D98" s="290"/>
      <c r="E98" s="36"/>
      <c r="F98" s="36"/>
      <c r="G98" s="84"/>
      <c r="H98" s="36"/>
      <c r="I98" s="36"/>
      <c r="J98" s="293"/>
      <c r="K98" s="83"/>
      <c r="L98" s="293"/>
      <c r="M98" s="36"/>
      <c r="N98" s="36"/>
      <c r="O98" s="37"/>
      <c r="P98" s="37"/>
      <c r="Q98" s="237"/>
      <c r="R98" s="37"/>
      <c r="S98" s="37"/>
      <c r="T98" s="37"/>
      <c r="U98" s="37"/>
      <c r="V98" s="122"/>
      <c r="W98" s="122"/>
      <c r="X98" s="37"/>
      <c r="Y98" s="37"/>
      <c r="Z98" s="37"/>
    </row>
    <row r="99" spans="1:26" ht="13">
      <c r="A99" s="238"/>
      <c r="B99" s="292"/>
      <c r="C99" s="36"/>
      <c r="D99" s="290"/>
      <c r="E99" s="36"/>
      <c r="F99" s="36"/>
      <c r="G99" s="84"/>
      <c r="H99" s="36"/>
      <c r="I99" s="36"/>
      <c r="J99" s="293"/>
      <c r="K99" s="83"/>
      <c r="L99" s="293"/>
      <c r="M99" s="36"/>
      <c r="N99" s="36"/>
      <c r="O99" s="37"/>
      <c r="P99" s="37"/>
      <c r="Q99" s="237"/>
      <c r="R99" s="37"/>
      <c r="S99" s="37"/>
      <c r="T99" s="37"/>
      <c r="U99" s="37"/>
      <c r="V99" s="122"/>
      <c r="W99" s="122"/>
      <c r="X99" s="37"/>
      <c r="Y99" s="37"/>
      <c r="Z99" s="37"/>
    </row>
    <row r="100" spans="1:26" ht="13">
      <c r="A100" s="238"/>
      <c r="B100" s="292"/>
      <c r="C100" s="36"/>
      <c r="D100" s="290"/>
      <c r="E100" s="36"/>
      <c r="F100" s="36"/>
      <c r="G100" s="84"/>
      <c r="H100" s="36"/>
      <c r="I100" s="36"/>
      <c r="J100" s="293"/>
      <c r="K100" s="83"/>
      <c r="L100" s="293"/>
      <c r="M100" s="36"/>
      <c r="N100" s="36"/>
      <c r="O100" s="37"/>
      <c r="P100" s="37"/>
      <c r="Q100" s="237"/>
      <c r="R100" s="37"/>
      <c r="S100" s="37"/>
      <c r="T100" s="37"/>
      <c r="U100" s="37"/>
      <c r="V100" s="122"/>
      <c r="W100" s="122"/>
      <c r="X100" s="37"/>
      <c r="Y100" s="37"/>
      <c r="Z100" s="37"/>
    </row>
    <row r="101" spans="1:26" ht="13">
      <c r="A101" s="238"/>
      <c r="B101" s="292"/>
      <c r="C101" s="36"/>
      <c r="D101" s="290"/>
      <c r="E101" s="36"/>
      <c r="F101" s="36"/>
      <c r="G101" s="84"/>
      <c r="H101" s="36"/>
      <c r="I101" s="36"/>
      <c r="J101" s="293"/>
      <c r="K101" s="83"/>
      <c r="L101" s="293"/>
      <c r="M101" s="36"/>
      <c r="N101" s="36"/>
      <c r="O101" s="37"/>
      <c r="P101" s="37"/>
      <c r="Q101" s="237"/>
      <c r="R101" s="37"/>
      <c r="S101" s="37"/>
      <c r="T101" s="37"/>
      <c r="U101" s="37"/>
      <c r="V101" s="122"/>
      <c r="W101" s="122"/>
      <c r="X101" s="37"/>
      <c r="Y101" s="37"/>
      <c r="Z101" s="37"/>
    </row>
    <row r="102" spans="1:26" ht="13">
      <c r="A102" s="238"/>
      <c r="B102" s="292"/>
      <c r="C102" s="36"/>
      <c r="D102" s="290"/>
      <c r="E102" s="36"/>
      <c r="F102" s="36"/>
      <c r="G102" s="84"/>
      <c r="H102" s="36"/>
      <c r="I102" s="36"/>
      <c r="J102" s="293"/>
      <c r="K102" s="83"/>
      <c r="L102" s="293"/>
      <c r="M102" s="36"/>
      <c r="N102" s="36"/>
      <c r="O102" s="37"/>
      <c r="P102" s="37"/>
      <c r="Q102" s="237"/>
      <c r="R102" s="37"/>
      <c r="S102" s="37"/>
      <c r="T102" s="37"/>
      <c r="U102" s="37"/>
      <c r="V102" s="122"/>
      <c r="W102" s="122"/>
      <c r="X102" s="37"/>
      <c r="Y102" s="37"/>
      <c r="Z102" s="37"/>
    </row>
    <row r="103" spans="1:26" ht="13">
      <c r="A103" s="238"/>
      <c r="B103" s="292"/>
      <c r="C103" s="36"/>
      <c r="D103" s="290"/>
      <c r="E103" s="36"/>
      <c r="F103" s="36"/>
      <c r="G103" s="84"/>
      <c r="H103" s="36"/>
      <c r="I103" s="36"/>
      <c r="J103" s="293"/>
      <c r="K103" s="83"/>
      <c r="L103" s="293"/>
      <c r="M103" s="36"/>
      <c r="N103" s="36"/>
      <c r="O103" s="37"/>
      <c r="P103" s="37"/>
      <c r="Q103" s="237"/>
      <c r="R103" s="37"/>
      <c r="S103" s="37"/>
      <c r="T103" s="37"/>
      <c r="U103" s="37"/>
      <c r="V103" s="122"/>
      <c r="W103" s="122"/>
      <c r="X103" s="37"/>
      <c r="Y103" s="37"/>
      <c r="Z103" s="37"/>
    </row>
    <row r="104" spans="1:26" ht="13">
      <c r="A104" s="238"/>
      <c r="B104" s="292"/>
      <c r="C104" s="36"/>
      <c r="D104" s="290"/>
      <c r="E104" s="36"/>
      <c r="F104" s="36"/>
      <c r="G104" s="84"/>
      <c r="H104" s="36"/>
      <c r="I104" s="36"/>
      <c r="J104" s="293"/>
      <c r="K104" s="83"/>
      <c r="L104" s="293"/>
      <c r="M104" s="36"/>
      <c r="N104" s="36"/>
      <c r="O104" s="37"/>
      <c r="P104" s="37"/>
      <c r="Q104" s="237"/>
      <c r="R104" s="37"/>
      <c r="S104" s="37"/>
      <c r="T104" s="37"/>
      <c r="U104" s="37"/>
      <c r="V104" s="122"/>
      <c r="W104" s="122"/>
      <c r="X104" s="37"/>
      <c r="Y104" s="37"/>
      <c r="Z104" s="37"/>
    </row>
    <row r="105" spans="1:26" ht="13">
      <c r="A105" s="238"/>
      <c r="B105" s="292"/>
      <c r="C105" s="36"/>
      <c r="D105" s="290"/>
      <c r="E105" s="36"/>
      <c r="F105" s="36"/>
      <c r="G105" s="84"/>
      <c r="H105" s="36"/>
      <c r="I105" s="36"/>
      <c r="J105" s="293"/>
      <c r="K105" s="83"/>
      <c r="L105" s="293"/>
      <c r="M105" s="36"/>
      <c r="N105" s="36"/>
      <c r="O105" s="37"/>
      <c r="P105" s="37"/>
      <c r="Q105" s="237"/>
      <c r="R105" s="37"/>
      <c r="S105" s="37"/>
      <c r="T105" s="37"/>
      <c r="U105" s="37"/>
      <c r="V105" s="122"/>
      <c r="W105" s="122"/>
      <c r="X105" s="37"/>
      <c r="Y105" s="37"/>
      <c r="Z105" s="37"/>
    </row>
    <row r="106" spans="1:26" ht="13">
      <c r="A106" s="238"/>
      <c r="B106" s="292"/>
      <c r="C106" s="36"/>
      <c r="D106" s="290"/>
      <c r="E106" s="36"/>
      <c r="F106" s="36"/>
      <c r="G106" s="84"/>
      <c r="H106" s="36"/>
      <c r="I106" s="36"/>
      <c r="J106" s="293"/>
      <c r="K106" s="83"/>
      <c r="L106" s="293"/>
      <c r="M106" s="36"/>
      <c r="N106" s="36"/>
      <c r="O106" s="37"/>
      <c r="P106" s="37"/>
      <c r="Q106" s="237"/>
      <c r="R106" s="37"/>
      <c r="S106" s="37"/>
      <c r="T106" s="37"/>
      <c r="U106" s="37"/>
      <c r="V106" s="122"/>
      <c r="W106" s="122"/>
      <c r="X106" s="37"/>
      <c r="Y106" s="37"/>
      <c r="Z106" s="37"/>
    </row>
    <row r="107" spans="1:26" ht="13">
      <c r="A107" s="238"/>
      <c r="B107" s="292"/>
      <c r="C107" s="36"/>
      <c r="D107" s="290"/>
      <c r="E107" s="36"/>
      <c r="F107" s="36"/>
      <c r="G107" s="84"/>
      <c r="H107" s="36"/>
      <c r="I107" s="36"/>
      <c r="J107" s="293"/>
      <c r="K107" s="83"/>
      <c r="L107" s="293"/>
      <c r="M107" s="36"/>
      <c r="N107" s="36"/>
      <c r="O107" s="37"/>
      <c r="P107" s="37"/>
      <c r="Q107" s="237"/>
      <c r="R107" s="37"/>
      <c r="S107" s="37"/>
      <c r="T107" s="37"/>
      <c r="U107" s="37"/>
      <c r="V107" s="122"/>
      <c r="W107" s="122"/>
      <c r="X107" s="37"/>
      <c r="Y107" s="37"/>
      <c r="Z107" s="37"/>
    </row>
    <row r="108" spans="1:26" ht="13">
      <c r="A108" s="238"/>
      <c r="B108" s="292"/>
      <c r="C108" s="36"/>
      <c r="D108" s="290"/>
      <c r="E108" s="36"/>
      <c r="F108" s="36"/>
      <c r="G108" s="84"/>
      <c r="H108" s="36"/>
      <c r="I108" s="36"/>
      <c r="J108" s="293"/>
      <c r="K108" s="83"/>
      <c r="L108" s="293"/>
      <c r="M108" s="36"/>
      <c r="N108" s="36"/>
      <c r="O108" s="37"/>
      <c r="P108" s="37"/>
      <c r="Q108" s="237"/>
      <c r="R108" s="37"/>
      <c r="S108" s="37"/>
      <c r="T108" s="37"/>
      <c r="U108" s="37"/>
      <c r="V108" s="122"/>
      <c r="W108" s="122"/>
      <c r="X108" s="37"/>
      <c r="Y108" s="37"/>
      <c r="Z108" s="37"/>
    </row>
    <row r="109" spans="1:26" ht="13">
      <c r="A109" s="238"/>
      <c r="B109" s="292"/>
      <c r="C109" s="36"/>
      <c r="D109" s="290"/>
      <c r="E109" s="36"/>
      <c r="F109" s="36"/>
      <c r="G109" s="84"/>
      <c r="H109" s="36"/>
      <c r="I109" s="36"/>
      <c r="J109" s="293"/>
      <c r="K109" s="83"/>
      <c r="L109" s="293"/>
      <c r="M109" s="36"/>
      <c r="N109" s="36"/>
      <c r="O109" s="37"/>
      <c r="P109" s="37"/>
      <c r="Q109" s="237"/>
      <c r="R109" s="37"/>
      <c r="S109" s="37"/>
      <c r="T109" s="37"/>
      <c r="U109" s="37"/>
      <c r="V109" s="122"/>
      <c r="W109" s="122"/>
      <c r="X109" s="37"/>
      <c r="Y109" s="37"/>
      <c r="Z109" s="37"/>
    </row>
    <row r="110" spans="1:26" ht="13">
      <c r="A110" s="238"/>
      <c r="B110" s="292"/>
      <c r="C110" s="36"/>
      <c r="D110" s="290"/>
      <c r="E110" s="36"/>
      <c r="F110" s="36"/>
      <c r="G110" s="84"/>
      <c r="H110" s="36"/>
      <c r="I110" s="36"/>
      <c r="J110" s="293"/>
      <c r="K110" s="83"/>
      <c r="L110" s="293"/>
      <c r="M110" s="36"/>
      <c r="N110" s="36"/>
      <c r="O110" s="37"/>
      <c r="P110" s="37"/>
      <c r="Q110" s="237"/>
      <c r="R110" s="37"/>
      <c r="S110" s="37"/>
      <c r="T110" s="37"/>
      <c r="U110" s="37"/>
      <c r="V110" s="122"/>
      <c r="W110" s="122"/>
      <c r="X110" s="37"/>
      <c r="Y110" s="37"/>
      <c r="Z110" s="37"/>
    </row>
    <row r="111" spans="1:26" ht="13">
      <c r="A111" s="238"/>
      <c r="B111" s="292"/>
      <c r="C111" s="36"/>
      <c r="D111" s="290"/>
      <c r="E111" s="36"/>
      <c r="F111" s="36"/>
      <c r="G111" s="84"/>
      <c r="H111" s="36"/>
      <c r="I111" s="36"/>
      <c r="J111" s="293"/>
      <c r="K111" s="83"/>
      <c r="L111" s="293"/>
      <c r="M111" s="36"/>
      <c r="N111" s="36"/>
      <c r="O111" s="37"/>
      <c r="P111" s="37"/>
      <c r="Q111" s="237"/>
      <c r="R111" s="37"/>
      <c r="S111" s="37"/>
      <c r="T111" s="37"/>
      <c r="U111" s="37"/>
      <c r="V111" s="122"/>
      <c r="W111" s="122"/>
      <c r="X111" s="37"/>
      <c r="Y111" s="37"/>
      <c r="Z111" s="37"/>
    </row>
    <row r="112" spans="1:26" ht="13">
      <c r="A112" s="238"/>
      <c r="B112" s="292"/>
      <c r="C112" s="36"/>
      <c r="D112" s="290"/>
      <c r="E112" s="36"/>
      <c r="F112" s="36"/>
      <c r="G112" s="84"/>
      <c r="H112" s="36"/>
      <c r="I112" s="36"/>
      <c r="J112" s="293"/>
      <c r="K112" s="83"/>
      <c r="L112" s="293"/>
      <c r="M112" s="36"/>
      <c r="N112" s="36"/>
      <c r="O112" s="37"/>
      <c r="P112" s="37"/>
      <c r="Q112" s="237"/>
      <c r="R112" s="37"/>
      <c r="S112" s="37"/>
      <c r="T112" s="37"/>
      <c r="U112" s="37"/>
      <c r="V112" s="122"/>
      <c r="W112" s="122"/>
      <c r="X112" s="37"/>
      <c r="Y112" s="37"/>
      <c r="Z112" s="37"/>
    </row>
    <row r="113" spans="1:26" ht="13">
      <c r="A113" s="238"/>
      <c r="B113" s="292"/>
      <c r="C113" s="36"/>
      <c r="D113" s="290"/>
      <c r="E113" s="36"/>
      <c r="F113" s="36"/>
      <c r="G113" s="84"/>
      <c r="H113" s="36"/>
      <c r="I113" s="36"/>
      <c r="J113" s="293"/>
      <c r="K113" s="83"/>
      <c r="L113" s="293"/>
      <c r="M113" s="36"/>
      <c r="N113" s="36"/>
      <c r="O113" s="37"/>
      <c r="P113" s="37"/>
      <c r="Q113" s="237"/>
      <c r="R113" s="37"/>
      <c r="S113" s="37"/>
      <c r="T113" s="37"/>
      <c r="U113" s="37"/>
      <c r="V113" s="122"/>
      <c r="W113" s="122"/>
      <c r="X113" s="37"/>
      <c r="Y113" s="37"/>
      <c r="Z113" s="37"/>
    </row>
    <row r="114" spans="1:26" ht="13">
      <c r="A114" s="238"/>
      <c r="B114" s="292"/>
      <c r="C114" s="36"/>
      <c r="D114" s="290"/>
      <c r="E114" s="36"/>
      <c r="F114" s="36"/>
      <c r="G114" s="84"/>
      <c r="H114" s="36"/>
      <c r="I114" s="36"/>
      <c r="J114" s="293"/>
      <c r="K114" s="83"/>
      <c r="L114" s="293"/>
      <c r="M114" s="36"/>
      <c r="N114" s="36"/>
      <c r="O114" s="37"/>
      <c r="P114" s="37"/>
      <c r="Q114" s="237"/>
      <c r="R114" s="37"/>
      <c r="S114" s="37"/>
      <c r="T114" s="37"/>
      <c r="U114" s="37"/>
      <c r="V114" s="122"/>
      <c r="W114" s="122"/>
      <c r="X114" s="37"/>
      <c r="Y114" s="37"/>
      <c r="Z114" s="37"/>
    </row>
    <row r="115" spans="1:26" ht="13">
      <c r="A115" s="238"/>
      <c r="B115" s="292"/>
      <c r="C115" s="36"/>
      <c r="D115" s="290"/>
      <c r="E115" s="36"/>
      <c r="F115" s="36"/>
      <c r="G115" s="84"/>
      <c r="H115" s="36"/>
      <c r="I115" s="36"/>
      <c r="J115" s="293"/>
      <c r="K115" s="83"/>
      <c r="L115" s="293"/>
      <c r="M115" s="36"/>
      <c r="N115" s="36"/>
      <c r="O115" s="37"/>
      <c r="P115" s="37"/>
      <c r="Q115" s="237"/>
      <c r="R115" s="37"/>
      <c r="S115" s="37"/>
      <c r="T115" s="37"/>
      <c r="U115" s="37"/>
      <c r="V115" s="122"/>
      <c r="W115" s="122"/>
      <c r="X115" s="37"/>
      <c r="Y115" s="37"/>
      <c r="Z115" s="37"/>
    </row>
    <row r="116" spans="1:26" ht="13">
      <c r="A116" s="238"/>
      <c r="B116" s="292"/>
      <c r="C116" s="36"/>
      <c r="D116" s="290"/>
      <c r="E116" s="36"/>
      <c r="F116" s="36"/>
      <c r="G116" s="84"/>
      <c r="H116" s="36"/>
      <c r="I116" s="36"/>
      <c r="J116" s="293"/>
      <c r="K116" s="83"/>
      <c r="L116" s="293"/>
      <c r="M116" s="36"/>
      <c r="N116" s="36"/>
      <c r="O116" s="37"/>
      <c r="P116" s="37"/>
      <c r="Q116" s="237"/>
      <c r="R116" s="37"/>
      <c r="S116" s="37"/>
      <c r="T116" s="37"/>
      <c r="U116" s="37"/>
      <c r="V116" s="122"/>
      <c r="W116" s="122"/>
      <c r="X116" s="37"/>
      <c r="Y116" s="37"/>
      <c r="Z116" s="37"/>
    </row>
    <row r="117" spans="1:26" ht="13">
      <c r="A117" s="238"/>
      <c r="B117" s="292"/>
      <c r="C117" s="36"/>
      <c r="D117" s="290"/>
      <c r="E117" s="36"/>
      <c r="F117" s="36"/>
      <c r="G117" s="84"/>
      <c r="H117" s="36"/>
      <c r="I117" s="36"/>
      <c r="J117" s="293"/>
      <c r="K117" s="83"/>
      <c r="L117" s="293"/>
      <c r="M117" s="36"/>
      <c r="N117" s="36"/>
      <c r="O117" s="37"/>
      <c r="P117" s="37"/>
      <c r="Q117" s="237"/>
      <c r="R117" s="37"/>
      <c r="S117" s="37"/>
      <c r="T117" s="37"/>
      <c r="U117" s="37"/>
      <c r="V117" s="122"/>
      <c r="W117" s="122"/>
      <c r="X117" s="37"/>
      <c r="Y117" s="37"/>
      <c r="Z117" s="37"/>
    </row>
    <row r="118" spans="1:26" ht="13">
      <c r="A118" s="238"/>
      <c r="B118" s="292"/>
      <c r="C118" s="36"/>
      <c r="D118" s="290"/>
      <c r="E118" s="36"/>
      <c r="F118" s="36"/>
      <c r="G118" s="84"/>
      <c r="H118" s="36"/>
      <c r="I118" s="36"/>
      <c r="J118" s="293"/>
      <c r="K118" s="83"/>
      <c r="L118" s="293"/>
      <c r="M118" s="36"/>
      <c r="N118" s="36"/>
      <c r="O118" s="37"/>
      <c r="P118" s="37"/>
      <c r="Q118" s="237"/>
      <c r="R118" s="37"/>
      <c r="S118" s="37"/>
      <c r="T118" s="37"/>
      <c r="U118" s="37"/>
      <c r="V118" s="122"/>
      <c r="W118" s="122"/>
      <c r="X118" s="37"/>
      <c r="Y118" s="37"/>
      <c r="Z118" s="37"/>
    </row>
    <row r="119" spans="1:26" ht="13">
      <c r="A119" s="238"/>
      <c r="B119" s="292"/>
      <c r="C119" s="36"/>
      <c r="D119" s="290"/>
      <c r="E119" s="36"/>
      <c r="F119" s="36"/>
      <c r="G119" s="84"/>
      <c r="H119" s="36"/>
      <c r="I119" s="36"/>
      <c r="J119" s="293"/>
      <c r="K119" s="83"/>
      <c r="L119" s="293"/>
      <c r="M119" s="36"/>
      <c r="N119" s="36"/>
      <c r="O119" s="37"/>
      <c r="P119" s="37"/>
      <c r="Q119" s="237"/>
      <c r="R119" s="37"/>
      <c r="S119" s="37"/>
      <c r="T119" s="37"/>
      <c r="U119" s="37"/>
      <c r="V119" s="122"/>
      <c r="W119" s="122"/>
      <c r="X119" s="37"/>
      <c r="Y119" s="37"/>
      <c r="Z119" s="37"/>
    </row>
    <row r="120" spans="1:26" ht="13">
      <c r="A120" s="238"/>
      <c r="B120" s="292"/>
      <c r="C120" s="36"/>
      <c r="D120" s="290"/>
      <c r="E120" s="36"/>
      <c r="F120" s="36"/>
      <c r="G120" s="84"/>
      <c r="H120" s="36"/>
      <c r="I120" s="36"/>
      <c r="J120" s="293"/>
      <c r="K120" s="83"/>
      <c r="L120" s="293"/>
      <c r="M120" s="36"/>
      <c r="N120" s="36"/>
      <c r="O120" s="37"/>
      <c r="P120" s="37"/>
      <c r="Q120" s="237"/>
      <c r="R120" s="37"/>
      <c r="S120" s="37"/>
      <c r="T120" s="37"/>
      <c r="U120" s="37"/>
      <c r="V120" s="122"/>
      <c r="W120" s="122"/>
      <c r="X120" s="37"/>
      <c r="Y120" s="37"/>
      <c r="Z120" s="37"/>
    </row>
    <row r="121" spans="1:26" ht="13">
      <c r="A121" s="238"/>
      <c r="B121" s="292"/>
      <c r="C121" s="36"/>
      <c r="D121" s="290"/>
      <c r="E121" s="36"/>
      <c r="F121" s="36"/>
      <c r="G121" s="84"/>
      <c r="H121" s="36"/>
      <c r="I121" s="36"/>
      <c r="J121" s="293"/>
      <c r="K121" s="83"/>
      <c r="L121" s="293"/>
      <c r="M121" s="36"/>
      <c r="N121" s="36"/>
      <c r="O121" s="37"/>
      <c r="P121" s="37"/>
      <c r="Q121" s="237"/>
      <c r="R121" s="37"/>
      <c r="S121" s="37"/>
      <c r="T121" s="37"/>
      <c r="U121" s="37"/>
      <c r="V121" s="122"/>
      <c r="W121" s="122"/>
      <c r="X121" s="37"/>
      <c r="Y121" s="37"/>
      <c r="Z121" s="37"/>
    </row>
    <row r="122" spans="1:26" ht="13">
      <c r="A122" s="238"/>
      <c r="B122" s="292"/>
      <c r="C122" s="36"/>
      <c r="D122" s="290"/>
      <c r="E122" s="36"/>
      <c r="F122" s="36"/>
      <c r="G122" s="84"/>
      <c r="H122" s="36"/>
      <c r="I122" s="36"/>
      <c r="J122" s="293"/>
      <c r="K122" s="83"/>
      <c r="L122" s="293"/>
      <c r="M122" s="36"/>
      <c r="N122" s="36"/>
      <c r="O122" s="37"/>
      <c r="P122" s="37"/>
      <c r="Q122" s="237"/>
      <c r="R122" s="37"/>
      <c r="S122" s="37"/>
      <c r="T122" s="37"/>
      <c r="U122" s="37"/>
      <c r="V122" s="122"/>
      <c r="W122" s="122"/>
      <c r="X122" s="37"/>
      <c r="Y122" s="37"/>
      <c r="Z122" s="37"/>
    </row>
    <row r="123" spans="1:26" ht="13">
      <c r="A123" s="238"/>
      <c r="B123" s="292"/>
      <c r="C123" s="36"/>
      <c r="D123" s="290"/>
      <c r="E123" s="36"/>
      <c r="F123" s="36"/>
      <c r="G123" s="84"/>
      <c r="H123" s="36"/>
      <c r="I123" s="36"/>
      <c r="J123" s="293"/>
      <c r="K123" s="83"/>
      <c r="L123" s="293"/>
      <c r="M123" s="36"/>
      <c r="N123" s="36"/>
      <c r="O123" s="37"/>
      <c r="P123" s="37"/>
      <c r="Q123" s="237"/>
      <c r="R123" s="37"/>
      <c r="S123" s="37"/>
      <c r="T123" s="37"/>
      <c r="U123" s="37"/>
      <c r="V123" s="122"/>
      <c r="W123" s="122"/>
      <c r="X123" s="37"/>
      <c r="Y123" s="37"/>
      <c r="Z123" s="37"/>
    </row>
    <row r="124" spans="1:26" ht="13">
      <c r="A124" s="238"/>
      <c r="B124" s="292"/>
      <c r="C124" s="36"/>
      <c r="D124" s="290"/>
      <c r="E124" s="36"/>
      <c r="F124" s="36"/>
      <c r="G124" s="84"/>
      <c r="H124" s="36"/>
      <c r="I124" s="36"/>
      <c r="J124" s="293"/>
      <c r="K124" s="83"/>
      <c r="L124" s="293"/>
      <c r="M124" s="36"/>
      <c r="N124" s="36"/>
      <c r="O124" s="37"/>
      <c r="P124" s="37"/>
      <c r="Q124" s="237"/>
      <c r="R124" s="37"/>
      <c r="S124" s="37"/>
      <c r="T124" s="37"/>
      <c r="U124" s="37"/>
      <c r="V124" s="122"/>
      <c r="W124" s="122"/>
      <c r="X124" s="37"/>
      <c r="Y124" s="37"/>
      <c r="Z124" s="37"/>
    </row>
    <row r="125" spans="1:26" ht="13">
      <c r="A125" s="238"/>
      <c r="B125" s="292"/>
      <c r="C125" s="36"/>
      <c r="D125" s="290"/>
      <c r="E125" s="36"/>
      <c r="F125" s="36"/>
      <c r="G125" s="84"/>
      <c r="H125" s="36"/>
      <c r="I125" s="36"/>
      <c r="J125" s="293"/>
      <c r="K125" s="83"/>
      <c r="L125" s="293"/>
      <c r="M125" s="36"/>
      <c r="N125" s="36"/>
      <c r="O125" s="37"/>
      <c r="P125" s="37"/>
      <c r="Q125" s="237"/>
      <c r="R125" s="37"/>
      <c r="S125" s="37"/>
      <c r="T125" s="37"/>
      <c r="U125" s="37"/>
      <c r="V125" s="122"/>
      <c r="W125" s="122"/>
      <c r="X125" s="37"/>
      <c r="Y125" s="37"/>
      <c r="Z125" s="37"/>
    </row>
    <row r="126" spans="1:26" ht="13">
      <c r="A126" s="238"/>
      <c r="B126" s="292"/>
      <c r="C126" s="36"/>
      <c r="D126" s="290"/>
      <c r="E126" s="36"/>
      <c r="F126" s="36"/>
      <c r="G126" s="84"/>
      <c r="H126" s="36"/>
      <c r="I126" s="36"/>
      <c r="J126" s="293"/>
      <c r="K126" s="83"/>
      <c r="L126" s="293"/>
      <c r="M126" s="36"/>
      <c r="N126" s="36"/>
      <c r="O126" s="37"/>
      <c r="P126" s="37"/>
      <c r="Q126" s="237"/>
      <c r="R126" s="37"/>
      <c r="S126" s="37"/>
      <c r="T126" s="37"/>
      <c r="U126" s="37"/>
      <c r="V126" s="122"/>
      <c r="W126" s="122"/>
      <c r="X126" s="37"/>
      <c r="Y126" s="37"/>
      <c r="Z126" s="37"/>
    </row>
    <row r="127" spans="1:26" ht="13">
      <c r="A127" s="238"/>
      <c r="B127" s="292"/>
      <c r="C127" s="36"/>
      <c r="D127" s="290"/>
      <c r="E127" s="36"/>
      <c r="F127" s="36"/>
      <c r="G127" s="84"/>
      <c r="H127" s="36"/>
      <c r="I127" s="36"/>
      <c r="J127" s="293"/>
      <c r="K127" s="83"/>
      <c r="L127" s="293"/>
      <c r="M127" s="36"/>
      <c r="N127" s="36"/>
      <c r="O127" s="37"/>
      <c r="P127" s="37"/>
      <c r="Q127" s="237"/>
      <c r="R127" s="37"/>
      <c r="S127" s="37"/>
      <c r="T127" s="37"/>
      <c r="U127" s="37"/>
      <c r="V127" s="122"/>
      <c r="W127" s="122"/>
      <c r="X127" s="37"/>
      <c r="Y127" s="37"/>
      <c r="Z127" s="37"/>
    </row>
    <row r="128" spans="1:26" ht="13">
      <c r="A128" s="238"/>
      <c r="B128" s="292"/>
      <c r="C128" s="36"/>
      <c r="D128" s="290"/>
      <c r="E128" s="36"/>
      <c r="F128" s="36"/>
      <c r="G128" s="84"/>
      <c r="H128" s="36"/>
      <c r="I128" s="36"/>
      <c r="J128" s="293"/>
      <c r="K128" s="83"/>
      <c r="L128" s="293"/>
      <c r="M128" s="36"/>
      <c r="N128" s="36"/>
      <c r="O128" s="37"/>
      <c r="P128" s="37"/>
      <c r="Q128" s="237"/>
      <c r="R128" s="37"/>
      <c r="S128" s="37"/>
      <c r="T128" s="37"/>
      <c r="U128" s="37"/>
      <c r="V128" s="122"/>
      <c r="W128" s="122"/>
      <c r="X128" s="37"/>
      <c r="Y128" s="37"/>
      <c r="Z128" s="37"/>
    </row>
    <row r="129" spans="1:26" ht="13">
      <c r="A129" s="238"/>
      <c r="B129" s="292"/>
      <c r="C129" s="36"/>
      <c r="D129" s="290"/>
      <c r="E129" s="36"/>
      <c r="F129" s="36"/>
      <c r="G129" s="84"/>
      <c r="H129" s="36"/>
      <c r="I129" s="36"/>
      <c r="J129" s="293"/>
      <c r="K129" s="83"/>
      <c r="L129" s="293"/>
      <c r="M129" s="36"/>
      <c r="N129" s="36"/>
      <c r="O129" s="37"/>
      <c r="P129" s="37"/>
      <c r="Q129" s="237"/>
      <c r="R129" s="37"/>
      <c r="S129" s="37"/>
      <c r="T129" s="37"/>
      <c r="U129" s="37"/>
      <c r="V129" s="122"/>
      <c r="W129" s="122"/>
      <c r="X129" s="37"/>
      <c r="Y129" s="37"/>
      <c r="Z129" s="37"/>
    </row>
    <row r="130" spans="1:26" ht="13">
      <c r="A130" s="238"/>
      <c r="B130" s="292"/>
      <c r="C130" s="36"/>
      <c r="D130" s="290"/>
      <c r="E130" s="36"/>
      <c r="F130" s="36"/>
      <c r="G130" s="84"/>
      <c r="H130" s="36"/>
      <c r="I130" s="36"/>
      <c r="J130" s="293"/>
      <c r="K130" s="83"/>
      <c r="L130" s="293"/>
      <c r="M130" s="36"/>
      <c r="N130" s="36"/>
      <c r="O130" s="37"/>
      <c r="P130" s="37"/>
      <c r="Q130" s="237"/>
      <c r="R130" s="37"/>
      <c r="S130" s="37"/>
      <c r="T130" s="37"/>
      <c r="U130" s="37"/>
      <c r="V130" s="122"/>
      <c r="W130" s="122"/>
      <c r="X130" s="37"/>
      <c r="Y130" s="37"/>
      <c r="Z130" s="37"/>
    </row>
    <row r="131" spans="1:26" ht="13">
      <c r="A131" s="238"/>
      <c r="B131" s="292"/>
      <c r="C131" s="36"/>
      <c r="D131" s="290"/>
      <c r="E131" s="36"/>
      <c r="F131" s="36"/>
      <c r="G131" s="84"/>
      <c r="H131" s="36"/>
      <c r="I131" s="36"/>
      <c r="J131" s="293"/>
      <c r="K131" s="83"/>
      <c r="L131" s="293"/>
      <c r="M131" s="36"/>
      <c r="N131" s="36"/>
      <c r="O131" s="37"/>
      <c r="P131" s="37"/>
      <c r="Q131" s="237"/>
      <c r="R131" s="37"/>
      <c r="S131" s="37"/>
      <c r="T131" s="37"/>
      <c r="U131" s="37"/>
      <c r="V131" s="122"/>
      <c r="W131" s="122"/>
      <c r="X131" s="37"/>
      <c r="Y131" s="37"/>
      <c r="Z131" s="37"/>
    </row>
    <row r="132" spans="1:26" ht="13">
      <c r="A132" s="238"/>
      <c r="B132" s="292"/>
      <c r="C132" s="36"/>
      <c r="D132" s="290"/>
      <c r="E132" s="36"/>
      <c r="F132" s="36"/>
      <c r="G132" s="84"/>
      <c r="H132" s="36"/>
      <c r="I132" s="36"/>
      <c r="J132" s="293"/>
      <c r="K132" s="83"/>
      <c r="L132" s="293"/>
      <c r="M132" s="36"/>
      <c r="N132" s="36"/>
      <c r="O132" s="37"/>
      <c r="P132" s="37"/>
      <c r="Q132" s="237"/>
      <c r="R132" s="37"/>
      <c r="S132" s="37"/>
      <c r="T132" s="37"/>
      <c r="U132" s="37"/>
      <c r="V132" s="122"/>
      <c r="W132" s="122"/>
      <c r="X132" s="37"/>
      <c r="Y132" s="37"/>
      <c r="Z132" s="37"/>
    </row>
    <row r="133" spans="1:26" ht="13">
      <c r="A133" s="238"/>
      <c r="B133" s="292"/>
      <c r="C133" s="36"/>
      <c r="D133" s="290"/>
      <c r="E133" s="36"/>
      <c r="F133" s="36"/>
      <c r="G133" s="84"/>
      <c r="H133" s="36"/>
      <c r="I133" s="36"/>
      <c r="J133" s="293"/>
      <c r="K133" s="83"/>
      <c r="L133" s="293"/>
      <c r="M133" s="36"/>
      <c r="N133" s="36"/>
      <c r="O133" s="37"/>
      <c r="P133" s="37"/>
      <c r="Q133" s="237"/>
      <c r="R133" s="37"/>
      <c r="S133" s="37"/>
      <c r="T133" s="37"/>
      <c r="U133" s="37"/>
      <c r="V133" s="122"/>
      <c r="W133" s="122"/>
      <c r="X133" s="37"/>
      <c r="Y133" s="37"/>
      <c r="Z133" s="37"/>
    </row>
    <row r="134" spans="1:26" ht="13">
      <c r="A134" s="238"/>
      <c r="B134" s="292"/>
      <c r="C134" s="36"/>
      <c r="D134" s="290"/>
      <c r="E134" s="36"/>
      <c r="F134" s="36"/>
      <c r="G134" s="84"/>
      <c r="H134" s="36"/>
      <c r="I134" s="36"/>
      <c r="J134" s="293"/>
      <c r="K134" s="83"/>
      <c r="L134" s="293"/>
      <c r="M134" s="36"/>
      <c r="N134" s="36"/>
      <c r="O134" s="37"/>
      <c r="P134" s="37"/>
      <c r="Q134" s="237"/>
      <c r="R134" s="37"/>
      <c r="S134" s="37"/>
      <c r="T134" s="37"/>
      <c r="U134" s="37"/>
      <c r="V134" s="122"/>
      <c r="W134" s="122"/>
      <c r="X134" s="37"/>
      <c r="Y134" s="37"/>
      <c r="Z134" s="37"/>
    </row>
    <row r="135" spans="1:26" ht="13">
      <c r="A135" s="238"/>
      <c r="B135" s="292"/>
      <c r="C135" s="36"/>
      <c r="D135" s="290"/>
      <c r="E135" s="36"/>
      <c r="F135" s="36"/>
      <c r="G135" s="84"/>
      <c r="H135" s="36"/>
      <c r="I135" s="36"/>
      <c r="J135" s="293"/>
      <c r="K135" s="83"/>
      <c r="L135" s="293"/>
      <c r="M135" s="36"/>
      <c r="N135" s="36"/>
      <c r="O135" s="37"/>
      <c r="P135" s="37"/>
      <c r="Q135" s="237"/>
      <c r="R135" s="37"/>
      <c r="S135" s="37"/>
      <c r="T135" s="37"/>
      <c r="U135" s="37"/>
      <c r="V135" s="122"/>
      <c r="W135" s="122"/>
      <c r="X135" s="37"/>
      <c r="Y135" s="37"/>
      <c r="Z135" s="37"/>
    </row>
    <row r="136" spans="1:26" ht="13">
      <c r="A136" s="238"/>
      <c r="B136" s="292"/>
      <c r="C136" s="36"/>
      <c r="D136" s="290"/>
      <c r="E136" s="36"/>
      <c r="F136" s="36"/>
      <c r="G136" s="84"/>
      <c r="H136" s="36"/>
      <c r="I136" s="36"/>
      <c r="J136" s="293"/>
      <c r="K136" s="83"/>
      <c r="L136" s="293"/>
      <c r="M136" s="36"/>
      <c r="N136" s="36"/>
      <c r="O136" s="37"/>
      <c r="P136" s="37"/>
      <c r="Q136" s="237"/>
      <c r="R136" s="37"/>
      <c r="S136" s="37"/>
      <c r="T136" s="37"/>
      <c r="U136" s="37"/>
      <c r="V136" s="122"/>
      <c r="W136" s="122"/>
      <c r="X136" s="37"/>
      <c r="Y136" s="37"/>
      <c r="Z136" s="37"/>
    </row>
    <row r="137" spans="1:26" ht="13">
      <c r="A137" s="238"/>
      <c r="B137" s="292"/>
      <c r="C137" s="36"/>
      <c r="D137" s="290"/>
      <c r="E137" s="36"/>
      <c r="F137" s="36"/>
      <c r="G137" s="84"/>
      <c r="H137" s="36"/>
      <c r="I137" s="36"/>
      <c r="J137" s="293"/>
      <c r="K137" s="83"/>
      <c r="L137" s="293"/>
      <c r="M137" s="36"/>
      <c r="N137" s="36"/>
      <c r="O137" s="37"/>
      <c r="P137" s="37"/>
      <c r="Q137" s="237"/>
      <c r="R137" s="37"/>
      <c r="S137" s="37"/>
      <c r="T137" s="37"/>
      <c r="U137" s="37"/>
      <c r="V137" s="122"/>
      <c r="W137" s="122"/>
      <c r="X137" s="37"/>
      <c r="Y137" s="37"/>
      <c r="Z137" s="37"/>
    </row>
    <row r="138" spans="1:26" ht="13">
      <c r="A138" s="238"/>
      <c r="B138" s="292"/>
      <c r="C138" s="36"/>
      <c r="D138" s="290"/>
      <c r="E138" s="36"/>
      <c r="F138" s="36"/>
      <c r="G138" s="84"/>
      <c r="H138" s="36"/>
      <c r="I138" s="36"/>
      <c r="J138" s="293"/>
      <c r="K138" s="83"/>
      <c r="L138" s="293"/>
      <c r="M138" s="36"/>
      <c r="N138" s="36"/>
      <c r="O138" s="37"/>
      <c r="P138" s="37"/>
      <c r="Q138" s="237"/>
      <c r="R138" s="37"/>
      <c r="S138" s="37"/>
      <c r="T138" s="37"/>
      <c r="U138" s="37"/>
      <c r="V138" s="122"/>
      <c r="W138" s="122"/>
      <c r="X138" s="37"/>
      <c r="Y138" s="37"/>
      <c r="Z138" s="37"/>
    </row>
    <row r="139" spans="1:26" ht="13">
      <c r="A139" s="238"/>
      <c r="B139" s="292"/>
      <c r="C139" s="36"/>
      <c r="D139" s="290"/>
      <c r="E139" s="36"/>
      <c r="F139" s="36"/>
      <c r="G139" s="84"/>
      <c r="H139" s="36"/>
      <c r="I139" s="36"/>
      <c r="J139" s="293"/>
      <c r="K139" s="83"/>
      <c r="L139" s="293"/>
      <c r="M139" s="36"/>
      <c r="N139" s="36"/>
      <c r="O139" s="37"/>
      <c r="P139" s="37"/>
      <c r="Q139" s="237"/>
      <c r="R139" s="37"/>
      <c r="S139" s="37"/>
      <c r="T139" s="37"/>
      <c r="U139" s="37"/>
      <c r="V139" s="122"/>
      <c r="W139" s="122"/>
      <c r="X139" s="37"/>
      <c r="Y139" s="37"/>
      <c r="Z139" s="37"/>
    </row>
    <row r="140" spans="1:26" ht="13">
      <c r="A140" s="238"/>
      <c r="B140" s="292"/>
      <c r="C140" s="36"/>
      <c r="D140" s="290"/>
      <c r="E140" s="36"/>
      <c r="F140" s="36"/>
      <c r="G140" s="84"/>
      <c r="H140" s="36"/>
      <c r="I140" s="36"/>
      <c r="J140" s="293"/>
      <c r="K140" s="83"/>
      <c r="L140" s="293"/>
      <c r="M140" s="36"/>
      <c r="N140" s="36"/>
      <c r="O140" s="37"/>
      <c r="P140" s="37"/>
      <c r="Q140" s="237"/>
      <c r="R140" s="37"/>
      <c r="S140" s="37"/>
      <c r="T140" s="37"/>
      <c r="U140" s="37"/>
      <c r="V140" s="122"/>
      <c r="W140" s="122"/>
      <c r="X140" s="37"/>
      <c r="Y140" s="37"/>
      <c r="Z140" s="37"/>
    </row>
    <row r="141" spans="1:26" ht="13">
      <c r="A141" s="238"/>
      <c r="B141" s="292"/>
      <c r="C141" s="36"/>
      <c r="D141" s="290"/>
      <c r="E141" s="36"/>
      <c r="F141" s="36"/>
      <c r="G141" s="84"/>
      <c r="H141" s="36"/>
      <c r="I141" s="36"/>
      <c r="J141" s="293"/>
      <c r="K141" s="83"/>
      <c r="L141" s="293"/>
      <c r="M141" s="36"/>
      <c r="N141" s="36"/>
      <c r="O141" s="37"/>
      <c r="P141" s="37"/>
      <c r="Q141" s="237"/>
      <c r="R141" s="37"/>
      <c r="S141" s="37"/>
      <c r="T141" s="37"/>
      <c r="U141" s="37"/>
      <c r="V141" s="122"/>
      <c r="W141" s="122"/>
      <c r="X141" s="37"/>
      <c r="Y141" s="37"/>
      <c r="Z141" s="37"/>
    </row>
    <row r="142" spans="1:26" ht="13">
      <c r="A142" s="238"/>
      <c r="B142" s="292"/>
      <c r="C142" s="36"/>
      <c r="D142" s="290"/>
      <c r="E142" s="36"/>
      <c r="F142" s="36"/>
      <c r="G142" s="84"/>
      <c r="H142" s="36"/>
      <c r="I142" s="36"/>
      <c r="J142" s="293"/>
      <c r="K142" s="83"/>
      <c r="L142" s="293"/>
      <c r="M142" s="36"/>
      <c r="N142" s="36"/>
      <c r="O142" s="37"/>
      <c r="P142" s="37"/>
      <c r="Q142" s="237"/>
      <c r="R142" s="37"/>
      <c r="S142" s="37"/>
      <c r="T142" s="37"/>
      <c r="U142" s="37"/>
      <c r="V142" s="122"/>
      <c r="W142" s="122"/>
      <c r="X142" s="37"/>
      <c r="Y142" s="37"/>
      <c r="Z142" s="37"/>
    </row>
    <row r="143" spans="1:26" ht="13">
      <c r="A143" s="238"/>
      <c r="B143" s="292"/>
      <c r="C143" s="36"/>
      <c r="D143" s="290"/>
      <c r="E143" s="36"/>
      <c r="F143" s="36"/>
      <c r="G143" s="84"/>
      <c r="H143" s="36"/>
      <c r="I143" s="36"/>
      <c r="J143" s="293"/>
      <c r="K143" s="83"/>
      <c r="L143" s="293"/>
      <c r="M143" s="36"/>
      <c r="N143" s="36"/>
      <c r="O143" s="37"/>
      <c r="P143" s="37"/>
      <c r="Q143" s="237"/>
      <c r="R143" s="37"/>
      <c r="S143" s="37"/>
      <c r="T143" s="37"/>
      <c r="U143" s="37"/>
      <c r="V143" s="122"/>
      <c r="W143" s="122"/>
      <c r="X143" s="37"/>
      <c r="Y143" s="37"/>
      <c r="Z143" s="37"/>
    </row>
    <row r="144" spans="1:26" ht="13">
      <c r="A144" s="238"/>
      <c r="B144" s="292"/>
      <c r="C144" s="36"/>
      <c r="D144" s="290"/>
      <c r="E144" s="36"/>
      <c r="F144" s="36"/>
      <c r="G144" s="84"/>
      <c r="H144" s="36"/>
      <c r="I144" s="36"/>
      <c r="J144" s="293"/>
      <c r="K144" s="83"/>
      <c r="L144" s="293"/>
      <c r="M144" s="36"/>
      <c r="N144" s="36"/>
      <c r="O144" s="37"/>
      <c r="P144" s="37"/>
      <c r="Q144" s="237"/>
      <c r="R144" s="37"/>
      <c r="S144" s="37"/>
      <c r="T144" s="37"/>
      <c r="U144" s="37"/>
      <c r="V144" s="122"/>
      <c r="W144" s="122"/>
      <c r="X144" s="37"/>
      <c r="Y144" s="37"/>
      <c r="Z144" s="37"/>
    </row>
    <row r="145" spans="1:26" ht="13">
      <c r="A145" s="238"/>
      <c r="B145" s="292"/>
      <c r="C145" s="36"/>
      <c r="D145" s="290"/>
      <c r="E145" s="36"/>
      <c r="F145" s="36"/>
      <c r="G145" s="84"/>
      <c r="H145" s="36"/>
      <c r="I145" s="36"/>
      <c r="J145" s="293"/>
      <c r="K145" s="83"/>
      <c r="L145" s="293"/>
      <c r="M145" s="36"/>
      <c r="N145" s="36"/>
      <c r="O145" s="37"/>
      <c r="P145" s="37"/>
      <c r="Q145" s="237"/>
      <c r="R145" s="37"/>
      <c r="S145" s="37"/>
      <c r="T145" s="37"/>
      <c r="U145" s="37"/>
      <c r="V145" s="122"/>
      <c r="W145" s="122"/>
      <c r="X145" s="37"/>
      <c r="Y145" s="37"/>
      <c r="Z145" s="37"/>
    </row>
    <row r="146" spans="1:26" ht="13">
      <c r="A146" s="238"/>
      <c r="B146" s="292"/>
      <c r="C146" s="36"/>
      <c r="D146" s="290"/>
      <c r="E146" s="36"/>
      <c r="F146" s="36"/>
      <c r="G146" s="84"/>
      <c r="H146" s="36"/>
      <c r="I146" s="36"/>
      <c r="J146" s="293"/>
      <c r="K146" s="83"/>
      <c r="L146" s="293"/>
      <c r="M146" s="36"/>
      <c r="N146" s="36"/>
      <c r="O146" s="37"/>
      <c r="P146" s="37"/>
      <c r="Q146" s="237"/>
      <c r="R146" s="37"/>
      <c r="S146" s="37"/>
      <c r="T146" s="37"/>
      <c r="U146" s="37"/>
      <c r="V146" s="122"/>
      <c r="W146" s="122"/>
      <c r="X146" s="37"/>
      <c r="Y146" s="37"/>
      <c r="Z146" s="37"/>
    </row>
    <row r="147" spans="1:26" ht="13">
      <c r="A147" s="238"/>
      <c r="B147" s="292"/>
      <c r="C147" s="36"/>
      <c r="D147" s="290"/>
      <c r="E147" s="36"/>
      <c r="F147" s="36"/>
      <c r="G147" s="84"/>
      <c r="H147" s="36"/>
      <c r="I147" s="36"/>
      <c r="J147" s="293"/>
      <c r="K147" s="83"/>
      <c r="L147" s="293"/>
      <c r="M147" s="36"/>
      <c r="N147" s="36"/>
      <c r="O147" s="37"/>
      <c r="P147" s="37"/>
      <c r="Q147" s="237"/>
      <c r="R147" s="37"/>
      <c r="S147" s="37"/>
      <c r="T147" s="37"/>
      <c r="U147" s="37"/>
      <c r="V147" s="122"/>
      <c r="W147" s="122"/>
      <c r="X147" s="37"/>
      <c r="Y147" s="37"/>
      <c r="Z147" s="37"/>
    </row>
    <row r="148" spans="1:26" ht="13">
      <c r="A148" s="238"/>
      <c r="B148" s="292"/>
      <c r="C148" s="36"/>
      <c r="D148" s="290"/>
      <c r="E148" s="36"/>
      <c r="F148" s="36"/>
      <c r="G148" s="84"/>
      <c r="H148" s="36"/>
      <c r="I148" s="36"/>
      <c r="J148" s="293"/>
      <c r="K148" s="83"/>
      <c r="L148" s="293"/>
      <c r="M148" s="36"/>
      <c r="N148" s="36"/>
      <c r="O148" s="37"/>
      <c r="P148" s="37"/>
      <c r="Q148" s="237"/>
      <c r="R148" s="37"/>
      <c r="S148" s="37"/>
      <c r="T148" s="37"/>
      <c r="U148" s="37"/>
      <c r="V148" s="122"/>
      <c r="W148" s="122"/>
      <c r="X148" s="37"/>
      <c r="Y148" s="37"/>
      <c r="Z148" s="37"/>
    </row>
    <row r="149" spans="1:26" ht="13">
      <c r="A149" s="238"/>
      <c r="B149" s="292"/>
      <c r="C149" s="36"/>
      <c r="D149" s="290"/>
      <c r="E149" s="36"/>
      <c r="F149" s="36"/>
      <c r="G149" s="84"/>
      <c r="H149" s="36"/>
      <c r="I149" s="36"/>
      <c r="J149" s="293"/>
      <c r="K149" s="83"/>
      <c r="L149" s="293"/>
      <c r="M149" s="36"/>
      <c r="N149" s="36"/>
      <c r="O149" s="37"/>
      <c r="P149" s="37"/>
      <c r="Q149" s="237"/>
      <c r="R149" s="37"/>
      <c r="S149" s="37"/>
      <c r="T149" s="37"/>
      <c r="U149" s="37"/>
      <c r="V149" s="122"/>
      <c r="W149" s="122"/>
      <c r="X149" s="37"/>
      <c r="Y149" s="37"/>
      <c r="Z149" s="37"/>
    </row>
    <row r="150" spans="1:26" ht="13">
      <c r="A150" s="238"/>
      <c r="B150" s="292"/>
      <c r="C150" s="36"/>
      <c r="D150" s="290"/>
      <c r="E150" s="36"/>
      <c r="F150" s="36"/>
      <c r="G150" s="84"/>
      <c r="H150" s="36"/>
      <c r="I150" s="36"/>
      <c r="J150" s="293"/>
      <c r="K150" s="83"/>
      <c r="L150" s="293"/>
      <c r="M150" s="36"/>
      <c r="N150" s="36"/>
      <c r="O150" s="37"/>
      <c r="P150" s="37"/>
      <c r="Q150" s="237"/>
      <c r="R150" s="37"/>
      <c r="S150" s="37"/>
      <c r="T150" s="37"/>
      <c r="U150" s="37"/>
      <c r="V150" s="122"/>
      <c r="W150" s="122"/>
      <c r="X150" s="37"/>
      <c r="Y150" s="37"/>
      <c r="Z150" s="37"/>
    </row>
    <row r="151" spans="1:26" ht="13">
      <c r="A151" s="238"/>
      <c r="B151" s="292"/>
      <c r="C151" s="36"/>
      <c r="D151" s="290"/>
      <c r="E151" s="36"/>
      <c r="F151" s="36"/>
      <c r="G151" s="84"/>
      <c r="H151" s="36"/>
      <c r="I151" s="36"/>
      <c r="J151" s="293"/>
      <c r="K151" s="83"/>
      <c r="L151" s="293"/>
      <c r="M151" s="36"/>
      <c r="N151" s="36"/>
      <c r="O151" s="37"/>
      <c r="P151" s="37"/>
      <c r="Q151" s="237"/>
      <c r="R151" s="37"/>
      <c r="S151" s="37"/>
      <c r="T151" s="37"/>
      <c r="U151" s="37"/>
      <c r="V151" s="122"/>
      <c r="W151" s="122"/>
      <c r="X151" s="37"/>
      <c r="Y151" s="37"/>
      <c r="Z151" s="37"/>
    </row>
    <row r="152" spans="1:26" ht="13">
      <c r="A152" s="238"/>
      <c r="B152" s="292"/>
      <c r="C152" s="36"/>
      <c r="D152" s="290"/>
      <c r="E152" s="36"/>
      <c r="F152" s="36"/>
      <c r="G152" s="84"/>
      <c r="H152" s="36"/>
      <c r="I152" s="36"/>
      <c r="J152" s="293"/>
      <c r="K152" s="83"/>
      <c r="L152" s="293"/>
      <c r="M152" s="36"/>
      <c r="N152" s="36"/>
      <c r="O152" s="37"/>
      <c r="P152" s="37"/>
      <c r="Q152" s="237"/>
      <c r="R152" s="37"/>
      <c r="S152" s="37"/>
      <c r="T152" s="37"/>
      <c r="U152" s="37"/>
      <c r="V152" s="122"/>
      <c r="W152" s="122"/>
      <c r="X152" s="37"/>
      <c r="Y152" s="37"/>
      <c r="Z152" s="37"/>
    </row>
    <row r="153" spans="1:26" ht="13">
      <c r="A153" s="238"/>
      <c r="B153" s="292"/>
      <c r="C153" s="36"/>
      <c r="D153" s="290"/>
      <c r="E153" s="36"/>
      <c r="F153" s="36"/>
      <c r="G153" s="84"/>
      <c r="H153" s="36"/>
      <c r="I153" s="36"/>
      <c r="J153" s="293"/>
      <c r="K153" s="83"/>
      <c r="L153" s="293"/>
      <c r="M153" s="36"/>
      <c r="N153" s="36"/>
      <c r="O153" s="37"/>
      <c r="P153" s="37"/>
      <c r="Q153" s="237"/>
      <c r="R153" s="37"/>
      <c r="S153" s="37"/>
      <c r="T153" s="37"/>
      <c r="U153" s="37"/>
      <c r="V153" s="122"/>
      <c r="W153" s="122"/>
      <c r="X153" s="37"/>
      <c r="Y153" s="37"/>
      <c r="Z153" s="37"/>
    </row>
    <row r="154" spans="1:26" ht="13">
      <c r="A154" s="238"/>
      <c r="B154" s="292"/>
      <c r="C154" s="36"/>
      <c r="D154" s="290"/>
      <c r="E154" s="36"/>
      <c r="F154" s="36"/>
      <c r="G154" s="84"/>
      <c r="H154" s="36"/>
      <c r="I154" s="36"/>
      <c r="J154" s="293"/>
      <c r="K154" s="83"/>
      <c r="L154" s="293"/>
      <c r="M154" s="36"/>
      <c r="N154" s="36"/>
      <c r="O154" s="37"/>
      <c r="P154" s="37"/>
      <c r="Q154" s="237"/>
      <c r="R154" s="37"/>
      <c r="S154" s="37"/>
      <c r="T154" s="37"/>
      <c r="U154" s="37"/>
      <c r="V154" s="122"/>
      <c r="W154" s="122"/>
      <c r="X154" s="37"/>
      <c r="Y154" s="37"/>
      <c r="Z154" s="37"/>
    </row>
    <row r="155" spans="1:26" ht="13">
      <c r="A155" s="238"/>
      <c r="B155" s="292"/>
      <c r="C155" s="36"/>
      <c r="D155" s="290"/>
      <c r="E155" s="36"/>
      <c r="F155" s="36"/>
      <c r="G155" s="84"/>
      <c r="H155" s="36"/>
      <c r="I155" s="36"/>
      <c r="J155" s="293"/>
      <c r="K155" s="83"/>
      <c r="L155" s="293"/>
      <c r="M155" s="36"/>
      <c r="N155" s="36"/>
      <c r="O155" s="37"/>
      <c r="P155" s="37"/>
      <c r="Q155" s="237"/>
      <c r="R155" s="37"/>
      <c r="S155" s="37"/>
      <c r="T155" s="37"/>
      <c r="U155" s="37"/>
      <c r="V155" s="122"/>
      <c r="W155" s="122"/>
      <c r="X155" s="37"/>
      <c r="Y155" s="37"/>
      <c r="Z155" s="37"/>
    </row>
    <row r="156" spans="1:26" ht="13">
      <c r="A156" s="238"/>
      <c r="B156" s="292"/>
      <c r="C156" s="36"/>
      <c r="D156" s="290"/>
      <c r="E156" s="36"/>
      <c r="F156" s="36"/>
      <c r="G156" s="84"/>
      <c r="H156" s="36"/>
      <c r="I156" s="36"/>
      <c r="J156" s="293"/>
      <c r="K156" s="83"/>
      <c r="L156" s="293"/>
      <c r="M156" s="36"/>
      <c r="N156" s="36"/>
      <c r="O156" s="37"/>
      <c r="P156" s="37"/>
      <c r="Q156" s="237"/>
      <c r="R156" s="37"/>
      <c r="S156" s="37"/>
      <c r="T156" s="37"/>
      <c r="U156" s="37"/>
      <c r="V156" s="122"/>
      <c r="W156" s="122"/>
      <c r="X156" s="37"/>
      <c r="Y156" s="37"/>
      <c r="Z156" s="37"/>
    </row>
    <row r="157" spans="1:26" ht="13">
      <c r="A157" s="238"/>
      <c r="B157" s="292"/>
      <c r="C157" s="36"/>
      <c r="D157" s="290"/>
      <c r="E157" s="36"/>
      <c r="F157" s="36"/>
      <c r="G157" s="84"/>
      <c r="H157" s="36"/>
      <c r="I157" s="36"/>
      <c r="J157" s="293"/>
      <c r="K157" s="83"/>
      <c r="L157" s="293"/>
      <c r="M157" s="36"/>
      <c r="N157" s="36"/>
      <c r="O157" s="37"/>
      <c r="P157" s="37"/>
      <c r="Q157" s="237"/>
      <c r="R157" s="37"/>
      <c r="S157" s="37"/>
      <c r="T157" s="37"/>
      <c r="U157" s="37"/>
      <c r="V157" s="122"/>
      <c r="W157" s="122"/>
      <c r="X157" s="37"/>
      <c r="Y157" s="37"/>
      <c r="Z157" s="37"/>
    </row>
    <row r="158" spans="1:26" ht="13">
      <c r="A158" s="238"/>
      <c r="B158" s="292"/>
      <c r="C158" s="36"/>
      <c r="D158" s="290"/>
      <c r="E158" s="36"/>
      <c r="F158" s="36"/>
      <c r="G158" s="84"/>
      <c r="H158" s="36"/>
      <c r="I158" s="36"/>
      <c r="J158" s="293"/>
      <c r="K158" s="83"/>
      <c r="L158" s="293"/>
      <c r="M158" s="36"/>
      <c r="N158" s="36"/>
      <c r="O158" s="37"/>
      <c r="P158" s="37"/>
      <c r="Q158" s="237"/>
      <c r="R158" s="37"/>
      <c r="S158" s="37"/>
      <c r="T158" s="37"/>
      <c r="U158" s="37"/>
      <c r="V158" s="122"/>
      <c r="W158" s="122"/>
      <c r="X158" s="37"/>
      <c r="Y158" s="37"/>
      <c r="Z158" s="37"/>
    </row>
    <row r="159" spans="1:26" ht="13">
      <c r="A159" s="238"/>
      <c r="B159" s="292"/>
      <c r="C159" s="36"/>
      <c r="D159" s="290"/>
      <c r="E159" s="36"/>
      <c r="F159" s="36"/>
      <c r="G159" s="84"/>
      <c r="H159" s="36"/>
      <c r="I159" s="36"/>
      <c r="J159" s="293"/>
      <c r="K159" s="83"/>
      <c r="L159" s="293"/>
      <c r="M159" s="36"/>
      <c r="N159" s="36"/>
      <c r="O159" s="37"/>
      <c r="P159" s="37"/>
      <c r="Q159" s="237"/>
      <c r="R159" s="37"/>
      <c r="S159" s="37"/>
      <c r="T159" s="37"/>
      <c r="U159" s="37"/>
      <c r="V159" s="122"/>
      <c r="W159" s="122"/>
      <c r="X159" s="37"/>
      <c r="Y159" s="37"/>
      <c r="Z159" s="37"/>
    </row>
    <row r="160" spans="1:26" ht="13">
      <c r="A160" s="238"/>
      <c r="B160" s="292"/>
      <c r="C160" s="36"/>
      <c r="D160" s="290"/>
      <c r="E160" s="36"/>
      <c r="F160" s="36"/>
      <c r="G160" s="84"/>
      <c r="H160" s="36"/>
      <c r="I160" s="36"/>
      <c r="J160" s="293"/>
      <c r="K160" s="83"/>
      <c r="L160" s="293"/>
      <c r="M160" s="36"/>
      <c r="N160" s="36"/>
      <c r="O160" s="37"/>
      <c r="P160" s="37"/>
      <c r="Q160" s="237"/>
      <c r="R160" s="37"/>
      <c r="S160" s="37"/>
      <c r="T160" s="37"/>
      <c r="U160" s="37"/>
      <c r="V160" s="122"/>
      <c r="W160" s="122"/>
      <c r="X160" s="37"/>
      <c r="Y160" s="37"/>
      <c r="Z160" s="37"/>
    </row>
    <row r="161" spans="1:26" ht="13">
      <c r="A161" s="238"/>
      <c r="B161" s="292"/>
      <c r="C161" s="36"/>
      <c r="D161" s="290"/>
      <c r="E161" s="36"/>
      <c r="F161" s="36"/>
      <c r="G161" s="84"/>
      <c r="H161" s="36"/>
      <c r="I161" s="36"/>
      <c r="J161" s="293"/>
      <c r="K161" s="83"/>
      <c r="L161" s="293"/>
      <c r="M161" s="36"/>
      <c r="N161" s="36"/>
      <c r="O161" s="37"/>
      <c r="P161" s="37"/>
      <c r="Q161" s="237"/>
      <c r="R161" s="37"/>
      <c r="S161" s="37"/>
      <c r="T161" s="37"/>
      <c r="U161" s="37"/>
      <c r="V161" s="122"/>
      <c r="W161" s="122"/>
      <c r="X161" s="37"/>
      <c r="Y161" s="37"/>
      <c r="Z161" s="37"/>
    </row>
    <row r="162" spans="1:26" ht="13">
      <c r="A162" s="238"/>
      <c r="B162" s="292"/>
      <c r="C162" s="36"/>
      <c r="D162" s="290"/>
      <c r="E162" s="36"/>
      <c r="F162" s="36"/>
      <c r="G162" s="84"/>
      <c r="H162" s="36"/>
      <c r="I162" s="36"/>
      <c r="J162" s="293"/>
      <c r="K162" s="83"/>
      <c r="L162" s="293"/>
      <c r="M162" s="36"/>
      <c r="N162" s="36"/>
      <c r="O162" s="37"/>
      <c r="P162" s="37"/>
      <c r="Q162" s="237"/>
      <c r="R162" s="37"/>
      <c r="S162" s="37"/>
      <c r="T162" s="37"/>
      <c r="U162" s="37"/>
      <c r="V162" s="122"/>
      <c r="W162" s="122"/>
      <c r="X162" s="37"/>
      <c r="Y162" s="37"/>
      <c r="Z162" s="37"/>
    </row>
    <row r="163" spans="1:26" ht="13">
      <c r="A163" s="238"/>
      <c r="B163" s="292"/>
      <c r="C163" s="36"/>
      <c r="D163" s="290"/>
      <c r="E163" s="36"/>
      <c r="F163" s="36"/>
      <c r="G163" s="84"/>
      <c r="H163" s="36"/>
      <c r="I163" s="36"/>
      <c r="J163" s="293"/>
      <c r="K163" s="83"/>
      <c r="L163" s="293"/>
      <c r="M163" s="36"/>
      <c r="N163" s="36"/>
      <c r="O163" s="37"/>
      <c r="P163" s="37"/>
      <c r="Q163" s="237"/>
      <c r="R163" s="37"/>
      <c r="S163" s="37"/>
      <c r="T163" s="37"/>
      <c r="U163" s="37"/>
      <c r="V163" s="122"/>
      <c r="W163" s="122"/>
      <c r="X163" s="37"/>
      <c r="Y163" s="37"/>
      <c r="Z163" s="37"/>
    </row>
    <row r="164" spans="1:26" ht="13">
      <c r="A164" s="238"/>
      <c r="B164" s="292"/>
      <c r="C164" s="36"/>
      <c r="D164" s="290"/>
      <c r="E164" s="36"/>
      <c r="F164" s="36"/>
      <c r="G164" s="84"/>
      <c r="H164" s="36"/>
      <c r="I164" s="36"/>
      <c r="J164" s="293"/>
      <c r="K164" s="83"/>
      <c r="L164" s="293"/>
      <c r="M164" s="36"/>
      <c r="N164" s="36"/>
      <c r="O164" s="37"/>
      <c r="P164" s="37"/>
      <c r="Q164" s="237"/>
      <c r="R164" s="37"/>
      <c r="S164" s="37"/>
      <c r="T164" s="37"/>
      <c r="U164" s="37"/>
      <c r="V164" s="122"/>
      <c r="W164" s="122"/>
      <c r="X164" s="37"/>
      <c r="Y164" s="37"/>
      <c r="Z164" s="37"/>
    </row>
    <row r="165" spans="1:26" ht="13">
      <c r="A165" s="238"/>
      <c r="B165" s="292"/>
      <c r="C165" s="36"/>
      <c r="D165" s="290"/>
      <c r="E165" s="36"/>
      <c r="F165" s="36"/>
      <c r="G165" s="84"/>
      <c r="H165" s="36"/>
      <c r="I165" s="36"/>
      <c r="J165" s="293"/>
      <c r="K165" s="83"/>
      <c r="L165" s="293"/>
      <c r="M165" s="36"/>
      <c r="N165" s="36"/>
      <c r="O165" s="37"/>
      <c r="P165" s="37"/>
      <c r="Q165" s="237"/>
      <c r="R165" s="37"/>
      <c r="S165" s="37"/>
      <c r="T165" s="37"/>
      <c r="U165" s="37"/>
      <c r="V165" s="122"/>
      <c r="W165" s="122"/>
      <c r="X165" s="37"/>
      <c r="Y165" s="37"/>
      <c r="Z165" s="37"/>
    </row>
    <row r="166" spans="1:26" ht="13">
      <c r="A166" s="238"/>
      <c r="B166" s="292"/>
      <c r="C166" s="36"/>
      <c r="D166" s="290"/>
      <c r="E166" s="36"/>
      <c r="F166" s="36"/>
      <c r="G166" s="84"/>
      <c r="H166" s="36"/>
      <c r="I166" s="36"/>
      <c r="J166" s="293"/>
      <c r="K166" s="83"/>
      <c r="L166" s="293"/>
      <c r="M166" s="36"/>
      <c r="N166" s="36"/>
      <c r="O166" s="37"/>
      <c r="P166" s="37"/>
      <c r="Q166" s="237"/>
      <c r="R166" s="37"/>
      <c r="S166" s="37"/>
      <c r="T166" s="37"/>
      <c r="U166" s="37"/>
      <c r="V166" s="122"/>
      <c r="W166" s="122"/>
      <c r="X166" s="37"/>
      <c r="Y166" s="37"/>
      <c r="Z166" s="37"/>
    </row>
    <row r="167" spans="1:26" ht="13">
      <c r="A167" s="238"/>
      <c r="B167" s="292"/>
      <c r="C167" s="36"/>
      <c r="D167" s="290"/>
      <c r="E167" s="36"/>
      <c r="F167" s="36"/>
      <c r="G167" s="84"/>
      <c r="H167" s="36"/>
      <c r="I167" s="36"/>
      <c r="J167" s="293"/>
      <c r="K167" s="83"/>
      <c r="L167" s="293"/>
      <c r="M167" s="36"/>
      <c r="N167" s="36"/>
      <c r="O167" s="37"/>
      <c r="P167" s="37"/>
      <c r="Q167" s="237"/>
      <c r="R167" s="37"/>
      <c r="S167" s="37"/>
      <c r="T167" s="37"/>
      <c r="U167" s="37"/>
      <c r="V167" s="122"/>
      <c r="W167" s="122"/>
      <c r="X167" s="37"/>
      <c r="Y167" s="37"/>
      <c r="Z167" s="37"/>
    </row>
    <row r="168" spans="1:26" ht="13">
      <c r="A168" s="238"/>
      <c r="B168" s="292"/>
      <c r="C168" s="36"/>
      <c r="D168" s="290"/>
      <c r="E168" s="36"/>
      <c r="F168" s="36"/>
      <c r="G168" s="84"/>
      <c r="H168" s="36"/>
      <c r="I168" s="36"/>
      <c r="J168" s="293"/>
      <c r="K168" s="83"/>
      <c r="L168" s="293"/>
      <c r="M168" s="36"/>
      <c r="N168" s="36"/>
      <c r="O168" s="37"/>
      <c r="P168" s="37"/>
      <c r="Q168" s="237"/>
      <c r="R168" s="37"/>
      <c r="S168" s="37"/>
      <c r="T168" s="37"/>
      <c r="U168" s="37"/>
      <c r="V168" s="122"/>
      <c r="W168" s="122"/>
      <c r="X168" s="37"/>
      <c r="Y168" s="37"/>
      <c r="Z168" s="37"/>
    </row>
    <row r="169" spans="1:26" ht="13">
      <c r="A169" s="238"/>
      <c r="B169" s="292"/>
      <c r="C169" s="36"/>
      <c r="D169" s="290"/>
      <c r="E169" s="36"/>
      <c r="F169" s="36"/>
      <c r="G169" s="84"/>
      <c r="H169" s="36"/>
      <c r="I169" s="36"/>
      <c r="J169" s="293"/>
      <c r="K169" s="83"/>
      <c r="L169" s="293"/>
      <c r="M169" s="36"/>
      <c r="N169" s="36"/>
      <c r="O169" s="37"/>
      <c r="P169" s="37"/>
      <c r="Q169" s="237"/>
      <c r="R169" s="37"/>
      <c r="S169" s="37"/>
      <c r="T169" s="37"/>
      <c r="U169" s="37"/>
      <c r="V169" s="122"/>
      <c r="W169" s="122"/>
      <c r="X169" s="37"/>
      <c r="Y169" s="37"/>
      <c r="Z169" s="37"/>
    </row>
    <row r="170" spans="1:26" ht="13">
      <c r="A170" s="238"/>
      <c r="B170" s="292"/>
      <c r="C170" s="36"/>
      <c r="D170" s="290"/>
      <c r="E170" s="36"/>
      <c r="F170" s="36"/>
      <c r="G170" s="84"/>
      <c r="H170" s="36"/>
      <c r="I170" s="36"/>
      <c r="J170" s="293"/>
      <c r="K170" s="83"/>
      <c r="L170" s="293"/>
      <c r="M170" s="36"/>
      <c r="N170" s="36"/>
      <c r="O170" s="37"/>
      <c r="P170" s="37"/>
      <c r="Q170" s="237"/>
      <c r="R170" s="37"/>
      <c r="S170" s="37"/>
      <c r="T170" s="37"/>
      <c r="U170" s="37"/>
      <c r="V170" s="122"/>
      <c r="W170" s="122"/>
      <c r="X170" s="37"/>
      <c r="Y170" s="37"/>
      <c r="Z170" s="37"/>
    </row>
    <row r="171" spans="1:26" ht="13">
      <c r="A171" s="238"/>
      <c r="B171" s="292"/>
      <c r="C171" s="36"/>
      <c r="D171" s="290"/>
      <c r="E171" s="36"/>
      <c r="F171" s="36"/>
      <c r="G171" s="84"/>
      <c r="H171" s="36"/>
      <c r="I171" s="36"/>
      <c r="J171" s="293"/>
      <c r="K171" s="83"/>
      <c r="L171" s="293"/>
      <c r="M171" s="36"/>
      <c r="N171" s="36"/>
      <c r="O171" s="37"/>
      <c r="P171" s="37"/>
      <c r="Q171" s="237"/>
      <c r="R171" s="37"/>
      <c r="S171" s="37"/>
      <c r="T171" s="37"/>
      <c r="U171" s="37"/>
      <c r="V171" s="122"/>
      <c r="W171" s="122"/>
      <c r="X171" s="37"/>
      <c r="Y171" s="37"/>
      <c r="Z171" s="37"/>
    </row>
    <row r="172" spans="1:26" ht="13">
      <c r="A172" s="238"/>
      <c r="B172" s="292"/>
      <c r="C172" s="36"/>
      <c r="D172" s="290"/>
      <c r="E172" s="36"/>
      <c r="F172" s="36"/>
      <c r="G172" s="84"/>
      <c r="H172" s="36"/>
      <c r="I172" s="36"/>
      <c r="J172" s="293"/>
      <c r="K172" s="83"/>
      <c r="L172" s="293"/>
      <c r="M172" s="36"/>
      <c r="N172" s="36"/>
      <c r="O172" s="37"/>
      <c r="P172" s="37"/>
      <c r="Q172" s="237"/>
      <c r="R172" s="37"/>
      <c r="S172" s="37"/>
      <c r="T172" s="37"/>
      <c r="U172" s="37"/>
      <c r="V172" s="122"/>
      <c r="W172" s="122"/>
      <c r="X172" s="37"/>
      <c r="Y172" s="37"/>
      <c r="Z172" s="37"/>
    </row>
    <row r="173" spans="1:26" ht="13">
      <c r="A173" s="238"/>
      <c r="B173" s="292"/>
      <c r="C173" s="36"/>
      <c r="D173" s="290"/>
      <c r="E173" s="36"/>
      <c r="F173" s="36"/>
      <c r="G173" s="84"/>
      <c r="H173" s="36"/>
      <c r="I173" s="36"/>
      <c r="J173" s="293"/>
      <c r="K173" s="83"/>
      <c r="L173" s="293"/>
      <c r="M173" s="36"/>
      <c r="N173" s="36"/>
      <c r="O173" s="37"/>
      <c r="P173" s="37"/>
      <c r="Q173" s="237"/>
      <c r="R173" s="37"/>
      <c r="S173" s="37"/>
      <c r="T173" s="37"/>
      <c r="U173" s="37"/>
      <c r="V173" s="122"/>
      <c r="W173" s="122"/>
      <c r="X173" s="37"/>
      <c r="Y173" s="37"/>
      <c r="Z173" s="37"/>
    </row>
    <row r="174" spans="1:26" ht="13">
      <c r="A174" s="238"/>
      <c r="B174" s="292"/>
      <c r="C174" s="36"/>
      <c r="D174" s="290"/>
      <c r="E174" s="36"/>
      <c r="F174" s="36"/>
      <c r="G174" s="84"/>
      <c r="H174" s="36"/>
      <c r="I174" s="36"/>
      <c r="J174" s="293"/>
      <c r="K174" s="83"/>
      <c r="L174" s="293"/>
      <c r="M174" s="36"/>
      <c r="N174" s="36"/>
      <c r="O174" s="37"/>
      <c r="P174" s="37"/>
      <c r="Q174" s="237"/>
      <c r="R174" s="37"/>
      <c r="S174" s="37"/>
      <c r="T174" s="37"/>
      <c r="U174" s="37"/>
      <c r="V174" s="122"/>
      <c r="W174" s="122"/>
      <c r="X174" s="37"/>
      <c r="Y174" s="37"/>
      <c r="Z174" s="37"/>
    </row>
    <row r="175" spans="1:26" ht="13">
      <c r="A175" s="238"/>
      <c r="B175" s="292"/>
      <c r="C175" s="36"/>
      <c r="D175" s="290"/>
      <c r="E175" s="36"/>
      <c r="F175" s="36"/>
      <c r="G175" s="84"/>
      <c r="H175" s="36"/>
      <c r="I175" s="36"/>
      <c r="J175" s="293"/>
      <c r="K175" s="83"/>
      <c r="L175" s="293"/>
      <c r="M175" s="36"/>
      <c r="N175" s="36"/>
      <c r="O175" s="37"/>
      <c r="P175" s="37"/>
      <c r="Q175" s="237"/>
      <c r="R175" s="37"/>
      <c r="S175" s="37"/>
      <c r="T175" s="37"/>
      <c r="U175" s="37"/>
      <c r="V175" s="122"/>
      <c r="W175" s="122"/>
      <c r="X175" s="37"/>
      <c r="Y175" s="37"/>
      <c r="Z175" s="37"/>
    </row>
    <row r="176" spans="1:26" ht="13">
      <c r="A176" s="238"/>
      <c r="B176" s="292"/>
      <c r="C176" s="36"/>
      <c r="D176" s="290"/>
      <c r="E176" s="36"/>
      <c r="F176" s="36"/>
      <c r="G176" s="84"/>
      <c r="H176" s="36"/>
      <c r="I176" s="36"/>
      <c r="J176" s="293"/>
      <c r="K176" s="83"/>
      <c r="L176" s="293"/>
      <c r="M176" s="36"/>
      <c r="N176" s="36"/>
      <c r="O176" s="37"/>
      <c r="P176" s="37"/>
      <c r="Q176" s="237"/>
      <c r="R176" s="37"/>
      <c r="S176" s="37"/>
      <c r="T176" s="37"/>
      <c r="U176" s="37"/>
      <c r="V176" s="122"/>
      <c r="W176" s="122"/>
      <c r="X176" s="37"/>
      <c r="Y176" s="37"/>
      <c r="Z176" s="37"/>
    </row>
    <row r="177" spans="1:26" ht="13">
      <c r="A177" s="238"/>
      <c r="B177" s="292"/>
      <c r="C177" s="36"/>
      <c r="D177" s="290"/>
      <c r="E177" s="36"/>
      <c r="F177" s="36"/>
      <c r="G177" s="84"/>
      <c r="H177" s="36"/>
      <c r="I177" s="36"/>
      <c r="J177" s="293"/>
      <c r="K177" s="83"/>
      <c r="L177" s="293"/>
      <c r="M177" s="36"/>
      <c r="N177" s="36"/>
      <c r="O177" s="37"/>
      <c r="P177" s="37"/>
      <c r="Q177" s="237"/>
      <c r="R177" s="37"/>
      <c r="S177" s="37"/>
      <c r="T177" s="37"/>
      <c r="U177" s="37"/>
      <c r="V177" s="122"/>
      <c r="W177" s="122"/>
      <c r="X177" s="37"/>
      <c r="Y177" s="37"/>
      <c r="Z177" s="37"/>
    </row>
    <row r="178" spans="1:26" ht="13">
      <c r="A178" s="238"/>
      <c r="B178" s="292"/>
      <c r="C178" s="36"/>
      <c r="D178" s="290"/>
      <c r="E178" s="36"/>
      <c r="F178" s="36"/>
      <c r="G178" s="84"/>
      <c r="H178" s="36"/>
      <c r="I178" s="36"/>
      <c r="J178" s="293"/>
      <c r="K178" s="83"/>
      <c r="L178" s="293"/>
      <c r="M178" s="36"/>
      <c r="N178" s="36"/>
      <c r="O178" s="37"/>
      <c r="P178" s="37"/>
      <c r="Q178" s="237"/>
      <c r="R178" s="37"/>
      <c r="S178" s="37"/>
      <c r="T178" s="37"/>
      <c r="U178" s="37"/>
      <c r="V178" s="122"/>
      <c r="W178" s="122"/>
      <c r="X178" s="37"/>
      <c r="Y178" s="37"/>
      <c r="Z178" s="37"/>
    </row>
    <row r="179" spans="1:26" ht="13">
      <c r="A179" s="238"/>
      <c r="B179" s="292"/>
      <c r="C179" s="36"/>
      <c r="D179" s="290"/>
      <c r="E179" s="36"/>
      <c r="F179" s="36"/>
      <c r="G179" s="84"/>
      <c r="H179" s="36"/>
      <c r="I179" s="36"/>
      <c r="J179" s="293"/>
      <c r="K179" s="83"/>
      <c r="L179" s="293"/>
      <c r="M179" s="36"/>
      <c r="N179" s="36"/>
      <c r="O179" s="37"/>
      <c r="P179" s="37"/>
      <c r="Q179" s="237"/>
      <c r="R179" s="37"/>
      <c r="S179" s="37"/>
      <c r="T179" s="37"/>
      <c r="U179" s="37"/>
      <c r="V179" s="122"/>
      <c r="W179" s="122"/>
      <c r="X179" s="37"/>
      <c r="Y179" s="37"/>
      <c r="Z179" s="37"/>
    </row>
    <row r="180" spans="1:26" ht="13">
      <c r="A180" s="238"/>
      <c r="B180" s="292"/>
      <c r="C180" s="36"/>
      <c r="D180" s="290"/>
      <c r="E180" s="36"/>
      <c r="F180" s="36"/>
      <c r="G180" s="84"/>
      <c r="H180" s="36"/>
      <c r="I180" s="36"/>
      <c r="J180" s="293"/>
      <c r="K180" s="83"/>
      <c r="L180" s="293"/>
      <c r="M180" s="36"/>
      <c r="N180" s="36"/>
      <c r="O180" s="37"/>
      <c r="P180" s="37"/>
      <c r="Q180" s="237"/>
      <c r="R180" s="37"/>
      <c r="S180" s="37"/>
      <c r="T180" s="37"/>
      <c r="U180" s="37"/>
      <c r="V180" s="122"/>
      <c r="W180" s="122"/>
      <c r="X180" s="37"/>
      <c r="Y180" s="37"/>
      <c r="Z180" s="37"/>
    </row>
    <row r="181" spans="1:26" ht="13">
      <c r="A181" s="238"/>
      <c r="B181" s="292"/>
      <c r="C181" s="36"/>
      <c r="D181" s="290"/>
      <c r="E181" s="36"/>
      <c r="F181" s="36"/>
      <c r="G181" s="84"/>
      <c r="H181" s="36"/>
      <c r="I181" s="36"/>
      <c r="J181" s="293"/>
      <c r="K181" s="83"/>
      <c r="L181" s="293"/>
      <c r="M181" s="36"/>
      <c r="N181" s="36"/>
      <c r="O181" s="37"/>
      <c r="P181" s="37"/>
      <c r="Q181" s="237"/>
      <c r="R181" s="37"/>
      <c r="S181" s="37"/>
      <c r="T181" s="37"/>
      <c r="U181" s="37"/>
      <c r="V181" s="122"/>
      <c r="W181" s="122"/>
      <c r="X181" s="37"/>
      <c r="Y181" s="37"/>
      <c r="Z181" s="37"/>
    </row>
    <row r="182" spans="1:26" ht="13">
      <c r="A182" s="238"/>
      <c r="B182" s="292"/>
      <c r="C182" s="36"/>
      <c r="D182" s="290"/>
      <c r="E182" s="36"/>
      <c r="F182" s="36"/>
      <c r="G182" s="84"/>
      <c r="H182" s="36"/>
      <c r="I182" s="36"/>
      <c r="J182" s="293"/>
      <c r="K182" s="83"/>
      <c r="L182" s="293"/>
      <c r="M182" s="36"/>
      <c r="N182" s="36"/>
      <c r="O182" s="37"/>
      <c r="P182" s="37"/>
      <c r="Q182" s="237"/>
      <c r="R182" s="37"/>
      <c r="S182" s="37"/>
      <c r="T182" s="37"/>
      <c r="U182" s="37"/>
      <c r="V182" s="122"/>
      <c r="W182" s="122"/>
      <c r="X182" s="37"/>
      <c r="Y182" s="37"/>
      <c r="Z182" s="37"/>
    </row>
    <row r="183" spans="1:26" ht="13">
      <c r="A183" s="238"/>
      <c r="B183" s="292"/>
      <c r="C183" s="36"/>
      <c r="D183" s="290"/>
      <c r="E183" s="36"/>
      <c r="F183" s="36"/>
      <c r="G183" s="84"/>
      <c r="H183" s="36"/>
      <c r="I183" s="36"/>
      <c r="J183" s="293"/>
      <c r="K183" s="83"/>
      <c r="L183" s="293"/>
      <c r="M183" s="36"/>
      <c r="N183" s="36"/>
      <c r="O183" s="37"/>
      <c r="P183" s="37"/>
      <c r="Q183" s="237"/>
      <c r="R183" s="37"/>
      <c r="S183" s="37"/>
      <c r="T183" s="37"/>
      <c r="U183" s="37"/>
      <c r="V183" s="122"/>
      <c r="W183" s="122"/>
      <c r="X183" s="37"/>
      <c r="Y183" s="37"/>
      <c r="Z183" s="37"/>
    </row>
    <row r="184" spans="1:26" ht="13">
      <c r="A184" s="238"/>
      <c r="B184" s="292"/>
      <c r="C184" s="36"/>
      <c r="D184" s="290"/>
      <c r="E184" s="36"/>
      <c r="F184" s="36"/>
      <c r="G184" s="84"/>
      <c r="H184" s="36"/>
      <c r="I184" s="36"/>
      <c r="J184" s="293"/>
      <c r="K184" s="83"/>
      <c r="L184" s="293"/>
      <c r="M184" s="36"/>
      <c r="N184" s="36"/>
      <c r="O184" s="37"/>
      <c r="P184" s="37"/>
      <c r="Q184" s="237"/>
      <c r="R184" s="37"/>
      <c r="S184" s="37"/>
      <c r="T184" s="37"/>
      <c r="U184" s="37"/>
      <c r="V184" s="122"/>
      <c r="W184" s="122"/>
      <c r="X184" s="37"/>
      <c r="Y184" s="37"/>
      <c r="Z184" s="37"/>
    </row>
    <row r="185" spans="1:26" ht="13">
      <c r="A185" s="238"/>
      <c r="B185" s="292"/>
      <c r="C185" s="36"/>
      <c r="D185" s="290"/>
      <c r="E185" s="36"/>
      <c r="F185" s="36"/>
      <c r="G185" s="84"/>
      <c r="H185" s="36"/>
      <c r="I185" s="36"/>
      <c r="J185" s="293"/>
      <c r="K185" s="83"/>
      <c r="L185" s="293"/>
      <c r="M185" s="36"/>
      <c r="N185" s="36"/>
      <c r="O185" s="37"/>
      <c r="P185" s="37"/>
      <c r="Q185" s="237"/>
      <c r="R185" s="37"/>
      <c r="S185" s="37"/>
      <c r="T185" s="37"/>
      <c r="U185" s="37"/>
      <c r="V185" s="122"/>
      <c r="W185" s="122"/>
      <c r="X185" s="37"/>
      <c r="Y185" s="37"/>
      <c r="Z185" s="37"/>
    </row>
    <row r="186" spans="1:26" ht="13">
      <c r="A186" s="238"/>
      <c r="B186" s="292"/>
      <c r="C186" s="36"/>
      <c r="D186" s="290"/>
      <c r="E186" s="36"/>
      <c r="F186" s="36"/>
      <c r="G186" s="84"/>
      <c r="H186" s="36"/>
      <c r="I186" s="36"/>
      <c r="J186" s="293"/>
      <c r="K186" s="83"/>
      <c r="L186" s="293"/>
      <c r="M186" s="36"/>
      <c r="N186" s="36"/>
      <c r="O186" s="37"/>
      <c r="P186" s="37"/>
      <c r="Q186" s="237"/>
      <c r="R186" s="37"/>
      <c r="S186" s="37"/>
      <c r="T186" s="37"/>
      <c r="U186" s="37"/>
      <c r="V186" s="122"/>
      <c r="W186" s="122"/>
      <c r="X186" s="37"/>
      <c r="Y186" s="37"/>
      <c r="Z186" s="37"/>
    </row>
    <row r="187" spans="1:26" ht="13">
      <c r="A187" s="238"/>
      <c r="B187" s="292"/>
      <c r="C187" s="36"/>
      <c r="D187" s="290"/>
      <c r="E187" s="36"/>
      <c r="F187" s="36"/>
      <c r="G187" s="84"/>
      <c r="H187" s="36"/>
      <c r="I187" s="36"/>
      <c r="J187" s="293"/>
      <c r="K187" s="83"/>
      <c r="L187" s="293"/>
      <c r="M187" s="36"/>
      <c r="N187" s="36"/>
      <c r="O187" s="37"/>
      <c r="P187" s="37"/>
      <c r="Q187" s="237"/>
      <c r="R187" s="37"/>
      <c r="S187" s="37"/>
      <c r="T187" s="37"/>
      <c r="U187" s="37"/>
      <c r="V187" s="122"/>
      <c r="W187" s="122"/>
      <c r="X187" s="37"/>
      <c r="Y187" s="37"/>
      <c r="Z187" s="37"/>
    </row>
    <row r="188" spans="1:26" ht="13">
      <c r="A188" s="238"/>
      <c r="B188" s="292"/>
      <c r="C188" s="36"/>
      <c r="D188" s="290"/>
      <c r="E188" s="36"/>
      <c r="F188" s="36"/>
      <c r="G188" s="84"/>
      <c r="H188" s="36"/>
      <c r="I188" s="36"/>
      <c r="J188" s="293"/>
      <c r="K188" s="83"/>
      <c r="L188" s="293"/>
      <c r="M188" s="36"/>
      <c r="N188" s="36"/>
      <c r="O188" s="37"/>
      <c r="P188" s="37"/>
      <c r="Q188" s="237"/>
      <c r="R188" s="37"/>
      <c r="S188" s="37"/>
      <c r="T188" s="37"/>
      <c r="U188" s="37"/>
      <c r="V188" s="122"/>
      <c r="W188" s="122"/>
      <c r="X188" s="37"/>
      <c r="Y188" s="37"/>
      <c r="Z188" s="37"/>
    </row>
    <row r="189" spans="1:26" ht="13">
      <c r="A189" s="238"/>
      <c r="B189" s="292"/>
      <c r="C189" s="36"/>
      <c r="D189" s="290"/>
      <c r="E189" s="36"/>
      <c r="F189" s="36"/>
      <c r="G189" s="84"/>
      <c r="H189" s="36"/>
      <c r="I189" s="36"/>
      <c r="J189" s="293"/>
      <c r="K189" s="83"/>
      <c r="L189" s="293"/>
      <c r="M189" s="36"/>
      <c r="N189" s="36"/>
      <c r="O189" s="37"/>
      <c r="P189" s="37"/>
      <c r="Q189" s="237"/>
      <c r="R189" s="37"/>
      <c r="S189" s="37"/>
      <c r="T189" s="37"/>
      <c r="U189" s="37"/>
      <c r="V189" s="122"/>
      <c r="W189" s="122"/>
      <c r="X189" s="37"/>
      <c r="Y189" s="37"/>
      <c r="Z189" s="37"/>
    </row>
    <row r="190" spans="1:26" ht="13">
      <c r="A190" s="238"/>
      <c r="B190" s="292"/>
      <c r="C190" s="36"/>
      <c r="D190" s="290"/>
      <c r="E190" s="36"/>
      <c r="F190" s="36"/>
      <c r="G190" s="84"/>
      <c r="H190" s="36"/>
      <c r="I190" s="36"/>
      <c r="J190" s="293"/>
      <c r="K190" s="83"/>
      <c r="L190" s="293"/>
      <c r="M190" s="36"/>
      <c r="N190" s="36"/>
      <c r="O190" s="37"/>
      <c r="P190" s="37"/>
      <c r="Q190" s="237"/>
      <c r="R190" s="37"/>
      <c r="S190" s="37"/>
      <c r="T190" s="37"/>
      <c r="U190" s="37"/>
      <c r="V190" s="122"/>
      <c r="W190" s="122"/>
      <c r="X190" s="37"/>
      <c r="Y190" s="37"/>
      <c r="Z190" s="37"/>
    </row>
    <row r="191" spans="1:26" ht="13">
      <c r="A191" s="238"/>
      <c r="B191" s="292"/>
      <c r="C191" s="36"/>
      <c r="D191" s="290"/>
      <c r="E191" s="36"/>
      <c r="F191" s="36"/>
      <c r="G191" s="84"/>
      <c r="H191" s="36"/>
      <c r="I191" s="36"/>
      <c r="J191" s="293"/>
      <c r="K191" s="83"/>
      <c r="L191" s="293"/>
      <c r="M191" s="36"/>
      <c r="N191" s="36"/>
      <c r="O191" s="37"/>
      <c r="P191" s="37"/>
      <c r="Q191" s="237"/>
      <c r="R191" s="37"/>
      <c r="S191" s="37"/>
      <c r="T191" s="37"/>
      <c r="U191" s="37"/>
      <c r="V191" s="122"/>
      <c r="W191" s="122"/>
      <c r="X191" s="37"/>
      <c r="Y191" s="37"/>
      <c r="Z191" s="37"/>
    </row>
    <row r="192" spans="1:26" ht="13">
      <c r="A192" s="238"/>
      <c r="B192" s="292"/>
      <c r="C192" s="36"/>
      <c r="D192" s="290"/>
      <c r="E192" s="36"/>
      <c r="F192" s="36"/>
      <c r="G192" s="84"/>
      <c r="H192" s="36"/>
      <c r="I192" s="36"/>
      <c r="J192" s="293"/>
      <c r="K192" s="83"/>
      <c r="L192" s="293"/>
      <c r="M192" s="36"/>
      <c r="N192" s="36"/>
      <c r="O192" s="37"/>
      <c r="P192" s="37"/>
      <c r="Q192" s="237"/>
      <c r="R192" s="37"/>
      <c r="S192" s="37"/>
      <c r="T192" s="37"/>
      <c r="U192" s="37"/>
      <c r="V192" s="122"/>
      <c r="W192" s="122"/>
      <c r="X192" s="37"/>
      <c r="Y192" s="37"/>
      <c r="Z192" s="37"/>
    </row>
    <row r="193" spans="1:26" ht="13">
      <c r="A193" s="238"/>
      <c r="B193" s="292"/>
      <c r="C193" s="36"/>
      <c r="D193" s="290"/>
      <c r="E193" s="36"/>
      <c r="F193" s="36"/>
      <c r="G193" s="84"/>
      <c r="H193" s="36"/>
      <c r="I193" s="36"/>
      <c r="J193" s="293"/>
      <c r="K193" s="83"/>
      <c r="L193" s="293"/>
      <c r="M193" s="36"/>
      <c r="N193" s="36"/>
      <c r="O193" s="37"/>
      <c r="P193" s="37"/>
      <c r="Q193" s="237"/>
      <c r="R193" s="37"/>
      <c r="S193" s="37"/>
      <c r="T193" s="37"/>
      <c r="U193" s="37"/>
      <c r="V193" s="122"/>
      <c r="W193" s="122"/>
      <c r="X193" s="37"/>
      <c r="Y193" s="37"/>
      <c r="Z193" s="37"/>
    </row>
    <row r="194" spans="1:26" ht="13">
      <c r="A194" s="238"/>
      <c r="B194" s="292"/>
      <c r="C194" s="36"/>
      <c r="D194" s="290"/>
      <c r="E194" s="36"/>
      <c r="F194" s="36"/>
      <c r="G194" s="84"/>
      <c r="H194" s="36"/>
      <c r="I194" s="36"/>
      <c r="J194" s="293"/>
      <c r="K194" s="83"/>
      <c r="L194" s="293"/>
      <c r="M194" s="36"/>
      <c r="N194" s="36"/>
      <c r="O194" s="37"/>
      <c r="P194" s="37"/>
      <c r="Q194" s="237"/>
      <c r="R194" s="37"/>
      <c r="S194" s="37"/>
      <c r="T194" s="37"/>
      <c r="U194" s="37"/>
      <c r="V194" s="122"/>
      <c r="W194" s="122"/>
      <c r="X194" s="37"/>
      <c r="Y194" s="37"/>
      <c r="Z194" s="37"/>
    </row>
    <row r="195" spans="1:26" ht="13">
      <c r="A195" s="238"/>
      <c r="B195" s="292"/>
      <c r="C195" s="36"/>
      <c r="D195" s="290"/>
      <c r="E195" s="36"/>
      <c r="F195" s="36"/>
      <c r="G195" s="84"/>
      <c r="H195" s="36"/>
      <c r="I195" s="36"/>
      <c r="J195" s="293"/>
      <c r="K195" s="83"/>
      <c r="L195" s="293"/>
      <c r="M195" s="36"/>
      <c r="N195" s="36"/>
      <c r="O195" s="37"/>
      <c r="P195" s="37"/>
      <c r="Q195" s="237"/>
      <c r="R195" s="37"/>
      <c r="S195" s="37"/>
      <c r="T195" s="37"/>
      <c r="U195" s="37"/>
      <c r="V195" s="122"/>
      <c r="W195" s="122"/>
      <c r="X195" s="37"/>
      <c r="Y195" s="37"/>
      <c r="Z195" s="37"/>
    </row>
    <row r="196" spans="1:26" ht="13">
      <c r="A196" s="238"/>
      <c r="B196" s="292"/>
      <c r="C196" s="36"/>
      <c r="D196" s="290"/>
      <c r="E196" s="36"/>
      <c r="F196" s="36"/>
      <c r="G196" s="84"/>
      <c r="H196" s="36"/>
      <c r="I196" s="36"/>
      <c r="J196" s="293"/>
      <c r="K196" s="83"/>
      <c r="L196" s="293"/>
      <c r="M196" s="36"/>
      <c r="N196" s="36"/>
      <c r="O196" s="37"/>
      <c r="P196" s="37"/>
      <c r="Q196" s="237"/>
      <c r="R196" s="37"/>
      <c r="S196" s="37"/>
      <c r="T196" s="37"/>
      <c r="U196" s="37"/>
      <c r="V196" s="122"/>
      <c r="W196" s="122"/>
      <c r="X196" s="37"/>
      <c r="Y196" s="37"/>
      <c r="Z196" s="37"/>
    </row>
    <row r="197" spans="1:26" ht="13">
      <c r="A197" s="238"/>
      <c r="B197" s="292"/>
      <c r="C197" s="36"/>
      <c r="D197" s="290"/>
      <c r="E197" s="36"/>
      <c r="F197" s="36"/>
      <c r="G197" s="84"/>
      <c r="H197" s="36"/>
      <c r="I197" s="36"/>
      <c r="J197" s="293"/>
      <c r="K197" s="83"/>
      <c r="L197" s="293"/>
      <c r="M197" s="36"/>
      <c r="N197" s="36"/>
      <c r="O197" s="37"/>
      <c r="P197" s="37"/>
      <c r="Q197" s="237"/>
      <c r="R197" s="37"/>
      <c r="S197" s="37"/>
      <c r="T197" s="37"/>
      <c r="U197" s="37"/>
      <c r="V197" s="122"/>
      <c r="W197" s="122"/>
      <c r="X197" s="37"/>
      <c r="Y197" s="37"/>
      <c r="Z197" s="37"/>
    </row>
    <row r="198" spans="1:26" ht="13">
      <c r="A198" s="238"/>
      <c r="B198" s="292"/>
      <c r="C198" s="36"/>
      <c r="D198" s="290"/>
      <c r="E198" s="36"/>
      <c r="F198" s="36"/>
      <c r="G198" s="84"/>
      <c r="H198" s="36"/>
      <c r="I198" s="36"/>
      <c r="J198" s="293"/>
      <c r="K198" s="83"/>
      <c r="L198" s="293"/>
      <c r="M198" s="36"/>
      <c r="N198" s="36"/>
      <c r="O198" s="37"/>
      <c r="P198" s="37"/>
      <c r="Q198" s="237"/>
      <c r="R198" s="37"/>
      <c r="S198" s="37"/>
      <c r="T198" s="37"/>
      <c r="U198" s="37"/>
      <c r="V198" s="122"/>
      <c r="W198" s="122"/>
      <c r="X198" s="37"/>
      <c r="Y198" s="37"/>
      <c r="Z198" s="37"/>
    </row>
    <row r="199" spans="1:26" ht="13">
      <c r="A199" s="238"/>
      <c r="B199" s="292"/>
      <c r="C199" s="36"/>
      <c r="D199" s="290"/>
      <c r="E199" s="36"/>
      <c r="F199" s="36"/>
      <c r="G199" s="84"/>
      <c r="H199" s="36"/>
      <c r="I199" s="36"/>
      <c r="J199" s="293"/>
      <c r="K199" s="83"/>
      <c r="L199" s="293"/>
      <c r="M199" s="36"/>
      <c r="N199" s="36"/>
      <c r="O199" s="37"/>
      <c r="P199" s="37"/>
      <c r="Q199" s="237"/>
      <c r="R199" s="37"/>
      <c r="S199" s="37"/>
      <c r="T199" s="37"/>
      <c r="U199" s="37"/>
      <c r="V199" s="122"/>
      <c r="W199" s="122"/>
      <c r="X199" s="37"/>
      <c r="Y199" s="37"/>
      <c r="Z199" s="37"/>
    </row>
    <row r="200" spans="1:26" ht="13">
      <c r="A200" s="238"/>
      <c r="B200" s="292"/>
      <c r="C200" s="36"/>
      <c r="D200" s="290"/>
      <c r="E200" s="36"/>
      <c r="F200" s="36"/>
      <c r="G200" s="84"/>
      <c r="H200" s="36"/>
      <c r="I200" s="36"/>
      <c r="J200" s="293"/>
      <c r="K200" s="83"/>
      <c r="L200" s="293"/>
      <c r="M200" s="36"/>
      <c r="N200" s="36"/>
      <c r="O200" s="37"/>
      <c r="P200" s="37"/>
      <c r="Q200" s="237"/>
      <c r="R200" s="37"/>
      <c r="S200" s="37"/>
      <c r="T200" s="37"/>
      <c r="U200" s="37"/>
      <c r="V200" s="122"/>
      <c r="W200" s="122"/>
      <c r="X200" s="37"/>
      <c r="Y200" s="37"/>
      <c r="Z200" s="37"/>
    </row>
    <row r="201" spans="1:26" ht="13">
      <c r="A201" s="238"/>
      <c r="B201" s="292"/>
      <c r="C201" s="36"/>
      <c r="D201" s="290"/>
      <c r="E201" s="36"/>
      <c r="F201" s="36"/>
      <c r="G201" s="84"/>
      <c r="H201" s="36"/>
      <c r="I201" s="36"/>
      <c r="J201" s="293"/>
      <c r="K201" s="83"/>
      <c r="L201" s="293"/>
      <c r="M201" s="36"/>
      <c r="N201" s="36"/>
      <c r="O201" s="37"/>
      <c r="P201" s="37"/>
      <c r="Q201" s="237"/>
      <c r="R201" s="37"/>
      <c r="S201" s="37"/>
      <c r="T201" s="37"/>
      <c r="U201" s="37"/>
      <c r="V201" s="122"/>
      <c r="W201" s="122"/>
      <c r="X201" s="37"/>
      <c r="Y201" s="37"/>
      <c r="Z201" s="37"/>
    </row>
    <row r="202" spans="1:26" ht="13">
      <c r="A202" s="238"/>
      <c r="B202" s="292"/>
      <c r="C202" s="36"/>
      <c r="D202" s="290"/>
      <c r="E202" s="36"/>
      <c r="F202" s="36"/>
      <c r="G202" s="84"/>
      <c r="H202" s="36"/>
      <c r="I202" s="36"/>
      <c r="J202" s="293"/>
      <c r="K202" s="83"/>
      <c r="L202" s="293"/>
      <c r="M202" s="36"/>
      <c r="N202" s="36"/>
      <c r="O202" s="37"/>
      <c r="P202" s="37"/>
      <c r="Q202" s="237"/>
      <c r="R202" s="37"/>
      <c r="S202" s="37"/>
      <c r="T202" s="37"/>
      <c r="U202" s="37"/>
      <c r="V202" s="122"/>
      <c r="W202" s="122"/>
      <c r="X202" s="37"/>
      <c r="Y202" s="37"/>
      <c r="Z202" s="37"/>
    </row>
    <row r="203" spans="1:26" ht="13">
      <c r="A203" s="238"/>
      <c r="B203" s="292"/>
      <c r="C203" s="36"/>
      <c r="D203" s="290"/>
      <c r="E203" s="36"/>
      <c r="F203" s="36"/>
      <c r="G203" s="84"/>
      <c r="H203" s="36"/>
      <c r="I203" s="36"/>
      <c r="J203" s="293"/>
      <c r="K203" s="83"/>
      <c r="L203" s="293"/>
      <c r="M203" s="36"/>
      <c r="N203" s="36"/>
      <c r="O203" s="37"/>
      <c r="P203" s="37"/>
      <c r="Q203" s="237"/>
      <c r="R203" s="37"/>
      <c r="S203" s="37"/>
      <c r="T203" s="37"/>
      <c r="U203" s="37"/>
      <c r="V203" s="122"/>
      <c r="W203" s="122"/>
      <c r="X203" s="37"/>
      <c r="Y203" s="37"/>
      <c r="Z203" s="37"/>
    </row>
    <row r="204" spans="1:26" ht="13">
      <c r="A204" s="238"/>
      <c r="B204" s="292"/>
      <c r="C204" s="36"/>
      <c r="D204" s="290"/>
      <c r="E204" s="36"/>
      <c r="F204" s="36"/>
      <c r="G204" s="84"/>
      <c r="H204" s="36"/>
      <c r="I204" s="36"/>
      <c r="J204" s="293"/>
      <c r="K204" s="83"/>
      <c r="L204" s="293"/>
      <c r="M204" s="36"/>
      <c r="N204" s="36"/>
      <c r="O204" s="37"/>
      <c r="P204" s="37"/>
      <c r="Q204" s="237"/>
      <c r="R204" s="37"/>
      <c r="S204" s="37"/>
      <c r="T204" s="37"/>
      <c r="U204" s="37"/>
      <c r="V204" s="122"/>
      <c r="W204" s="122"/>
      <c r="X204" s="37"/>
      <c r="Y204" s="37"/>
      <c r="Z204" s="37"/>
    </row>
    <row r="205" spans="1:26" ht="13">
      <c r="A205" s="238"/>
      <c r="B205" s="292"/>
      <c r="C205" s="36"/>
      <c r="D205" s="290"/>
      <c r="E205" s="36"/>
      <c r="F205" s="36"/>
      <c r="G205" s="84"/>
      <c r="H205" s="36"/>
      <c r="I205" s="36"/>
      <c r="J205" s="293"/>
      <c r="K205" s="83"/>
      <c r="L205" s="293"/>
      <c r="M205" s="36"/>
      <c r="N205" s="36"/>
      <c r="O205" s="37"/>
      <c r="P205" s="37"/>
      <c r="Q205" s="237"/>
      <c r="R205" s="37"/>
      <c r="S205" s="37"/>
      <c r="T205" s="37"/>
      <c r="U205" s="37"/>
      <c r="V205" s="122"/>
      <c r="W205" s="122"/>
      <c r="X205" s="37"/>
      <c r="Y205" s="37"/>
      <c r="Z205" s="37"/>
    </row>
    <row r="206" spans="1:26" ht="13">
      <c r="A206" s="238"/>
      <c r="B206" s="292"/>
      <c r="C206" s="36"/>
      <c r="D206" s="290"/>
      <c r="E206" s="36"/>
      <c r="F206" s="36"/>
      <c r="G206" s="84"/>
      <c r="H206" s="36"/>
      <c r="I206" s="36"/>
      <c r="J206" s="293"/>
      <c r="K206" s="83"/>
      <c r="L206" s="293"/>
      <c r="M206" s="36"/>
      <c r="N206" s="36"/>
      <c r="O206" s="37"/>
      <c r="P206" s="37"/>
      <c r="Q206" s="237"/>
      <c r="R206" s="37"/>
      <c r="S206" s="37"/>
      <c r="T206" s="37"/>
      <c r="U206" s="37"/>
      <c r="V206" s="122"/>
      <c r="W206" s="122"/>
      <c r="X206" s="37"/>
      <c r="Y206" s="37"/>
      <c r="Z206" s="37"/>
    </row>
    <row r="207" spans="1:26" ht="13">
      <c r="A207" s="238"/>
      <c r="B207" s="292"/>
      <c r="C207" s="36"/>
      <c r="D207" s="290"/>
      <c r="E207" s="36"/>
      <c r="F207" s="36"/>
      <c r="G207" s="84"/>
      <c r="H207" s="36"/>
      <c r="I207" s="36"/>
      <c r="J207" s="293"/>
      <c r="K207" s="83"/>
      <c r="L207" s="293"/>
      <c r="M207" s="36"/>
      <c r="N207" s="36"/>
      <c r="O207" s="37"/>
      <c r="P207" s="37"/>
      <c r="Q207" s="237"/>
      <c r="R207" s="37"/>
      <c r="S207" s="37"/>
      <c r="T207" s="37"/>
      <c r="U207" s="37"/>
      <c r="V207" s="122"/>
      <c r="W207" s="122"/>
      <c r="X207" s="37"/>
      <c r="Y207" s="37"/>
      <c r="Z207" s="37"/>
    </row>
    <row r="208" spans="1:26" ht="13">
      <c r="A208" s="238"/>
      <c r="B208" s="292"/>
      <c r="C208" s="36"/>
      <c r="D208" s="290"/>
      <c r="E208" s="36"/>
      <c r="F208" s="36"/>
      <c r="G208" s="84"/>
      <c r="H208" s="36"/>
      <c r="I208" s="36"/>
      <c r="J208" s="293"/>
      <c r="K208" s="83"/>
      <c r="L208" s="293"/>
      <c r="M208" s="36"/>
      <c r="N208" s="36"/>
      <c r="O208" s="37"/>
      <c r="P208" s="37"/>
      <c r="Q208" s="237"/>
      <c r="R208" s="37"/>
      <c r="S208" s="37"/>
      <c r="T208" s="37"/>
      <c r="U208" s="37"/>
      <c r="V208" s="122"/>
      <c r="W208" s="122"/>
      <c r="X208" s="37"/>
      <c r="Y208" s="37"/>
      <c r="Z208" s="37"/>
    </row>
    <row r="209" spans="1:26" ht="13">
      <c r="A209" s="238"/>
      <c r="B209" s="292"/>
      <c r="C209" s="36"/>
      <c r="D209" s="290"/>
      <c r="E209" s="36"/>
      <c r="F209" s="36"/>
      <c r="G209" s="84"/>
      <c r="H209" s="36"/>
      <c r="I209" s="36"/>
      <c r="J209" s="293"/>
      <c r="K209" s="83"/>
      <c r="L209" s="293"/>
      <c r="M209" s="36"/>
      <c r="N209" s="36"/>
      <c r="O209" s="37"/>
      <c r="P209" s="37"/>
      <c r="Q209" s="237"/>
      <c r="R209" s="37"/>
      <c r="S209" s="37"/>
      <c r="T209" s="37"/>
      <c r="U209" s="37"/>
      <c r="V209" s="122"/>
      <c r="W209" s="122"/>
      <c r="X209" s="37"/>
      <c r="Y209" s="37"/>
      <c r="Z209" s="37"/>
    </row>
    <row r="210" spans="1:26" ht="13">
      <c r="A210" s="238"/>
      <c r="B210" s="292"/>
      <c r="C210" s="36"/>
      <c r="D210" s="290"/>
      <c r="E210" s="36"/>
      <c r="F210" s="36"/>
      <c r="G210" s="84"/>
      <c r="H210" s="36"/>
      <c r="I210" s="36"/>
      <c r="J210" s="293"/>
      <c r="K210" s="83"/>
      <c r="L210" s="293"/>
      <c r="M210" s="36"/>
      <c r="N210" s="36"/>
      <c r="O210" s="37"/>
      <c r="P210" s="37"/>
      <c r="Q210" s="237"/>
      <c r="R210" s="37"/>
      <c r="S210" s="37"/>
      <c r="T210" s="37"/>
      <c r="U210" s="37"/>
      <c r="V210" s="122"/>
      <c r="W210" s="122"/>
      <c r="X210" s="37"/>
      <c r="Y210" s="37"/>
      <c r="Z210" s="37"/>
    </row>
    <row r="211" spans="1:26" ht="13">
      <c r="A211" s="238"/>
      <c r="B211" s="292"/>
      <c r="C211" s="36"/>
      <c r="D211" s="290"/>
      <c r="E211" s="36"/>
      <c r="F211" s="36"/>
      <c r="G211" s="84"/>
      <c r="H211" s="36"/>
      <c r="I211" s="36"/>
      <c r="J211" s="293"/>
      <c r="K211" s="83"/>
      <c r="L211" s="293"/>
      <c r="M211" s="36"/>
      <c r="N211" s="36"/>
      <c r="O211" s="37"/>
      <c r="P211" s="37"/>
      <c r="Q211" s="237"/>
      <c r="R211" s="37"/>
      <c r="S211" s="37"/>
      <c r="T211" s="37"/>
      <c r="U211" s="37"/>
      <c r="V211" s="122"/>
      <c r="W211" s="122"/>
      <c r="X211" s="37"/>
      <c r="Y211" s="37"/>
      <c r="Z211" s="37"/>
    </row>
    <row r="212" spans="1:26" ht="13">
      <c r="A212" s="238"/>
      <c r="B212" s="292"/>
      <c r="C212" s="36"/>
      <c r="D212" s="290"/>
      <c r="E212" s="36"/>
      <c r="F212" s="36"/>
      <c r="G212" s="84"/>
      <c r="H212" s="36"/>
      <c r="I212" s="36"/>
      <c r="J212" s="293"/>
      <c r="K212" s="83"/>
      <c r="L212" s="293"/>
      <c r="M212" s="36"/>
      <c r="N212" s="36"/>
      <c r="O212" s="37"/>
      <c r="P212" s="37"/>
      <c r="Q212" s="237"/>
      <c r="R212" s="37"/>
      <c r="S212" s="37"/>
      <c r="T212" s="37"/>
      <c r="U212" s="37"/>
      <c r="V212" s="122"/>
      <c r="W212" s="122"/>
      <c r="X212" s="37"/>
      <c r="Y212" s="37"/>
      <c r="Z212" s="37"/>
    </row>
    <row r="213" spans="1:26" ht="13">
      <c r="A213" s="238"/>
      <c r="B213" s="292"/>
      <c r="C213" s="36"/>
      <c r="D213" s="290"/>
      <c r="E213" s="36"/>
      <c r="F213" s="36"/>
      <c r="G213" s="84"/>
      <c r="H213" s="36"/>
      <c r="I213" s="36"/>
      <c r="J213" s="293"/>
      <c r="K213" s="83"/>
      <c r="L213" s="293"/>
      <c r="M213" s="36"/>
      <c r="N213" s="36"/>
      <c r="O213" s="37"/>
      <c r="P213" s="37"/>
      <c r="Q213" s="237"/>
      <c r="R213" s="37"/>
      <c r="S213" s="37"/>
      <c r="T213" s="37"/>
      <c r="U213" s="37"/>
      <c r="V213" s="122"/>
      <c r="W213" s="122"/>
      <c r="X213" s="37"/>
      <c r="Y213" s="37"/>
      <c r="Z213" s="37"/>
    </row>
    <row r="214" spans="1:26" ht="13">
      <c r="A214" s="238"/>
      <c r="B214" s="292"/>
      <c r="C214" s="36"/>
      <c r="D214" s="290"/>
      <c r="E214" s="36"/>
      <c r="F214" s="36"/>
      <c r="G214" s="84"/>
      <c r="H214" s="36"/>
      <c r="I214" s="36"/>
      <c r="J214" s="293"/>
      <c r="K214" s="83"/>
      <c r="L214" s="293"/>
      <c r="M214" s="36"/>
      <c r="N214" s="36"/>
      <c r="O214" s="37"/>
      <c r="P214" s="37"/>
      <c r="Q214" s="237"/>
      <c r="R214" s="37"/>
      <c r="S214" s="37"/>
      <c r="T214" s="37"/>
      <c r="U214" s="37"/>
      <c r="V214" s="122"/>
      <c r="W214" s="122"/>
      <c r="X214" s="37"/>
      <c r="Y214" s="37"/>
      <c r="Z214" s="37"/>
    </row>
    <row r="215" spans="1:26" ht="13">
      <c r="A215" s="238"/>
      <c r="B215" s="292"/>
      <c r="C215" s="36"/>
      <c r="D215" s="290"/>
      <c r="E215" s="36"/>
      <c r="F215" s="36"/>
      <c r="G215" s="84"/>
      <c r="H215" s="36"/>
      <c r="I215" s="36"/>
      <c r="J215" s="293"/>
      <c r="K215" s="83"/>
      <c r="L215" s="293"/>
      <c r="M215" s="36"/>
      <c r="N215" s="36"/>
      <c r="O215" s="37"/>
      <c r="P215" s="37"/>
      <c r="Q215" s="237"/>
      <c r="R215" s="37"/>
      <c r="S215" s="37"/>
      <c r="T215" s="37"/>
      <c r="U215" s="37"/>
      <c r="V215" s="122"/>
      <c r="W215" s="122"/>
      <c r="X215" s="37"/>
      <c r="Y215" s="37"/>
      <c r="Z215" s="37"/>
    </row>
    <row r="216" spans="1:26" ht="13">
      <c r="A216" s="238"/>
      <c r="B216" s="292"/>
      <c r="C216" s="36"/>
      <c r="D216" s="290"/>
      <c r="E216" s="36"/>
      <c r="F216" s="36"/>
      <c r="G216" s="84"/>
      <c r="H216" s="36"/>
      <c r="I216" s="36"/>
      <c r="J216" s="293"/>
      <c r="K216" s="83"/>
      <c r="L216" s="293"/>
      <c r="M216" s="36"/>
      <c r="N216" s="36"/>
      <c r="O216" s="37"/>
      <c r="P216" s="37"/>
      <c r="Q216" s="237"/>
      <c r="R216" s="37"/>
      <c r="S216" s="37"/>
      <c r="T216" s="37"/>
      <c r="U216" s="37"/>
      <c r="V216" s="122"/>
      <c r="W216" s="122"/>
      <c r="X216" s="37"/>
      <c r="Y216" s="37"/>
      <c r="Z216" s="37"/>
    </row>
    <row r="217" spans="1:26" ht="13">
      <c r="A217" s="238"/>
      <c r="B217" s="292"/>
      <c r="C217" s="36"/>
      <c r="D217" s="290"/>
      <c r="E217" s="36"/>
      <c r="F217" s="36"/>
      <c r="G217" s="84"/>
      <c r="H217" s="36"/>
      <c r="I217" s="36"/>
      <c r="J217" s="293"/>
      <c r="K217" s="83"/>
      <c r="L217" s="293"/>
      <c r="M217" s="36"/>
      <c r="N217" s="36"/>
      <c r="O217" s="37"/>
      <c r="P217" s="37"/>
      <c r="Q217" s="237"/>
      <c r="R217" s="37"/>
      <c r="S217" s="37"/>
      <c r="T217" s="37"/>
      <c r="U217" s="37"/>
      <c r="V217" s="122"/>
      <c r="W217" s="122"/>
      <c r="X217" s="37"/>
      <c r="Y217" s="37"/>
      <c r="Z217" s="37"/>
    </row>
    <row r="218" spans="1:26" ht="13">
      <c r="A218" s="238"/>
      <c r="B218" s="292"/>
      <c r="C218" s="36"/>
      <c r="D218" s="290"/>
      <c r="E218" s="36"/>
      <c r="F218" s="36"/>
      <c r="G218" s="84"/>
      <c r="H218" s="36"/>
      <c r="I218" s="36"/>
      <c r="J218" s="293"/>
      <c r="K218" s="83"/>
      <c r="L218" s="293"/>
      <c r="M218" s="36"/>
      <c r="N218" s="36"/>
      <c r="O218" s="37"/>
      <c r="P218" s="37"/>
      <c r="Q218" s="237"/>
      <c r="R218" s="37"/>
      <c r="S218" s="37"/>
      <c r="T218" s="37"/>
      <c r="U218" s="37"/>
      <c r="V218" s="122"/>
      <c r="W218" s="122"/>
      <c r="X218" s="37"/>
      <c r="Y218" s="37"/>
      <c r="Z218" s="37"/>
    </row>
    <row r="219" spans="1:26" ht="13">
      <c r="A219" s="238"/>
      <c r="B219" s="292"/>
      <c r="C219" s="36"/>
      <c r="D219" s="290"/>
      <c r="E219" s="36"/>
      <c r="F219" s="36"/>
      <c r="G219" s="84"/>
      <c r="H219" s="36"/>
      <c r="I219" s="36"/>
      <c r="J219" s="293"/>
      <c r="K219" s="83"/>
      <c r="L219" s="293"/>
      <c r="M219" s="36"/>
      <c r="N219" s="36"/>
      <c r="O219" s="37"/>
      <c r="P219" s="37"/>
      <c r="Q219" s="237"/>
      <c r="R219" s="37"/>
      <c r="S219" s="37"/>
      <c r="T219" s="37"/>
      <c r="U219" s="37"/>
      <c r="V219" s="122"/>
      <c r="W219" s="122"/>
      <c r="X219" s="37"/>
      <c r="Y219" s="37"/>
      <c r="Z219" s="37"/>
    </row>
    <row r="220" spans="1:26" ht="13">
      <c r="A220" s="238"/>
      <c r="B220" s="292"/>
      <c r="C220" s="36"/>
      <c r="D220" s="290"/>
      <c r="E220" s="36"/>
      <c r="F220" s="36"/>
      <c r="G220" s="84"/>
      <c r="H220" s="36"/>
      <c r="I220" s="36"/>
      <c r="J220" s="293"/>
      <c r="K220" s="83"/>
      <c r="L220" s="293"/>
      <c r="M220" s="36"/>
      <c r="N220" s="36"/>
      <c r="O220" s="37"/>
      <c r="P220" s="37"/>
      <c r="Q220" s="237"/>
      <c r="R220" s="37"/>
      <c r="S220" s="37"/>
      <c r="T220" s="37"/>
      <c r="U220" s="37"/>
      <c r="V220" s="122"/>
      <c r="W220" s="122"/>
      <c r="X220" s="37"/>
      <c r="Y220" s="37"/>
      <c r="Z220" s="37"/>
    </row>
    <row r="221" spans="1:26" ht="13">
      <c r="A221" s="238"/>
      <c r="B221" s="292"/>
      <c r="C221" s="36"/>
      <c r="D221" s="290"/>
      <c r="E221" s="36"/>
      <c r="F221" s="36"/>
      <c r="G221" s="84"/>
      <c r="H221" s="36"/>
      <c r="I221" s="36"/>
      <c r="J221" s="293"/>
      <c r="K221" s="83"/>
      <c r="L221" s="293"/>
      <c r="M221" s="36"/>
      <c r="N221" s="36"/>
      <c r="O221" s="37"/>
      <c r="P221" s="37"/>
      <c r="Q221" s="237"/>
      <c r="R221" s="37"/>
      <c r="S221" s="37"/>
      <c r="T221" s="37"/>
      <c r="U221" s="37"/>
      <c r="V221" s="122"/>
      <c r="W221" s="122"/>
      <c r="X221" s="37"/>
      <c r="Y221" s="37"/>
      <c r="Z221" s="37"/>
    </row>
    <row r="222" spans="1:26" ht="13">
      <c r="A222" s="238"/>
      <c r="B222" s="292"/>
      <c r="C222" s="36"/>
      <c r="D222" s="290"/>
      <c r="E222" s="36"/>
      <c r="F222" s="36"/>
      <c r="G222" s="84"/>
      <c r="H222" s="36"/>
      <c r="I222" s="36"/>
      <c r="J222" s="293"/>
      <c r="K222" s="83"/>
      <c r="L222" s="293"/>
      <c r="M222" s="36"/>
      <c r="N222" s="36"/>
      <c r="O222" s="37"/>
      <c r="P222" s="37"/>
      <c r="Q222" s="237"/>
      <c r="R222" s="37"/>
      <c r="S222" s="37"/>
      <c r="T222" s="37"/>
      <c r="U222" s="37"/>
      <c r="V222" s="122"/>
      <c r="W222" s="122"/>
      <c r="X222" s="37"/>
      <c r="Y222" s="37"/>
      <c r="Z222" s="37"/>
    </row>
    <row r="223" spans="1:26" ht="13">
      <c r="A223" s="238"/>
      <c r="B223" s="292"/>
      <c r="C223" s="36"/>
      <c r="D223" s="290"/>
      <c r="E223" s="36"/>
      <c r="F223" s="36"/>
      <c r="G223" s="84"/>
      <c r="H223" s="36"/>
      <c r="I223" s="36"/>
      <c r="J223" s="293"/>
      <c r="K223" s="83"/>
      <c r="L223" s="293"/>
      <c r="M223" s="36"/>
      <c r="N223" s="36"/>
      <c r="O223" s="37"/>
      <c r="P223" s="37"/>
      <c r="Q223" s="237"/>
      <c r="R223" s="37"/>
      <c r="S223" s="37"/>
      <c r="T223" s="37"/>
      <c r="U223" s="37"/>
      <c r="V223" s="122"/>
      <c r="W223" s="122"/>
      <c r="X223" s="37"/>
      <c r="Y223" s="37"/>
      <c r="Z223" s="37"/>
    </row>
    <row r="224" spans="1:26" ht="13">
      <c r="A224" s="238"/>
      <c r="B224" s="292"/>
      <c r="C224" s="36"/>
      <c r="D224" s="290"/>
      <c r="E224" s="36"/>
      <c r="F224" s="36"/>
      <c r="G224" s="84"/>
      <c r="H224" s="36"/>
      <c r="I224" s="36"/>
      <c r="J224" s="293"/>
      <c r="K224" s="83"/>
      <c r="L224" s="293"/>
      <c r="M224" s="36"/>
      <c r="N224" s="36"/>
      <c r="O224" s="37"/>
      <c r="P224" s="37"/>
      <c r="Q224" s="237"/>
      <c r="R224" s="37"/>
      <c r="S224" s="37"/>
      <c r="T224" s="37"/>
      <c r="U224" s="37"/>
      <c r="V224" s="122"/>
      <c r="W224" s="122"/>
      <c r="X224" s="37"/>
      <c r="Y224" s="37"/>
      <c r="Z224" s="37"/>
    </row>
    <row r="225" spans="1:26" ht="13">
      <c r="A225" s="238"/>
      <c r="B225" s="292"/>
      <c r="C225" s="36"/>
      <c r="D225" s="290"/>
      <c r="E225" s="36"/>
      <c r="F225" s="36"/>
      <c r="G225" s="84"/>
      <c r="H225" s="36"/>
      <c r="I225" s="36"/>
      <c r="J225" s="293"/>
      <c r="K225" s="83"/>
      <c r="L225" s="293"/>
      <c r="M225" s="36"/>
      <c r="N225" s="36"/>
      <c r="O225" s="37"/>
      <c r="P225" s="37"/>
      <c r="Q225" s="237"/>
      <c r="R225" s="37"/>
      <c r="S225" s="37"/>
      <c r="T225" s="37"/>
      <c r="U225" s="37"/>
      <c r="V225" s="122"/>
      <c r="W225" s="122"/>
      <c r="X225" s="37"/>
      <c r="Y225" s="37"/>
      <c r="Z225" s="37"/>
    </row>
    <row r="226" spans="1:26" ht="13">
      <c r="A226" s="238"/>
      <c r="B226" s="292"/>
      <c r="C226" s="36"/>
      <c r="D226" s="290"/>
      <c r="E226" s="36"/>
      <c r="F226" s="36"/>
      <c r="G226" s="84"/>
      <c r="H226" s="36"/>
      <c r="I226" s="36"/>
      <c r="J226" s="293"/>
      <c r="K226" s="83"/>
      <c r="L226" s="293"/>
      <c r="M226" s="36"/>
      <c r="N226" s="36"/>
      <c r="O226" s="37"/>
      <c r="P226" s="37"/>
      <c r="Q226" s="237"/>
      <c r="R226" s="37"/>
      <c r="S226" s="37"/>
      <c r="T226" s="37"/>
      <c r="U226" s="37"/>
      <c r="V226" s="122"/>
      <c r="W226" s="122"/>
      <c r="X226" s="37"/>
      <c r="Y226" s="37"/>
      <c r="Z226" s="37"/>
    </row>
    <row r="227" spans="1:26" ht="13">
      <c r="A227" s="238"/>
      <c r="B227" s="292"/>
      <c r="C227" s="36"/>
      <c r="D227" s="290"/>
      <c r="E227" s="36"/>
      <c r="F227" s="36"/>
      <c r="G227" s="84"/>
      <c r="H227" s="36"/>
      <c r="I227" s="36"/>
      <c r="J227" s="293"/>
      <c r="K227" s="83"/>
      <c r="L227" s="293"/>
      <c r="M227" s="36"/>
      <c r="N227" s="36"/>
      <c r="O227" s="37"/>
      <c r="P227" s="37"/>
      <c r="Q227" s="237"/>
      <c r="R227" s="37"/>
      <c r="S227" s="37"/>
      <c r="T227" s="37"/>
      <c r="U227" s="37"/>
      <c r="V227" s="122"/>
      <c r="W227" s="122"/>
      <c r="X227" s="37"/>
      <c r="Y227" s="37"/>
      <c r="Z227" s="37"/>
    </row>
    <row r="228" spans="1:26" ht="13">
      <c r="A228" s="238"/>
      <c r="B228" s="292"/>
      <c r="C228" s="36"/>
      <c r="D228" s="290"/>
      <c r="E228" s="36"/>
      <c r="F228" s="36"/>
      <c r="G228" s="84"/>
      <c r="H228" s="36"/>
      <c r="I228" s="36"/>
      <c r="J228" s="293"/>
      <c r="K228" s="83"/>
      <c r="L228" s="293"/>
      <c r="M228" s="36"/>
      <c r="N228" s="36"/>
      <c r="O228" s="37"/>
      <c r="P228" s="37"/>
      <c r="Q228" s="237"/>
      <c r="R228" s="37"/>
      <c r="S228" s="37"/>
      <c r="T228" s="37"/>
      <c r="U228" s="37"/>
      <c r="V228" s="122"/>
      <c r="W228" s="122"/>
      <c r="X228" s="37"/>
      <c r="Y228" s="37"/>
      <c r="Z228" s="37"/>
    </row>
    <row r="229" spans="1:26" ht="13">
      <c r="A229" s="238"/>
      <c r="B229" s="292"/>
      <c r="C229" s="36"/>
      <c r="D229" s="290"/>
      <c r="E229" s="36"/>
      <c r="F229" s="36"/>
      <c r="G229" s="84"/>
      <c r="H229" s="36"/>
      <c r="I229" s="36"/>
      <c r="J229" s="293"/>
      <c r="K229" s="83"/>
      <c r="L229" s="293"/>
      <c r="M229" s="36"/>
      <c r="N229" s="36"/>
      <c r="O229" s="37"/>
      <c r="P229" s="37"/>
      <c r="Q229" s="237"/>
      <c r="R229" s="37"/>
      <c r="S229" s="37"/>
      <c r="T229" s="37"/>
      <c r="U229" s="37"/>
      <c r="V229" s="122"/>
      <c r="W229" s="122"/>
      <c r="X229" s="37"/>
      <c r="Y229" s="37"/>
      <c r="Z229" s="37"/>
    </row>
    <row r="230" spans="1:26" ht="13">
      <c r="A230" s="238"/>
      <c r="B230" s="292"/>
      <c r="C230" s="36"/>
      <c r="D230" s="290"/>
      <c r="E230" s="36"/>
      <c r="F230" s="36"/>
      <c r="G230" s="84"/>
      <c r="H230" s="36"/>
      <c r="I230" s="36"/>
      <c r="J230" s="293"/>
      <c r="K230" s="83"/>
      <c r="L230" s="293"/>
      <c r="M230" s="36"/>
      <c r="N230" s="36"/>
      <c r="O230" s="37"/>
      <c r="P230" s="37"/>
      <c r="Q230" s="237"/>
      <c r="R230" s="37"/>
      <c r="S230" s="37"/>
      <c r="T230" s="37"/>
      <c r="U230" s="37"/>
      <c r="V230" s="122"/>
      <c r="W230" s="122"/>
      <c r="X230" s="37"/>
      <c r="Y230" s="37"/>
      <c r="Z230" s="37"/>
    </row>
    <row r="231" spans="1:26" ht="13">
      <c r="A231" s="238"/>
      <c r="B231" s="292"/>
      <c r="C231" s="36"/>
      <c r="D231" s="290"/>
      <c r="E231" s="36"/>
      <c r="F231" s="36"/>
      <c r="G231" s="84"/>
      <c r="H231" s="36"/>
      <c r="I231" s="36"/>
      <c r="J231" s="293"/>
      <c r="K231" s="83"/>
      <c r="L231" s="293"/>
      <c r="M231" s="36"/>
      <c r="N231" s="36"/>
      <c r="O231" s="37"/>
      <c r="P231" s="37"/>
      <c r="Q231" s="237"/>
      <c r="R231" s="37"/>
      <c r="S231" s="37"/>
      <c r="T231" s="37"/>
      <c r="U231" s="37"/>
      <c r="V231" s="122"/>
      <c r="W231" s="122"/>
      <c r="X231" s="37"/>
      <c r="Y231" s="37"/>
      <c r="Z231" s="37"/>
    </row>
    <row r="232" spans="1:26" ht="13">
      <c r="A232" s="238"/>
      <c r="B232" s="292"/>
      <c r="C232" s="36"/>
      <c r="D232" s="290"/>
      <c r="E232" s="36"/>
      <c r="F232" s="36"/>
      <c r="G232" s="84"/>
      <c r="H232" s="36"/>
      <c r="I232" s="36"/>
      <c r="J232" s="293"/>
      <c r="K232" s="83"/>
      <c r="L232" s="293"/>
      <c r="M232" s="36"/>
      <c r="N232" s="36"/>
      <c r="O232" s="37"/>
      <c r="P232" s="37"/>
      <c r="Q232" s="237"/>
      <c r="R232" s="37"/>
      <c r="S232" s="37"/>
      <c r="T232" s="37"/>
      <c r="U232" s="37"/>
      <c r="V232" s="122"/>
      <c r="W232" s="122"/>
      <c r="X232" s="37"/>
      <c r="Y232" s="37"/>
      <c r="Z232" s="37"/>
    </row>
    <row r="233" spans="1:26" ht="13">
      <c r="A233" s="238"/>
      <c r="B233" s="292"/>
      <c r="C233" s="36"/>
      <c r="D233" s="290"/>
      <c r="E233" s="36"/>
      <c r="F233" s="36"/>
      <c r="G233" s="84"/>
      <c r="H233" s="36"/>
      <c r="I233" s="36"/>
      <c r="J233" s="293"/>
      <c r="K233" s="83"/>
      <c r="L233" s="293"/>
      <c r="M233" s="36"/>
      <c r="N233" s="36"/>
      <c r="O233" s="37"/>
      <c r="P233" s="37"/>
      <c r="Q233" s="237"/>
      <c r="R233" s="37"/>
      <c r="S233" s="37"/>
      <c r="T233" s="37"/>
      <c r="U233" s="37"/>
      <c r="V233" s="122"/>
      <c r="W233" s="122"/>
      <c r="X233" s="37"/>
      <c r="Y233" s="37"/>
      <c r="Z233" s="37"/>
    </row>
    <row r="234" spans="1:26" ht="13">
      <c r="A234" s="238"/>
      <c r="B234" s="292"/>
      <c r="C234" s="36"/>
      <c r="D234" s="290"/>
      <c r="E234" s="36"/>
      <c r="F234" s="36"/>
      <c r="G234" s="84"/>
      <c r="H234" s="36"/>
      <c r="I234" s="36"/>
      <c r="J234" s="293"/>
      <c r="K234" s="83"/>
      <c r="L234" s="293"/>
      <c r="M234" s="36"/>
      <c r="N234" s="36"/>
      <c r="O234" s="37"/>
      <c r="P234" s="37"/>
      <c r="Q234" s="237"/>
      <c r="R234" s="37"/>
      <c r="S234" s="37"/>
      <c r="T234" s="37"/>
      <c r="U234" s="37"/>
      <c r="V234" s="122"/>
      <c r="W234" s="122"/>
      <c r="X234" s="37"/>
      <c r="Y234" s="37"/>
      <c r="Z234" s="37"/>
    </row>
    <row r="235" spans="1:26" ht="13">
      <c r="A235" s="238"/>
      <c r="B235" s="292"/>
      <c r="C235" s="36"/>
      <c r="D235" s="290"/>
      <c r="E235" s="36"/>
      <c r="F235" s="36"/>
      <c r="G235" s="84"/>
      <c r="H235" s="36"/>
      <c r="I235" s="36"/>
      <c r="J235" s="293"/>
      <c r="K235" s="83"/>
      <c r="L235" s="293"/>
      <c r="M235" s="36"/>
      <c r="N235" s="36"/>
      <c r="O235" s="37"/>
      <c r="P235" s="37"/>
      <c r="Q235" s="237"/>
      <c r="R235" s="37"/>
      <c r="S235" s="37"/>
      <c r="T235" s="37"/>
      <c r="U235" s="37"/>
      <c r="V235" s="122"/>
      <c r="W235" s="122"/>
      <c r="X235" s="37"/>
      <c r="Y235" s="37"/>
      <c r="Z235" s="37"/>
    </row>
    <row r="236" spans="1:26" ht="13">
      <c r="A236" s="238"/>
      <c r="B236" s="292"/>
      <c r="C236" s="36"/>
      <c r="D236" s="290"/>
      <c r="E236" s="36"/>
      <c r="F236" s="36"/>
      <c r="G236" s="84"/>
      <c r="H236" s="36"/>
      <c r="I236" s="36"/>
      <c r="J236" s="293"/>
      <c r="K236" s="83"/>
      <c r="L236" s="293"/>
      <c r="M236" s="36"/>
      <c r="N236" s="36"/>
      <c r="O236" s="37"/>
      <c r="P236" s="37"/>
      <c r="Q236" s="237"/>
      <c r="R236" s="37"/>
      <c r="S236" s="37"/>
      <c r="T236" s="37"/>
      <c r="U236" s="37"/>
      <c r="V236" s="122"/>
      <c r="W236" s="122"/>
      <c r="X236" s="37"/>
      <c r="Y236" s="37"/>
      <c r="Z236" s="37"/>
    </row>
    <row r="237" spans="1:26" ht="13">
      <c r="A237" s="238"/>
      <c r="B237" s="292"/>
      <c r="C237" s="36"/>
      <c r="D237" s="290"/>
      <c r="E237" s="36"/>
      <c r="F237" s="36"/>
      <c r="G237" s="84"/>
      <c r="H237" s="36"/>
      <c r="I237" s="36"/>
      <c r="J237" s="293"/>
      <c r="K237" s="83"/>
      <c r="L237" s="293"/>
      <c r="M237" s="36"/>
      <c r="N237" s="36"/>
      <c r="O237" s="37"/>
      <c r="P237" s="37"/>
      <c r="Q237" s="237"/>
      <c r="R237" s="37"/>
      <c r="S237" s="37"/>
      <c r="T237" s="37"/>
      <c r="U237" s="37"/>
      <c r="V237" s="122"/>
      <c r="W237" s="122"/>
      <c r="X237" s="37"/>
      <c r="Y237" s="37"/>
      <c r="Z237" s="37"/>
    </row>
    <row r="238" spans="1:26" ht="13">
      <c r="A238" s="238"/>
      <c r="B238" s="292"/>
      <c r="C238" s="36"/>
      <c r="D238" s="290"/>
      <c r="E238" s="36"/>
      <c r="F238" s="36"/>
      <c r="G238" s="84"/>
      <c r="H238" s="36"/>
      <c r="I238" s="36"/>
      <c r="J238" s="293"/>
      <c r="K238" s="83"/>
      <c r="L238" s="293"/>
      <c r="M238" s="36"/>
      <c r="N238" s="36"/>
      <c r="O238" s="37"/>
      <c r="P238" s="37"/>
      <c r="Q238" s="237"/>
      <c r="R238" s="37"/>
      <c r="S238" s="37"/>
      <c r="T238" s="37"/>
      <c r="U238" s="37"/>
      <c r="V238" s="122"/>
      <c r="W238" s="122"/>
      <c r="X238" s="37"/>
      <c r="Y238" s="37"/>
      <c r="Z238" s="37"/>
    </row>
    <row r="239" spans="1:26" ht="13">
      <c r="A239" s="238"/>
      <c r="B239" s="292"/>
      <c r="C239" s="36"/>
      <c r="D239" s="290"/>
      <c r="E239" s="36"/>
      <c r="F239" s="36"/>
      <c r="G239" s="84"/>
      <c r="H239" s="36"/>
      <c r="I239" s="36"/>
      <c r="J239" s="293"/>
      <c r="K239" s="83"/>
      <c r="L239" s="293"/>
      <c r="M239" s="36"/>
      <c r="N239" s="36"/>
      <c r="O239" s="37"/>
      <c r="P239" s="37"/>
      <c r="Q239" s="237"/>
      <c r="R239" s="37"/>
      <c r="S239" s="37"/>
      <c r="T239" s="37"/>
      <c r="U239" s="37"/>
      <c r="V239" s="122"/>
      <c r="W239" s="122"/>
      <c r="X239" s="37"/>
      <c r="Y239" s="37"/>
      <c r="Z239" s="37"/>
    </row>
    <row r="240" spans="1:26" ht="13">
      <c r="A240" s="238"/>
      <c r="B240" s="292"/>
      <c r="C240" s="36"/>
      <c r="D240" s="290"/>
      <c r="E240" s="36"/>
      <c r="F240" s="36"/>
      <c r="G240" s="84"/>
      <c r="H240" s="36"/>
      <c r="I240" s="36"/>
      <c r="J240" s="293"/>
      <c r="K240" s="83"/>
      <c r="L240" s="293"/>
      <c r="M240" s="36"/>
      <c r="N240" s="36"/>
      <c r="O240" s="37"/>
      <c r="P240" s="37"/>
      <c r="Q240" s="237"/>
      <c r="R240" s="37"/>
      <c r="S240" s="37"/>
      <c r="T240" s="37"/>
      <c r="U240" s="37"/>
      <c r="V240" s="122"/>
      <c r="W240" s="122"/>
      <c r="X240" s="37"/>
      <c r="Y240" s="37"/>
      <c r="Z240" s="37"/>
    </row>
    <row r="241" spans="1:26" ht="13">
      <c r="A241" s="238"/>
      <c r="B241" s="292"/>
      <c r="C241" s="36"/>
      <c r="D241" s="290"/>
      <c r="E241" s="36"/>
      <c r="F241" s="36"/>
      <c r="G241" s="84"/>
      <c r="H241" s="36"/>
      <c r="I241" s="36"/>
      <c r="J241" s="293"/>
      <c r="K241" s="83"/>
      <c r="L241" s="293"/>
      <c r="M241" s="36"/>
      <c r="N241" s="36"/>
      <c r="O241" s="37"/>
      <c r="P241" s="37"/>
      <c r="Q241" s="237"/>
      <c r="R241" s="37"/>
      <c r="S241" s="37"/>
      <c r="T241" s="37"/>
      <c r="U241" s="37"/>
      <c r="V241" s="122"/>
      <c r="W241" s="122"/>
      <c r="X241" s="37"/>
      <c r="Y241" s="37"/>
      <c r="Z241" s="37"/>
    </row>
    <row r="242" spans="1:26" ht="13">
      <c r="A242" s="238"/>
      <c r="B242" s="292"/>
      <c r="C242" s="36"/>
      <c r="D242" s="290"/>
      <c r="E242" s="36"/>
      <c r="F242" s="36"/>
      <c r="G242" s="84"/>
      <c r="H242" s="36"/>
      <c r="I242" s="36"/>
      <c r="J242" s="293"/>
      <c r="K242" s="83"/>
      <c r="L242" s="293"/>
      <c r="M242" s="36"/>
      <c r="N242" s="36"/>
      <c r="O242" s="37"/>
      <c r="P242" s="37"/>
      <c r="Q242" s="237"/>
      <c r="R242" s="37"/>
      <c r="S242" s="37"/>
      <c r="T242" s="37"/>
      <c r="U242" s="37"/>
      <c r="V242" s="122"/>
      <c r="W242" s="122"/>
      <c r="X242" s="37"/>
      <c r="Y242" s="37"/>
      <c r="Z242" s="37"/>
    </row>
    <row r="243" spans="1:26" ht="13">
      <c r="A243" s="238"/>
      <c r="B243" s="292"/>
      <c r="C243" s="36"/>
      <c r="D243" s="290"/>
      <c r="E243" s="36"/>
      <c r="F243" s="36"/>
      <c r="G243" s="84"/>
      <c r="H243" s="36"/>
      <c r="I243" s="36"/>
      <c r="J243" s="293"/>
      <c r="K243" s="83"/>
      <c r="L243" s="293"/>
      <c r="M243" s="36"/>
      <c r="N243" s="36"/>
      <c r="O243" s="37"/>
      <c r="P243" s="37"/>
      <c r="Q243" s="237"/>
      <c r="R243" s="37"/>
      <c r="S243" s="37"/>
      <c r="T243" s="37"/>
      <c r="U243" s="37"/>
      <c r="V243" s="122"/>
      <c r="W243" s="122"/>
      <c r="X243" s="37"/>
      <c r="Y243" s="37"/>
      <c r="Z243" s="37"/>
    </row>
    <row r="244" spans="1:26" ht="13">
      <c r="A244" s="238"/>
      <c r="B244" s="292"/>
      <c r="C244" s="36"/>
      <c r="D244" s="290"/>
      <c r="E244" s="36"/>
      <c r="F244" s="36"/>
      <c r="G244" s="84"/>
      <c r="H244" s="36"/>
      <c r="I244" s="36"/>
      <c r="J244" s="293"/>
      <c r="K244" s="83"/>
      <c r="L244" s="293"/>
      <c r="M244" s="36"/>
      <c r="N244" s="36"/>
      <c r="O244" s="37"/>
      <c r="P244" s="37"/>
      <c r="Q244" s="237"/>
      <c r="R244" s="37"/>
      <c r="S244" s="37"/>
      <c r="T244" s="37"/>
      <c r="U244" s="37"/>
      <c r="V244" s="122"/>
      <c r="W244" s="122"/>
      <c r="X244" s="37"/>
      <c r="Y244" s="37"/>
      <c r="Z244" s="37"/>
    </row>
    <row r="245" spans="1:26" ht="13">
      <c r="A245" s="238"/>
      <c r="B245" s="292"/>
      <c r="C245" s="36"/>
      <c r="D245" s="290"/>
      <c r="E245" s="36"/>
      <c r="F245" s="36"/>
      <c r="G245" s="84"/>
      <c r="H245" s="36"/>
      <c r="I245" s="36"/>
      <c r="J245" s="293"/>
      <c r="K245" s="83"/>
      <c r="L245" s="293"/>
      <c r="M245" s="36"/>
      <c r="N245" s="36"/>
      <c r="O245" s="37"/>
      <c r="P245" s="37"/>
      <c r="Q245" s="237"/>
      <c r="R245" s="37"/>
      <c r="S245" s="37"/>
      <c r="T245" s="37"/>
      <c r="U245" s="37"/>
      <c r="V245" s="122"/>
      <c r="W245" s="122"/>
      <c r="X245" s="37"/>
      <c r="Y245" s="37"/>
      <c r="Z245" s="37"/>
    </row>
    <row r="246" spans="1:26" ht="13">
      <c r="A246" s="238"/>
      <c r="B246" s="292"/>
      <c r="C246" s="36"/>
      <c r="D246" s="290"/>
      <c r="E246" s="36"/>
      <c r="F246" s="36"/>
      <c r="G246" s="84"/>
      <c r="H246" s="36"/>
      <c r="I246" s="36"/>
      <c r="J246" s="293"/>
      <c r="K246" s="83"/>
      <c r="L246" s="293"/>
      <c r="M246" s="36"/>
      <c r="N246" s="36"/>
      <c r="O246" s="37"/>
      <c r="P246" s="37"/>
      <c r="Q246" s="237"/>
      <c r="R246" s="37"/>
      <c r="S246" s="37"/>
      <c r="T246" s="37"/>
      <c r="U246" s="37"/>
      <c r="V246" s="122"/>
      <c r="W246" s="122"/>
      <c r="X246" s="37"/>
      <c r="Y246" s="37"/>
      <c r="Z246" s="37"/>
    </row>
    <row r="247" spans="1:26" ht="13">
      <c r="A247" s="238"/>
      <c r="B247" s="292"/>
      <c r="C247" s="36"/>
      <c r="D247" s="290"/>
      <c r="E247" s="36"/>
      <c r="F247" s="36"/>
      <c r="G247" s="84"/>
      <c r="H247" s="36"/>
      <c r="I247" s="36"/>
      <c r="J247" s="293"/>
      <c r="K247" s="83"/>
      <c r="L247" s="293"/>
      <c r="M247" s="36"/>
      <c r="N247" s="36"/>
      <c r="O247" s="37"/>
      <c r="P247" s="37"/>
      <c r="Q247" s="237"/>
      <c r="R247" s="37"/>
      <c r="S247" s="37"/>
      <c r="T247" s="37"/>
      <c r="U247" s="37"/>
      <c r="V247" s="122"/>
      <c r="W247" s="122"/>
      <c r="X247" s="37"/>
      <c r="Y247" s="37"/>
      <c r="Z247" s="37"/>
    </row>
    <row r="248" spans="1:26" ht="13">
      <c r="A248" s="238"/>
      <c r="B248" s="292"/>
      <c r="C248" s="36"/>
      <c r="D248" s="290"/>
      <c r="E248" s="36"/>
      <c r="F248" s="36"/>
      <c r="G248" s="84"/>
      <c r="H248" s="36"/>
      <c r="I248" s="36"/>
      <c r="J248" s="293"/>
      <c r="K248" s="83"/>
      <c r="L248" s="293"/>
      <c r="M248" s="36"/>
      <c r="N248" s="36"/>
      <c r="O248" s="37"/>
      <c r="P248" s="37"/>
      <c r="Q248" s="237"/>
      <c r="R248" s="37"/>
      <c r="S248" s="37"/>
      <c r="T248" s="37"/>
      <c r="U248" s="37"/>
      <c r="V248" s="122"/>
      <c r="W248" s="122"/>
      <c r="X248" s="37"/>
      <c r="Y248" s="37"/>
      <c r="Z248" s="37"/>
    </row>
    <row r="249" spans="1:26" ht="13">
      <c r="A249" s="238"/>
      <c r="B249" s="292"/>
      <c r="C249" s="36"/>
      <c r="D249" s="290"/>
      <c r="E249" s="36"/>
      <c r="F249" s="36"/>
      <c r="G249" s="84"/>
      <c r="H249" s="36"/>
      <c r="I249" s="36"/>
      <c r="J249" s="293"/>
      <c r="K249" s="83"/>
      <c r="L249" s="293"/>
      <c r="M249" s="36"/>
      <c r="N249" s="36"/>
      <c r="O249" s="37"/>
      <c r="P249" s="37"/>
      <c r="Q249" s="237"/>
      <c r="R249" s="37"/>
      <c r="S249" s="37"/>
      <c r="T249" s="37"/>
      <c r="U249" s="37"/>
      <c r="V249" s="122"/>
      <c r="W249" s="122"/>
      <c r="X249" s="37"/>
      <c r="Y249" s="37"/>
      <c r="Z249" s="37"/>
    </row>
    <row r="250" spans="1:26" ht="13">
      <c r="A250" s="238"/>
      <c r="B250" s="292"/>
      <c r="C250" s="36"/>
      <c r="D250" s="290"/>
      <c r="E250" s="36"/>
      <c r="F250" s="36"/>
      <c r="G250" s="84"/>
      <c r="H250" s="36"/>
      <c r="I250" s="36"/>
      <c r="J250" s="293"/>
      <c r="K250" s="83"/>
      <c r="L250" s="293"/>
      <c r="M250" s="36"/>
      <c r="N250" s="36"/>
      <c r="O250" s="37"/>
      <c r="P250" s="37"/>
      <c r="Q250" s="237"/>
      <c r="R250" s="37"/>
      <c r="S250" s="37"/>
      <c r="T250" s="37"/>
      <c r="U250" s="37"/>
      <c r="V250" s="122"/>
      <c r="W250" s="122"/>
      <c r="X250" s="37"/>
      <c r="Y250" s="37"/>
      <c r="Z250" s="37"/>
    </row>
    <row r="251" spans="1:26" ht="13">
      <c r="A251" s="238"/>
      <c r="B251" s="292"/>
      <c r="C251" s="36"/>
      <c r="D251" s="290"/>
      <c r="E251" s="36"/>
      <c r="F251" s="36"/>
      <c r="G251" s="84"/>
      <c r="H251" s="36"/>
      <c r="I251" s="36"/>
      <c r="J251" s="293"/>
      <c r="K251" s="83"/>
      <c r="L251" s="293"/>
      <c r="M251" s="36"/>
      <c r="N251" s="36"/>
      <c r="O251" s="37"/>
      <c r="P251" s="37"/>
      <c r="Q251" s="237"/>
      <c r="R251" s="37"/>
      <c r="S251" s="37"/>
      <c r="T251" s="37"/>
      <c r="U251" s="37"/>
      <c r="V251" s="122"/>
      <c r="W251" s="122"/>
      <c r="X251" s="37"/>
      <c r="Y251" s="37"/>
      <c r="Z251" s="37"/>
    </row>
    <row r="252" spans="1:26" ht="13">
      <c r="A252" s="238"/>
      <c r="B252" s="292"/>
      <c r="C252" s="36"/>
      <c r="D252" s="290"/>
      <c r="E252" s="36"/>
      <c r="F252" s="36"/>
      <c r="G252" s="84"/>
      <c r="H252" s="36"/>
      <c r="I252" s="36"/>
      <c r="J252" s="293"/>
      <c r="K252" s="83"/>
      <c r="L252" s="293"/>
      <c r="M252" s="36"/>
      <c r="N252" s="36"/>
      <c r="O252" s="37"/>
      <c r="P252" s="37"/>
      <c r="Q252" s="237"/>
      <c r="R252" s="37"/>
      <c r="S252" s="37"/>
      <c r="T252" s="37"/>
      <c r="U252" s="37"/>
      <c r="V252" s="122"/>
      <c r="W252" s="122"/>
      <c r="X252" s="37"/>
      <c r="Y252" s="37"/>
      <c r="Z252" s="37"/>
    </row>
    <row r="253" spans="1:26" ht="13">
      <c r="A253" s="238"/>
      <c r="B253" s="292"/>
      <c r="C253" s="36"/>
      <c r="D253" s="290"/>
      <c r="E253" s="36"/>
      <c r="F253" s="36"/>
      <c r="G253" s="84"/>
      <c r="H253" s="36"/>
      <c r="I253" s="36"/>
      <c r="J253" s="293"/>
      <c r="K253" s="83"/>
      <c r="L253" s="293"/>
      <c r="M253" s="36"/>
      <c r="N253" s="36"/>
      <c r="O253" s="37"/>
      <c r="P253" s="37"/>
      <c r="Q253" s="237"/>
      <c r="R253" s="37"/>
      <c r="S253" s="37"/>
      <c r="T253" s="37"/>
      <c r="U253" s="37"/>
      <c r="V253" s="122"/>
      <c r="W253" s="122"/>
      <c r="X253" s="37"/>
      <c r="Y253" s="37"/>
      <c r="Z253" s="37"/>
    </row>
    <row r="254" spans="1:26" ht="13">
      <c r="A254" s="238"/>
      <c r="B254" s="292"/>
      <c r="C254" s="36"/>
      <c r="D254" s="290"/>
      <c r="E254" s="36"/>
      <c r="F254" s="36"/>
      <c r="G254" s="84"/>
      <c r="H254" s="36"/>
      <c r="I254" s="36"/>
      <c r="J254" s="293"/>
      <c r="K254" s="83"/>
      <c r="L254" s="293"/>
      <c r="M254" s="36"/>
      <c r="N254" s="36"/>
      <c r="O254" s="37"/>
      <c r="P254" s="37"/>
      <c r="Q254" s="237"/>
      <c r="R254" s="37"/>
      <c r="S254" s="37"/>
      <c r="T254" s="37"/>
      <c r="U254" s="37"/>
      <c r="V254" s="122"/>
      <c r="W254" s="122"/>
      <c r="X254" s="37"/>
      <c r="Y254" s="37"/>
      <c r="Z254" s="37"/>
    </row>
    <row r="255" spans="1:26" ht="13">
      <c r="A255" s="238"/>
      <c r="B255" s="292"/>
      <c r="C255" s="36"/>
      <c r="D255" s="290"/>
      <c r="E255" s="36"/>
      <c r="F255" s="36"/>
      <c r="G255" s="84"/>
      <c r="H255" s="36"/>
      <c r="I255" s="36"/>
      <c r="J255" s="293"/>
      <c r="K255" s="83"/>
      <c r="L255" s="293"/>
      <c r="M255" s="36"/>
      <c r="N255" s="36"/>
      <c r="O255" s="37"/>
      <c r="P255" s="37"/>
      <c r="Q255" s="237"/>
      <c r="R255" s="37"/>
      <c r="S255" s="37"/>
      <c r="T255" s="37"/>
      <c r="U255" s="37"/>
      <c r="V255" s="122"/>
      <c r="W255" s="122"/>
      <c r="X255" s="37"/>
      <c r="Y255" s="37"/>
      <c r="Z255" s="37"/>
    </row>
    <row r="256" spans="1:26" ht="13">
      <c r="A256" s="238"/>
      <c r="B256" s="292"/>
      <c r="C256" s="36"/>
      <c r="D256" s="290"/>
      <c r="E256" s="36"/>
      <c r="F256" s="36"/>
      <c r="G256" s="84"/>
      <c r="H256" s="36"/>
      <c r="I256" s="36"/>
      <c r="J256" s="293"/>
      <c r="K256" s="83"/>
      <c r="L256" s="293"/>
      <c r="M256" s="36"/>
      <c r="N256" s="36"/>
      <c r="O256" s="37"/>
      <c r="P256" s="37"/>
      <c r="Q256" s="237"/>
      <c r="R256" s="37"/>
      <c r="S256" s="37"/>
      <c r="T256" s="37"/>
      <c r="U256" s="37"/>
      <c r="V256" s="122"/>
      <c r="W256" s="122"/>
      <c r="X256" s="37"/>
      <c r="Y256" s="37"/>
      <c r="Z256" s="37"/>
    </row>
    <row r="257" spans="1:26" ht="13">
      <c r="A257" s="238"/>
      <c r="B257" s="292"/>
      <c r="C257" s="36"/>
      <c r="D257" s="290"/>
      <c r="E257" s="36"/>
      <c r="F257" s="36"/>
      <c r="G257" s="84"/>
      <c r="H257" s="36"/>
      <c r="I257" s="36"/>
      <c r="J257" s="293"/>
      <c r="K257" s="83"/>
      <c r="L257" s="293"/>
      <c r="M257" s="36"/>
      <c r="N257" s="36"/>
      <c r="O257" s="37"/>
      <c r="P257" s="37"/>
      <c r="Q257" s="237"/>
      <c r="R257" s="37"/>
      <c r="S257" s="37"/>
      <c r="T257" s="37"/>
      <c r="U257" s="37"/>
      <c r="V257" s="122"/>
      <c r="W257" s="122"/>
      <c r="X257" s="37"/>
      <c r="Y257" s="37"/>
      <c r="Z257" s="37"/>
    </row>
    <row r="258" spans="1:26" ht="13">
      <c r="A258" s="238"/>
      <c r="B258" s="292"/>
      <c r="C258" s="36"/>
      <c r="D258" s="290"/>
      <c r="E258" s="36"/>
      <c r="F258" s="36"/>
      <c r="G258" s="84"/>
      <c r="H258" s="36"/>
      <c r="I258" s="36"/>
      <c r="J258" s="293"/>
      <c r="K258" s="83"/>
      <c r="L258" s="293"/>
      <c r="M258" s="36"/>
      <c r="N258" s="36"/>
      <c r="O258" s="37"/>
      <c r="P258" s="37"/>
      <c r="Q258" s="237"/>
      <c r="R258" s="37"/>
      <c r="S258" s="37"/>
      <c r="T258" s="37"/>
      <c r="U258" s="37"/>
      <c r="V258" s="122"/>
      <c r="W258" s="122"/>
      <c r="X258" s="37"/>
      <c r="Y258" s="37"/>
      <c r="Z258" s="37"/>
    </row>
    <row r="259" spans="1:26" ht="13">
      <c r="A259" s="238"/>
      <c r="B259" s="292"/>
      <c r="C259" s="36"/>
      <c r="D259" s="290"/>
      <c r="E259" s="36"/>
      <c r="F259" s="36"/>
      <c r="G259" s="84"/>
      <c r="H259" s="36"/>
      <c r="I259" s="36"/>
      <c r="J259" s="293"/>
      <c r="K259" s="83"/>
      <c r="L259" s="293"/>
      <c r="M259" s="36"/>
      <c r="N259" s="36"/>
      <c r="O259" s="37"/>
      <c r="P259" s="37"/>
      <c r="Q259" s="237"/>
      <c r="R259" s="37"/>
      <c r="S259" s="37"/>
      <c r="T259" s="37"/>
      <c r="U259" s="37"/>
      <c r="V259" s="122"/>
      <c r="W259" s="122"/>
      <c r="X259" s="37"/>
      <c r="Y259" s="37"/>
      <c r="Z259" s="37"/>
    </row>
    <row r="260" spans="1:26" ht="13">
      <c r="A260" s="238"/>
      <c r="B260" s="292"/>
      <c r="C260" s="36"/>
      <c r="D260" s="290"/>
      <c r="E260" s="36"/>
      <c r="F260" s="36"/>
      <c r="G260" s="84"/>
      <c r="H260" s="36"/>
      <c r="I260" s="36"/>
      <c r="J260" s="293"/>
      <c r="K260" s="83"/>
      <c r="L260" s="293"/>
      <c r="M260" s="36"/>
      <c r="N260" s="36"/>
      <c r="O260" s="37"/>
      <c r="P260" s="37"/>
      <c r="Q260" s="237"/>
      <c r="R260" s="37"/>
      <c r="S260" s="37"/>
      <c r="T260" s="37"/>
      <c r="U260" s="37"/>
      <c r="V260" s="122"/>
      <c r="W260" s="122"/>
      <c r="X260" s="37"/>
      <c r="Y260" s="37"/>
      <c r="Z260" s="37"/>
    </row>
    <row r="261" spans="1:26" ht="13">
      <c r="A261" s="238"/>
      <c r="B261" s="292"/>
      <c r="C261" s="36"/>
      <c r="D261" s="290"/>
      <c r="E261" s="36"/>
      <c r="F261" s="36"/>
      <c r="G261" s="84"/>
      <c r="H261" s="36"/>
      <c r="I261" s="36"/>
      <c r="J261" s="293"/>
      <c r="K261" s="83"/>
      <c r="L261" s="293"/>
      <c r="M261" s="36"/>
      <c r="N261" s="36"/>
      <c r="O261" s="37"/>
      <c r="P261" s="37"/>
      <c r="Q261" s="237"/>
      <c r="R261" s="37"/>
      <c r="S261" s="37"/>
      <c r="T261" s="37"/>
      <c r="U261" s="37"/>
      <c r="V261" s="122"/>
      <c r="W261" s="122"/>
      <c r="X261" s="37"/>
      <c r="Y261" s="37"/>
      <c r="Z261" s="37"/>
    </row>
    <row r="262" spans="1:26" ht="13">
      <c r="A262" s="238"/>
      <c r="B262" s="292"/>
      <c r="C262" s="36"/>
      <c r="D262" s="290"/>
      <c r="E262" s="36"/>
      <c r="F262" s="36"/>
      <c r="G262" s="84"/>
      <c r="H262" s="36"/>
      <c r="I262" s="36"/>
      <c r="J262" s="293"/>
      <c r="K262" s="83"/>
      <c r="L262" s="293"/>
      <c r="M262" s="36"/>
      <c r="N262" s="36"/>
      <c r="O262" s="37"/>
      <c r="P262" s="37"/>
      <c r="Q262" s="237"/>
      <c r="R262" s="37"/>
      <c r="S262" s="37"/>
      <c r="T262" s="37"/>
      <c r="U262" s="37"/>
      <c r="V262" s="122"/>
      <c r="W262" s="122"/>
      <c r="X262" s="37"/>
      <c r="Y262" s="37"/>
      <c r="Z262" s="37"/>
    </row>
    <row r="263" spans="1:26" ht="13">
      <c r="A263" s="238"/>
      <c r="B263" s="292"/>
      <c r="C263" s="36"/>
      <c r="D263" s="290"/>
      <c r="E263" s="36"/>
      <c r="F263" s="36"/>
      <c r="G263" s="84"/>
      <c r="H263" s="36"/>
      <c r="I263" s="36"/>
      <c r="J263" s="293"/>
      <c r="K263" s="83"/>
      <c r="L263" s="293"/>
      <c r="M263" s="36"/>
      <c r="N263" s="36"/>
      <c r="O263" s="37"/>
      <c r="P263" s="37"/>
      <c r="Q263" s="237"/>
      <c r="R263" s="37"/>
      <c r="S263" s="37"/>
      <c r="T263" s="37"/>
      <c r="U263" s="37"/>
      <c r="V263" s="122"/>
      <c r="W263" s="122"/>
      <c r="X263" s="37"/>
      <c r="Y263" s="37"/>
      <c r="Z263" s="37"/>
    </row>
    <row r="264" spans="1:26" ht="13">
      <c r="A264" s="238"/>
      <c r="B264" s="292"/>
      <c r="C264" s="36"/>
      <c r="D264" s="290"/>
      <c r="E264" s="36"/>
      <c r="F264" s="36"/>
      <c r="G264" s="84"/>
      <c r="H264" s="36"/>
      <c r="I264" s="36"/>
      <c r="J264" s="293"/>
      <c r="K264" s="83"/>
      <c r="L264" s="293"/>
      <c r="M264" s="36"/>
      <c r="N264" s="36"/>
      <c r="O264" s="37"/>
      <c r="P264" s="37"/>
      <c r="Q264" s="237"/>
      <c r="R264" s="37"/>
      <c r="S264" s="37"/>
      <c r="T264" s="37"/>
      <c r="U264" s="37"/>
      <c r="V264" s="122"/>
      <c r="W264" s="122"/>
      <c r="X264" s="37"/>
      <c r="Y264" s="37"/>
      <c r="Z264" s="37"/>
    </row>
    <row r="265" spans="1:26" ht="13">
      <c r="A265" s="238"/>
      <c r="B265" s="292"/>
      <c r="C265" s="36"/>
      <c r="D265" s="290"/>
      <c r="E265" s="36"/>
      <c r="F265" s="36"/>
      <c r="G265" s="84"/>
      <c r="H265" s="36"/>
      <c r="I265" s="36"/>
      <c r="J265" s="293"/>
      <c r="K265" s="83"/>
      <c r="L265" s="293"/>
      <c r="M265" s="36"/>
      <c r="N265" s="36"/>
      <c r="O265" s="37"/>
      <c r="P265" s="37"/>
      <c r="Q265" s="237"/>
      <c r="R265" s="37"/>
      <c r="S265" s="37"/>
      <c r="T265" s="37"/>
      <c r="U265" s="37"/>
      <c r="V265" s="122"/>
      <c r="W265" s="122"/>
      <c r="X265" s="37"/>
      <c r="Y265" s="37"/>
      <c r="Z265" s="37"/>
    </row>
    <row r="266" spans="1:26" ht="13">
      <c r="A266" s="238"/>
      <c r="B266" s="292"/>
      <c r="C266" s="36"/>
      <c r="D266" s="290"/>
      <c r="E266" s="36"/>
      <c r="F266" s="36"/>
      <c r="G266" s="84"/>
      <c r="H266" s="36"/>
      <c r="I266" s="36"/>
      <c r="J266" s="293"/>
      <c r="K266" s="83"/>
      <c r="L266" s="293"/>
      <c r="M266" s="36"/>
      <c r="N266" s="36"/>
      <c r="O266" s="37"/>
      <c r="P266" s="37"/>
      <c r="Q266" s="237"/>
      <c r="R266" s="37"/>
      <c r="S266" s="37"/>
      <c r="T266" s="37"/>
      <c r="U266" s="37"/>
      <c r="V266" s="122"/>
      <c r="W266" s="122"/>
      <c r="X266" s="37"/>
      <c r="Y266" s="37"/>
      <c r="Z266" s="37"/>
    </row>
    <row r="267" spans="1:26" ht="13">
      <c r="A267" s="238"/>
      <c r="B267" s="292"/>
      <c r="C267" s="36"/>
      <c r="D267" s="290"/>
      <c r="E267" s="36"/>
      <c r="F267" s="36"/>
      <c r="G267" s="84"/>
      <c r="H267" s="36"/>
      <c r="I267" s="36"/>
      <c r="J267" s="293"/>
      <c r="K267" s="83"/>
      <c r="L267" s="293"/>
      <c r="M267" s="36"/>
      <c r="N267" s="36"/>
      <c r="O267" s="37"/>
      <c r="P267" s="37"/>
      <c r="Q267" s="237"/>
      <c r="R267" s="37"/>
      <c r="S267" s="37"/>
      <c r="T267" s="37"/>
      <c r="U267" s="37"/>
      <c r="V267" s="122"/>
      <c r="W267" s="122"/>
      <c r="X267" s="37"/>
      <c r="Y267" s="37"/>
      <c r="Z267" s="37"/>
    </row>
    <row r="268" spans="1:26" ht="13">
      <c r="A268" s="238"/>
      <c r="B268" s="292"/>
      <c r="C268" s="36"/>
      <c r="D268" s="290"/>
      <c r="E268" s="36"/>
      <c r="F268" s="36"/>
      <c r="G268" s="84"/>
      <c r="H268" s="36"/>
      <c r="I268" s="36"/>
      <c r="J268" s="293"/>
      <c r="K268" s="83"/>
      <c r="L268" s="293"/>
      <c r="M268" s="36"/>
      <c r="N268" s="36"/>
      <c r="O268" s="37"/>
      <c r="P268" s="37"/>
      <c r="Q268" s="237"/>
      <c r="R268" s="37"/>
      <c r="S268" s="37"/>
      <c r="T268" s="37"/>
      <c r="U268" s="37"/>
      <c r="V268" s="122"/>
      <c r="W268" s="122"/>
      <c r="X268" s="37"/>
      <c r="Y268" s="37"/>
      <c r="Z268" s="37"/>
    </row>
    <row r="269" spans="1:26" ht="13">
      <c r="A269" s="238"/>
      <c r="B269" s="292"/>
      <c r="C269" s="36"/>
      <c r="D269" s="290"/>
      <c r="E269" s="36"/>
      <c r="F269" s="36"/>
      <c r="G269" s="84"/>
      <c r="H269" s="36"/>
      <c r="I269" s="36"/>
      <c r="J269" s="293"/>
      <c r="K269" s="83"/>
      <c r="L269" s="293"/>
      <c r="M269" s="36"/>
      <c r="N269" s="36"/>
      <c r="O269" s="37"/>
      <c r="P269" s="37"/>
      <c r="Q269" s="237"/>
      <c r="R269" s="37"/>
      <c r="S269" s="37"/>
      <c r="T269" s="37"/>
      <c r="U269" s="37"/>
      <c r="V269" s="122"/>
      <c r="W269" s="122"/>
      <c r="X269" s="37"/>
      <c r="Y269" s="37"/>
      <c r="Z269" s="37"/>
    </row>
    <row r="270" spans="1:26" ht="13">
      <c r="A270" s="238"/>
      <c r="B270" s="292"/>
      <c r="C270" s="36"/>
      <c r="D270" s="290"/>
      <c r="E270" s="36"/>
      <c r="F270" s="36"/>
      <c r="G270" s="84"/>
      <c r="H270" s="36"/>
      <c r="I270" s="36"/>
      <c r="J270" s="293"/>
      <c r="K270" s="83"/>
      <c r="L270" s="293"/>
      <c r="M270" s="36"/>
      <c r="N270" s="36"/>
      <c r="O270" s="37"/>
      <c r="P270" s="37"/>
      <c r="Q270" s="237"/>
      <c r="R270" s="37"/>
      <c r="S270" s="37"/>
      <c r="T270" s="37"/>
      <c r="U270" s="37"/>
      <c r="V270" s="122"/>
      <c r="W270" s="122"/>
      <c r="X270" s="37"/>
      <c r="Y270" s="37"/>
      <c r="Z270" s="37"/>
    </row>
    <row r="271" spans="1:26" ht="13">
      <c r="A271" s="238"/>
      <c r="B271" s="292"/>
      <c r="C271" s="36"/>
      <c r="D271" s="290"/>
      <c r="E271" s="36"/>
      <c r="F271" s="36"/>
      <c r="G271" s="84"/>
      <c r="H271" s="36"/>
      <c r="I271" s="36"/>
      <c r="J271" s="293"/>
      <c r="K271" s="83"/>
      <c r="L271" s="293"/>
      <c r="M271" s="36"/>
      <c r="N271" s="36"/>
      <c r="O271" s="37"/>
      <c r="P271" s="37"/>
      <c r="Q271" s="237"/>
      <c r="R271" s="37"/>
      <c r="S271" s="37"/>
      <c r="T271" s="37"/>
      <c r="U271" s="37"/>
      <c r="V271" s="122"/>
      <c r="W271" s="122"/>
      <c r="X271" s="37"/>
      <c r="Y271" s="37"/>
      <c r="Z271" s="37"/>
    </row>
    <row r="272" spans="1:26" ht="13">
      <c r="A272" s="238"/>
      <c r="B272" s="292"/>
      <c r="C272" s="36"/>
      <c r="D272" s="290"/>
      <c r="E272" s="36"/>
      <c r="F272" s="36"/>
      <c r="G272" s="84"/>
      <c r="H272" s="36"/>
      <c r="I272" s="36"/>
      <c r="J272" s="293"/>
      <c r="K272" s="83"/>
      <c r="L272" s="293"/>
      <c r="M272" s="36"/>
      <c r="N272" s="36"/>
      <c r="O272" s="37"/>
      <c r="P272" s="37"/>
      <c r="Q272" s="237"/>
      <c r="R272" s="37"/>
      <c r="S272" s="37"/>
      <c r="T272" s="37"/>
      <c r="U272" s="37"/>
      <c r="V272" s="122"/>
      <c r="W272" s="122"/>
      <c r="X272" s="37"/>
      <c r="Y272" s="37"/>
      <c r="Z272" s="37"/>
    </row>
    <row r="273" spans="1:26" ht="13">
      <c r="A273" s="238"/>
      <c r="B273" s="292"/>
      <c r="C273" s="36"/>
      <c r="D273" s="290"/>
      <c r="E273" s="36"/>
      <c r="F273" s="36"/>
      <c r="G273" s="84"/>
      <c r="H273" s="36"/>
      <c r="I273" s="36"/>
      <c r="J273" s="293"/>
      <c r="K273" s="83"/>
      <c r="L273" s="293"/>
      <c r="M273" s="36"/>
      <c r="N273" s="36"/>
      <c r="O273" s="37"/>
      <c r="P273" s="37"/>
      <c r="Q273" s="237"/>
      <c r="R273" s="37"/>
      <c r="S273" s="37"/>
      <c r="T273" s="37"/>
      <c r="U273" s="37"/>
      <c r="V273" s="122"/>
      <c r="W273" s="122"/>
      <c r="X273" s="37"/>
      <c r="Y273" s="37"/>
      <c r="Z273" s="37"/>
    </row>
    <row r="274" spans="1:26" ht="13">
      <c r="A274" s="238"/>
      <c r="B274" s="292"/>
      <c r="C274" s="36"/>
      <c r="D274" s="290"/>
      <c r="E274" s="36"/>
      <c r="F274" s="36"/>
      <c r="G274" s="84"/>
      <c r="H274" s="36"/>
      <c r="I274" s="36"/>
      <c r="J274" s="293"/>
      <c r="K274" s="83"/>
      <c r="L274" s="293"/>
      <c r="M274" s="36"/>
      <c r="N274" s="36"/>
      <c r="O274" s="37"/>
      <c r="P274" s="37"/>
      <c r="Q274" s="237"/>
      <c r="R274" s="37"/>
      <c r="S274" s="37"/>
      <c r="T274" s="37"/>
      <c r="U274" s="37"/>
      <c r="V274" s="122"/>
      <c r="W274" s="122"/>
      <c r="X274" s="37"/>
      <c r="Y274" s="37"/>
      <c r="Z274" s="37"/>
    </row>
    <row r="275" spans="1:26" ht="13">
      <c r="A275" s="238"/>
      <c r="B275" s="292"/>
      <c r="C275" s="36"/>
      <c r="D275" s="290"/>
      <c r="E275" s="36"/>
      <c r="F275" s="36"/>
      <c r="G275" s="84"/>
      <c r="H275" s="36"/>
      <c r="I275" s="36"/>
      <c r="J275" s="293"/>
      <c r="K275" s="83"/>
      <c r="L275" s="293"/>
      <c r="M275" s="36"/>
      <c r="N275" s="36"/>
      <c r="O275" s="37"/>
      <c r="P275" s="37"/>
      <c r="Q275" s="237"/>
      <c r="R275" s="37"/>
      <c r="S275" s="37"/>
      <c r="T275" s="37"/>
      <c r="U275" s="37"/>
      <c r="V275" s="122"/>
      <c r="W275" s="122"/>
      <c r="X275" s="37"/>
      <c r="Y275" s="37"/>
      <c r="Z275" s="37"/>
    </row>
    <row r="276" spans="1:26" ht="13">
      <c r="A276" s="238"/>
      <c r="B276" s="292"/>
      <c r="C276" s="36"/>
      <c r="D276" s="290"/>
      <c r="E276" s="36"/>
      <c r="F276" s="36"/>
      <c r="G276" s="84"/>
      <c r="H276" s="36"/>
      <c r="I276" s="36"/>
      <c r="J276" s="293"/>
      <c r="K276" s="83"/>
      <c r="L276" s="293"/>
      <c r="M276" s="36"/>
      <c r="N276" s="36"/>
      <c r="O276" s="37"/>
      <c r="P276" s="37"/>
      <c r="Q276" s="237"/>
      <c r="R276" s="37"/>
      <c r="S276" s="37"/>
      <c r="T276" s="37"/>
      <c r="U276" s="37"/>
      <c r="V276" s="122"/>
      <c r="W276" s="122"/>
      <c r="X276" s="37"/>
      <c r="Y276" s="37"/>
      <c r="Z276" s="37"/>
    </row>
    <row r="277" spans="1:26" ht="13">
      <c r="A277" s="238"/>
      <c r="B277" s="292"/>
      <c r="C277" s="36"/>
      <c r="D277" s="290"/>
      <c r="E277" s="36"/>
      <c r="F277" s="36"/>
      <c r="G277" s="84"/>
      <c r="H277" s="36"/>
      <c r="I277" s="36"/>
      <c r="J277" s="293"/>
      <c r="K277" s="83"/>
      <c r="L277" s="293"/>
      <c r="M277" s="36"/>
      <c r="N277" s="36"/>
      <c r="O277" s="37"/>
      <c r="P277" s="37"/>
      <c r="Q277" s="237"/>
      <c r="R277" s="37"/>
      <c r="S277" s="37"/>
      <c r="T277" s="37"/>
      <c r="U277" s="37"/>
      <c r="V277" s="122"/>
      <c r="W277" s="122"/>
      <c r="X277" s="37"/>
      <c r="Y277" s="37"/>
      <c r="Z277" s="37"/>
    </row>
    <row r="278" spans="1:26" ht="13">
      <c r="A278" s="238"/>
      <c r="B278" s="292"/>
      <c r="C278" s="36"/>
      <c r="D278" s="290"/>
      <c r="E278" s="36"/>
      <c r="F278" s="36"/>
      <c r="G278" s="84"/>
      <c r="H278" s="36"/>
      <c r="I278" s="36"/>
      <c r="J278" s="293"/>
      <c r="K278" s="83"/>
      <c r="L278" s="293"/>
      <c r="M278" s="36"/>
      <c r="N278" s="36"/>
      <c r="O278" s="37"/>
      <c r="P278" s="37"/>
      <c r="Q278" s="237"/>
      <c r="R278" s="37"/>
      <c r="S278" s="37"/>
      <c r="T278" s="37"/>
      <c r="U278" s="37"/>
      <c r="V278" s="122"/>
      <c r="W278" s="122"/>
      <c r="X278" s="37"/>
      <c r="Y278" s="37"/>
      <c r="Z278" s="37"/>
    </row>
    <row r="279" spans="1:26" ht="13">
      <c r="A279" s="238"/>
      <c r="B279" s="292"/>
      <c r="C279" s="36"/>
      <c r="D279" s="290"/>
      <c r="E279" s="36"/>
      <c r="F279" s="36"/>
      <c r="G279" s="84"/>
      <c r="H279" s="36"/>
      <c r="I279" s="36"/>
      <c r="J279" s="293"/>
      <c r="K279" s="83"/>
      <c r="L279" s="293"/>
      <c r="M279" s="36"/>
      <c r="N279" s="36"/>
      <c r="O279" s="37"/>
      <c r="P279" s="37"/>
      <c r="Q279" s="237"/>
      <c r="R279" s="37"/>
      <c r="S279" s="37"/>
      <c r="T279" s="37"/>
      <c r="U279" s="37"/>
      <c r="V279" s="122"/>
      <c r="W279" s="122"/>
      <c r="X279" s="37"/>
      <c r="Y279" s="37"/>
      <c r="Z279" s="37"/>
    </row>
    <row r="280" spans="1:26" ht="13">
      <c r="A280" s="238"/>
      <c r="B280" s="292"/>
      <c r="C280" s="36"/>
      <c r="D280" s="290"/>
      <c r="E280" s="36"/>
      <c r="F280" s="36"/>
      <c r="G280" s="84"/>
      <c r="H280" s="36"/>
      <c r="I280" s="36"/>
      <c r="J280" s="293"/>
      <c r="K280" s="83"/>
      <c r="L280" s="293"/>
      <c r="M280" s="36"/>
      <c r="N280" s="36"/>
      <c r="O280" s="37"/>
      <c r="P280" s="37"/>
      <c r="Q280" s="237"/>
      <c r="R280" s="37"/>
      <c r="S280" s="37"/>
      <c r="T280" s="37"/>
      <c r="U280" s="37"/>
      <c r="V280" s="122"/>
      <c r="W280" s="122"/>
      <c r="X280" s="37"/>
      <c r="Y280" s="37"/>
      <c r="Z280" s="37"/>
    </row>
    <row r="281" spans="1:26" ht="13">
      <c r="A281" s="238"/>
      <c r="B281" s="292"/>
      <c r="C281" s="36"/>
      <c r="D281" s="290"/>
      <c r="E281" s="36"/>
      <c r="F281" s="36"/>
      <c r="G281" s="84"/>
      <c r="H281" s="36"/>
      <c r="I281" s="36"/>
      <c r="J281" s="293"/>
      <c r="K281" s="83"/>
      <c r="L281" s="293"/>
      <c r="M281" s="36"/>
      <c r="N281" s="36"/>
      <c r="O281" s="37"/>
      <c r="P281" s="37"/>
      <c r="Q281" s="237"/>
      <c r="R281" s="37"/>
      <c r="S281" s="37"/>
      <c r="T281" s="37"/>
      <c r="U281" s="37"/>
      <c r="V281" s="122"/>
      <c r="W281" s="122"/>
      <c r="X281" s="37"/>
      <c r="Y281" s="37"/>
      <c r="Z281" s="37"/>
    </row>
    <row r="282" spans="1:26" ht="13">
      <c r="A282" s="238"/>
      <c r="B282" s="292"/>
      <c r="C282" s="36"/>
      <c r="D282" s="290"/>
      <c r="E282" s="36"/>
      <c r="F282" s="36"/>
      <c r="G282" s="84"/>
      <c r="H282" s="36"/>
      <c r="I282" s="36"/>
      <c r="J282" s="293"/>
      <c r="K282" s="83"/>
      <c r="L282" s="293"/>
      <c r="M282" s="36"/>
      <c r="N282" s="36"/>
      <c r="O282" s="37"/>
      <c r="P282" s="37"/>
      <c r="Q282" s="237"/>
      <c r="R282" s="37"/>
      <c r="S282" s="37"/>
      <c r="T282" s="37"/>
      <c r="U282" s="37"/>
      <c r="V282" s="122"/>
      <c r="W282" s="122"/>
      <c r="X282" s="37"/>
      <c r="Y282" s="37"/>
      <c r="Z282" s="37"/>
    </row>
    <row r="283" spans="1:26" ht="13">
      <c r="A283" s="238"/>
      <c r="B283" s="292"/>
      <c r="C283" s="36"/>
      <c r="D283" s="290"/>
      <c r="E283" s="36"/>
      <c r="F283" s="36"/>
      <c r="G283" s="84"/>
      <c r="H283" s="36"/>
      <c r="I283" s="36"/>
      <c r="J283" s="293"/>
      <c r="K283" s="83"/>
      <c r="L283" s="293"/>
      <c r="M283" s="36"/>
      <c r="N283" s="36"/>
      <c r="O283" s="37"/>
      <c r="P283" s="37"/>
      <c r="Q283" s="237"/>
      <c r="R283" s="37"/>
      <c r="S283" s="37"/>
      <c r="T283" s="37"/>
      <c r="U283" s="37"/>
      <c r="V283" s="122"/>
      <c r="W283" s="122"/>
      <c r="X283" s="37"/>
      <c r="Y283" s="37"/>
      <c r="Z283" s="37"/>
    </row>
    <row r="284" spans="1:26" ht="13">
      <c r="A284" s="238"/>
      <c r="B284" s="292"/>
      <c r="C284" s="36"/>
      <c r="D284" s="290"/>
      <c r="E284" s="36"/>
      <c r="F284" s="36"/>
      <c r="G284" s="84"/>
      <c r="H284" s="36"/>
      <c r="I284" s="36"/>
      <c r="J284" s="293"/>
      <c r="K284" s="83"/>
      <c r="L284" s="293"/>
      <c r="M284" s="36"/>
      <c r="N284" s="36"/>
      <c r="O284" s="37"/>
      <c r="P284" s="37"/>
      <c r="Q284" s="237"/>
      <c r="R284" s="37"/>
      <c r="S284" s="37"/>
      <c r="T284" s="37"/>
      <c r="U284" s="37"/>
      <c r="V284" s="122"/>
      <c r="W284" s="122"/>
      <c r="X284" s="37"/>
      <c r="Y284" s="37"/>
      <c r="Z284" s="37"/>
    </row>
    <row r="285" spans="1:26" ht="13">
      <c r="A285" s="238"/>
      <c r="B285" s="292"/>
      <c r="C285" s="36"/>
      <c r="D285" s="290"/>
      <c r="E285" s="36"/>
      <c r="F285" s="36"/>
      <c r="G285" s="84"/>
      <c r="H285" s="36"/>
      <c r="I285" s="36"/>
      <c r="J285" s="293"/>
      <c r="K285" s="83"/>
      <c r="L285" s="293"/>
      <c r="M285" s="36"/>
      <c r="N285" s="36"/>
      <c r="O285" s="37"/>
      <c r="P285" s="37"/>
      <c r="Q285" s="237"/>
      <c r="R285" s="37"/>
      <c r="S285" s="37"/>
      <c r="T285" s="37"/>
      <c r="U285" s="37"/>
      <c r="V285" s="122"/>
      <c r="W285" s="122"/>
      <c r="X285" s="37"/>
      <c r="Y285" s="37"/>
      <c r="Z285" s="37"/>
    </row>
    <row r="286" spans="1:26" ht="13">
      <c r="A286" s="238"/>
      <c r="B286" s="292"/>
      <c r="C286" s="36"/>
      <c r="D286" s="290"/>
      <c r="E286" s="36"/>
      <c r="F286" s="36"/>
      <c r="G286" s="84"/>
      <c r="H286" s="36"/>
      <c r="I286" s="36"/>
      <c r="J286" s="293"/>
      <c r="K286" s="83"/>
      <c r="L286" s="293"/>
      <c r="M286" s="36"/>
      <c r="N286" s="36"/>
      <c r="O286" s="37"/>
      <c r="P286" s="37"/>
      <c r="Q286" s="237"/>
      <c r="R286" s="37"/>
      <c r="S286" s="37"/>
      <c r="T286" s="37"/>
      <c r="U286" s="37"/>
      <c r="V286" s="122"/>
      <c r="W286" s="122"/>
      <c r="X286" s="37"/>
      <c r="Y286" s="37"/>
      <c r="Z286" s="37"/>
    </row>
    <row r="287" spans="1:26" ht="13">
      <c r="A287" s="238"/>
      <c r="B287" s="292"/>
      <c r="C287" s="36"/>
      <c r="D287" s="290"/>
      <c r="E287" s="36"/>
      <c r="F287" s="36"/>
      <c r="G287" s="84"/>
      <c r="H287" s="36"/>
      <c r="I287" s="36"/>
      <c r="J287" s="293"/>
      <c r="K287" s="83"/>
      <c r="L287" s="293"/>
      <c r="M287" s="36"/>
      <c r="N287" s="36"/>
      <c r="O287" s="37"/>
      <c r="P287" s="37"/>
      <c r="Q287" s="237"/>
      <c r="R287" s="37"/>
      <c r="S287" s="37"/>
      <c r="T287" s="37"/>
      <c r="U287" s="37"/>
      <c r="V287" s="122"/>
      <c r="W287" s="122"/>
      <c r="X287" s="37"/>
      <c r="Y287" s="37"/>
      <c r="Z287" s="37"/>
    </row>
    <row r="288" spans="1:26" ht="13">
      <c r="A288" s="238"/>
      <c r="B288" s="292"/>
      <c r="C288" s="36"/>
      <c r="D288" s="290"/>
      <c r="E288" s="36"/>
      <c r="F288" s="36"/>
      <c r="G288" s="84"/>
      <c r="H288" s="36"/>
      <c r="I288" s="36"/>
      <c r="J288" s="293"/>
      <c r="K288" s="83"/>
      <c r="L288" s="293"/>
      <c r="M288" s="36"/>
      <c r="N288" s="36"/>
      <c r="O288" s="37"/>
      <c r="P288" s="37"/>
      <c r="Q288" s="237"/>
      <c r="R288" s="37"/>
      <c r="S288" s="37"/>
      <c r="T288" s="37"/>
      <c r="U288" s="37"/>
      <c r="V288" s="122"/>
      <c r="W288" s="122"/>
      <c r="X288" s="37"/>
      <c r="Y288" s="37"/>
      <c r="Z288" s="37"/>
    </row>
    <row r="289" spans="1:26" ht="13">
      <c r="A289" s="238"/>
      <c r="B289" s="292"/>
      <c r="C289" s="36"/>
      <c r="D289" s="290"/>
      <c r="E289" s="36"/>
      <c r="F289" s="36"/>
      <c r="G289" s="84"/>
      <c r="H289" s="36"/>
      <c r="I289" s="36"/>
      <c r="J289" s="293"/>
      <c r="K289" s="83"/>
      <c r="L289" s="293"/>
      <c r="M289" s="36"/>
      <c r="N289" s="36"/>
      <c r="O289" s="37"/>
      <c r="P289" s="37"/>
      <c r="Q289" s="237"/>
      <c r="R289" s="37"/>
      <c r="S289" s="37"/>
      <c r="T289" s="37"/>
      <c r="U289" s="37"/>
      <c r="V289" s="122"/>
      <c r="W289" s="122"/>
      <c r="X289" s="37"/>
      <c r="Y289" s="37"/>
      <c r="Z289" s="37"/>
    </row>
    <row r="290" spans="1:26" ht="13">
      <c r="A290" s="238"/>
      <c r="B290" s="292"/>
      <c r="C290" s="36"/>
      <c r="D290" s="290"/>
      <c r="E290" s="36"/>
      <c r="F290" s="36"/>
      <c r="G290" s="84"/>
      <c r="H290" s="36"/>
      <c r="I290" s="36"/>
      <c r="J290" s="293"/>
      <c r="K290" s="83"/>
      <c r="L290" s="293"/>
      <c r="M290" s="36"/>
      <c r="N290" s="36"/>
      <c r="O290" s="37"/>
      <c r="P290" s="37"/>
      <c r="Q290" s="237"/>
      <c r="R290" s="37"/>
      <c r="S290" s="37"/>
      <c r="T290" s="37"/>
      <c r="U290" s="37"/>
      <c r="V290" s="122"/>
      <c r="W290" s="122"/>
      <c r="X290" s="37"/>
      <c r="Y290" s="37"/>
      <c r="Z290" s="37"/>
    </row>
    <row r="291" spans="1:26" ht="13">
      <c r="A291" s="238"/>
      <c r="B291" s="292"/>
      <c r="C291" s="36"/>
      <c r="D291" s="290"/>
      <c r="E291" s="36"/>
      <c r="F291" s="36"/>
      <c r="G291" s="84"/>
      <c r="H291" s="36"/>
      <c r="I291" s="36"/>
      <c r="J291" s="293"/>
      <c r="K291" s="83"/>
      <c r="L291" s="293"/>
      <c r="M291" s="36"/>
      <c r="N291" s="36"/>
      <c r="O291" s="37"/>
      <c r="P291" s="37"/>
      <c r="Q291" s="237"/>
      <c r="R291" s="37"/>
      <c r="S291" s="37"/>
      <c r="T291" s="37"/>
      <c r="U291" s="37"/>
      <c r="V291" s="122"/>
      <c r="W291" s="122"/>
      <c r="X291" s="37"/>
      <c r="Y291" s="37"/>
      <c r="Z291" s="37"/>
    </row>
    <row r="292" spans="1:26" ht="13">
      <c r="A292" s="238"/>
      <c r="B292" s="292"/>
      <c r="C292" s="36"/>
      <c r="D292" s="290"/>
      <c r="E292" s="36"/>
      <c r="F292" s="36"/>
      <c r="G292" s="84"/>
      <c r="H292" s="36"/>
      <c r="I292" s="36"/>
      <c r="J292" s="293"/>
      <c r="K292" s="83"/>
      <c r="L292" s="293"/>
      <c r="M292" s="36"/>
      <c r="N292" s="36"/>
      <c r="O292" s="37"/>
      <c r="P292" s="37"/>
      <c r="Q292" s="237"/>
      <c r="R292" s="37"/>
      <c r="S292" s="37"/>
      <c r="T292" s="37"/>
      <c r="U292" s="37"/>
      <c r="V292" s="122"/>
      <c r="W292" s="122"/>
      <c r="X292" s="37"/>
      <c r="Y292" s="37"/>
      <c r="Z292" s="37"/>
    </row>
    <row r="293" spans="1:26" ht="13">
      <c r="A293" s="238"/>
      <c r="B293" s="292"/>
      <c r="C293" s="36"/>
      <c r="D293" s="290"/>
      <c r="E293" s="36"/>
      <c r="F293" s="36"/>
      <c r="G293" s="84"/>
      <c r="H293" s="36"/>
      <c r="I293" s="36"/>
      <c r="J293" s="293"/>
      <c r="K293" s="83"/>
      <c r="L293" s="293"/>
      <c r="M293" s="36"/>
      <c r="N293" s="36"/>
      <c r="O293" s="37"/>
      <c r="P293" s="37"/>
      <c r="Q293" s="237"/>
      <c r="R293" s="37"/>
      <c r="S293" s="37"/>
      <c r="T293" s="37"/>
      <c r="U293" s="37"/>
      <c r="V293" s="122"/>
      <c r="W293" s="122"/>
      <c r="X293" s="37"/>
      <c r="Y293" s="37"/>
      <c r="Z293" s="37"/>
    </row>
    <row r="294" spans="1:26" ht="13">
      <c r="A294" s="238"/>
      <c r="B294" s="292"/>
      <c r="C294" s="36"/>
      <c r="D294" s="290"/>
      <c r="E294" s="36"/>
      <c r="F294" s="36"/>
      <c r="G294" s="84"/>
      <c r="H294" s="36"/>
      <c r="I294" s="36"/>
      <c r="J294" s="293"/>
      <c r="K294" s="83"/>
      <c r="L294" s="293"/>
      <c r="M294" s="36"/>
      <c r="N294" s="36"/>
      <c r="O294" s="37"/>
      <c r="P294" s="37"/>
      <c r="Q294" s="237"/>
      <c r="R294" s="37"/>
      <c r="S294" s="37"/>
      <c r="T294" s="37"/>
      <c r="U294" s="37"/>
      <c r="V294" s="122"/>
      <c r="W294" s="122"/>
      <c r="X294" s="37"/>
      <c r="Y294" s="37"/>
      <c r="Z294" s="37"/>
    </row>
    <row r="295" spans="1:26" ht="13">
      <c r="A295" s="238"/>
      <c r="B295" s="292"/>
      <c r="C295" s="36"/>
      <c r="D295" s="290"/>
      <c r="E295" s="36"/>
      <c r="F295" s="36"/>
      <c r="G295" s="84"/>
      <c r="H295" s="36"/>
      <c r="I295" s="36"/>
      <c r="J295" s="293"/>
      <c r="K295" s="83"/>
      <c r="L295" s="293"/>
      <c r="M295" s="36"/>
      <c r="N295" s="36"/>
      <c r="O295" s="37"/>
      <c r="P295" s="37"/>
      <c r="Q295" s="237"/>
      <c r="R295" s="37"/>
      <c r="S295" s="37"/>
      <c r="T295" s="37"/>
      <c r="U295" s="37"/>
      <c r="V295" s="122"/>
      <c r="W295" s="122"/>
      <c r="X295" s="37"/>
      <c r="Y295" s="37"/>
      <c r="Z295" s="37"/>
    </row>
    <row r="296" spans="1:26" ht="13">
      <c r="A296" s="238"/>
      <c r="B296" s="292"/>
      <c r="C296" s="36"/>
      <c r="D296" s="290"/>
      <c r="E296" s="36"/>
      <c r="F296" s="36"/>
      <c r="G296" s="84"/>
      <c r="H296" s="36"/>
      <c r="I296" s="36"/>
      <c r="J296" s="293"/>
      <c r="K296" s="83"/>
      <c r="L296" s="293"/>
      <c r="M296" s="36"/>
      <c r="N296" s="36"/>
      <c r="O296" s="37"/>
      <c r="P296" s="37"/>
      <c r="Q296" s="237"/>
      <c r="R296" s="37"/>
      <c r="S296" s="37"/>
      <c r="T296" s="37"/>
      <c r="U296" s="37"/>
      <c r="V296" s="122"/>
      <c r="W296" s="122"/>
      <c r="X296" s="37"/>
      <c r="Y296" s="37"/>
      <c r="Z296" s="37"/>
    </row>
    <row r="297" spans="1:26" ht="13">
      <c r="A297" s="238"/>
      <c r="B297" s="292"/>
      <c r="C297" s="36"/>
      <c r="D297" s="290"/>
      <c r="E297" s="36"/>
      <c r="F297" s="36"/>
      <c r="G297" s="84"/>
      <c r="H297" s="36"/>
      <c r="I297" s="36"/>
      <c r="J297" s="293"/>
      <c r="K297" s="83"/>
      <c r="L297" s="293"/>
      <c r="M297" s="36"/>
      <c r="N297" s="36"/>
      <c r="O297" s="37"/>
      <c r="P297" s="37"/>
      <c r="Q297" s="237"/>
      <c r="R297" s="37"/>
      <c r="S297" s="37"/>
      <c r="T297" s="37"/>
      <c r="U297" s="37"/>
      <c r="V297" s="122"/>
      <c r="W297" s="122"/>
      <c r="X297" s="37"/>
      <c r="Y297" s="37"/>
      <c r="Z297" s="37"/>
    </row>
    <row r="298" spans="1:26" ht="13">
      <c r="A298" s="238"/>
      <c r="B298" s="292"/>
      <c r="C298" s="36"/>
      <c r="D298" s="290"/>
      <c r="E298" s="36"/>
      <c r="F298" s="36"/>
      <c r="G298" s="84"/>
      <c r="H298" s="36"/>
      <c r="I298" s="36"/>
      <c r="J298" s="293"/>
      <c r="K298" s="83"/>
      <c r="L298" s="293"/>
      <c r="M298" s="36"/>
      <c r="N298" s="36"/>
      <c r="O298" s="37"/>
      <c r="P298" s="37"/>
      <c r="Q298" s="237"/>
      <c r="R298" s="37"/>
      <c r="S298" s="37"/>
      <c r="T298" s="37"/>
      <c r="U298" s="37"/>
      <c r="V298" s="122"/>
      <c r="W298" s="122"/>
      <c r="X298" s="37"/>
      <c r="Y298" s="37"/>
      <c r="Z298" s="37"/>
    </row>
    <row r="299" spans="1:26" ht="13">
      <c r="A299" s="238"/>
      <c r="B299" s="292"/>
      <c r="C299" s="36"/>
      <c r="D299" s="290"/>
      <c r="E299" s="36"/>
      <c r="F299" s="36"/>
      <c r="G299" s="84"/>
      <c r="H299" s="36"/>
      <c r="I299" s="36"/>
      <c r="J299" s="293"/>
      <c r="K299" s="83"/>
      <c r="L299" s="293"/>
      <c r="M299" s="36"/>
      <c r="N299" s="36"/>
      <c r="O299" s="37"/>
      <c r="P299" s="37"/>
      <c r="Q299" s="237"/>
      <c r="R299" s="37"/>
      <c r="S299" s="37"/>
      <c r="T299" s="37"/>
      <c r="U299" s="37"/>
      <c r="V299" s="122"/>
      <c r="W299" s="122"/>
      <c r="X299" s="37"/>
      <c r="Y299" s="37"/>
      <c r="Z299" s="37"/>
    </row>
    <row r="300" spans="1:26" ht="13">
      <c r="A300" s="238"/>
      <c r="B300" s="292"/>
      <c r="C300" s="36"/>
      <c r="D300" s="290"/>
      <c r="E300" s="36"/>
      <c r="F300" s="36"/>
      <c r="G300" s="84"/>
      <c r="H300" s="36"/>
      <c r="I300" s="36"/>
      <c r="J300" s="293"/>
      <c r="K300" s="83"/>
      <c r="L300" s="293"/>
      <c r="M300" s="36"/>
      <c r="N300" s="36"/>
      <c r="O300" s="37"/>
      <c r="P300" s="37"/>
      <c r="Q300" s="237"/>
      <c r="R300" s="37"/>
      <c r="S300" s="37"/>
      <c r="T300" s="37"/>
      <c r="U300" s="37"/>
      <c r="V300" s="122"/>
      <c r="W300" s="122"/>
      <c r="X300" s="37"/>
      <c r="Y300" s="37"/>
      <c r="Z300" s="37"/>
    </row>
    <row r="301" spans="1:26" ht="13">
      <c r="A301" s="238"/>
      <c r="B301" s="292"/>
      <c r="C301" s="36"/>
      <c r="D301" s="290"/>
      <c r="E301" s="36"/>
      <c r="F301" s="36"/>
      <c r="G301" s="84"/>
      <c r="H301" s="36"/>
      <c r="I301" s="36"/>
      <c r="J301" s="293"/>
      <c r="K301" s="83"/>
      <c r="L301" s="293"/>
      <c r="M301" s="36"/>
      <c r="N301" s="36"/>
      <c r="O301" s="37"/>
      <c r="P301" s="37"/>
      <c r="Q301" s="237"/>
      <c r="R301" s="37"/>
      <c r="S301" s="37"/>
      <c r="T301" s="37"/>
      <c r="U301" s="37"/>
      <c r="V301" s="122"/>
      <c r="W301" s="122"/>
      <c r="X301" s="37"/>
      <c r="Y301" s="37"/>
      <c r="Z301" s="37"/>
    </row>
    <row r="302" spans="1:26" ht="13">
      <c r="A302" s="238"/>
      <c r="B302" s="292"/>
      <c r="C302" s="36"/>
      <c r="D302" s="290"/>
      <c r="E302" s="36"/>
      <c r="F302" s="36"/>
      <c r="G302" s="84"/>
      <c r="H302" s="36"/>
      <c r="I302" s="36"/>
      <c r="J302" s="293"/>
      <c r="K302" s="83"/>
      <c r="L302" s="293"/>
      <c r="M302" s="36"/>
      <c r="N302" s="36"/>
      <c r="O302" s="37"/>
      <c r="P302" s="37"/>
      <c r="Q302" s="237"/>
      <c r="R302" s="37"/>
      <c r="S302" s="37"/>
      <c r="T302" s="37"/>
      <c r="U302" s="37"/>
      <c r="V302" s="122"/>
      <c r="W302" s="122"/>
      <c r="X302" s="37"/>
      <c r="Y302" s="37"/>
      <c r="Z302" s="37"/>
    </row>
    <row r="303" spans="1:26" ht="13">
      <c r="A303" s="238"/>
      <c r="B303" s="292"/>
      <c r="C303" s="36"/>
      <c r="D303" s="290"/>
      <c r="E303" s="36"/>
      <c r="F303" s="36"/>
      <c r="G303" s="84"/>
      <c r="H303" s="36"/>
      <c r="I303" s="36"/>
      <c r="J303" s="293"/>
      <c r="K303" s="83"/>
      <c r="L303" s="293"/>
      <c r="M303" s="36"/>
      <c r="N303" s="36"/>
      <c r="O303" s="37"/>
      <c r="P303" s="37"/>
      <c r="Q303" s="237"/>
      <c r="R303" s="37"/>
      <c r="S303" s="37"/>
      <c r="T303" s="37"/>
      <c r="U303" s="37"/>
      <c r="V303" s="122"/>
      <c r="W303" s="122"/>
      <c r="X303" s="37"/>
      <c r="Y303" s="37"/>
      <c r="Z303" s="37"/>
    </row>
    <row r="304" spans="1:26" ht="13">
      <c r="A304" s="238"/>
      <c r="B304" s="292"/>
      <c r="C304" s="36"/>
      <c r="D304" s="290"/>
      <c r="E304" s="36"/>
      <c r="F304" s="36"/>
      <c r="G304" s="84"/>
      <c r="H304" s="36"/>
      <c r="I304" s="36"/>
      <c r="J304" s="293"/>
      <c r="K304" s="83"/>
      <c r="L304" s="293"/>
      <c r="M304" s="36"/>
      <c r="N304" s="36"/>
      <c r="O304" s="37"/>
      <c r="P304" s="37"/>
      <c r="Q304" s="237"/>
      <c r="R304" s="37"/>
      <c r="S304" s="37"/>
      <c r="T304" s="37"/>
      <c r="U304" s="37"/>
      <c r="V304" s="122"/>
      <c r="W304" s="122"/>
      <c r="X304" s="37"/>
      <c r="Y304" s="37"/>
      <c r="Z304" s="37"/>
    </row>
    <row r="305" spans="1:26" ht="13">
      <c r="A305" s="238"/>
      <c r="B305" s="292"/>
      <c r="C305" s="36"/>
      <c r="D305" s="290"/>
      <c r="E305" s="36"/>
      <c r="F305" s="36"/>
      <c r="G305" s="84"/>
      <c r="H305" s="36"/>
      <c r="I305" s="36"/>
      <c r="J305" s="293"/>
      <c r="K305" s="83"/>
      <c r="L305" s="293"/>
      <c r="M305" s="36"/>
      <c r="N305" s="36"/>
      <c r="O305" s="37"/>
      <c r="P305" s="37"/>
      <c r="Q305" s="237"/>
      <c r="R305" s="37"/>
      <c r="S305" s="37"/>
      <c r="T305" s="37"/>
      <c r="U305" s="37"/>
      <c r="V305" s="122"/>
      <c r="W305" s="122"/>
      <c r="X305" s="37"/>
      <c r="Y305" s="37"/>
      <c r="Z305" s="37"/>
    </row>
    <row r="306" spans="1:26" ht="13">
      <c r="A306" s="238"/>
      <c r="B306" s="292"/>
      <c r="C306" s="36"/>
      <c r="D306" s="290"/>
      <c r="E306" s="36"/>
      <c r="F306" s="36"/>
      <c r="G306" s="84"/>
      <c r="H306" s="36"/>
      <c r="I306" s="36"/>
      <c r="J306" s="293"/>
      <c r="K306" s="83"/>
      <c r="L306" s="293"/>
      <c r="M306" s="36"/>
      <c r="N306" s="36"/>
      <c r="O306" s="37"/>
      <c r="P306" s="37"/>
      <c r="Q306" s="237"/>
      <c r="R306" s="37"/>
      <c r="S306" s="37"/>
      <c r="T306" s="37"/>
      <c r="U306" s="37"/>
      <c r="V306" s="122"/>
      <c r="W306" s="122"/>
      <c r="X306" s="37"/>
      <c r="Y306" s="37"/>
      <c r="Z306" s="37"/>
    </row>
    <row r="307" spans="1:26" ht="13">
      <c r="A307" s="238"/>
      <c r="B307" s="292"/>
      <c r="C307" s="36"/>
      <c r="D307" s="290"/>
      <c r="E307" s="36"/>
      <c r="F307" s="36"/>
      <c r="G307" s="84"/>
      <c r="H307" s="36"/>
      <c r="I307" s="36"/>
      <c r="J307" s="293"/>
      <c r="K307" s="83"/>
      <c r="L307" s="293"/>
      <c r="M307" s="36"/>
      <c r="N307" s="36"/>
      <c r="O307" s="37"/>
      <c r="P307" s="37"/>
      <c r="Q307" s="237"/>
      <c r="R307" s="37"/>
      <c r="S307" s="37"/>
      <c r="T307" s="37"/>
      <c r="U307" s="37"/>
      <c r="V307" s="122"/>
      <c r="W307" s="122"/>
      <c r="X307" s="37"/>
      <c r="Y307" s="37"/>
      <c r="Z307" s="37"/>
    </row>
    <row r="308" spans="1:26" ht="13">
      <c r="A308" s="238"/>
      <c r="B308" s="292"/>
      <c r="C308" s="36"/>
      <c r="D308" s="290"/>
      <c r="E308" s="36"/>
      <c r="F308" s="36"/>
      <c r="G308" s="84"/>
      <c r="H308" s="36"/>
      <c r="I308" s="36"/>
      <c r="J308" s="293"/>
      <c r="K308" s="83"/>
      <c r="L308" s="293"/>
      <c r="M308" s="36"/>
      <c r="N308" s="36"/>
      <c r="O308" s="37"/>
      <c r="P308" s="37"/>
      <c r="Q308" s="237"/>
      <c r="R308" s="37"/>
      <c r="S308" s="37"/>
      <c r="T308" s="37"/>
      <c r="U308" s="37"/>
      <c r="V308" s="122"/>
      <c r="W308" s="122"/>
      <c r="X308" s="37"/>
      <c r="Y308" s="37"/>
      <c r="Z308" s="37"/>
    </row>
    <row r="309" spans="1:26" ht="13">
      <c r="A309" s="238"/>
      <c r="B309" s="292"/>
      <c r="C309" s="36"/>
      <c r="D309" s="290"/>
      <c r="E309" s="36"/>
      <c r="F309" s="36"/>
      <c r="G309" s="84"/>
      <c r="H309" s="36"/>
      <c r="I309" s="36"/>
      <c r="J309" s="293"/>
      <c r="K309" s="83"/>
      <c r="L309" s="293"/>
      <c r="M309" s="36"/>
      <c r="N309" s="36"/>
      <c r="O309" s="37"/>
      <c r="P309" s="37"/>
      <c r="Q309" s="237"/>
      <c r="R309" s="37"/>
      <c r="S309" s="37"/>
      <c r="T309" s="37"/>
      <c r="U309" s="37"/>
      <c r="V309" s="122"/>
      <c r="W309" s="122"/>
      <c r="X309" s="37"/>
      <c r="Y309" s="37"/>
      <c r="Z309" s="37"/>
    </row>
    <row r="310" spans="1:26" ht="13">
      <c r="A310" s="238"/>
      <c r="B310" s="292"/>
      <c r="C310" s="36"/>
      <c r="D310" s="290"/>
      <c r="E310" s="36"/>
      <c r="F310" s="36"/>
      <c r="G310" s="84"/>
      <c r="H310" s="36"/>
      <c r="I310" s="36"/>
      <c r="J310" s="293"/>
      <c r="K310" s="83"/>
      <c r="L310" s="293"/>
      <c r="M310" s="36"/>
      <c r="N310" s="36"/>
      <c r="O310" s="37"/>
      <c r="P310" s="37"/>
      <c r="Q310" s="237"/>
      <c r="R310" s="37"/>
      <c r="S310" s="37"/>
      <c r="T310" s="37"/>
      <c r="U310" s="37"/>
      <c r="V310" s="122"/>
      <c r="W310" s="122"/>
      <c r="X310" s="37"/>
      <c r="Y310" s="37"/>
      <c r="Z310" s="37"/>
    </row>
    <row r="311" spans="1:26" ht="13">
      <c r="A311" s="238"/>
      <c r="B311" s="292"/>
      <c r="C311" s="36"/>
      <c r="D311" s="290"/>
      <c r="E311" s="36"/>
      <c r="F311" s="36"/>
      <c r="G311" s="84"/>
      <c r="H311" s="36"/>
      <c r="I311" s="36"/>
      <c r="J311" s="293"/>
      <c r="K311" s="83"/>
      <c r="L311" s="293"/>
      <c r="M311" s="36"/>
      <c r="N311" s="36"/>
      <c r="O311" s="37"/>
      <c r="P311" s="37"/>
      <c r="Q311" s="237"/>
      <c r="R311" s="37"/>
      <c r="S311" s="37"/>
      <c r="T311" s="37"/>
      <c r="U311" s="37"/>
      <c r="V311" s="122"/>
      <c r="W311" s="122"/>
      <c r="X311" s="37"/>
      <c r="Y311" s="37"/>
      <c r="Z311" s="37"/>
    </row>
    <row r="312" spans="1:26" ht="13">
      <c r="A312" s="238"/>
      <c r="B312" s="292"/>
      <c r="C312" s="36"/>
      <c r="D312" s="290"/>
      <c r="E312" s="36"/>
      <c r="F312" s="36"/>
      <c r="G312" s="84"/>
      <c r="H312" s="36"/>
      <c r="I312" s="36"/>
      <c r="J312" s="293"/>
      <c r="K312" s="83"/>
      <c r="L312" s="293"/>
      <c r="M312" s="36"/>
      <c r="N312" s="36"/>
      <c r="O312" s="37"/>
      <c r="P312" s="37"/>
      <c r="Q312" s="237"/>
      <c r="R312" s="37"/>
      <c r="S312" s="37"/>
      <c r="T312" s="37"/>
      <c r="U312" s="37"/>
      <c r="V312" s="122"/>
      <c r="W312" s="122"/>
      <c r="X312" s="37"/>
      <c r="Y312" s="37"/>
      <c r="Z312" s="37"/>
    </row>
    <row r="313" spans="1:26" ht="13">
      <c r="A313" s="238"/>
      <c r="B313" s="292"/>
      <c r="C313" s="36"/>
      <c r="D313" s="290"/>
      <c r="E313" s="36"/>
      <c r="F313" s="36"/>
      <c r="G313" s="84"/>
      <c r="H313" s="36"/>
      <c r="I313" s="36"/>
      <c r="J313" s="293"/>
      <c r="K313" s="83"/>
      <c r="L313" s="293"/>
      <c r="M313" s="36"/>
      <c r="N313" s="36"/>
      <c r="O313" s="37"/>
      <c r="P313" s="37"/>
      <c r="Q313" s="237"/>
      <c r="R313" s="37"/>
      <c r="S313" s="37"/>
      <c r="T313" s="37"/>
      <c r="U313" s="37"/>
      <c r="V313" s="122"/>
      <c r="W313" s="122"/>
      <c r="X313" s="37"/>
      <c r="Y313" s="37"/>
      <c r="Z313" s="37"/>
    </row>
    <row r="314" spans="1:26" ht="13">
      <c r="A314" s="238"/>
      <c r="B314" s="292"/>
      <c r="C314" s="36"/>
      <c r="D314" s="290"/>
      <c r="E314" s="36"/>
      <c r="F314" s="36"/>
      <c r="G314" s="84"/>
      <c r="H314" s="36"/>
      <c r="I314" s="36"/>
      <c r="J314" s="293"/>
      <c r="K314" s="83"/>
      <c r="L314" s="293"/>
      <c r="M314" s="36"/>
      <c r="N314" s="36"/>
      <c r="O314" s="37"/>
      <c r="P314" s="37"/>
      <c r="Q314" s="237"/>
      <c r="R314" s="37"/>
      <c r="S314" s="37"/>
      <c r="T314" s="37"/>
      <c r="U314" s="37"/>
      <c r="V314" s="122"/>
      <c r="W314" s="122"/>
      <c r="X314" s="37"/>
      <c r="Y314" s="37"/>
      <c r="Z314" s="37"/>
    </row>
    <row r="315" spans="1:26" ht="13">
      <c r="A315" s="238"/>
      <c r="B315" s="292"/>
      <c r="C315" s="36"/>
      <c r="D315" s="290"/>
      <c r="E315" s="36"/>
      <c r="F315" s="36"/>
      <c r="G315" s="84"/>
      <c r="H315" s="36"/>
      <c r="I315" s="36"/>
      <c r="J315" s="293"/>
      <c r="K315" s="83"/>
      <c r="L315" s="293"/>
      <c r="M315" s="36"/>
      <c r="N315" s="36"/>
      <c r="O315" s="37"/>
      <c r="P315" s="37"/>
      <c r="Q315" s="237"/>
      <c r="R315" s="37"/>
      <c r="S315" s="37"/>
      <c r="T315" s="37"/>
      <c r="U315" s="37"/>
      <c r="V315" s="122"/>
      <c r="W315" s="122"/>
      <c r="X315" s="37"/>
      <c r="Y315" s="37"/>
      <c r="Z315" s="37"/>
    </row>
    <row r="316" spans="1:26" ht="13">
      <c r="A316" s="238"/>
      <c r="B316" s="292"/>
      <c r="C316" s="36"/>
      <c r="D316" s="290"/>
      <c r="E316" s="36"/>
      <c r="F316" s="36"/>
      <c r="G316" s="84"/>
      <c r="H316" s="36"/>
      <c r="I316" s="36"/>
      <c r="J316" s="293"/>
      <c r="K316" s="83"/>
      <c r="L316" s="293"/>
      <c r="M316" s="36"/>
      <c r="N316" s="36"/>
      <c r="O316" s="37"/>
      <c r="P316" s="37"/>
      <c r="Q316" s="237"/>
      <c r="R316" s="37"/>
      <c r="S316" s="37"/>
      <c r="T316" s="37"/>
      <c r="U316" s="37"/>
      <c r="V316" s="122"/>
      <c r="W316" s="122"/>
      <c r="X316" s="37"/>
      <c r="Y316" s="37"/>
      <c r="Z316" s="37"/>
    </row>
    <row r="317" spans="1:26" ht="13">
      <c r="A317" s="238"/>
      <c r="B317" s="292"/>
      <c r="C317" s="36"/>
      <c r="D317" s="290"/>
      <c r="E317" s="36"/>
      <c r="F317" s="36"/>
      <c r="G317" s="84"/>
      <c r="H317" s="36"/>
      <c r="I317" s="36"/>
      <c r="J317" s="293"/>
      <c r="K317" s="83"/>
      <c r="L317" s="293"/>
      <c r="M317" s="36"/>
      <c r="N317" s="36"/>
      <c r="O317" s="37"/>
      <c r="P317" s="37"/>
      <c r="Q317" s="237"/>
      <c r="R317" s="37"/>
      <c r="S317" s="37"/>
      <c r="T317" s="37"/>
      <c r="U317" s="37"/>
      <c r="V317" s="122"/>
      <c r="W317" s="122"/>
      <c r="X317" s="37"/>
      <c r="Y317" s="37"/>
      <c r="Z317" s="37"/>
    </row>
    <row r="318" spans="1:26" ht="13">
      <c r="A318" s="238"/>
      <c r="B318" s="292"/>
      <c r="C318" s="36"/>
      <c r="D318" s="290"/>
      <c r="E318" s="36"/>
      <c r="F318" s="36"/>
      <c r="G318" s="84"/>
      <c r="H318" s="36"/>
      <c r="I318" s="36"/>
      <c r="J318" s="293"/>
      <c r="K318" s="83"/>
      <c r="L318" s="293"/>
      <c r="M318" s="36"/>
      <c r="N318" s="36"/>
      <c r="O318" s="37"/>
      <c r="P318" s="37"/>
      <c r="Q318" s="237"/>
      <c r="R318" s="37"/>
      <c r="S318" s="37"/>
      <c r="T318" s="37"/>
      <c r="U318" s="37"/>
      <c r="V318" s="122"/>
      <c r="W318" s="122"/>
      <c r="X318" s="37"/>
      <c r="Y318" s="37"/>
      <c r="Z318" s="37"/>
    </row>
    <row r="319" spans="1:26" ht="13">
      <c r="A319" s="238"/>
      <c r="B319" s="292"/>
      <c r="C319" s="36"/>
      <c r="D319" s="290"/>
      <c r="E319" s="36"/>
      <c r="F319" s="36"/>
      <c r="G319" s="84"/>
      <c r="H319" s="36"/>
      <c r="I319" s="36"/>
      <c r="J319" s="293"/>
      <c r="K319" s="83"/>
      <c r="L319" s="293"/>
      <c r="M319" s="36"/>
      <c r="N319" s="36"/>
      <c r="O319" s="37"/>
      <c r="P319" s="37"/>
      <c r="Q319" s="237"/>
      <c r="R319" s="37"/>
      <c r="S319" s="37"/>
      <c r="T319" s="37"/>
      <c r="U319" s="37"/>
      <c r="V319" s="122"/>
      <c r="W319" s="122"/>
      <c r="X319" s="37"/>
      <c r="Y319" s="37"/>
      <c r="Z319" s="37"/>
    </row>
    <row r="320" spans="1:26" ht="13">
      <c r="A320" s="238"/>
      <c r="B320" s="292"/>
      <c r="C320" s="36"/>
      <c r="D320" s="290"/>
      <c r="E320" s="36"/>
      <c r="F320" s="36"/>
      <c r="G320" s="84"/>
      <c r="H320" s="36"/>
      <c r="I320" s="36"/>
      <c r="J320" s="293"/>
      <c r="K320" s="83"/>
      <c r="L320" s="293"/>
      <c r="M320" s="36"/>
      <c r="N320" s="36"/>
      <c r="O320" s="37"/>
      <c r="P320" s="37"/>
      <c r="Q320" s="237"/>
      <c r="R320" s="37"/>
      <c r="S320" s="37"/>
      <c r="T320" s="37"/>
      <c r="U320" s="37"/>
      <c r="V320" s="122"/>
      <c r="W320" s="122"/>
      <c r="X320" s="37"/>
      <c r="Y320" s="37"/>
      <c r="Z320" s="37"/>
    </row>
    <row r="321" spans="1:26" ht="13">
      <c r="A321" s="238"/>
      <c r="B321" s="292"/>
      <c r="C321" s="36"/>
      <c r="D321" s="290"/>
      <c r="E321" s="36"/>
      <c r="F321" s="36"/>
      <c r="G321" s="84"/>
      <c r="H321" s="36"/>
      <c r="I321" s="36"/>
      <c r="J321" s="293"/>
      <c r="K321" s="83"/>
      <c r="L321" s="293"/>
      <c r="M321" s="36"/>
      <c r="N321" s="36"/>
      <c r="O321" s="37"/>
      <c r="P321" s="37"/>
      <c r="Q321" s="237"/>
      <c r="R321" s="37"/>
      <c r="S321" s="37"/>
      <c r="T321" s="37"/>
      <c r="U321" s="37"/>
      <c r="V321" s="122"/>
      <c r="W321" s="122"/>
      <c r="X321" s="37"/>
      <c r="Y321" s="37"/>
      <c r="Z321" s="37"/>
    </row>
    <row r="322" spans="1:26" ht="13">
      <c r="A322" s="238"/>
      <c r="B322" s="292"/>
      <c r="C322" s="36"/>
      <c r="D322" s="290"/>
      <c r="E322" s="36"/>
      <c r="F322" s="36"/>
      <c r="G322" s="84"/>
      <c r="H322" s="36"/>
      <c r="I322" s="36"/>
      <c r="J322" s="293"/>
      <c r="K322" s="83"/>
      <c r="L322" s="293"/>
      <c r="M322" s="36"/>
      <c r="N322" s="36"/>
      <c r="O322" s="37"/>
      <c r="P322" s="37"/>
      <c r="Q322" s="237"/>
      <c r="R322" s="37"/>
      <c r="S322" s="37"/>
      <c r="T322" s="37"/>
      <c r="U322" s="37"/>
      <c r="V322" s="122"/>
      <c r="W322" s="122"/>
      <c r="X322" s="37"/>
      <c r="Y322" s="37"/>
      <c r="Z322" s="37"/>
    </row>
    <row r="323" spans="1:26" ht="13">
      <c r="A323" s="238"/>
      <c r="B323" s="292"/>
      <c r="C323" s="36"/>
      <c r="D323" s="290"/>
      <c r="E323" s="36"/>
      <c r="F323" s="36"/>
      <c r="G323" s="84"/>
      <c r="H323" s="36"/>
      <c r="I323" s="36"/>
      <c r="J323" s="293"/>
      <c r="K323" s="83"/>
      <c r="L323" s="293"/>
      <c r="M323" s="36"/>
      <c r="N323" s="36"/>
      <c r="O323" s="37"/>
      <c r="P323" s="37"/>
      <c r="Q323" s="237"/>
      <c r="R323" s="37"/>
      <c r="S323" s="37"/>
      <c r="T323" s="37"/>
      <c r="U323" s="37"/>
      <c r="V323" s="122"/>
      <c r="W323" s="122"/>
      <c r="X323" s="37"/>
      <c r="Y323" s="37"/>
      <c r="Z323" s="37"/>
    </row>
    <row r="324" spans="1:26" ht="13">
      <c r="A324" s="238"/>
      <c r="B324" s="292"/>
      <c r="C324" s="36"/>
      <c r="D324" s="290"/>
      <c r="E324" s="36"/>
      <c r="F324" s="36"/>
      <c r="G324" s="84"/>
      <c r="H324" s="36"/>
      <c r="I324" s="36"/>
      <c r="J324" s="293"/>
      <c r="K324" s="83"/>
      <c r="L324" s="293"/>
      <c r="M324" s="36"/>
      <c r="N324" s="36"/>
      <c r="O324" s="37"/>
      <c r="P324" s="37"/>
      <c r="Q324" s="237"/>
      <c r="R324" s="37"/>
      <c r="S324" s="37"/>
      <c r="T324" s="37"/>
      <c r="U324" s="37"/>
      <c r="V324" s="122"/>
      <c r="W324" s="122"/>
      <c r="X324" s="37"/>
      <c r="Y324" s="37"/>
      <c r="Z324" s="37"/>
    </row>
    <row r="325" spans="1:26" ht="13">
      <c r="A325" s="238"/>
      <c r="B325" s="292"/>
      <c r="C325" s="36"/>
      <c r="D325" s="290"/>
      <c r="E325" s="36"/>
      <c r="F325" s="36"/>
      <c r="G325" s="84"/>
      <c r="H325" s="36"/>
      <c r="I325" s="36"/>
      <c r="J325" s="293"/>
      <c r="K325" s="83"/>
      <c r="L325" s="293"/>
      <c r="M325" s="36"/>
      <c r="N325" s="36"/>
      <c r="O325" s="37"/>
      <c r="P325" s="37"/>
      <c r="Q325" s="237"/>
      <c r="R325" s="37"/>
      <c r="S325" s="37"/>
      <c r="T325" s="37"/>
      <c r="U325" s="37"/>
      <c r="V325" s="122"/>
      <c r="W325" s="122"/>
      <c r="X325" s="37"/>
      <c r="Y325" s="37"/>
      <c r="Z325" s="37"/>
    </row>
    <row r="326" spans="1:26" ht="13">
      <c r="A326" s="238"/>
      <c r="B326" s="292"/>
      <c r="C326" s="36"/>
      <c r="D326" s="290"/>
      <c r="E326" s="36"/>
      <c r="F326" s="36"/>
      <c r="G326" s="84"/>
      <c r="H326" s="36"/>
      <c r="I326" s="36"/>
      <c r="J326" s="293"/>
      <c r="K326" s="83"/>
      <c r="L326" s="293"/>
      <c r="M326" s="36"/>
      <c r="N326" s="36"/>
      <c r="O326" s="37"/>
      <c r="P326" s="37"/>
      <c r="Q326" s="237"/>
      <c r="R326" s="37"/>
      <c r="S326" s="37"/>
      <c r="T326" s="37"/>
      <c r="U326" s="37"/>
      <c r="V326" s="122"/>
      <c r="W326" s="122"/>
      <c r="X326" s="37"/>
      <c r="Y326" s="37"/>
      <c r="Z326" s="37"/>
    </row>
    <row r="327" spans="1:26" ht="13">
      <c r="A327" s="238"/>
      <c r="B327" s="292"/>
      <c r="C327" s="36"/>
      <c r="D327" s="290"/>
      <c r="E327" s="36"/>
      <c r="F327" s="36"/>
      <c r="G327" s="84"/>
      <c r="H327" s="36"/>
      <c r="I327" s="36"/>
      <c r="J327" s="293"/>
      <c r="K327" s="83"/>
      <c r="L327" s="293"/>
      <c r="M327" s="36"/>
      <c r="N327" s="36"/>
      <c r="O327" s="37"/>
      <c r="P327" s="37"/>
      <c r="Q327" s="237"/>
      <c r="R327" s="37"/>
      <c r="S327" s="37"/>
      <c r="T327" s="37"/>
      <c r="U327" s="37"/>
      <c r="V327" s="122"/>
      <c r="W327" s="122"/>
      <c r="X327" s="37"/>
      <c r="Y327" s="37"/>
      <c r="Z327" s="37"/>
    </row>
    <row r="328" spans="1:26" ht="13">
      <c r="A328" s="238"/>
      <c r="B328" s="292"/>
      <c r="C328" s="36"/>
      <c r="D328" s="290"/>
      <c r="E328" s="36"/>
      <c r="F328" s="36"/>
      <c r="G328" s="84"/>
      <c r="H328" s="36"/>
      <c r="I328" s="36"/>
      <c r="J328" s="293"/>
      <c r="K328" s="83"/>
      <c r="L328" s="293"/>
      <c r="M328" s="36"/>
      <c r="N328" s="36"/>
      <c r="O328" s="37"/>
      <c r="P328" s="37"/>
      <c r="Q328" s="237"/>
      <c r="R328" s="37"/>
      <c r="S328" s="37"/>
      <c r="T328" s="37"/>
      <c r="U328" s="37"/>
      <c r="V328" s="122"/>
      <c r="W328" s="122"/>
      <c r="X328" s="37"/>
      <c r="Y328" s="37"/>
      <c r="Z328" s="37"/>
    </row>
    <row r="329" spans="1:26" ht="13">
      <c r="A329" s="238"/>
      <c r="B329" s="292"/>
      <c r="C329" s="36"/>
      <c r="D329" s="290"/>
      <c r="E329" s="36"/>
      <c r="F329" s="36"/>
      <c r="G329" s="84"/>
      <c r="H329" s="36"/>
      <c r="I329" s="36"/>
      <c r="J329" s="293"/>
      <c r="K329" s="83"/>
      <c r="L329" s="293"/>
      <c r="M329" s="36"/>
      <c r="N329" s="36"/>
      <c r="O329" s="37"/>
      <c r="P329" s="37"/>
      <c r="Q329" s="237"/>
      <c r="R329" s="37"/>
      <c r="S329" s="37"/>
      <c r="T329" s="37"/>
      <c r="U329" s="37"/>
      <c r="V329" s="122"/>
      <c r="W329" s="122"/>
      <c r="X329" s="37"/>
      <c r="Y329" s="37"/>
      <c r="Z329" s="37"/>
    </row>
    <row r="330" spans="1:26" ht="13">
      <c r="A330" s="238"/>
      <c r="B330" s="292"/>
      <c r="C330" s="36"/>
      <c r="D330" s="290"/>
      <c r="E330" s="36"/>
      <c r="F330" s="36"/>
      <c r="G330" s="84"/>
      <c r="H330" s="36"/>
      <c r="I330" s="36"/>
      <c r="J330" s="293"/>
      <c r="K330" s="83"/>
      <c r="L330" s="293"/>
      <c r="M330" s="36"/>
      <c r="N330" s="36"/>
      <c r="O330" s="37"/>
      <c r="P330" s="37"/>
      <c r="Q330" s="237"/>
      <c r="R330" s="37"/>
      <c r="S330" s="37"/>
      <c r="T330" s="37"/>
      <c r="U330" s="37"/>
      <c r="V330" s="122"/>
      <c r="W330" s="122"/>
      <c r="X330" s="37"/>
      <c r="Y330" s="37"/>
      <c r="Z330" s="37"/>
    </row>
    <row r="331" spans="1:26" ht="13">
      <c r="A331" s="238"/>
      <c r="B331" s="292"/>
      <c r="C331" s="36"/>
      <c r="D331" s="290"/>
      <c r="E331" s="36"/>
      <c r="F331" s="36"/>
      <c r="G331" s="84"/>
      <c r="H331" s="36"/>
      <c r="I331" s="36"/>
      <c r="J331" s="293"/>
      <c r="K331" s="83"/>
      <c r="L331" s="293"/>
      <c r="M331" s="36"/>
      <c r="N331" s="36"/>
      <c r="O331" s="37"/>
      <c r="P331" s="37"/>
      <c r="Q331" s="237"/>
      <c r="R331" s="37"/>
      <c r="S331" s="37"/>
      <c r="T331" s="37"/>
      <c r="U331" s="37"/>
      <c r="V331" s="122"/>
      <c r="W331" s="122"/>
      <c r="X331" s="37"/>
      <c r="Y331" s="37"/>
      <c r="Z331" s="37"/>
    </row>
    <row r="332" spans="1:26" ht="13">
      <c r="A332" s="238"/>
      <c r="B332" s="292"/>
      <c r="C332" s="36"/>
      <c r="D332" s="290"/>
      <c r="E332" s="36"/>
      <c r="F332" s="36"/>
      <c r="G332" s="84"/>
      <c r="H332" s="36"/>
      <c r="I332" s="36"/>
      <c r="J332" s="293"/>
      <c r="K332" s="83"/>
      <c r="L332" s="293"/>
      <c r="M332" s="36"/>
      <c r="N332" s="36"/>
      <c r="O332" s="37"/>
      <c r="P332" s="37"/>
      <c r="Q332" s="237"/>
      <c r="R332" s="37"/>
      <c r="S332" s="37"/>
      <c r="T332" s="37"/>
      <c r="U332" s="37"/>
      <c r="V332" s="122"/>
      <c r="W332" s="122"/>
      <c r="X332" s="37"/>
      <c r="Y332" s="37"/>
      <c r="Z332" s="37"/>
    </row>
    <row r="333" spans="1:26" ht="13">
      <c r="A333" s="238"/>
      <c r="B333" s="292"/>
      <c r="C333" s="36"/>
      <c r="D333" s="290"/>
      <c r="E333" s="36"/>
      <c r="F333" s="36"/>
      <c r="G333" s="84"/>
      <c r="H333" s="36"/>
      <c r="I333" s="36"/>
      <c r="J333" s="293"/>
      <c r="K333" s="83"/>
      <c r="L333" s="293"/>
      <c r="M333" s="36"/>
      <c r="N333" s="36"/>
      <c r="O333" s="37"/>
      <c r="P333" s="37"/>
      <c r="Q333" s="237"/>
      <c r="R333" s="37"/>
      <c r="S333" s="37"/>
      <c r="T333" s="37"/>
      <c r="U333" s="37"/>
      <c r="V333" s="122"/>
      <c r="W333" s="122"/>
      <c r="X333" s="37"/>
      <c r="Y333" s="37"/>
      <c r="Z333" s="37"/>
    </row>
    <row r="334" spans="1:26" ht="13">
      <c r="A334" s="238"/>
      <c r="B334" s="292"/>
      <c r="C334" s="36"/>
      <c r="D334" s="290"/>
      <c r="E334" s="36"/>
      <c r="F334" s="36"/>
      <c r="G334" s="84"/>
      <c r="H334" s="36"/>
      <c r="I334" s="36"/>
      <c r="J334" s="293"/>
      <c r="K334" s="83"/>
      <c r="L334" s="293"/>
      <c r="M334" s="36"/>
      <c r="N334" s="36"/>
      <c r="O334" s="37"/>
      <c r="P334" s="37"/>
      <c r="Q334" s="237"/>
      <c r="R334" s="37"/>
      <c r="S334" s="37"/>
      <c r="T334" s="37"/>
      <c r="U334" s="37"/>
      <c r="V334" s="122"/>
      <c r="W334" s="122"/>
      <c r="X334" s="37"/>
      <c r="Y334" s="37"/>
      <c r="Z334" s="37"/>
    </row>
    <row r="335" spans="1:26" ht="13">
      <c r="A335" s="238"/>
      <c r="B335" s="292"/>
      <c r="C335" s="36"/>
      <c r="D335" s="290"/>
      <c r="E335" s="36"/>
      <c r="F335" s="36"/>
      <c r="G335" s="84"/>
      <c r="H335" s="36"/>
      <c r="I335" s="36"/>
      <c r="J335" s="293"/>
      <c r="K335" s="83"/>
      <c r="L335" s="293"/>
      <c r="M335" s="36"/>
      <c r="N335" s="36"/>
      <c r="O335" s="37"/>
      <c r="P335" s="37"/>
      <c r="Q335" s="237"/>
      <c r="R335" s="37"/>
      <c r="S335" s="37"/>
      <c r="T335" s="37"/>
      <c r="U335" s="37"/>
      <c r="V335" s="122"/>
      <c r="W335" s="122"/>
      <c r="X335" s="37"/>
      <c r="Y335" s="37"/>
      <c r="Z335" s="37"/>
    </row>
    <row r="336" spans="1:26" ht="13">
      <c r="A336" s="238"/>
      <c r="B336" s="292"/>
      <c r="C336" s="36"/>
      <c r="D336" s="290"/>
      <c r="E336" s="36"/>
      <c r="F336" s="36"/>
      <c r="G336" s="84"/>
      <c r="H336" s="36"/>
      <c r="I336" s="36"/>
      <c r="J336" s="293"/>
      <c r="K336" s="83"/>
      <c r="L336" s="293"/>
      <c r="M336" s="36"/>
      <c r="N336" s="36"/>
      <c r="O336" s="37"/>
      <c r="P336" s="37"/>
      <c r="Q336" s="237"/>
      <c r="R336" s="37"/>
      <c r="S336" s="37"/>
      <c r="T336" s="37"/>
      <c r="U336" s="37"/>
      <c r="V336" s="122"/>
      <c r="W336" s="122"/>
      <c r="X336" s="37"/>
      <c r="Y336" s="37"/>
      <c r="Z336" s="37"/>
    </row>
    <row r="337" spans="1:26" ht="13">
      <c r="A337" s="238"/>
      <c r="B337" s="292"/>
      <c r="C337" s="36"/>
      <c r="D337" s="290"/>
      <c r="E337" s="36"/>
      <c r="F337" s="36"/>
      <c r="G337" s="84"/>
      <c r="H337" s="36"/>
      <c r="I337" s="36"/>
      <c r="J337" s="293"/>
      <c r="K337" s="83"/>
      <c r="L337" s="293"/>
      <c r="M337" s="36"/>
      <c r="N337" s="36"/>
      <c r="O337" s="37"/>
      <c r="P337" s="37"/>
      <c r="Q337" s="237"/>
      <c r="R337" s="37"/>
      <c r="S337" s="37"/>
      <c r="T337" s="37"/>
      <c r="U337" s="37"/>
      <c r="V337" s="122"/>
      <c r="W337" s="122"/>
      <c r="X337" s="37"/>
      <c r="Y337" s="37"/>
      <c r="Z337" s="37"/>
    </row>
    <row r="338" spans="1:26" ht="13">
      <c r="A338" s="238"/>
      <c r="B338" s="292"/>
      <c r="C338" s="36"/>
      <c r="D338" s="290"/>
      <c r="E338" s="36"/>
      <c r="F338" s="36"/>
      <c r="G338" s="84"/>
      <c r="H338" s="36"/>
      <c r="I338" s="36"/>
      <c r="J338" s="293"/>
      <c r="K338" s="83"/>
      <c r="L338" s="293"/>
      <c r="M338" s="36"/>
      <c r="N338" s="36"/>
      <c r="O338" s="37"/>
      <c r="P338" s="37"/>
      <c r="Q338" s="237"/>
      <c r="R338" s="37"/>
      <c r="S338" s="37"/>
      <c r="T338" s="37"/>
      <c r="U338" s="37"/>
      <c r="V338" s="122"/>
      <c r="W338" s="122"/>
      <c r="X338" s="37"/>
      <c r="Y338" s="37"/>
      <c r="Z338" s="37"/>
    </row>
    <row r="339" spans="1:26" ht="13">
      <c r="A339" s="238"/>
      <c r="B339" s="292"/>
      <c r="C339" s="36"/>
      <c r="D339" s="290"/>
      <c r="E339" s="36"/>
      <c r="F339" s="36"/>
      <c r="G339" s="84"/>
      <c r="H339" s="36"/>
      <c r="I339" s="36"/>
      <c r="J339" s="293"/>
      <c r="K339" s="83"/>
      <c r="L339" s="293"/>
      <c r="M339" s="36"/>
      <c r="N339" s="36"/>
      <c r="O339" s="37"/>
      <c r="P339" s="37"/>
      <c r="Q339" s="237"/>
      <c r="R339" s="37"/>
      <c r="S339" s="37"/>
      <c r="T339" s="37"/>
      <c r="U339" s="37"/>
      <c r="V339" s="122"/>
      <c r="W339" s="122"/>
      <c r="X339" s="37"/>
      <c r="Y339" s="37"/>
      <c r="Z339" s="37"/>
    </row>
    <row r="340" spans="1:26" ht="13">
      <c r="A340" s="238"/>
      <c r="B340" s="292"/>
      <c r="C340" s="36"/>
      <c r="D340" s="290"/>
      <c r="E340" s="36"/>
      <c r="F340" s="36"/>
      <c r="G340" s="84"/>
      <c r="H340" s="36"/>
      <c r="I340" s="36"/>
      <c r="J340" s="293"/>
      <c r="K340" s="83"/>
      <c r="L340" s="293"/>
      <c r="M340" s="36"/>
      <c r="N340" s="36"/>
      <c r="O340" s="37"/>
      <c r="P340" s="37"/>
      <c r="Q340" s="237"/>
      <c r="R340" s="37"/>
      <c r="S340" s="37"/>
      <c r="T340" s="37"/>
      <c r="U340" s="37"/>
      <c r="V340" s="122"/>
      <c r="W340" s="122"/>
      <c r="X340" s="37"/>
      <c r="Y340" s="37"/>
      <c r="Z340" s="37"/>
    </row>
    <row r="341" spans="1:26" ht="13">
      <c r="A341" s="238"/>
      <c r="B341" s="292"/>
      <c r="C341" s="36"/>
      <c r="D341" s="290"/>
      <c r="E341" s="36"/>
      <c r="F341" s="36"/>
      <c r="G341" s="84"/>
      <c r="H341" s="36"/>
      <c r="I341" s="36"/>
      <c r="J341" s="293"/>
      <c r="K341" s="83"/>
      <c r="L341" s="293"/>
      <c r="M341" s="36"/>
      <c r="N341" s="36"/>
      <c r="O341" s="37"/>
      <c r="P341" s="37"/>
      <c r="Q341" s="237"/>
      <c r="R341" s="37"/>
      <c r="S341" s="37"/>
      <c r="T341" s="37"/>
      <c r="U341" s="37"/>
      <c r="V341" s="122"/>
      <c r="W341" s="122"/>
      <c r="X341" s="37"/>
      <c r="Y341" s="37"/>
      <c r="Z341" s="37"/>
    </row>
    <row r="342" spans="1:26" ht="13">
      <c r="A342" s="238"/>
      <c r="B342" s="292"/>
      <c r="C342" s="36"/>
      <c r="D342" s="290"/>
      <c r="E342" s="36"/>
      <c r="F342" s="36"/>
      <c r="G342" s="84"/>
      <c r="H342" s="36"/>
      <c r="I342" s="36"/>
      <c r="J342" s="293"/>
      <c r="K342" s="83"/>
      <c r="L342" s="293"/>
      <c r="M342" s="36"/>
      <c r="N342" s="36"/>
      <c r="O342" s="37"/>
      <c r="P342" s="37"/>
      <c r="Q342" s="237"/>
      <c r="R342" s="37"/>
      <c r="S342" s="37"/>
      <c r="T342" s="37"/>
      <c r="U342" s="37"/>
      <c r="V342" s="122"/>
      <c r="W342" s="122"/>
      <c r="X342" s="37"/>
      <c r="Y342" s="37"/>
      <c r="Z342" s="37"/>
    </row>
    <row r="343" spans="1:26" ht="13">
      <c r="A343" s="238"/>
      <c r="B343" s="292"/>
      <c r="C343" s="36"/>
      <c r="D343" s="290"/>
      <c r="E343" s="36"/>
      <c r="F343" s="36"/>
      <c r="G343" s="84"/>
      <c r="H343" s="36"/>
      <c r="I343" s="36"/>
      <c r="J343" s="293"/>
      <c r="K343" s="83"/>
      <c r="L343" s="293"/>
      <c r="M343" s="36"/>
      <c r="N343" s="36"/>
      <c r="O343" s="37"/>
      <c r="P343" s="37"/>
      <c r="Q343" s="237"/>
      <c r="R343" s="37"/>
      <c r="S343" s="37"/>
      <c r="T343" s="37"/>
      <c r="U343" s="37"/>
      <c r="V343" s="122"/>
      <c r="W343" s="122"/>
      <c r="X343" s="37"/>
      <c r="Y343" s="37"/>
      <c r="Z343" s="37"/>
    </row>
    <row r="344" spans="1:26" ht="13">
      <c r="A344" s="238"/>
      <c r="B344" s="292"/>
      <c r="C344" s="36"/>
      <c r="D344" s="290"/>
      <c r="E344" s="36"/>
      <c r="F344" s="36"/>
      <c r="G344" s="84"/>
      <c r="H344" s="36"/>
      <c r="I344" s="36"/>
      <c r="J344" s="293"/>
      <c r="K344" s="83"/>
      <c r="L344" s="293"/>
      <c r="M344" s="36"/>
      <c r="N344" s="36"/>
      <c r="O344" s="37"/>
      <c r="P344" s="37"/>
      <c r="Q344" s="237"/>
      <c r="R344" s="37"/>
      <c r="S344" s="37"/>
      <c r="T344" s="37"/>
      <c r="U344" s="37"/>
      <c r="V344" s="122"/>
      <c r="W344" s="122"/>
      <c r="X344" s="37"/>
      <c r="Y344" s="37"/>
      <c r="Z344" s="37"/>
    </row>
    <row r="345" spans="1:26" ht="13">
      <c r="A345" s="238"/>
      <c r="B345" s="292"/>
      <c r="C345" s="36"/>
      <c r="D345" s="290"/>
      <c r="E345" s="36"/>
      <c r="F345" s="36"/>
      <c r="G345" s="84"/>
      <c r="H345" s="36"/>
      <c r="I345" s="36"/>
      <c r="J345" s="293"/>
      <c r="K345" s="83"/>
      <c r="L345" s="293"/>
      <c r="M345" s="36"/>
      <c r="N345" s="36"/>
      <c r="O345" s="37"/>
      <c r="P345" s="37"/>
      <c r="Q345" s="237"/>
      <c r="R345" s="37"/>
      <c r="S345" s="37"/>
      <c r="T345" s="37"/>
      <c r="U345" s="37"/>
      <c r="V345" s="122"/>
      <c r="W345" s="122"/>
      <c r="X345" s="37"/>
      <c r="Y345" s="37"/>
      <c r="Z345" s="37"/>
    </row>
    <row r="346" spans="1:26" ht="13">
      <c r="A346" s="238"/>
      <c r="B346" s="292"/>
      <c r="C346" s="36"/>
      <c r="D346" s="290"/>
      <c r="E346" s="36"/>
      <c r="F346" s="36"/>
      <c r="G346" s="84"/>
      <c r="H346" s="36"/>
      <c r="I346" s="36"/>
      <c r="J346" s="293"/>
      <c r="K346" s="83"/>
      <c r="L346" s="293"/>
      <c r="M346" s="36"/>
      <c r="N346" s="36"/>
      <c r="O346" s="37"/>
      <c r="P346" s="37"/>
      <c r="Q346" s="237"/>
      <c r="R346" s="37"/>
      <c r="S346" s="37"/>
      <c r="T346" s="37"/>
      <c r="U346" s="37"/>
      <c r="V346" s="122"/>
      <c r="W346" s="122"/>
      <c r="X346" s="37"/>
      <c r="Y346" s="37"/>
      <c r="Z346" s="37"/>
    </row>
    <row r="347" spans="1:26" ht="13">
      <c r="A347" s="238"/>
      <c r="B347" s="292"/>
      <c r="C347" s="36"/>
      <c r="D347" s="290"/>
      <c r="E347" s="36"/>
      <c r="F347" s="36"/>
      <c r="G347" s="84"/>
      <c r="H347" s="36"/>
      <c r="I347" s="36"/>
      <c r="J347" s="293"/>
      <c r="K347" s="83"/>
      <c r="L347" s="293"/>
      <c r="M347" s="36"/>
      <c r="N347" s="36"/>
      <c r="O347" s="37"/>
      <c r="P347" s="37"/>
      <c r="Q347" s="237"/>
      <c r="R347" s="37"/>
      <c r="S347" s="37"/>
      <c r="T347" s="37"/>
      <c r="U347" s="37"/>
      <c r="V347" s="122"/>
      <c r="W347" s="122"/>
      <c r="X347" s="37"/>
      <c r="Y347" s="37"/>
      <c r="Z347" s="37"/>
    </row>
    <row r="348" spans="1:26" ht="13">
      <c r="A348" s="238"/>
      <c r="B348" s="292"/>
      <c r="C348" s="36"/>
      <c r="D348" s="290"/>
      <c r="E348" s="36"/>
      <c r="F348" s="36"/>
      <c r="G348" s="84"/>
      <c r="H348" s="36"/>
      <c r="I348" s="36"/>
      <c r="J348" s="293"/>
      <c r="K348" s="83"/>
      <c r="L348" s="293"/>
      <c r="M348" s="36"/>
      <c r="N348" s="36"/>
      <c r="O348" s="37"/>
      <c r="P348" s="37"/>
      <c r="Q348" s="237"/>
      <c r="R348" s="37"/>
      <c r="S348" s="37"/>
      <c r="T348" s="37"/>
      <c r="U348" s="37"/>
      <c r="V348" s="122"/>
      <c r="W348" s="122"/>
      <c r="X348" s="37"/>
      <c r="Y348" s="37"/>
      <c r="Z348" s="37"/>
    </row>
    <row r="349" spans="1:26" ht="13">
      <c r="A349" s="238"/>
      <c r="B349" s="292"/>
      <c r="C349" s="36"/>
      <c r="D349" s="290"/>
      <c r="E349" s="36"/>
      <c r="F349" s="36"/>
      <c r="G349" s="84"/>
      <c r="H349" s="36"/>
      <c r="I349" s="36"/>
      <c r="J349" s="293"/>
      <c r="K349" s="83"/>
      <c r="L349" s="293"/>
      <c r="M349" s="36"/>
      <c r="N349" s="36"/>
      <c r="O349" s="37"/>
      <c r="P349" s="37"/>
      <c r="Q349" s="237"/>
      <c r="R349" s="37"/>
      <c r="S349" s="37"/>
      <c r="T349" s="37"/>
      <c r="U349" s="37"/>
      <c r="V349" s="122"/>
      <c r="W349" s="122"/>
      <c r="X349" s="37"/>
      <c r="Y349" s="37"/>
      <c r="Z349" s="37"/>
    </row>
    <row r="350" spans="1:26" ht="13">
      <c r="A350" s="238"/>
      <c r="B350" s="292"/>
      <c r="C350" s="36"/>
      <c r="D350" s="290"/>
      <c r="E350" s="36"/>
      <c r="F350" s="36"/>
      <c r="G350" s="84"/>
      <c r="H350" s="36"/>
      <c r="I350" s="36"/>
      <c r="J350" s="293"/>
      <c r="K350" s="83"/>
      <c r="L350" s="293"/>
      <c r="M350" s="36"/>
      <c r="N350" s="36"/>
      <c r="O350" s="37"/>
      <c r="P350" s="37"/>
      <c r="Q350" s="237"/>
      <c r="R350" s="37"/>
      <c r="S350" s="37"/>
      <c r="T350" s="37"/>
      <c r="U350" s="37"/>
      <c r="V350" s="122"/>
      <c r="W350" s="122"/>
      <c r="X350" s="37"/>
      <c r="Y350" s="37"/>
      <c r="Z350" s="37"/>
    </row>
    <row r="351" spans="1:26" ht="13">
      <c r="A351" s="238"/>
      <c r="B351" s="292"/>
      <c r="C351" s="36"/>
      <c r="D351" s="290"/>
      <c r="E351" s="36"/>
      <c r="F351" s="36"/>
      <c r="G351" s="84"/>
      <c r="H351" s="36"/>
      <c r="I351" s="36"/>
      <c r="J351" s="293"/>
      <c r="K351" s="83"/>
      <c r="L351" s="293"/>
      <c r="M351" s="36"/>
      <c r="N351" s="36"/>
      <c r="O351" s="37"/>
      <c r="P351" s="37"/>
      <c r="Q351" s="237"/>
      <c r="R351" s="37"/>
      <c r="S351" s="37"/>
      <c r="T351" s="37"/>
      <c r="U351" s="37"/>
      <c r="V351" s="122"/>
      <c r="W351" s="122"/>
      <c r="X351" s="37"/>
      <c r="Y351" s="37"/>
      <c r="Z351" s="37"/>
    </row>
    <row r="352" spans="1:26" ht="13">
      <c r="A352" s="238"/>
      <c r="B352" s="292"/>
      <c r="C352" s="36"/>
      <c r="D352" s="290"/>
      <c r="E352" s="36"/>
      <c r="F352" s="36"/>
      <c r="G352" s="84"/>
      <c r="H352" s="36"/>
      <c r="I352" s="36"/>
      <c r="J352" s="293"/>
      <c r="K352" s="83"/>
      <c r="L352" s="293"/>
      <c r="M352" s="36"/>
      <c r="N352" s="36"/>
      <c r="O352" s="37"/>
      <c r="P352" s="37"/>
      <c r="Q352" s="237"/>
      <c r="R352" s="37"/>
      <c r="S352" s="37"/>
      <c r="T352" s="37"/>
      <c r="U352" s="37"/>
      <c r="V352" s="122"/>
      <c r="W352" s="122"/>
      <c r="X352" s="37"/>
      <c r="Y352" s="37"/>
      <c r="Z352" s="37"/>
    </row>
    <row r="353" spans="1:26" ht="13">
      <c r="A353" s="238"/>
      <c r="B353" s="292"/>
      <c r="C353" s="36"/>
      <c r="D353" s="290"/>
      <c r="E353" s="36"/>
      <c r="F353" s="36"/>
      <c r="G353" s="84"/>
      <c r="H353" s="36"/>
      <c r="I353" s="36"/>
      <c r="J353" s="293"/>
      <c r="K353" s="83"/>
      <c r="L353" s="293"/>
      <c r="M353" s="36"/>
      <c r="N353" s="36"/>
      <c r="O353" s="37"/>
      <c r="P353" s="37"/>
      <c r="Q353" s="237"/>
      <c r="R353" s="37"/>
      <c r="S353" s="37"/>
      <c r="T353" s="37"/>
      <c r="U353" s="37"/>
      <c r="V353" s="122"/>
      <c r="W353" s="122"/>
      <c r="X353" s="37"/>
      <c r="Y353" s="37"/>
      <c r="Z353" s="37"/>
    </row>
    <row r="354" spans="1:26" ht="13">
      <c r="A354" s="238"/>
      <c r="B354" s="292"/>
      <c r="C354" s="36"/>
      <c r="D354" s="290"/>
      <c r="E354" s="36"/>
      <c r="F354" s="36"/>
      <c r="G354" s="84"/>
      <c r="H354" s="36"/>
      <c r="I354" s="36"/>
      <c r="J354" s="293"/>
      <c r="K354" s="83"/>
      <c r="L354" s="293"/>
      <c r="M354" s="36"/>
      <c r="N354" s="36"/>
      <c r="O354" s="37"/>
      <c r="P354" s="37"/>
      <c r="Q354" s="237"/>
      <c r="R354" s="37"/>
      <c r="S354" s="37"/>
      <c r="T354" s="37"/>
      <c r="U354" s="37"/>
      <c r="V354" s="122"/>
      <c r="W354" s="122"/>
      <c r="X354" s="37"/>
      <c r="Y354" s="37"/>
      <c r="Z354" s="37"/>
    </row>
    <row r="355" spans="1:26" ht="13">
      <c r="A355" s="238"/>
      <c r="B355" s="292"/>
      <c r="C355" s="36"/>
      <c r="D355" s="290"/>
      <c r="E355" s="36"/>
      <c r="F355" s="36"/>
      <c r="G355" s="84"/>
      <c r="H355" s="36"/>
      <c r="I355" s="36"/>
      <c r="J355" s="293"/>
      <c r="K355" s="83"/>
      <c r="L355" s="293"/>
      <c r="M355" s="36"/>
      <c r="N355" s="36"/>
      <c r="O355" s="37"/>
      <c r="P355" s="37"/>
      <c r="Q355" s="237"/>
      <c r="R355" s="37"/>
      <c r="S355" s="37"/>
      <c r="T355" s="37"/>
      <c r="U355" s="37"/>
      <c r="V355" s="122"/>
      <c r="W355" s="122"/>
      <c r="X355" s="37"/>
      <c r="Y355" s="37"/>
      <c r="Z355" s="37"/>
    </row>
    <row r="356" spans="1:26" ht="13">
      <c r="A356" s="238"/>
      <c r="B356" s="292"/>
      <c r="C356" s="36"/>
      <c r="D356" s="290"/>
      <c r="E356" s="36"/>
      <c r="F356" s="36"/>
      <c r="G356" s="84"/>
      <c r="H356" s="36"/>
      <c r="I356" s="36"/>
      <c r="J356" s="293"/>
      <c r="K356" s="83"/>
      <c r="L356" s="293"/>
      <c r="M356" s="36"/>
      <c r="N356" s="36"/>
      <c r="O356" s="37"/>
      <c r="P356" s="37"/>
      <c r="Q356" s="237"/>
      <c r="R356" s="37"/>
      <c r="S356" s="37"/>
      <c r="T356" s="37"/>
      <c r="U356" s="37"/>
      <c r="V356" s="122"/>
      <c r="W356" s="122"/>
      <c r="X356" s="37"/>
      <c r="Y356" s="37"/>
      <c r="Z356" s="37"/>
    </row>
    <row r="357" spans="1:26" ht="13">
      <c r="A357" s="238"/>
      <c r="B357" s="292"/>
      <c r="C357" s="36"/>
      <c r="D357" s="290"/>
      <c r="E357" s="36"/>
      <c r="F357" s="36"/>
      <c r="G357" s="84"/>
      <c r="H357" s="36"/>
      <c r="I357" s="36"/>
      <c r="J357" s="293"/>
      <c r="K357" s="83"/>
      <c r="L357" s="293"/>
      <c r="M357" s="36"/>
      <c r="N357" s="36"/>
      <c r="O357" s="37"/>
      <c r="P357" s="37"/>
      <c r="Q357" s="237"/>
      <c r="R357" s="37"/>
      <c r="S357" s="37"/>
      <c r="T357" s="37"/>
      <c r="U357" s="37"/>
      <c r="V357" s="122"/>
      <c r="W357" s="122"/>
      <c r="X357" s="37"/>
      <c r="Y357" s="37"/>
      <c r="Z357" s="37"/>
    </row>
    <row r="358" spans="1:26" ht="13">
      <c r="A358" s="238"/>
      <c r="B358" s="292"/>
      <c r="C358" s="36"/>
      <c r="D358" s="290"/>
      <c r="E358" s="36"/>
      <c r="F358" s="36"/>
      <c r="G358" s="84"/>
      <c r="H358" s="36"/>
      <c r="I358" s="36"/>
      <c r="J358" s="293"/>
      <c r="K358" s="83"/>
      <c r="L358" s="293"/>
      <c r="M358" s="36"/>
      <c r="N358" s="36"/>
      <c r="O358" s="37"/>
      <c r="P358" s="37"/>
      <c r="Q358" s="237"/>
      <c r="R358" s="37"/>
      <c r="S358" s="37"/>
      <c r="T358" s="37"/>
      <c r="U358" s="37"/>
      <c r="V358" s="122"/>
      <c r="W358" s="122"/>
      <c r="X358" s="37"/>
      <c r="Y358" s="37"/>
      <c r="Z358" s="37"/>
    </row>
    <row r="359" spans="1:26" ht="13">
      <c r="A359" s="238"/>
      <c r="B359" s="292"/>
      <c r="C359" s="36"/>
      <c r="D359" s="290"/>
      <c r="E359" s="36"/>
      <c r="F359" s="36"/>
      <c r="G359" s="84"/>
      <c r="H359" s="36"/>
      <c r="I359" s="36"/>
      <c r="J359" s="293"/>
      <c r="K359" s="83"/>
      <c r="L359" s="293"/>
      <c r="M359" s="36"/>
      <c r="N359" s="36"/>
      <c r="O359" s="37"/>
      <c r="P359" s="37"/>
      <c r="Q359" s="237"/>
      <c r="R359" s="37"/>
      <c r="S359" s="37"/>
      <c r="T359" s="37"/>
      <c r="U359" s="37"/>
      <c r="V359" s="122"/>
      <c r="W359" s="122"/>
      <c r="X359" s="37"/>
      <c r="Y359" s="37"/>
      <c r="Z359" s="37"/>
    </row>
    <row r="360" spans="1:26" ht="13">
      <c r="A360" s="238"/>
      <c r="B360" s="292"/>
      <c r="C360" s="36"/>
      <c r="D360" s="290"/>
      <c r="E360" s="36"/>
      <c r="F360" s="36"/>
      <c r="G360" s="84"/>
      <c r="H360" s="36"/>
      <c r="I360" s="36"/>
      <c r="J360" s="293"/>
      <c r="K360" s="83"/>
      <c r="L360" s="293"/>
      <c r="M360" s="36"/>
      <c r="N360" s="36"/>
      <c r="O360" s="37"/>
      <c r="P360" s="37"/>
      <c r="Q360" s="237"/>
      <c r="R360" s="37"/>
      <c r="S360" s="37"/>
      <c r="T360" s="37"/>
      <c r="U360" s="37"/>
      <c r="V360" s="122"/>
      <c r="W360" s="122"/>
      <c r="X360" s="37"/>
      <c r="Y360" s="37"/>
      <c r="Z360" s="37"/>
    </row>
    <row r="361" spans="1:26" ht="13">
      <c r="A361" s="238"/>
      <c r="B361" s="292"/>
      <c r="C361" s="36"/>
      <c r="D361" s="290"/>
      <c r="E361" s="36"/>
      <c r="F361" s="36"/>
      <c r="G361" s="84"/>
      <c r="H361" s="36"/>
      <c r="I361" s="36"/>
      <c r="J361" s="293"/>
      <c r="K361" s="83"/>
      <c r="L361" s="293"/>
      <c r="M361" s="36"/>
      <c r="N361" s="36"/>
      <c r="O361" s="37"/>
      <c r="P361" s="37"/>
      <c r="Q361" s="237"/>
      <c r="R361" s="37"/>
      <c r="S361" s="37"/>
      <c r="T361" s="37"/>
      <c r="U361" s="37"/>
      <c r="V361" s="122"/>
      <c r="W361" s="122"/>
      <c r="X361" s="37"/>
      <c r="Y361" s="37"/>
      <c r="Z361" s="37"/>
    </row>
    <row r="362" spans="1:26" ht="13">
      <c r="A362" s="238"/>
      <c r="B362" s="292"/>
      <c r="C362" s="36"/>
      <c r="D362" s="290"/>
      <c r="E362" s="36"/>
      <c r="F362" s="36"/>
      <c r="G362" s="84"/>
      <c r="H362" s="36"/>
      <c r="I362" s="36"/>
      <c r="J362" s="293"/>
      <c r="K362" s="83"/>
      <c r="L362" s="293"/>
      <c r="M362" s="36"/>
      <c r="N362" s="36"/>
      <c r="O362" s="37"/>
      <c r="P362" s="37"/>
      <c r="Q362" s="237"/>
      <c r="R362" s="37"/>
      <c r="S362" s="37"/>
      <c r="T362" s="37"/>
      <c r="U362" s="37"/>
      <c r="V362" s="122"/>
      <c r="W362" s="122"/>
      <c r="X362" s="37"/>
      <c r="Y362" s="37"/>
      <c r="Z362" s="37"/>
    </row>
    <row r="363" spans="1:26" ht="13">
      <c r="A363" s="238"/>
      <c r="B363" s="292"/>
      <c r="C363" s="36"/>
      <c r="D363" s="290"/>
      <c r="E363" s="36"/>
      <c r="F363" s="36"/>
      <c r="G363" s="84"/>
      <c r="H363" s="36"/>
      <c r="I363" s="36"/>
      <c r="J363" s="293"/>
      <c r="K363" s="83"/>
      <c r="L363" s="293"/>
      <c r="M363" s="36"/>
      <c r="N363" s="36"/>
      <c r="O363" s="37"/>
      <c r="P363" s="37"/>
      <c r="Q363" s="237"/>
      <c r="R363" s="37"/>
      <c r="S363" s="37"/>
      <c r="T363" s="37"/>
      <c r="U363" s="37"/>
      <c r="V363" s="122"/>
      <c r="W363" s="122"/>
      <c r="X363" s="37"/>
      <c r="Y363" s="37"/>
      <c r="Z363" s="37"/>
    </row>
    <row r="364" spans="1:26" ht="13">
      <c r="A364" s="238"/>
      <c r="B364" s="292"/>
      <c r="C364" s="36"/>
      <c r="D364" s="290"/>
      <c r="E364" s="36"/>
      <c r="F364" s="36"/>
      <c r="G364" s="84"/>
      <c r="H364" s="36"/>
      <c r="I364" s="36"/>
      <c r="J364" s="293"/>
      <c r="K364" s="83"/>
      <c r="L364" s="293"/>
      <c r="M364" s="36"/>
      <c r="N364" s="36"/>
      <c r="O364" s="37"/>
      <c r="P364" s="37"/>
      <c r="Q364" s="237"/>
      <c r="R364" s="37"/>
      <c r="S364" s="37"/>
      <c r="T364" s="37"/>
      <c r="U364" s="37"/>
      <c r="V364" s="122"/>
      <c r="W364" s="122"/>
      <c r="X364" s="37"/>
      <c r="Y364" s="37"/>
      <c r="Z364" s="37"/>
    </row>
    <row r="365" spans="1:26" ht="13">
      <c r="A365" s="238"/>
      <c r="B365" s="292"/>
      <c r="C365" s="36"/>
      <c r="D365" s="290"/>
      <c r="E365" s="36"/>
      <c r="F365" s="36"/>
      <c r="G365" s="84"/>
      <c r="H365" s="36"/>
      <c r="I365" s="36"/>
      <c r="J365" s="293"/>
      <c r="K365" s="83"/>
      <c r="L365" s="293"/>
      <c r="M365" s="36"/>
      <c r="N365" s="36"/>
      <c r="O365" s="37"/>
      <c r="P365" s="37"/>
      <c r="Q365" s="237"/>
      <c r="R365" s="37"/>
      <c r="S365" s="37"/>
      <c r="T365" s="37"/>
      <c r="U365" s="37"/>
      <c r="V365" s="122"/>
      <c r="W365" s="122"/>
      <c r="X365" s="37"/>
      <c r="Y365" s="37"/>
      <c r="Z365" s="37"/>
    </row>
    <row r="366" spans="1:26" ht="13">
      <c r="A366" s="238"/>
      <c r="B366" s="292"/>
      <c r="C366" s="36"/>
      <c r="D366" s="290"/>
      <c r="E366" s="36"/>
      <c r="F366" s="36"/>
      <c r="G366" s="84"/>
      <c r="H366" s="36"/>
      <c r="I366" s="36"/>
      <c r="J366" s="293"/>
      <c r="K366" s="83"/>
      <c r="L366" s="293"/>
      <c r="M366" s="36"/>
      <c r="N366" s="36"/>
      <c r="O366" s="37"/>
      <c r="P366" s="37"/>
      <c r="Q366" s="237"/>
      <c r="R366" s="37"/>
      <c r="S366" s="37"/>
      <c r="T366" s="37"/>
      <c r="U366" s="37"/>
      <c r="V366" s="122"/>
      <c r="W366" s="122"/>
      <c r="X366" s="37"/>
      <c r="Y366" s="37"/>
      <c r="Z366" s="37"/>
    </row>
    <row r="367" spans="1:26" ht="13">
      <c r="A367" s="238"/>
      <c r="B367" s="292"/>
      <c r="C367" s="36"/>
      <c r="D367" s="290"/>
      <c r="E367" s="36"/>
      <c r="F367" s="36"/>
      <c r="G367" s="84"/>
      <c r="H367" s="36"/>
      <c r="I367" s="36"/>
      <c r="J367" s="293"/>
      <c r="K367" s="83"/>
      <c r="L367" s="293"/>
      <c r="M367" s="36"/>
      <c r="N367" s="36"/>
      <c r="O367" s="37"/>
      <c r="P367" s="37"/>
      <c r="Q367" s="237"/>
      <c r="R367" s="37"/>
      <c r="S367" s="37"/>
      <c r="T367" s="37"/>
      <c r="U367" s="37"/>
      <c r="V367" s="122"/>
      <c r="W367" s="122"/>
      <c r="X367" s="37"/>
      <c r="Y367" s="37"/>
      <c r="Z367" s="37"/>
    </row>
    <row r="368" spans="1:26" ht="13">
      <c r="A368" s="238"/>
      <c r="B368" s="292"/>
      <c r="C368" s="36"/>
      <c r="D368" s="290"/>
      <c r="E368" s="36"/>
      <c r="F368" s="36"/>
      <c r="G368" s="84"/>
      <c r="H368" s="36"/>
      <c r="I368" s="36"/>
      <c r="J368" s="293"/>
      <c r="K368" s="83"/>
      <c r="L368" s="293"/>
      <c r="M368" s="36"/>
      <c r="N368" s="36"/>
      <c r="O368" s="37"/>
      <c r="P368" s="37"/>
      <c r="Q368" s="237"/>
      <c r="R368" s="37"/>
      <c r="S368" s="37"/>
      <c r="T368" s="37"/>
      <c r="U368" s="37"/>
      <c r="V368" s="122"/>
      <c r="W368" s="122"/>
      <c r="X368" s="37"/>
      <c r="Y368" s="37"/>
      <c r="Z368" s="37"/>
    </row>
    <row r="369" spans="1:26" ht="13">
      <c r="A369" s="238"/>
      <c r="B369" s="292"/>
      <c r="C369" s="36"/>
      <c r="D369" s="290"/>
      <c r="E369" s="36"/>
      <c r="F369" s="36"/>
      <c r="G369" s="84"/>
      <c r="H369" s="36"/>
      <c r="I369" s="36"/>
      <c r="J369" s="293"/>
      <c r="K369" s="83"/>
      <c r="L369" s="293"/>
      <c r="M369" s="36"/>
      <c r="N369" s="36"/>
      <c r="O369" s="37"/>
      <c r="P369" s="37"/>
      <c r="Q369" s="237"/>
      <c r="R369" s="37"/>
      <c r="S369" s="37"/>
      <c r="T369" s="37"/>
      <c r="U369" s="37"/>
      <c r="V369" s="122"/>
      <c r="W369" s="122"/>
      <c r="X369" s="37"/>
      <c r="Y369" s="37"/>
      <c r="Z369" s="37"/>
    </row>
    <row r="370" spans="1:26" ht="13">
      <c r="A370" s="238"/>
      <c r="B370" s="292"/>
      <c r="C370" s="36"/>
      <c r="D370" s="290"/>
      <c r="E370" s="36"/>
      <c r="F370" s="36"/>
      <c r="G370" s="84"/>
      <c r="H370" s="36"/>
      <c r="I370" s="36"/>
      <c r="J370" s="293"/>
      <c r="K370" s="83"/>
      <c r="L370" s="293"/>
      <c r="M370" s="36"/>
      <c r="N370" s="36"/>
      <c r="O370" s="37"/>
      <c r="P370" s="37"/>
      <c r="Q370" s="237"/>
      <c r="R370" s="37"/>
      <c r="S370" s="37"/>
      <c r="T370" s="37"/>
      <c r="U370" s="37"/>
      <c r="V370" s="122"/>
      <c r="W370" s="122"/>
      <c r="X370" s="37"/>
      <c r="Y370" s="37"/>
      <c r="Z370" s="37"/>
    </row>
    <row r="371" spans="1:26" ht="13">
      <c r="A371" s="238"/>
      <c r="B371" s="292"/>
      <c r="C371" s="36"/>
      <c r="D371" s="290"/>
      <c r="E371" s="36"/>
      <c r="F371" s="36"/>
      <c r="G371" s="84"/>
      <c r="H371" s="36"/>
      <c r="I371" s="36"/>
      <c r="J371" s="293"/>
      <c r="K371" s="83"/>
      <c r="L371" s="293"/>
      <c r="M371" s="36"/>
      <c r="N371" s="36"/>
      <c r="O371" s="37"/>
      <c r="P371" s="37"/>
      <c r="Q371" s="237"/>
      <c r="R371" s="37"/>
      <c r="S371" s="37"/>
      <c r="T371" s="37"/>
      <c r="U371" s="37"/>
      <c r="V371" s="122"/>
      <c r="W371" s="122"/>
      <c r="X371" s="37"/>
      <c r="Y371" s="37"/>
      <c r="Z371" s="37"/>
    </row>
    <row r="372" spans="1:26" ht="13">
      <c r="A372" s="238"/>
      <c r="B372" s="292"/>
      <c r="C372" s="36"/>
      <c r="D372" s="290"/>
      <c r="E372" s="36"/>
      <c r="F372" s="36"/>
      <c r="G372" s="84"/>
      <c r="H372" s="36"/>
      <c r="I372" s="36"/>
      <c r="J372" s="293"/>
      <c r="K372" s="83"/>
      <c r="L372" s="293"/>
      <c r="M372" s="36"/>
      <c r="N372" s="36"/>
      <c r="O372" s="37"/>
      <c r="P372" s="37"/>
      <c r="Q372" s="237"/>
      <c r="R372" s="37"/>
      <c r="S372" s="37"/>
      <c r="T372" s="37"/>
      <c r="U372" s="37"/>
      <c r="V372" s="122"/>
      <c r="W372" s="122"/>
      <c r="X372" s="37"/>
      <c r="Y372" s="37"/>
      <c r="Z372" s="37"/>
    </row>
    <row r="373" spans="1:26" ht="13">
      <c r="A373" s="238"/>
      <c r="B373" s="292"/>
      <c r="C373" s="36"/>
      <c r="D373" s="290"/>
      <c r="E373" s="36"/>
      <c r="F373" s="36"/>
      <c r="G373" s="84"/>
      <c r="H373" s="36"/>
      <c r="I373" s="36"/>
      <c r="J373" s="293"/>
      <c r="K373" s="83"/>
      <c r="L373" s="293"/>
      <c r="M373" s="36"/>
      <c r="N373" s="36"/>
      <c r="O373" s="37"/>
      <c r="P373" s="37"/>
      <c r="Q373" s="237"/>
      <c r="R373" s="37"/>
      <c r="S373" s="37"/>
      <c r="T373" s="37"/>
      <c r="U373" s="37"/>
      <c r="V373" s="122"/>
      <c r="W373" s="122"/>
      <c r="X373" s="37"/>
      <c r="Y373" s="37"/>
      <c r="Z373" s="37"/>
    </row>
    <row r="374" spans="1:26" ht="13">
      <c r="A374" s="238"/>
      <c r="B374" s="292"/>
      <c r="C374" s="36"/>
      <c r="D374" s="290"/>
      <c r="E374" s="36"/>
      <c r="F374" s="36"/>
      <c r="G374" s="84"/>
      <c r="H374" s="36"/>
      <c r="I374" s="36"/>
      <c r="J374" s="293"/>
      <c r="K374" s="83"/>
      <c r="L374" s="293"/>
      <c r="M374" s="36"/>
      <c r="N374" s="36"/>
      <c r="O374" s="37"/>
      <c r="P374" s="37"/>
      <c r="Q374" s="237"/>
      <c r="R374" s="37"/>
      <c r="S374" s="37"/>
      <c r="T374" s="37"/>
      <c r="U374" s="37"/>
      <c r="V374" s="122"/>
      <c r="W374" s="122"/>
      <c r="X374" s="37"/>
      <c r="Y374" s="37"/>
      <c r="Z374" s="37"/>
    </row>
    <row r="375" spans="1:26" ht="13">
      <c r="A375" s="238"/>
      <c r="B375" s="292"/>
      <c r="C375" s="36"/>
      <c r="D375" s="290"/>
      <c r="E375" s="36"/>
      <c r="F375" s="36"/>
      <c r="G375" s="84"/>
      <c r="H375" s="36"/>
      <c r="I375" s="36"/>
      <c r="J375" s="293"/>
      <c r="K375" s="83"/>
      <c r="L375" s="293"/>
      <c r="M375" s="36"/>
      <c r="N375" s="36"/>
      <c r="O375" s="37"/>
      <c r="P375" s="37"/>
      <c r="Q375" s="237"/>
      <c r="R375" s="37"/>
      <c r="S375" s="37"/>
      <c r="T375" s="37"/>
      <c r="U375" s="37"/>
      <c r="V375" s="122"/>
      <c r="W375" s="122"/>
      <c r="X375" s="37"/>
      <c r="Y375" s="37"/>
      <c r="Z375" s="37"/>
    </row>
    <row r="376" spans="1:26" ht="13">
      <c r="A376" s="238"/>
      <c r="B376" s="292"/>
      <c r="C376" s="36"/>
      <c r="D376" s="290"/>
      <c r="E376" s="36"/>
      <c r="F376" s="36"/>
      <c r="G376" s="84"/>
      <c r="H376" s="36"/>
      <c r="I376" s="36"/>
      <c r="J376" s="293"/>
      <c r="K376" s="83"/>
      <c r="L376" s="293"/>
      <c r="M376" s="36"/>
      <c r="N376" s="36"/>
      <c r="O376" s="37"/>
      <c r="P376" s="37"/>
      <c r="Q376" s="237"/>
      <c r="R376" s="37"/>
      <c r="S376" s="37"/>
      <c r="T376" s="37"/>
      <c r="U376" s="37"/>
      <c r="V376" s="122"/>
      <c r="W376" s="122"/>
      <c r="X376" s="37"/>
      <c r="Y376" s="37"/>
      <c r="Z376" s="37"/>
    </row>
    <row r="377" spans="1:26" ht="13">
      <c r="A377" s="238"/>
      <c r="B377" s="292"/>
      <c r="C377" s="36"/>
      <c r="D377" s="290"/>
      <c r="E377" s="36"/>
      <c r="F377" s="36"/>
      <c r="G377" s="84"/>
      <c r="H377" s="36"/>
      <c r="I377" s="36"/>
      <c r="J377" s="293"/>
      <c r="K377" s="83"/>
      <c r="L377" s="293"/>
      <c r="M377" s="36"/>
      <c r="N377" s="36"/>
      <c r="O377" s="37"/>
      <c r="P377" s="37"/>
      <c r="Q377" s="237"/>
      <c r="R377" s="37"/>
      <c r="S377" s="37"/>
      <c r="T377" s="37"/>
      <c r="U377" s="37"/>
      <c r="V377" s="122"/>
      <c r="W377" s="122"/>
      <c r="X377" s="37"/>
      <c r="Y377" s="37"/>
      <c r="Z377" s="37"/>
    </row>
    <row r="378" spans="1:26" ht="13">
      <c r="A378" s="238"/>
      <c r="B378" s="292"/>
      <c r="C378" s="36"/>
      <c r="D378" s="290"/>
      <c r="E378" s="36"/>
      <c r="F378" s="36"/>
      <c r="G378" s="84"/>
      <c r="H378" s="36"/>
      <c r="I378" s="36"/>
      <c r="J378" s="293"/>
      <c r="K378" s="83"/>
      <c r="L378" s="293"/>
      <c r="M378" s="36"/>
      <c r="N378" s="36"/>
      <c r="O378" s="37"/>
      <c r="P378" s="37"/>
      <c r="Q378" s="237"/>
      <c r="R378" s="37"/>
      <c r="S378" s="37"/>
      <c r="T378" s="37"/>
      <c r="U378" s="37"/>
      <c r="V378" s="122"/>
      <c r="W378" s="122"/>
      <c r="X378" s="37"/>
      <c r="Y378" s="37"/>
      <c r="Z378" s="37"/>
    </row>
    <row r="379" spans="1:26" ht="13">
      <c r="A379" s="238"/>
      <c r="B379" s="292"/>
      <c r="C379" s="36"/>
      <c r="D379" s="290"/>
      <c r="E379" s="36"/>
      <c r="F379" s="36"/>
      <c r="G379" s="84"/>
      <c r="H379" s="36"/>
      <c r="I379" s="36"/>
      <c r="J379" s="293"/>
      <c r="K379" s="83"/>
      <c r="L379" s="293"/>
      <c r="M379" s="36"/>
      <c r="N379" s="36"/>
      <c r="O379" s="37"/>
      <c r="P379" s="37"/>
      <c r="Q379" s="237"/>
      <c r="R379" s="37"/>
      <c r="S379" s="37"/>
      <c r="T379" s="37"/>
      <c r="U379" s="37"/>
      <c r="V379" s="122"/>
      <c r="W379" s="122"/>
      <c r="X379" s="37"/>
      <c r="Y379" s="37"/>
      <c r="Z379" s="37"/>
    </row>
    <row r="380" spans="1:26" ht="13">
      <c r="A380" s="238"/>
      <c r="B380" s="292"/>
      <c r="C380" s="36"/>
      <c r="D380" s="290"/>
      <c r="E380" s="36"/>
      <c r="F380" s="36"/>
      <c r="G380" s="84"/>
      <c r="H380" s="36"/>
      <c r="I380" s="36"/>
      <c r="J380" s="293"/>
      <c r="K380" s="83"/>
      <c r="L380" s="293"/>
      <c r="M380" s="36"/>
      <c r="N380" s="36"/>
      <c r="O380" s="37"/>
      <c r="P380" s="37"/>
      <c r="Q380" s="237"/>
      <c r="R380" s="37"/>
      <c r="S380" s="37"/>
      <c r="T380" s="37"/>
      <c r="U380" s="37"/>
      <c r="V380" s="122"/>
      <c r="W380" s="122"/>
      <c r="X380" s="37"/>
      <c r="Y380" s="37"/>
      <c r="Z380" s="37"/>
    </row>
    <row r="381" spans="1:26" ht="13">
      <c r="A381" s="238"/>
      <c r="B381" s="292"/>
      <c r="C381" s="36"/>
      <c r="D381" s="290"/>
      <c r="E381" s="36"/>
      <c r="F381" s="36"/>
      <c r="G381" s="84"/>
      <c r="H381" s="36"/>
      <c r="I381" s="36"/>
      <c r="J381" s="293"/>
      <c r="K381" s="83"/>
      <c r="L381" s="293"/>
      <c r="M381" s="36"/>
      <c r="N381" s="36"/>
      <c r="O381" s="37"/>
      <c r="P381" s="37"/>
      <c r="Q381" s="237"/>
      <c r="R381" s="37"/>
      <c r="S381" s="37"/>
      <c r="T381" s="37"/>
      <c r="U381" s="37"/>
      <c r="V381" s="122"/>
      <c r="W381" s="122"/>
      <c r="X381" s="37"/>
      <c r="Y381" s="37"/>
      <c r="Z381" s="37"/>
    </row>
    <row r="382" spans="1:26" ht="13">
      <c r="A382" s="238"/>
      <c r="B382" s="292"/>
      <c r="C382" s="36"/>
      <c r="D382" s="290"/>
      <c r="E382" s="36"/>
      <c r="F382" s="36"/>
      <c r="G382" s="84"/>
      <c r="H382" s="36"/>
      <c r="I382" s="36"/>
      <c r="J382" s="293"/>
      <c r="K382" s="83"/>
      <c r="L382" s="293"/>
      <c r="M382" s="36"/>
      <c r="N382" s="36"/>
      <c r="O382" s="37"/>
      <c r="P382" s="37"/>
      <c r="Q382" s="237"/>
      <c r="R382" s="37"/>
      <c r="S382" s="37"/>
      <c r="T382" s="37"/>
      <c r="U382" s="37"/>
      <c r="V382" s="122"/>
      <c r="W382" s="122"/>
      <c r="X382" s="37"/>
      <c r="Y382" s="37"/>
      <c r="Z382" s="37"/>
    </row>
    <row r="383" spans="1:26" ht="13">
      <c r="A383" s="238"/>
      <c r="B383" s="292"/>
      <c r="C383" s="36"/>
      <c r="D383" s="290"/>
      <c r="E383" s="36"/>
      <c r="F383" s="36"/>
      <c r="G383" s="84"/>
      <c r="H383" s="36"/>
      <c r="I383" s="36"/>
      <c r="J383" s="293"/>
      <c r="K383" s="83"/>
      <c r="L383" s="293"/>
      <c r="M383" s="36"/>
      <c r="N383" s="36"/>
      <c r="O383" s="37"/>
      <c r="P383" s="37"/>
      <c r="Q383" s="237"/>
      <c r="R383" s="37"/>
      <c r="S383" s="37"/>
      <c r="T383" s="37"/>
      <c r="U383" s="37"/>
      <c r="V383" s="122"/>
      <c r="W383" s="122"/>
      <c r="X383" s="37"/>
      <c r="Y383" s="37"/>
      <c r="Z383" s="37"/>
    </row>
    <row r="384" spans="1:26" ht="13">
      <c r="A384" s="238"/>
      <c r="B384" s="292"/>
      <c r="C384" s="36"/>
      <c r="D384" s="290"/>
      <c r="E384" s="36"/>
      <c r="F384" s="36"/>
      <c r="G384" s="84"/>
      <c r="H384" s="36"/>
      <c r="I384" s="36"/>
      <c r="J384" s="293"/>
      <c r="K384" s="83"/>
      <c r="L384" s="293"/>
      <c r="M384" s="36"/>
      <c r="N384" s="36"/>
      <c r="O384" s="37"/>
      <c r="P384" s="37"/>
      <c r="Q384" s="237"/>
      <c r="R384" s="37"/>
      <c r="S384" s="37"/>
      <c r="T384" s="37"/>
      <c r="U384" s="37"/>
      <c r="V384" s="122"/>
      <c r="W384" s="122"/>
      <c r="X384" s="37"/>
      <c r="Y384" s="37"/>
      <c r="Z384" s="37"/>
    </row>
    <row r="385" spans="1:26" ht="13">
      <c r="A385" s="238"/>
      <c r="B385" s="292"/>
      <c r="C385" s="36"/>
      <c r="D385" s="290"/>
      <c r="E385" s="36"/>
      <c r="F385" s="36"/>
      <c r="G385" s="84"/>
      <c r="H385" s="36"/>
      <c r="I385" s="36"/>
      <c r="J385" s="293"/>
      <c r="K385" s="83"/>
      <c r="L385" s="293"/>
      <c r="M385" s="36"/>
      <c r="N385" s="36"/>
      <c r="O385" s="37"/>
      <c r="P385" s="37"/>
      <c r="Q385" s="237"/>
      <c r="R385" s="37"/>
      <c r="S385" s="37"/>
      <c r="T385" s="37"/>
      <c r="U385" s="37"/>
      <c r="V385" s="122"/>
      <c r="W385" s="122"/>
      <c r="X385" s="37"/>
      <c r="Y385" s="37"/>
      <c r="Z385" s="37"/>
    </row>
    <row r="386" spans="1:26" ht="13">
      <c r="A386" s="238"/>
      <c r="B386" s="292"/>
      <c r="C386" s="36"/>
      <c r="D386" s="290"/>
      <c r="E386" s="36"/>
      <c r="F386" s="36"/>
      <c r="G386" s="84"/>
      <c r="H386" s="36"/>
      <c r="I386" s="36"/>
      <c r="J386" s="293"/>
      <c r="K386" s="83"/>
      <c r="L386" s="293"/>
      <c r="M386" s="36"/>
      <c r="N386" s="36"/>
      <c r="O386" s="37"/>
      <c r="P386" s="37"/>
      <c r="Q386" s="237"/>
      <c r="R386" s="37"/>
      <c r="S386" s="37"/>
      <c r="T386" s="37"/>
      <c r="U386" s="37"/>
      <c r="V386" s="122"/>
      <c r="W386" s="122"/>
      <c r="X386" s="37"/>
      <c r="Y386" s="37"/>
      <c r="Z386" s="37"/>
    </row>
    <row r="387" spans="1:26" ht="13">
      <c r="A387" s="238"/>
      <c r="B387" s="292"/>
      <c r="C387" s="36"/>
      <c r="D387" s="290"/>
      <c r="E387" s="36"/>
      <c r="F387" s="36"/>
      <c r="G387" s="84"/>
      <c r="H387" s="36"/>
      <c r="I387" s="36"/>
      <c r="J387" s="293"/>
      <c r="K387" s="83"/>
      <c r="L387" s="293"/>
      <c r="M387" s="36"/>
      <c r="N387" s="36"/>
      <c r="O387" s="37"/>
      <c r="P387" s="37"/>
      <c r="Q387" s="237"/>
      <c r="R387" s="37"/>
      <c r="S387" s="37"/>
      <c r="T387" s="37"/>
      <c r="U387" s="37"/>
      <c r="V387" s="122"/>
      <c r="W387" s="122"/>
      <c r="X387" s="37"/>
      <c r="Y387" s="37"/>
      <c r="Z387" s="37"/>
    </row>
    <row r="388" spans="1:26" ht="13">
      <c r="A388" s="238"/>
      <c r="B388" s="292"/>
      <c r="C388" s="36"/>
      <c r="D388" s="290"/>
      <c r="E388" s="36"/>
      <c r="F388" s="36"/>
      <c r="G388" s="84"/>
      <c r="H388" s="36"/>
      <c r="I388" s="36"/>
      <c r="J388" s="293"/>
      <c r="K388" s="83"/>
      <c r="L388" s="293"/>
      <c r="M388" s="36"/>
      <c r="N388" s="36"/>
      <c r="O388" s="37"/>
      <c r="P388" s="37"/>
      <c r="Q388" s="237"/>
      <c r="R388" s="37"/>
      <c r="S388" s="37"/>
      <c r="T388" s="37"/>
      <c r="U388" s="37"/>
      <c r="V388" s="122"/>
      <c r="W388" s="122"/>
      <c r="X388" s="37"/>
      <c r="Y388" s="37"/>
      <c r="Z388" s="37"/>
    </row>
    <row r="389" spans="1:26" ht="13">
      <c r="A389" s="238"/>
      <c r="B389" s="292"/>
      <c r="C389" s="36"/>
      <c r="D389" s="290"/>
      <c r="E389" s="36"/>
      <c r="F389" s="36"/>
      <c r="G389" s="84"/>
      <c r="H389" s="36"/>
      <c r="I389" s="36"/>
      <c r="J389" s="293"/>
      <c r="K389" s="83"/>
      <c r="L389" s="293"/>
      <c r="M389" s="36"/>
      <c r="N389" s="36"/>
      <c r="O389" s="37"/>
      <c r="P389" s="37"/>
      <c r="Q389" s="237"/>
      <c r="R389" s="37"/>
      <c r="S389" s="37"/>
      <c r="T389" s="37"/>
      <c r="U389" s="37"/>
      <c r="V389" s="122"/>
      <c r="W389" s="122"/>
      <c r="X389" s="37"/>
      <c r="Y389" s="37"/>
      <c r="Z389" s="37"/>
    </row>
    <row r="390" spans="1:26" ht="13">
      <c r="A390" s="238"/>
      <c r="B390" s="292"/>
      <c r="C390" s="36"/>
      <c r="D390" s="290"/>
      <c r="E390" s="36"/>
      <c r="F390" s="36"/>
      <c r="G390" s="84"/>
      <c r="H390" s="36"/>
      <c r="I390" s="36"/>
      <c r="J390" s="293"/>
      <c r="K390" s="83"/>
      <c r="L390" s="293"/>
      <c r="M390" s="36"/>
      <c r="N390" s="36"/>
      <c r="O390" s="37"/>
      <c r="P390" s="37"/>
      <c r="Q390" s="237"/>
      <c r="R390" s="37"/>
      <c r="S390" s="37"/>
      <c r="T390" s="37"/>
      <c r="U390" s="37"/>
      <c r="V390" s="122"/>
      <c r="W390" s="122"/>
      <c r="X390" s="37"/>
      <c r="Y390" s="37"/>
      <c r="Z390" s="37"/>
    </row>
    <row r="391" spans="1:26" ht="13">
      <c r="A391" s="238"/>
      <c r="B391" s="292"/>
      <c r="C391" s="36"/>
      <c r="D391" s="290"/>
      <c r="E391" s="36"/>
      <c r="F391" s="36"/>
      <c r="G391" s="84"/>
      <c r="H391" s="36"/>
      <c r="I391" s="36"/>
      <c r="J391" s="293"/>
      <c r="K391" s="83"/>
      <c r="L391" s="293"/>
      <c r="M391" s="36"/>
      <c r="N391" s="36"/>
      <c r="O391" s="37"/>
      <c r="P391" s="37"/>
      <c r="Q391" s="237"/>
      <c r="R391" s="37"/>
      <c r="S391" s="37"/>
      <c r="T391" s="37"/>
      <c r="U391" s="37"/>
      <c r="V391" s="122"/>
      <c r="W391" s="122"/>
      <c r="X391" s="37"/>
      <c r="Y391" s="37"/>
      <c r="Z391" s="37"/>
    </row>
    <row r="392" spans="1:26" ht="13">
      <c r="A392" s="238"/>
      <c r="B392" s="292"/>
      <c r="C392" s="36"/>
      <c r="D392" s="290"/>
      <c r="E392" s="36"/>
      <c r="F392" s="36"/>
      <c r="G392" s="84"/>
      <c r="H392" s="36"/>
      <c r="I392" s="36"/>
      <c r="J392" s="293"/>
      <c r="K392" s="83"/>
      <c r="L392" s="293"/>
      <c r="M392" s="36"/>
      <c r="N392" s="36"/>
      <c r="O392" s="37"/>
      <c r="P392" s="37"/>
      <c r="Q392" s="237"/>
      <c r="R392" s="37"/>
      <c r="S392" s="37"/>
      <c r="T392" s="37"/>
      <c r="U392" s="37"/>
      <c r="V392" s="122"/>
      <c r="W392" s="122"/>
      <c r="X392" s="37"/>
      <c r="Y392" s="37"/>
      <c r="Z392" s="37"/>
    </row>
    <row r="393" spans="1:26" ht="13">
      <c r="A393" s="238"/>
      <c r="B393" s="292"/>
      <c r="C393" s="36"/>
      <c r="D393" s="290"/>
      <c r="E393" s="36"/>
      <c r="F393" s="36"/>
      <c r="G393" s="84"/>
      <c r="H393" s="36"/>
      <c r="I393" s="36"/>
      <c r="J393" s="293"/>
      <c r="K393" s="83"/>
      <c r="L393" s="293"/>
      <c r="M393" s="36"/>
      <c r="N393" s="36"/>
      <c r="O393" s="37"/>
      <c r="P393" s="37"/>
      <c r="Q393" s="237"/>
      <c r="R393" s="37"/>
      <c r="S393" s="37"/>
      <c r="T393" s="37"/>
      <c r="U393" s="37"/>
      <c r="V393" s="122"/>
      <c r="W393" s="122"/>
      <c r="X393" s="37"/>
      <c r="Y393" s="37"/>
      <c r="Z393" s="37"/>
    </row>
    <row r="394" spans="1:26" ht="13">
      <c r="A394" s="238"/>
      <c r="B394" s="292"/>
      <c r="C394" s="36"/>
      <c r="D394" s="290"/>
      <c r="E394" s="36"/>
      <c r="F394" s="36"/>
      <c r="G394" s="84"/>
      <c r="H394" s="36"/>
      <c r="I394" s="36"/>
      <c r="J394" s="293"/>
      <c r="K394" s="83"/>
      <c r="L394" s="293"/>
      <c r="M394" s="36"/>
      <c r="N394" s="36"/>
      <c r="O394" s="37"/>
      <c r="P394" s="37"/>
      <c r="Q394" s="237"/>
      <c r="R394" s="37"/>
      <c r="S394" s="37"/>
      <c r="T394" s="37"/>
      <c r="U394" s="37"/>
      <c r="V394" s="122"/>
      <c r="W394" s="122"/>
      <c r="X394" s="37"/>
      <c r="Y394" s="37"/>
      <c r="Z394" s="37"/>
    </row>
    <row r="395" spans="1:26" ht="13">
      <c r="A395" s="238"/>
      <c r="B395" s="292"/>
      <c r="C395" s="36"/>
      <c r="D395" s="290"/>
      <c r="E395" s="36"/>
      <c r="F395" s="36"/>
      <c r="G395" s="84"/>
      <c r="H395" s="36"/>
      <c r="I395" s="36"/>
      <c r="J395" s="293"/>
      <c r="K395" s="83"/>
      <c r="L395" s="293"/>
      <c r="M395" s="36"/>
      <c r="N395" s="36"/>
      <c r="O395" s="37"/>
      <c r="P395" s="37"/>
      <c r="Q395" s="237"/>
      <c r="R395" s="37"/>
      <c r="S395" s="37"/>
      <c r="T395" s="37"/>
      <c r="U395" s="37"/>
      <c r="V395" s="122"/>
      <c r="W395" s="122"/>
      <c r="X395" s="37"/>
      <c r="Y395" s="37"/>
      <c r="Z395" s="37"/>
    </row>
    <row r="396" spans="1:26" ht="13">
      <c r="A396" s="238"/>
      <c r="B396" s="292"/>
      <c r="C396" s="36"/>
      <c r="D396" s="290"/>
      <c r="E396" s="36"/>
      <c r="F396" s="36"/>
      <c r="G396" s="84"/>
      <c r="H396" s="36"/>
      <c r="I396" s="36"/>
      <c r="J396" s="293"/>
      <c r="K396" s="83"/>
      <c r="L396" s="293"/>
      <c r="M396" s="36"/>
      <c r="N396" s="36"/>
      <c r="O396" s="37"/>
      <c r="P396" s="37"/>
      <c r="Q396" s="237"/>
      <c r="R396" s="37"/>
      <c r="S396" s="37"/>
      <c r="T396" s="37"/>
      <c r="U396" s="37"/>
      <c r="V396" s="122"/>
      <c r="W396" s="122"/>
      <c r="X396" s="37"/>
      <c r="Y396" s="37"/>
      <c r="Z396" s="37"/>
    </row>
    <row r="397" spans="1:26" ht="13">
      <c r="A397" s="238"/>
      <c r="B397" s="292"/>
      <c r="C397" s="36"/>
      <c r="D397" s="290"/>
      <c r="E397" s="36"/>
      <c r="F397" s="36"/>
      <c r="G397" s="84"/>
      <c r="H397" s="36"/>
      <c r="I397" s="36"/>
      <c r="J397" s="293"/>
      <c r="K397" s="83"/>
      <c r="L397" s="293"/>
      <c r="M397" s="36"/>
      <c r="N397" s="36"/>
      <c r="O397" s="37"/>
      <c r="P397" s="37"/>
      <c r="Q397" s="237"/>
      <c r="R397" s="37"/>
      <c r="S397" s="37"/>
      <c r="T397" s="37"/>
      <c r="U397" s="37"/>
      <c r="V397" s="122"/>
      <c r="W397" s="122"/>
      <c r="X397" s="37"/>
      <c r="Y397" s="37"/>
      <c r="Z397" s="37"/>
    </row>
    <row r="398" spans="1:26" ht="13">
      <c r="A398" s="238"/>
      <c r="B398" s="292"/>
      <c r="C398" s="36"/>
      <c r="D398" s="290"/>
      <c r="E398" s="36"/>
      <c r="F398" s="36"/>
      <c r="G398" s="84"/>
      <c r="H398" s="36"/>
      <c r="I398" s="36"/>
      <c r="J398" s="293"/>
      <c r="K398" s="83"/>
      <c r="L398" s="293"/>
      <c r="M398" s="36"/>
      <c r="N398" s="36"/>
      <c r="O398" s="37"/>
      <c r="P398" s="37"/>
      <c r="Q398" s="237"/>
      <c r="R398" s="37"/>
      <c r="S398" s="37"/>
      <c r="T398" s="37"/>
      <c r="U398" s="37"/>
      <c r="V398" s="122"/>
      <c r="W398" s="122"/>
      <c r="X398" s="37"/>
      <c r="Y398" s="37"/>
      <c r="Z398" s="37"/>
    </row>
    <row r="399" spans="1:26" ht="13">
      <c r="A399" s="238"/>
      <c r="B399" s="292"/>
      <c r="C399" s="36"/>
      <c r="D399" s="290"/>
      <c r="E399" s="36"/>
      <c r="F399" s="36"/>
      <c r="G399" s="84"/>
      <c r="H399" s="36"/>
      <c r="I399" s="36"/>
      <c r="J399" s="293"/>
      <c r="K399" s="83"/>
      <c r="L399" s="293"/>
      <c r="M399" s="36"/>
      <c r="N399" s="36"/>
      <c r="O399" s="37"/>
      <c r="P399" s="37"/>
      <c r="Q399" s="237"/>
      <c r="R399" s="37"/>
      <c r="S399" s="37"/>
      <c r="T399" s="37"/>
      <c r="U399" s="37"/>
      <c r="V399" s="122"/>
      <c r="W399" s="122"/>
      <c r="X399" s="37"/>
      <c r="Y399" s="37"/>
      <c r="Z399" s="37"/>
    </row>
    <row r="400" spans="1:26" ht="13">
      <c r="A400" s="238"/>
      <c r="B400" s="292"/>
      <c r="C400" s="36"/>
      <c r="D400" s="290"/>
      <c r="E400" s="36"/>
      <c r="F400" s="36"/>
      <c r="G400" s="84"/>
      <c r="H400" s="36"/>
      <c r="I400" s="36"/>
      <c r="J400" s="293"/>
      <c r="K400" s="83"/>
      <c r="L400" s="293"/>
      <c r="M400" s="36"/>
      <c r="N400" s="36"/>
      <c r="O400" s="37"/>
      <c r="P400" s="37"/>
      <c r="Q400" s="237"/>
      <c r="R400" s="37"/>
      <c r="S400" s="37"/>
      <c r="T400" s="37"/>
      <c r="U400" s="37"/>
      <c r="V400" s="122"/>
      <c r="W400" s="122"/>
      <c r="X400" s="37"/>
      <c r="Y400" s="37"/>
      <c r="Z400" s="37"/>
    </row>
    <row r="401" spans="1:26" ht="13">
      <c r="A401" s="238"/>
      <c r="B401" s="292"/>
      <c r="C401" s="36"/>
      <c r="D401" s="290"/>
      <c r="E401" s="36"/>
      <c r="F401" s="36"/>
      <c r="G401" s="84"/>
      <c r="H401" s="36"/>
      <c r="I401" s="36"/>
      <c r="J401" s="293"/>
      <c r="K401" s="83"/>
      <c r="L401" s="293"/>
      <c r="M401" s="36"/>
      <c r="N401" s="36"/>
      <c r="O401" s="37"/>
      <c r="P401" s="37"/>
      <c r="Q401" s="237"/>
      <c r="R401" s="37"/>
      <c r="S401" s="37"/>
      <c r="T401" s="37"/>
      <c r="U401" s="37"/>
      <c r="V401" s="122"/>
      <c r="W401" s="122"/>
      <c r="X401" s="37"/>
      <c r="Y401" s="37"/>
      <c r="Z401" s="37"/>
    </row>
    <row r="402" spans="1:26" ht="13">
      <c r="A402" s="238"/>
      <c r="B402" s="292"/>
      <c r="C402" s="36"/>
      <c r="D402" s="290"/>
      <c r="E402" s="36"/>
      <c r="F402" s="36"/>
      <c r="G402" s="84"/>
      <c r="H402" s="36"/>
      <c r="I402" s="36"/>
      <c r="J402" s="293"/>
      <c r="K402" s="83"/>
      <c r="L402" s="293"/>
      <c r="M402" s="36"/>
      <c r="N402" s="36"/>
      <c r="O402" s="37"/>
      <c r="P402" s="37"/>
      <c r="Q402" s="237"/>
      <c r="R402" s="37"/>
      <c r="S402" s="37"/>
      <c r="T402" s="37"/>
      <c r="U402" s="37"/>
      <c r="V402" s="122"/>
      <c r="W402" s="122"/>
      <c r="X402" s="37"/>
      <c r="Y402" s="37"/>
      <c r="Z402" s="37"/>
    </row>
    <row r="403" spans="1:26" ht="13">
      <c r="A403" s="238"/>
      <c r="B403" s="292"/>
      <c r="C403" s="36"/>
      <c r="D403" s="290"/>
      <c r="E403" s="36"/>
      <c r="F403" s="36"/>
      <c r="G403" s="84"/>
      <c r="H403" s="36"/>
      <c r="I403" s="36"/>
      <c r="J403" s="293"/>
      <c r="K403" s="83"/>
      <c r="L403" s="293"/>
      <c r="M403" s="36"/>
      <c r="N403" s="36"/>
      <c r="O403" s="37"/>
      <c r="P403" s="37"/>
      <c r="Q403" s="237"/>
      <c r="R403" s="37"/>
      <c r="S403" s="37"/>
      <c r="T403" s="37"/>
      <c r="U403" s="37"/>
      <c r="V403" s="122"/>
      <c r="W403" s="122"/>
      <c r="X403" s="37"/>
      <c r="Y403" s="37"/>
      <c r="Z403" s="37"/>
    </row>
    <row r="404" spans="1:26" ht="13">
      <c r="A404" s="238"/>
      <c r="B404" s="292"/>
      <c r="C404" s="36"/>
      <c r="D404" s="290"/>
      <c r="E404" s="36"/>
      <c r="F404" s="36"/>
      <c r="G404" s="84"/>
      <c r="H404" s="36"/>
      <c r="I404" s="36"/>
      <c r="J404" s="293"/>
      <c r="K404" s="83"/>
      <c r="L404" s="293"/>
      <c r="M404" s="36"/>
      <c r="N404" s="36"/>
      <c r="O404" s="37"/>
      <c r="P404" s="37"/>
      <c r="Q404" s="237"/>
      <c r="R404" s="37"/>
      <c r="S404" s="37"/>
      <c r="T404" s="37"/>
      <c r="U404" s="37"/>
      <c r="V404" s="122"/>
      <c r="W404" s="122"/>
      <c r="X404" s="37"/>
      <c r="Y404" s="37"/>
      <c r="Z404" s="37"/>
    </row>
    <row r="405" spans="1:26" ht="13">
      <c r="A405" s="238"/>
      <c r="B405" s="292"/>
      <c r="C405" s="36"/>
      <c r="D405" s="290"/>
      <c r="E405" s="36"/>
      <c r="F405" s="36"/>
      <c r="G405" s="84"/>
      <c r="H405" s="36"/>
      <c r="I405" s="36"/>
      <c r="J405" s="293"/>
      <c r="K405" s="83"/>
      <c r="L405" s="293"/>
      <c r="M405" s="36"/>
      <c r="N405" s="36"/>
      <c r="O405" s="37"/>
      <c r="P405" s="37"/>
      <c r="Q405" s="237"/>
      <c r="R405" s="37"/>
      <c r="S405" s="37"/>
      <c r="T405" s="37"/>
      <c r="U405" s="37"/>
      <c r="V405" s="122"/>
      <c r="W405" s="122"/>
      <c r="X405" s="37"/>
      <c r="Y405" s="37"/>
      <c r="Z405" s="37"/>
    </row>
    <row r="406" spans="1:26" ht="13">
      <c r="A406" s="238"/>
      <c r="B406" s="292"/>
      <c r="C406" s="36"/>
      <c r="D406" s="290"/>
      <c r="E406" s="36"/>
      <c r="F406" s="36"/>
      <c r="G406" s="84"/>
      <c r="H406" s="36"/>
      <c r="I406" s="36"/>
      <c r="J406" s="293"/>
      <c r="K406" s="83"/>
      <c r="L406" s="293"/>
      <c r="M406" s="36"/>
      <c r="N406" s="36"/>
      <c r="O406" s="37"/>
      <c r="P406" s="37"/>
      <c r="Q406" s="237"/>
      <c r="R406" s="37"/>
      <c r="S406" s="37"/>
      <c r="T406" s="37"/>
      <c r="U406" s="37"/>
      <c r="V406" s="122"/>
      <c r="W406" s="122"/>
      <c r="X406" s="37"/>
      <c r="Y406" s="37"/>
      <c r="Z406" s="37"/>
    </row>
    <row r="407" spans="1:26" ht="13">
      <c r="A407" s="238"/>
      <c r="B407" s="292"/>
      <c r="C407" s="36"/>
      <c r="D407" s="290"/>
      <c r="E407" s="36"/>
      <c r="F407" s="36"/>
      <c r="G407" s="84"/>
      <c r="H407" s="36"/>
      <c r="I407" s="36"/>
      <c r="J407" s="293"/>
      <c r="K407" s="83"/>
      <c r="L407" s="293"/>
      <c r="M407" s="36"/>
      <c r="N407" s="36"/>
      <c r="O407" s="37"/>
      <c r="P407" s="37"/>
      <c r="Q407" s="237"/>
      <c r="R407" s="37"/>
      <c r="S407" s="37"/>
      <c r="T407" s="37"/>
      <c r="U407" s="37"/>
      <c r="V407" s="122"/>
      <c r="W407" s="122"/>
      <c r="X407" s="37"/>
      <c r="Y407" s="37"/>
      <c r="Z407" s="37"/>
    </row>
    <row r="408" spans="1:26" ht="13">
      <c r="A408" s="238"/>
      <c r="B408" s="292"/>
      <c r="C408" s="36"/>
      <c r="D408" s="290"/>
      <c r="E408" s="36"/>
      <c r="F408" s="36"/>
      <c r="G408" s="84"/>
      <c r="H408" s="36"/>
      <c r="I408" s="36"/>
      <c r="J408" s="293"/>
      <c r="K408" s="83"/>
      <c r="L408" s="293"/>
      <c r="M408" s="36"/>
      <c r="N408" s="36"/>
      <c r="O408" s="37"/>
      <c r="P408" s="37"/>
      <c r="Q408" s="237"/>
      <c r="R408" s="37"/>
      <c r="S408" s="37"/>
      <c r="T408" s="37"/>
      <c r="U408" s="37"/>
      <c r="V408" s="122"/>
      <c r="W408" s="122"/>
      <c r="X408" s="37"/>
      <c r="Y408" s="37"/>
      <c r="Z408" s="37"/>
    </row>
    <row r="409" spans="1:26" ht="13">
      <c r="A409" s="238"/>
      <c r="B409" s="292"/>
      <c r="C409" s="36"/>
      <c r="D409" s="290"/>
      <c r="E409" s="36"/>
      <c r="F409" s="36"/>
      <c r="G409" s="84"/>
      <c r="H409" s="36"/>
      <c r="I409" s="36"/>
      <c r="J409" s="293"/>
      <c r="K409" s="83"/>
      <c r="L409" s="293"/>
      <c r="M409" s="36"/>
      <c r="N409" s="36"/>
      <c r="O409" s="37"/>
      <c r="P409" s="37"/>
      <c r="Q409" s="237"/>
      <c r="R409" s="37"/>
      <c r="S409" s="37"/>
      <c r="T409" s="37"/>
      <c r="U409" s="37"/>
      <c r="V409" s="122"/>
      <c r="W409" s="122"/>
      <c r="X409" s="37"/>
      <c r="Y409" s="37"/>
      <c r="Z409" s="37"/>
    </row>
    <row r="410" spans="1:26" ht="13">
      <c r="A410" s="238"/>
      <c r="B410" s="292"/>
      <c r="C410" s="36"/>
      <c r="D410" s="290"/>
      <c r="E410" s="36"/>
      <c r="F410" s="36"/>
      <c r="G410" s="84"/>
      <c r="H410" s="36"/>
      <c r="I410" s="36"/>
      <c r="J410" s="293"/>
      <c r="K410" s="83"/>
      <c r="L410" s="293"/>
      <c r="M410" s="36"/>
      <c r="N410" s="36"/>
      <c r="O410" s="37"/>
      <c r="P410" s="37"/>
      <c r="Q410" s="237"/>
      <c r="R410" s="37"/>
      <c r="S410" s="37"/>
      <c r="T410" s="37"/>
      <c r="U410" s="37"/>
      <c r="V410" s="122"/>
      <c r="W410" s="122"/>
      <c r="X410" s="37"/>
      <c r="Y410" s="37"/>
      <c r="Z410" s="37"/>
    </row>
    <row r="411" spans="1:26" ht="13">
      <c r="A411" s="238"/>
      <c r="B411" s="292"/>
      <c r="C411" s="36"/>
      <c r="D411" s="290"/>
      <c r="E411" s="36"/>
      <c r="F411" s="36"/>
      <c r="G411" s="84"/>
      <c r="H411" s="36"/>
      <c r="I411" s="36"/>
      <c r="J411" s="293"/>
      <c r="K411" s="83"/>
      <c r="L411" s="293"/>
      <c r="M411" s="36"/>
      <c r="N411" s="36"/>
      <c r="O411" s="37"/>
      <c r="P411" s="37"/>
      <c r="Q411" s="237"/>
      <c r="R411" s="37"/>
      <c r="S411" s="37"/>
      <c r="T411" s="37"/>
      <c r="U411" s="37"/>
      <c r="V411" s="122"/>
      <c r="W411" s="122"/>
      <c r="X411" s="37"/>
      <c r="Y411" s="37"/>
      <c r="Z411" s="37"/>
    </row>
    <row r="412" spans="1:26" ht="13">
      <c r="A412" s="238"/>
      <c r="B412" s="292"/>
      <c r="C412" s="36"/>
      <c r="D412" s="290"/>
      <c r="E412" s="36"/>
      <c r="F412" s="36"/>
      <c r="G412" s="84"/>
      <c r="H412" s="36"/>
      <c r="I412" s="36"/>
      <c r="J412" s="293"/>
      <c r="K412" s="83"/>
      <c r="L412" s="293"/>
      <c r="M412" s="36"/>
      <c r="N412" s="36"/>
      <c r="O412" s="37"/>
      <c r="P412" s="37"/>
      <c r="Q412" s="237"/>
      <c r="R412" s="37"/>
      <c r="S412" s="37"/>
      <c r="T412" s="37"/>
      <c r="U412" s="37"/>
      <c r="V412" s="122"/>
      <c r="W412" s="122"/>
      <c r="X412" s="37"/>
      <c r="Y412" s="37"/>
      <c r="Z412" s="37"/>
    </row>
    <row r="413" spans="1:26" ht="13">
      <c r="A413" s="238"/>
      <c r="B413" s="292"/>
      <c r="C413" s="36"/>
      <c r="D413" s="290"/>
      <c r="E413" s="36"/>
      <c r="F413" s="36"/>
      <c r="G413" s="84"/>
      <c r="H413" s="36"/>
      <c r="I413" s="36"/>
      <c r="J413" s="293"/>
      <c r="K413" s="83"/>
      <c r="L413" s="293"/>
      <c r="M413" s="36"/>
      <c r="N413" s="36"/>
      <c r="O413" s="37"/>
      <c r="P413" s="37"/>
      <c r="Q413" s="237"/>
      <c r="R413" s="37"/>
      <c r="S413" s="37"/>
      <c r="T413" s="37"/>
      <c r="U413" s="37"/>
      <c r="V413" s="122"/>
      <c r="W413" s="122"/>
      <c r="X413" s="37"/>
      <c r="Y413" s="37"/>
      <c r="Z413" s="37"/>
    </row>
    <row r="414" spans="1:26" ht="13">
      <c r="A414" s="238"/>
      <c r="B414" s="292"/>
      <c r="C414" s="36"/>
      <c r="D414" s="290"/>
      <c r="E414" s="36"/>
      <c r="F414" s="36"/>
      <c r="G414" s="84"/>
      <c r="H414" s="36"/>
      <c r="I414" s="36"/>
      <c r="J414" s="293"/>
      <c r="K414" s="83"/>
      <c r="L414" s="293"/>
      <c r="M414" s="36"/>
      <c r="N414" s="36"/>
      <c r="O414" s="37"/>
      <c r="P414" s="37"/>
      <c r="Q414" s="237"/>
      <c r="R414" s="37"/>
      <c r="S414" s="37"/>
      <c r="T414" s="37"/>
      <c r="U414" s="37"/>
      <c r="V414" s="122"/>
      <c r="W414" s="122"/>
      <c r="X414" s="37"/>
      <c r="Y414" s="37"/>
      <c r="Z414" s="37"/>
    </row>
    <row r="415" spans="1:26" ht="13">
      <c r="A415" s="238"/>
      <c r="B415" s="292"/>
      <c r="C415" s="36"/>
      <c r="D415" s="290"/>
      <c r="E415" s="36"/>
      <c r="F415" s="36"/>
      <c r="G415" s="84"/>
      <c r="H415" s="36"/>
      <c r="I415" s="36"/>
      <c r="J415" s="293"/>
      <c r="K415" s="83"/>
      <c r="L415" s="293"/>
      <c r="M415" s="36"/>
      <c r="N415" s="36"/>
      <c r="O415" s="37"/>
      <c r="P415" s="37"/>
      <c r="Q415" s="237"/>
      <c r="R415" s="37"/>
      <c r="S415" s="37"/>
      <c r="T415" s="37"/>
      <c r="U415" s="37"/>
      <c r="V415" s="122"/>
      <c r="W415" s="122"/>
      <c r="X415" s="37"/>
      <c r="Y415" s="37"/>
      <c r="Z415" s="37"/>
    </row>
    <row r="416" spans="1:26" ht="13">
      <c r="A416" s="238"/>
      <c r="B416" s="292"/>
      <c r="C416" s="36"/>
      <c r="D416" s="290"/>
      <c r="E416" s="36"/>
      <c r="F416" s="36"/>
      <c r="G416" s="84"/>
      <c r="H416" s="36"/>
      <c r="I416" s="36"/>
      <c r="J416" s="293"/>
      <c r="K416" s="83"/>
      <c r="L416" s="293"/>
      <c r="M416" s="36"/>
      <c r="N416" s="36"/>
      <c r="O416" s="37"/>
      <c r="P416" s="37"/>
      <c r="Q416" s="237"/>
      <c r="R416" s="37"/>
      <c r="S416" s="37"/>
      <c r="T416" s="37"/>
      <c r="U416" s="37"/>
      <c r="V416" s="122"/>
      <c r="W416" s="122"/>
      <c r="X416" s="37"/>
      <c r="Y416" s="37"/>
      <c r="Z416" s="37"/>
    </row>
    <row r="417" spans="1:26" ht="13">
      <c r="A417" s="238"/>
      <c r="B417" s="292"/>
      <c r="C417" s="36"/>
      <c r="D417" s="290"/>
      <c r="E417" s="36"/>
      <c r="F417" s="36"/>
      <c r="G417" s="84"/>
      <c r="H417" s="36"/>
      <c r="I417" s="36"/>
      <c r="J417" s="293"/>
      <c r="K417" s="83"/>
      <c r="L417" s="293"/>
      <c r="M417" s="36"/>
      <c r="N417" s="36"/>
      <c r="O417" s="37"/>
      <c r="P417" s="37"/>
      <c r="Q417" s="237"/>
      <c r="R417" s="37"/>
      <c r="S417" s="37"/>
      <c r="T417" s="37"/>
      <c r="U417" s="37"/>
      <c r="V417" s="122"/>
      <c r="W417" s="122"/>
      <c r="X417" s="37"/>
      <c r="Y417" s="37"/>
      <c r="Z417" s="37"/>
    </row>
    <row r="418" spans="1:26" ht="13">
      <c r="A418" s="238"/>
      <c r="B418" s="292"/>
      <c r="C418" s="36"/>
      <c r="D418" s="290"/>
      <c r="E418" s="36"/>
      <c r="F418" s="36"/>
      <c r="G418" s="84"/>
      <c r="H418" s="36"/>
      <c r="I418" s="36"/>
      <c r="J418" s="293"/>
      <c r="K418" s="83"/>
      <c r="L418" s="293"/>
      <c r="M418" s="36"/>
      <c r="N418" s="36"/>
      <c r="O418" s="37"/>
      <c r="P418" s="37"/>
      <c r="Q418" s="237"/>
      <c r="R418" s="37"/>
      <c r="S418" s="37"/>
      <c r="T418" s="37"/>
      <c r="U418" s="37"/>
      <c r="V418" s="122"/>
      <c r="W418" s="122"/>
      <c r="X418" s="37"/>
      <c r="Y418" s="37"/>
      <c r="Z418" s="37"/>
    </row>
    <row r="419" spans="1:26" ht="13">
      <c r="A419" s="238"/>
      <c r="B419" s="292"/>
      <c r="C419" s="36"/>
      <c r="D419" s="290"/>
      <c r="E419" s="36"/>
      <c r="F419" s="36"/>
      <c r="G419" s="84"/>
      <c r="H419" s="36"/>
      <c r="I419" s="36"/>
      <c r="J419" s="293"/>
      <c r="K419" s="83"/>
      <c r="L419" s="293"/>
      <c r="M419" s="36"/>
      <c r="N419" s="36"/>
      <c r="O419" s="37"/>
      <c r="P419" s="37"/>
      <c r="Q419" s="237"/>
      <c r="R419" s="37"/>
      <c r="S419" s="37"/>
      <c r="T419" s="37"/>
      <c r="U419" s="37"/>
      <c r="V419" s="122"/>
      <c r="W419" s="122"/>
      <c r="X419" s="37"/>
      <c r="Y419" s="37"/>
      <c r="Z419" s="37"/>
    </row>
    <row r="420" spans="1:26" ht="13">
      <c r="A420" s="238"/>
      <c r="B420" s="292"/>
      <c r="C420" s="36"/>
      <c r="D420" s="290"/>
      <c r="E420" s="36"/>
      <c r="F420" s="36"/>
      <c r="G420" s="84"/>
      <c r="H420" s="36"/>
      <c r="I420" s="36"/>
      <c r="J420" s="293"/>
      <c r="K420" s="83"/>
      <c r="L420" s="293"/>
      <c r="M420" s="36"/>
      <c r="N420" s="36"/>
      <c r="O420" s="37"/>
      <c r="P420" s="37"/>
      <c r="Q420" s="237"/>
      <c r="R420" s="37"/>
      <c r="S420" s="37"/>
      <c r="T420" s="37"/>
      <c r="U420" s="37"/>
      <c r="V420" s="122"/>
      <c r="W420" s="122"/>
      <c r="X420" s="37"/>
      <c r="Y420" s="37"/>
      <c r="Z420" s="37"/>
    </row>
    <row r="421" spans="1:26" ht="13">
      <c r="A421" s="238"/>
      <c r="B421" s="292"/>
      <c r="C421" s="36"/>
      <c r="D421" s="290"/>
      <c r="E421" s="36"/>
      <c r="F421" s="36"/>
      <c r="G421" s="84"/>
      <c r="H421" s="36"/>
      <c r="I421" s="36"/>
      <c r="J421" s="293"/>
      <c r="K421" s="83"/>
      <c r="L421" s="293"/>
      <c r="M421" s="36"/>
      <c r="N421" s="36"/>
      <c r="O421" s="37"/>
      <c r="P421" s="37"/>
      <c r="Q421" s="237"/>
      <c r="R421" s="37"/>
      <c r="S421" s="37"/>
      <c r="T421" s="37"/>
      <c r="U421" s="37"/>
      <c r="V421" s="122"/>
      <c r="W421" s="122"/>
      <c r="X421" s="37"/>
      <c r="Y421" s="37"/>
      <c r="Z421" s="37"/>
    </row>
    <row r="422" spans="1:26" ht="13">
      <c r="A422" s="238"/>
      <c r="B422" s="292"/>
      <c r="C422" s="36"/>
      <c r="D422" s="290"/>
      <c r="E422" s="36"/>
      <c r="F422" s="36"/>
      <c r="G422" s="84"/>
      <c r="H422" s="36"/>
      <c r="I422" s="36"/>
      <c r="J422" s="293"/>
      <c r="K422" s="83"/>
      <c r="L422" s="293"/>
      <c r="M422" s="36"/>
      <c r="N422" s="36"/>
      <c r="O422" s="37"/>
      <c r="P422" s="37"/>
      <c r="Q422" s="237"/>
      <c r="R422" s="37"/>
      <c r="S422" s="37"/>
      <c r="T422" s="37"/>
      <c r="U422" s="37"/>
      <c r="V422" s="122"/>
      <c r="W422" s="122"/>
      <c r="X422" s="37"/>
      <c r="Y422" s="37"/>
      <c r="Z422" s="37"/>
    </row>
    <row r="423" spans="1:26" ht="13">
      <c r="A423" s="238"/>
      <c r="B423" s="292"/>
      <c r="C423" s="36"/>
      <c r="D423" s="290"/>
      <c r="E423" s="36"/>
      <c r="F423" s="36"/>
      <c r="G423" s="84"/>
      <c r="H423" s="36"/>
      <c r="I423" s="36"/>
      <c r="J423" s="293"/>
      <c r="K423" s="83"/>
      <c r="L423" s="293"/>
      <c r="M423" s="36"/>
      <c r="N423" s="36"/>
      <c r="O423" s="37"/>
      <c r="P423" s="37"/>
      <c r="Q423" s="237"/>
      <c r="R423" s="37"/>
      <c r="S423" s="37"/>
      <c r="T423" s="37"/>
      <c r="U423" s="37"/>
      <c r="V423" s="122"/>
      <c r="W423" s="122"/>
      <c r="X423" s="37"/>
      <c r="Y423" s="37"/>
      <c r="Z423" s="37"/>
    </row>
    <row r="424" spans="1:26" ht="13">
      <c r="A424" s="238"/>
      <c r="B424" s="292"/>
      <c r="C424" s="36"/>
      <c r="D424" s="290"/>
      <c r="E424" s="36"/>
      <c r="F424" s="36"/>
      <c r="G424" s="84"/>
      <c r="H424" s="36"/>
      <c r="I424" s="36"/>
      <c r="J424" s="293"/>
      <c r="K424" s="83"/>
      <c r="L424" s="293"/>
      <c r="M424" s="36"/>
      <c r="N424" s="36"/>
      <c r="O424" s="37"/>
      <c r="P424" s="37"/>
      <c r="Q424" s="237"/>
      <c r="R424" s="37"/>
      <c r="S424" s="37"/>
      <c r="T424" s="37"/>
      <c r="U424" s="37"/>
      <c r="V424" s="122"/>
      <c r="W424" s="122"/>
      <c r="X424" s="37"/>
      <c r="Y424" s="37"/>
      <c r="Z424" s="37"/>
    </row>
    <row r="425" spans="1:26" ht="13">
      <c r="A425" s="238"/>
      <c r="B425" s="292"/>
      <c r="C425" s="36"/>
      <c r="D425" s="290"/>
      <c r="E425" s="36"/>
      <c r="F425" s="36"/>
      <c r="G425" s="84"/>
      <c r="H425" s="36"/>
      <c r="I425" s="36"/>
      <c r="J425" s="293"/>
      <c r="K425" s="83"/>
      <c r="L425" s="293"/>
      <c r="M425" s="36"/>
      <c r="N425" s="36"/>
      <c r="O425" s="37"/>
      <c r="P425" s="37"/>
      <c r="Q425" s="237"/>
      <c r="R425" s="37"/>
      <c r="S425" s="37"/>
      <c r="T425" s="37"/>
      <c r="U425" s="37"/>
      <c r="V425" s="122"/>
      <c r="W425" s="122"/>
      <c r="X425" s="37"/>
      <c r="Y425" s="37"/>
      <c r="Z425" s="37"/>
    </row>
    <row r="426" spans="1:26" ht="13">
      <c r="A426" s="238"/>
      <c r="B426" s="292"/>
      <c r="C426" s="36"/>
      <c r="D426" s="290"/>
      <c r="E426" s="36"/>
      <c r="F426" s="36"/>
      <c r="G426" s="84"/>
      <c r="H426" s="36"/>
      <c r="I426" s="36"/>
      <c r="J426" s="293"/>
      <c r="K426" s="83"/>
      <c r="L426" s="293"/>
      <c r="M426" s="36"/>
      <c r="N426" s="36"/>
      <c r="O426" s="37"/>
      <c r="P426" s="37"/>
      <c r="Q426" s="237"/>
      <c r="R426" s="37"/>
      <c r="S426" s="37"/>
      <c r="T426" s="37"/>
      <c r="U426" s="37"/>
      <c r="V426" s="122"/>
      <c r="W426" s="122"/>
      <c r="X426" s="37"/>
      <c r="Y426" s="37"/>
      <c r="Z426" s="37"/>
    </row>
    <row r="427" spans="1:26" ht="13">
      <c r="A427" s="238"/>
      <c r="B427" s="292"/>
      <c r="C427" s="36"/>
      <c r="D427" s="290"/>
      <c r="E427" s="36"/>
      <c r="F427" s="36"/>
      <c r="G427" s="84"/>
      <c r="H427" s="36"/>
      <c r="I427" s="36"/>
      <c r="J427" s="293"/>
      <c r="K427" s="83"/>
      <c r="L427" s="293"/>
      <c r="M427" s="36"/>
      <c r="N427" s="36"/>
      <c r="O427" s="37"/>
      <c r="P427" s="37"/>
      <c r="Q427" s="237"/>
      <c r="R427" s="37"/>
      <c r="S427" s="37"/>
      <c r="T427" s="37"/>
      <c r="U427" s="37"/>
      <c r="V427" s="122"/>
      <c r="W427" s="122"/>
      <c r="X427" s="37"/>
      <c r="Y427" s="37"/>
      <c r="Z427" s="37"/>
    </row>
    <row r="428" spans="1:26" ht="13">
      <c r="A428" s="238"/>
      <c r="B428" s="292"/>
      <c r="C428" s="36"/>
      <c r="D428" s="290"/>
      <c r="E428" s="36"/>
      <c r="F428" s="36"/>
      <c r="G428" s="84"/>
      <c r="H428" s="36"/>
      <c r="I428" s="36"/>
      <c r="J428" s="293"/>
      <c r="K428" s="83"/>
      <c r="L428" s="293"/>
      <c r="M428" s="36"/>
      <c r="N428" s="36"/>
      <c r="O428" s="37"/>
      <c r="P428" s="37"/>
      <c r="Q428" s="237"/>
      <c r="R428" s="37"/>
      <c r="S428" s="37"/>
      <c r="T428" s="37"/>
      <c r="U428" s="37"/>
      <c r="V428" s="122"/>
      <c r="W428" s="122"/>
      <c r="X428" s="37"/>
      <c r="Y428" s="37"/>
      <c r="Z428" s="37"/>
    </row>
    <row r="429" spans="1:26" ht="13">
      <c r="A429" s="238"/>
      <c r="B429" s="292"/>
      <c r="C429" s="36"/>
      <c r="D429" s="290"/>
      <c r="E429" s="36"/>
      <c r="F429" s="36"/>
      <c r="G429" s="84"/>
      <c r="H429" s="36"/>
      <c r="I429" s="36"/>
      <c r="J429" s="293"/>
      <c r="K429" s="83"/>
      <c r="L429" s="293"/>
      <c r="M429" s="36"/>
      <c r="N429" s="36"/>
      <c r="O429" s="37"/>
      <c r="P429" s="37"/>
      <c r="Q429" s="237"/>
      <c r="R429" s="37"/>
      <c r="S429" s="37"/>
      <c r="T429" s="37"/>
      <c r="U429" s="37"/>
      <c r="V429" s="122"/>
      <c r="W429" s="122"/>
      <c r="X429" s="37"/>
      <c r="Y429" s="37"/>
      <c r="Z429" s="37"/>
    </row>
    <row r="430" spans="1:26" ht="13">
      <c r="A430" s="238"/>
      <c r="B430" s="292"/>
      <c r="C430" s="36"/>
      <c r="D430" s="290"/>
      <c r="E430" s="36"/>
      <c r="F430" s="36"/>
      <c r="G430" s="84"/>
      <c r="H430" s="36"/>
      <c r="I430" s="36"/>
      <c r="J430" s="293"/>
      <c r="K430" s="83"/>
      <c r="L430" s="293"/>
      <c r="M430" s="36"/>
      <c r="N430" s="36"/>
      <c r="O430" s="37"/>
      <c r="P430" s="37"/>
      <c r="Q430" s="237"/>
      <c r="R430" s="37"/>
      <c r="S430" s="37"/>
      <c r="T430" s="37"/>
      <c r="U430" s="37"/>
      <c r="V430" s="122"/>
      <c r="W430" s="122"/>
      <c r="X430" s="37"/>
      <c r="Y430" s="37"/>
      <c r="Z430" s="37"/>
    </row>
    <row r="431" spans="1:26" ht="13">
      <c r="A431" s="238"/>
      <c r="B431" s="292"/>
      <c r="C431" s="36"/>
      <c r="D431" s="290"/>
      <c r="E431" s="36"/>
      <c r="F431" s="36"/>
      <c r="G431" s="84"/>
      <c r="H431" s="36"/>
      <c r="I431" s="36"/>
      <c r="J431" s="293"/>
      <c r="K431" s="83"/>
      <c r="L431" s="293"/>
      <c r="M431" s="36"/>
      <c r="N431" s="36"/>
      <c r="O431" s="37"/>
      <c r="P431" s="37"/>
      <c r="Q431" s="237"/>
      <c r="R431" s="37"/>
      <c r="S431" s="37"/>
      <c r="T431" s="37"/>
      <c r="U431" s="37"/>
      <c r="V431" s="122"/>
      <c r="W431" s="122"/>
      <c r="X431" s="37"/>
      <c r="Y431" s="37"/>
      <c r="Z431" s="37"/>
    </row>
    <row r="432" spans="1:26" ht="13">
      <c r="A432" s="238"/>
      <c r="B432" s="292"/>
      <c r="C432" s="36"/>
      <c r="D432" s="290"/>
      <c r="E432" s="36"/>
      <c r="F432" s="36"/>
      <c r="G432" s="84"/>
      <c r="H432" s="36"/>
      <c r="I432" s="36"/>
      <c r="J432" s="293"/>
      <c r="K432" s="83"/>
      <c r="L432" s="293"/>
      <c r="M432" s="36"/>
      <c r="N432" s="36"/>
      <c r="O432" s="37"/>
      <c r="P432" s="37"/>
      <c r="Q432" s="237"/>
      <c r="R432" s="37"/>
      <c r="S432" s="37"/>
      <c r="T432" s="37"/>
      <c r="U432" s="37"/>
      <c r="V432" s="122"/>
      <c r="W432" s="122"/>
      <c r="X432" s="37"/>
      <c r="Y432" s="37"/>
      <c r="Z432" s="37"/>
    </row>
    <row r="433" spans="1:26" ht="13">
      <c r="A433" s="238"/>
      <c r="B433" s="292"/>
      <c r="C433" s="36"/>
      <c r="D433" s="290"/>
      <c r="E433" s="36"/>
      <c r="F433" s="36"/>
      <c r="G433" s="84"/>
      <c r="H433" s="36"/>
      <c r="I433" s="36"/>
      <c r="J433" s="293"/>
      <c r="K433" s="83"/>
      <c r="L433" s="293"/>
      <c r="M433" s="36"/>
      <c r="N433" s="36"/>
      <c r="O433" s="37"/>
      <c r="P433" s="37"/>
      <c r="Q433" s="237"/>
      <c r="R433" s="37"/>
      <c r="S433" s="37"/>
      <c r="T433" s="37"/>
      <c r="U433" s="37"/>
      <c r="V433" s="122"/>
      <c r="W433" s="122"/>
      <c r="X433" s="37"/>
      <c r="Y433" s="37"/>
      <c r="Z433" s="37"/>
    </row>
    <row r="434" spans="1:26" ht="13">
      <c r="A434" s="238"/>
      <c r="B434" s="292"/>
      <c r="C434" s="36"/>
      <c r="D434" s="290"/>
      <c r="E434" s="36"/>
      <c r="F434" s="36"/>
      <c r="G434" s="84"/>
      <c r="H434" s="36"/>
      <c r="I434" s="36"/>
      <c r="J434" s="293"/>
      <c r="K434" s="83"/>
      <c r="L434" s="293"/>
      <c r="M434" s="36"/>
      <c r="N434" s="36"/>
      <c r="O434" s="37"/>
      <c r="P434" s="37"/>
      <c r="Q434" s="237"/>
      <c r="R434" s="37"/>
      <c r="S434" s="37"/>
      <c r="T434" s="37"/>
      <c r="U434" s="37"/>
      <c r="V434" s="122"/>
      <c r="W434" s="122"/>
      <c r="X434" s="37"/>
      <c r="Y434" s="37"/>
      <c r="Z434" s="37"/>
    </row>
    <row r="435" spans="1:26" ht="13">
      <c r="A435" s="238"/>
      <c r="B435" s="292"/>
      <c r="C435" s="36"/>
      <c r="D435" s="290"/>
      <c r="E435" s="36"/>
      <c r="F435" s="36"/>
      <c r="G435" s="84"/>
      <c r="H435" s="36"/>
      <c r="I435" s="36"/>
      <c r="J435" s="293"/>
      <c r="K435" s="83"/>
      <c r="L435" s="293"/>
      <c r="M435" s="36"/>
      <c r="N435" s="36"/>
      <c r="O435" s="37"/>
      <c r="P435" s="37"/>
      <c r="Q435" s="237"/>
      <c r="R435" s="37"/>
      <c r="S435" s="37"/>
      <c r="T435" s="37"/>
      <c r="U435" s="37"/>
      <c r="V435" s="122"/>
      <c r="W435" s="122"/>
      <c r="X435" s="37"/>
      <c r="Y435" s="37"/>
      <c r="Z435" s="37"/>
    </row>
    <row r="436" spans="1:26" ht="13">
      <c r="A436" s="238"/>
      <c r="B436" s="292"/>
      <c r="C436" s="36"/>
      <c r="D436" s="290"/>
      <c r="E436" s="36"/>
      <c r="F436" s="36"/>
      <c r="G436" s="84"/>
      <c r="H436" s="36"/>
      <c r="I436" s="36"/>
      <c r="J436" s="293"/>
      <c r="K436" s="83"/>
      <c r="L436" s="293"/>
      <c r="M436" s="36"/>
      <c r="N436" s="36"/>
      <c r="O436" s="37"/>
      <c r="P436" s="37"/>
      <c r="Q436" s="237"/>
      <c r="R436" s="37"/>
      <c r="S436" s="37"/>
      <c r="T436" s="37"/>
      <c r="U436" s="37"/>
      <c r="V436" s="122"/>
      <c r="W436" s="122"/>
      <c r="X436" s="37"/>
      <c r="Y436" s="37"/>
      <c r="Z436" s="37"/>
    </row>
    <row r="437" spans="1:26" ht="13">
      <c r="A437" s="238"/>
      <c r="B437" s="292"/>
      <c r="C437" s="36"/>
      <c r="D437" s="290"/>
      <c r="E437" s="36"/>
      <c r="F437" s="36"/>
      <c r="G437" s="84"/>
      <c r="H437" s="36"/>
      <c r="I437" s="36"/>
      <c r="J437" s="293"/>
      <c r="K437" s="83"/>
      <c r="L437" s="293"/>
      <c r="M437" s="36"/>
      <c r="N437" s="36"/>
      <c r="O437" s="37"/>
      <c r="P437" s="37"/>
      <c r="Q437" s="237"/>
      <c r="R437" s="37"/>
      <c r="S437" s="37"/>
      <c r="T437" s="37"/>
      <c r="U437" s="37"/>
      <c r="V437" s="122"/>
      <c r="W437" s="122"/>
      <c r="X437" s="37"/>
      <c r="Y437" s="37"/>
      <c r="Z437" s="37"/>
    </row>
    <row r="438" spans="1:26" ht="13">
      <c r="A438" s="238"/>
      <c r="B438" s="292"/>
      <c r="C438" s="36"/>
      <c r="D438" s="290"/>
      <c r="E438" s="36"/>
      <c r="F438" s="36"/>
      <c r="G438" s="84"/>
      <c r="H438" s="36"/>
      <c r="I438" s="36"/>
      <c r="J438" s="293"/>
      <c r="K438" s="83"/>
      <c r="L438" s="293"/>
      <c r="M438" s="36"/>
      <c r="N438" s="36"/>
      <c r="O438" s="37"/>
      <c r="P438" s="37"/>
      <c r="Q438" s="237"/>
      <c r="R438" s="37"/>
      <c r="S438" s="37"/>
      <c r="T438" s="37"/>
      <c r="U438" s="37"/>
      <c r="V438" s="122"/>
      <c r="W438" s="122"/>
      <c r="X438" s="37"/>
      <c r="Y438" s="37"/>
      <c r="Z438" s="37"/>
    </row>
    <row r="439" spans="1:26" ht="13">
      <c r="A439" s="238"/>
      <c r="B439" s="292"/>
      <c r="C439" s="36"/>
      <c r="D439" s="290"/>
      <c r="E439" s="36"/>
      <c r="F439" s="36"/>
      <c r="G439" s="84"/>
      <c r="H439" s="36"/>
      <c r="I439" s="36"/>
      <c r="J439" s="293"/>
      <c r="K439" s="83"/>
      <c r="L439" s="293"/>
      <c r="M439" s="36"/>
      <c r="N439" s="36"/>
      <c r="O439" s="37"/>
      <c r="P439" s="37"/>
      <c r="Q439" s="237"/>
      <c r="R439" s="37"/>
      <c r="S439" s="37"/>
      <c r="T439" s="37"/>
      <c r="U439" s="37"/>
      <c r="V439" s="122"/>
      <c r="W439" s="122"/>
      <c r="X439" s="37"/>
      <c r="Y439" s="37"/>
      <c r="Z439" s="37"/>
    </row>
    <row r="440" spans="1:26" ht="13">
      <c r="A440" s="238"/>
      <c r="B440" s="292"/>
      <c r="C440" s="36"/>
      <c r="D440" s="290"/>
      <c r="E440" s="36"/>
      <c r="F440" s="36"/>
      <c r="G440" s="84"/>
      <c r="H440" s="36"/>
      <c r="I440" s="36"/>
      <c r="J440" s="293"/>
      <c r="K440" s="83"/>
      <c r="L440" s="293"/>
      <c r="M440" s="36"/>
      <c r="N440" s="36"/>
      <c r="O440" s="37"/>
      <c r="P440" s="37"/>
      <c r="Q440" s="237"/>
      <c r="R440" s="37"/>
      <c r="S440" s="37"/>
      <c r="T440" s="37"/>
      <c r="U440" s="37"/>
      <c r="V440" s="122"/>
      <c r="W440" s="122"/>
      <c r="X440" s="37"/>
      <c r="Y440" s="37"/>
      <c r="Z440" s="37"/>
    </row>
    <row r="441" spans="1:26" ht="13">
      <c r="A441" s="238"/>
      <c r="B441" s="292"/>
      <c r="C441" s="36"/>
      <c r="D441" s="290"/>
      <c r="E441" s="36"/>
      <c r="F441" s="36"/>
      <c r="G441" s="84"/>
      <c r="H441" s="36"/>
      <c r="I441" s="36"/>
      <c r="J441" s="293"/>
      <c r="K441" s="83"/>
      <c r="L441" s="293"/>
      <c r="M441" s="36"/>
      <c r="N441" s="36"/>
      <c r="O441" s="37"/>
      <c r="P441" s="37"/>
      <c r="Q441" s="237"/>
      <c r="R441" s="37"/>
      <c r="S441" s="37"/>
      <c r="T441" s="37"/>
      <c r="U441" s="37"/>
      <c r="V441" s="122"/>
      <c r="W441" s="122"/>
      <c r="X441" s="37"/>
      <c r="Y441" s="37"/>
      <c r="Z441" s="37"/>
    </row>
    <row r="442" spans="1:26" ht="13">
      <c r="A442" s="238"/>
      <c r="B442" s="292"/>
      <c r="C442" s="36"/>
      <c r="D442" s="290"/>
      <c r="E442" s="36"/>
      <c r="F442" s="36"/>
      <c r="G442" s="84"/>
      <c r="H442" s="36"/>
      <c r="I442" s="36"/>
      <c r="J442" s="293"/>
      <c r="K442" s="83"/>
      <c r="L442" s="293"/>
      <c r="M442" s="36"/>
      <c r="N442" s="36"/>
      <c r="O442" s="37"/>
      <c r="P442" s="37"/>
      <c r="Q442" s="237"/>
      <c r="R442" s="37"/>
      <c r="S442" s="37"/>
      <c r="T442" s="37"/>
      <c r="U442" s="37"/>
      <c r="V442" s="122"/>
      <c r="W442" s="122"/>
      <c r="X442" s="37"/>
      <c r="Y442" s="37"/>
      <c r="Z442" s="37"/>
    </row>
    <row r="443" spans="1:26" ht="13">
      <c r="A443" s="238"/>
      <c r="B443" s="292"/>
      <c r="C443" s="36"/>
      <c r="D443" s="290"/>
      <c r="E443" s="36"/>
      <c r="F443" s="36"/>
      <c r="G443" s="84"/>
      <c r="H443" s="36"/>
      <c r="I443" s="36"/>
      <c r="J443" s="293"/>
      <c r="K443" s="83"/>
      <c r="L443" s="293"/>
      <c r="M443" s="36"/>
      <c r="N443" s="36"/>
      <c r="O443" s="37"/>
      <c r="P443" s="37"/>
      <c r="Q443" s="237"/>
      <c r="R443" s="37"/>
      <c r="S443" s="37"/>
      <c r="T443" s="37"/>
      <c r="U443" s="37"/>
      <c r="V443" s="122"/>
      <c r="W443" s="122"/>
      <c r="X443" s="37"/>
      <c r="Y443" s="37"/>
      <c r="Z443" s="37"/>
    </row>
    <row r="444" spans="1:26" ht="13">
      <c r="A444" s="238"/>
      <c r="B444" s="292"/>
      <c r="C444" s="36"/>
      <c r="D444" s="290"/>
      <c r="E444" s="36"/>
      <c r="F444" s="36"/>
      <c r="G444" s="84"/>
      <c r="H444" s="36"/>
      <c r="I444" s="36"/>
      <c r="J444" s="293"/>
      <c r="K444" s="83"/>
      <c r="L444" s="293"/>
      <c r="M444" s="36"/>
      <c r="N444" s="36"/>
      <c r="O444" s="37"/>
      <c r="P444" s="37"/>
      <c r="Q444" s="237"/>
      <c r="R444" s="37"/>
      <c r="S444" s="37"/>
      <c r="T444" s="37"/>
      <c r="U444" s="37"/>
      <c r="V444" s="122"/>
      <c r="W444" s="122"/>
      <c r="X444" s="37"/>
      <c r="Y444" s="37"/>
      <c r="Z444" s="37"/>
    </row>
    <row r="445" spans="1:26" ht="13">
      <c r="A445" s="238"/>
      <c r="B445" s="292"/>
      <c r="C445" s="36"/>
      <c r="D445" s="290"/>
      <c r="E445" s="36"/>
      <c r="F445" s="36"/>
      <c r="G445" s="84"/>
      <c r="H445" s="36"/>
      <c r="I445" s="36"/>
      <c r="J445" s="293"/>
      <c r="K445" s="83"/>
      <c r="L445" s="293"/>
      <c r="M445" s="36"/>
      <c r="N445" s="36"/>
      <c r="O445" s="37"/>
      <c r="P445" s="37"/>
      <c r="Q445" s="237"/>
      <c r="R445" s="37"/>
      <c r="S445" s="37"/>
      <c r="T445" s="37"/>
      <c r="U445" s="37"/>
      <c r="V445" s="122"/>
      <c r="W445" s="122"/>
      <c r="X445" s="37"/>
      <c r="Y445" s="37"/>
      <c r="Z445" s="37"/>
    </row>
    <row r="446" spans="1:26" ht="13">
      <c r="A446" s="238"/>
      <c r="B446" s="292"/>
      <c r="C446" s="36"/>
      <c r="D446" s="290"/>
      <c r="E446" s="36"/>
      <c r="F446" s="36"/>
      <c r="G446" s="84"/>
      <c r="H446" s="36"/>
      <c r="I446" s="36"/>
      <c r="J446" s="293"/>
      <c r="K446" s="83"/>
      <c r="L446" s="293"/>
      <c r="M446" s="36"/>
      <c r="N446" s="36"/>
      <c r="O446" s="37"/>
      <c r="P446" s="37"/>
      <c r="Q446" s="237"/>
      <c r="R446" s="37"/>
      <c r="S446" s="37"/>
      <c r="T446" s="37"/>
      <c r="U446" s="37"/>
      <c r="V446" s="122"/>
      <c r="W446" s="122"/>
      <c r="X446" s="37"/>
      <c r="Y446" s="37"/>
      <c r="Z446" s="37"/>
    </row>
    <row r="447" spans="1:26" ht="13">
      <c r="A447" s="238"/>
      <c r="B447" s="292"/>
      <c r="C447" s="36"/>
      <c r="D447" s="290"/>
      <c r="E447" s="36"/>
      <c r="F447" s="36"/>
      <c r="G447" s="84"/>
      <c r="H447" s="36"/>
      <c r="I447" s="36"/>
      <c r="J447" s="293"/>
      <c r="K447" s="83"/>
      <c r="L447" s="293"/>
      <c r="M447" s="36"/>
      <c r="N447" s="36"/>
      <c r="O447" s="37"/>
      <c r="P447" s="37"/>
      <c r="Q447" s="237"/>
      <c r="R447" s="37"/>
      <c r="S447" s="37"/>
      <c r="T447" s="37"/>
      <c r="U447" s="37"/>
      <c r="V447" s="122"/>
      <c r="W447" s="122"/>
      <c r="X447" s="37"/>
      <c r="Y447" s="37"/>
      <c r="Z447" s="37"/>
    </row>
    <row r="448" spans="1:26" ht="13">
      <c r="A448" s="238"/>
      <c r="B448" s="292"/>
      <c r="C448" s="36"/>
      <c r="D448" s="290"/>
      <c r="E448" s="36"/>
      <c r="F448" s="36"/>
      <c r="G448" s="84"/>
      <c r="H448" s="36"/>
      <c r="I448" s="36"/>
      <c r="J448" s="293"/>
      <c r="K448" s="83"/>
      <c r="L448" s="293"/>
      <c r="M448" s="36"/>
      <c r="N448" s="36"/>
      <c r="O448" s="37"/>
      <c r="P448" s="37"/>
      <c r="Q448" s="237"/>
      <c r="R448" s="37"/>
      <c r="S448" s="37"/>
      <c r="T448" s="37"/>
      <c r="U448" s="37"/>
      <c r="V448" s="122"/>
      <c r="W448" s="122"/>
      <c r="X448" s="37"/>
      <c r="Y448" s="37"/>
      <c r="Z448" s="37"/>
    </row>
    <row r="449" spans="1:26" ht="13">
      <c r="A449" s="238"/>
      <c r="B449" s="292"/>
      <c r="C449" s="36"/>
      <c r="D449" s="290"/>
      <c r="E449" s="36"/>
      <c r="F449" s="36"/>
      <c r="G449" s="84"/>
      <c r="H449" s="36"/>
      <c r="I449" s="36"/>
      <c r="J449" s="293"/>
      <c r="K449" s="83"/>
      <c r="L449" s="293"/>
      <c r="M449" s="36"/>
      <c r="N449" s="36"/>
      <c r="O449" s="37"/>
      <c r="P449" s="37"/>
      <c r="Q449" s="237"/>
      <c r="R449" s="37"/>
      <c r="S449" s="37"/>
      <c r="T449" s="37"/>
      <c r="U449" s="37"/>
      <c r="V449" s="122"/>
      <c r="W449" s="122"/>
      <c r="X449" s="37"/>
      <c r="Y449" s="37"/>
      <c r="Z449" s="37"/>
    </row>
    <row r="450" spans="1:26" ht="13">
      <c r="A450" s="238"/>
      <c r="B450" s="292"/>
      <c r="C450" s="36"/>
      <c r="D450" s="290"/>
      <c r="E450" s="36"/>
      <c r="F450" s="36"/>
      <c r="G450" s="84"/>
      <c r="H450" s="36"/>
      <c r="I450" s="36"/>
      <c r="J450" s="293"/>
      <c r="K450" s="83"/>
      <c r="L450" s="293"/>
      <c r="M450" s="36"/>
      <c r="N450" s="36"/>
      <c r="O450" s="37"/>
      <c r="P450" s="37"/>
      <c r="Q450" s="237"/>
      <c r="R450" s="37"/>
      <c r="S450" s="37"/>
      <c r="T450" s="37"/>
      <c r="U450" s="37"/>
      <c r="V450" s="122"/>
      <c r="W450" s="122"/>
      <c r="X450" s="37"/>
      <c r="Y450" s="37"/>
      <c r="Z450" s="37"/>
    </row>
    <row r="451" spans="1:26" ht="13">
      <c r="A451" s="238"/>
      <c r="B451" s="292"/>
      <c r="C451" s="36"/>
      <c r="D451" s="290"/>
      <c r="E451" s="36"/>
      <c r="F451" s="36"/>
      <c r="G451" s="84"/>
      <c r="H451" s="36"/>
      <c r="I451" s="36"/>
      <c r="J451" s="293"/>
      <c r="K451" s="83"/>
      <c r="L451" s="293"/>
      <c r="M451" s="36"/>
      <c r="N451" s="36"/>
      <c r="O451" s="37"/>
      <c r="P451" s="37"/>
      <c r="Q451" s="237"/>
      <c r="R451" s="37"/>
      <c r="S451" s="37"/>
      <c r="T451" s="37"/>
      <c r="U451" s="37"/>
      <c r="V451" s="122"/>
      <c r="W451" s="122"/>
      <c r="X451" s="37"/>
      <c r="Y451" s="37"/>
      <c r="Z451" s="37"/>
    </row>
    <row r="452" spans="1:26" ht="13">
      <c r="A452" s="238"/>
      <c r="B452" s="292"/>
      <c r="C452" s="36"/>
      <c r="D452" s="290"/>
      <c r="E452" s="36"/>
      <c r="F452" s="36"/>
      <c r="G452" s="84"/>
      <c r="H452" s="36"/>
      <c r="I452" s="36"/>
      <c r="J452" s="293"/>
      <c r="K452" s="83"/>
      <c r="L452" s="293"/>
      <c r="M452" s="36"/>
      <c r="N452" s="36"/>
      <c r="O452" s="37"/>
      <c r="P452" s="37"/>
      <c r="Q452" s="237"/>
      <c r="R452" s="37"/>
      <c r="S452" s="37"/>
      <c r="T452" s="37"/>
      <c r="U452" s="37"/>
      <c r="V452" s="122"/>
      <c r="W452" s="122"/>
      <c r="X452" s="37"/>
      <c r="Y452" s="37"/>
      <c r="Z452" s="37"/>
    </row>
    <row r="453" spans="1:26" ht="13">
      <c r="A453" s="238"/>
      <c r="B453" s="292"/>
      <c r="C453" s="36"/>
      <c r="D453" s="290"/>
      <c r="E453" s="36"/>
      <c r="F453" s="36"/>
      <c r="G453" s="84"/>
      <c r="H453" s="36"/>
      <c r="I453" s="36"/>
      <c r="J453" s="293"/>
      <c r="K453" s="83"/>
      <c r="L453" s="293"/>
      <c r="M453" s="36"/>
      <c r="N453" s="36"/>
      <c r="O453" s="37"/>
      <c r="P453" s="37"/>
      <c r="Q453" s="237"/>
      <c r="R453" s="37"/>
      <c r="S453" s="37"/>
      <c r="T453" s="37"/>
      <c r="U453" s="37"/>
      <c r="V453" s="122"/>
      <c r="W453" s="122"/>
      <c r="X453" s="37"/>
      <c r="Y453" s="37"/>
      <c r="Z453" s="37"/>
    </row>
    <row r="454" spans="1:26" ht="13">
      <c r="A454" s="238"/>
      <c r="B454" s="292"/>
      <c r="C454" s="36"/>
      <c r="D454" s="290"/>
      <c r="E454" s="36"/>
      <c r="F454" s="36"/>
      <c r="G454" s="84"/>
      <c r="H454" s="36"/>
      <c r="I454" s="36"/>
      <c r="J454" s="293"/>
      <c r="K454" s="83"/>
      <c r="L454" s="293"/>
      <c r="M454" s="36"/>
      <c r="N454" s="36"/>
      <c r="O454" s="37"/>
      <c r="P454" s="37"/>
      <c r="Q454" s="237"/>
      <c r="R454" s="37"/>
      <c r="S454" s="37"/>
      <c r="T454" s="37"/>
      <c r="U454" s="37"/>
      <c r="V454" s="122"/>
      <c r="W454" s="122"/>
      <c r="X454" s="37"/>
      <c r="Y454" s="37"/>
      <c r="Z454" s="37"/>
    </row>
    <row r="455" spans="1:26" ht="13">
      <c r="A455" s="238"/>
      <c r="B455" s="292"/>
      <c r="C455" s="36"/>
      <c r="D455" s="290"/>
      <c r="E455" s="36"/>
      <c r="F455" s="36"/>
      <c r="G455" s="84"/>
      <c r="H455" s="36"/>
      <c r="I455" s="36"/>
      <c r="J455" s="293"/>
      <c r="K455" s="83"/>
      <c r="L455" s="293"/>
      <c r="M455" s="36"/>
      <c r="N455" s="36"/>
      <c r="O455" s="37"/>
      <c r="P455" s="37"/>
      <c r="Q455" s="237"/>
      <c r="R455" s="37"/>
      <c r="S455" s="37"/>
      <c r="T455" s="37"/>
      <c r="U455" s="37"/>
      <c r="V455" s="122"/>
      <c r="W455" s="122"/>
      <c r="X455" s="37"/>
      <c r="Y455" s="37"/>
      <c r="Z455" s="37"/>
    </row>
    <row r="456" spans="1:26" ht="13">
      <c r="A456" s="238"/>
      <c r="B456" s="292"/>
      <c r="C456" s="36"/>
      <c r="D456" s="290"/>
      <c r="E456" s="36"/>
      <c r="F456" s="36"/>
      <c r="G456" s="84"/>
      <c r="H456" s="36"/>
      <c r="I456" s="36"/>
      <c r="J456" s="293"/>
      <c r="K456" s="83"/>
      <c r="L456" s="293"/>
      <c r="M456" s="36"/>
      <c r="N456" s="36"/>
      <c r="O456" s="37"/>
      <c r="P456" s="37"/>
      <c r="Q456" s="237"/>
      <c r="R456" s="37"/>
      <c r="S456" s="37"/>
      <c r="T456" s="37"/>
      <c r="U456" s="37"/>
      <c r="V456" s="122"/>
      <c r="W456" s="122"/>
      <c r="X456" s="37"/>
      <c r="Y456" s="37"/>
      <c r="Z456" s="37"/>
    </row>
    <row r="457" spans="1:26" ht="13">
      <c r="A457" s="238"/>
      <c r="B457" s="292"/>
      <c r="C457" s="36"/>
      <c r="D457" s="290"/>
      <c r="E457" s="36"/>
      <c r="F457" s="36"/>
      <c r="G457" s="84"/>
      <c r="H457" s="36"/>
      <c r="I457" s="36"/>
      <c r="J457" s="293"/>
      <c r="K457" s="83"/>
      <c r="L457" s="293"/>
      <c r="M457" s="36"/>
      <c r="N457" s="36"/>
      <c r="O457" s="37"/>
      <c r="P457" s="37"/>
      <c r="Q457" s="237"/>
      <c r="R457" s="37"/>
      <c r="S457" s="37"/>
      <c r="T457" s="37"/>
      <c r="U457" s="37"/>
      <c r="V457" s="122"/>
      <c r="W457" s="122"/>
      <c r="X457" s="37"/>
      <c r="Y457" s="37"/>
      <c r="Z457" s="37"/>
    </row>
    <row r="458" spans="1:26" ht="13">
      <c r="A458" s="238"/>
      <c r="B458" s="292"/>
      <c r="C458" s="36"/>
      <c r="D458" s="290"/>
      <c r="E458" s="36"/>
      <c r="F458" s="36"/>
      <c r="G458" s="84"/>
      <c r="H458" s="36"/>
      <c r="I458" s="36"/>
      <c r="J458" s="293"/>
      <c r="K458" s="83"/>
      <c r="L458" s="293"/>
      <c r="M458" s="36"/>
      <c r="N458" s="36"/>
      <c r="O458" s="37"/>
      <c r="P458" s="37"/>
      <c r="Q458" s="237"/>
      <c r="R458" s="37"/>
      <c r="S458" s="37"/>
      <c r="T458" s="37"/>
      <c r="U458" s="37"/>
      <c r="V458" s="122"/>
      <c r="W458" s="122"/>
      <c r="X458" s="37"/>
      <c r="Y458" s="37"/>
      <c r="Z458" s="37"/>
    </row>
    <row r="459" spans="1:26" ht="13">
      <c r="A459" s="238"/>
      <c r="B459" s="292"/>
      <c r="C459" s="36"/>
      <c r="D459" s="290"/>
      <c r="E459" s="36"/>
      <c r="F459" s="36"/>
      <c r="G459" s="84"/>
      <c r="H459" s="36"/>
      <c r="I459" s="36"/>
      <c r="J459" s="293"/>
      <c r="K459" s="83"/>
      <c r="L459" s="293"/>
      <c r="M459" s="36"/>
      <c r="N459" s="36"/>
      <c r="O459" s="37"/>
      <c r="P459" s="37"/>
      <c r="Q459" s="237"/>
      <c r="R459" s="37"/>
      <c r="S459" s="37"/>
      <c r="T459" s="37"/>
      <c r="U459" s="37"/>
      <c r="V459" s="122"/>
      <c r="W459" s="122"/>
      <c r="X459" s="37"/>
      <c r="Y459" s="37"/>
      <c r="Z459" s="37"/>
    </row>
    <row r="460" spans="1:26" ht="13">
      <c r="A460" s="238"/>
      <c r="B460" s="292"/>
      <c r="C460" s="36"/>
      <c r="D460" s="290"/>
      <c r="E460" s="36"/>
      <c r="F460" s="36"/>
      <c r="G460" s="84"/>
      <c r="H460" s="36"/>
      <c r="I460" s="36"/>
      <c r="J460" s="293"/>
      <c r="K460" s="83"/>
      <c r="L460" s="293"/>
      <c r="M460" s="36"/>
      <c r="N460" s="36"/>
      <c r="O460" s="37"/>
      <c r="P460" s="37"/>
      <c r="Q460" s="237"/>
      <c r="R460" s="37"/>
      <c r="S460" s="37"/>
      <c r="T460" s="37"/>
      <c r="U460" s="37"/>
      <c r="V460" s="122"/>
      <c r="W460" s="122"/>
      <c r="X460" s="37"/>
      <c r="Y460" s="37"/>
      <c r="Z460" s="37"/>
    </row>
    <row r="461" spans="1:26" ht="13">
      <c r="A461" s="238"/>
      <c r="B461" s="292"/>
      <c r="C461" s="36"/>
      <c r="D461" s="290"/>
      <c r="E461" s="36"/>
      <c r="F461" s="36"/>
      <c r="G461" s="84"/>
      <c r="H461" s="36"/>
      <c r="I461" s="36"/>
      <c r="J461" s="293"/>
      <c r="K461" s="83"/>
      <c r="L461" s="293"/>
      <c r="M461" s="36"/>
      <c r="N461" s="36"/>
      <c r="O461" s="37"/>
      <c r="P461" s="37"/>
      <c r="Q461" s="237"/>
      <c r="R461" s="37"/>
      <c r="S461" s="37"/>
      <c r="T461" s="37"/>
      <c r="U461" s="37"/>
      <c r="V461" s="122"/>
      <c r="W461" s="122"/>
      <c r="X461" s="37"/>
      <c r="Y461" s="37"/>
      <c r="Z461" s="37"/>
    </row>
    <row r="462" spans="1:26" ht="13">
      <c r="A462" s="238"/>
      <c r="B462" s="292"/>
      <c r="C462" s="36"/>
      <c r="D462" s="290"/>
      <c r="E462" s="36"/>
      <c r="F462" s="36"/>
      <c r="G462" s="84"/>
      <c r="H462" s="36"/>
      <c r="I462" s="36"/>
      <c r="J462" s="293"/>
      <c r="K462" s="83"/>
      <c r="L462" s="293"/>
      <c r="M462" s="36"/>
      <c r="N462" s="36"/>
      <c r="O462" s="37"/>
      <c r="P462" s="37"/>
      <c r="Q462" s="237"/>
      <c r="R462" s="37"/>
      <c r="S462" s="37"/>
      <c r="T462" s="37"/>
      <c r="U462" s="37"/>
      <c r="V462" s="122"/>
      <c r="W462" s="122"/>
      <c r="X462" s="37"/>
      <c r="Y462" s="37"/>
      <c r="Z462" s="37"/>
    </row>
    <row r="463" spans="1:26" ht="13">
      <c r="A463" s="238"/>
      <c r="B463" s="292"/>
      <c r="C463" s="36"/>
      <c r="D463" s="290"/>
      <c r="E463" s="36"/>
      <c r="F463" s="36"/>
      <c r="G463" s="84"/>
      <c r="H463" s="36"/>
      <c r="I463" s="36"/>
      <c r="J463" s="293"/>
      <c r="K463" s="83"/>
      <c r="L463" s="293"/>
      <c r="M463" s="36"/>
      <c r="N463" s="36"/>
      <c r="O463" s="37"/>
      <c r="P463" s="37"/>
      <c r="Q463" s="237"/>
      <c r="R463" s="37"/>
      <c r="S463" s="37"/>
      <c r="T463" s="37"/>
      <c r="U463" s="37"/>
      <c r="V463" s="122"/>
      <c r="W463" s="122"/>
      <c r="X463" s="37"/>
      <c r="Y463" s="37"/>
      <c r="Z463" s="37"/>
    </row>
    <row r="464" spans="1:26" ht="13">
      <c r="A464" s="238"/>
      <c r="B464" s="292"/>
      <c r="C464" s="36"/>
      <c r="D464" s="290"/>
      <c r="E464" s="36"/>
      <c r="F464" s="36"/>
      <c r="G464" s="84"/>
      <c r="H464" s="36"/>
      <c r="I464" s="36"/>
      <c r="J464" s="293"/>
      <c r="K464" s="83"/>
      <c r="L464" s="293"/>
      <c r="M464" s="36"/>
      <c r="N464" s="36"/>
      <c r="O464" s="37"/>
      <c r="P464" s="37"/>
      <c r="Q464" s="237"/>
      <c r="R464" s="37"/>
      <c r="S464" s="37"/>
      <c r="T464" s="37"/>
      <c r="U464" s="37"/>
      <c r="V464" s="122"/>
      <c r="W464" s="122"/>
      <c r="X464" s="37"/>
      <c r="Y464" s="37"/>
      <c r="Z464" s="37"/>
    </row>
    <row r="465" spans="1:26" ht="13">
      <c r="A465" s="238"/>
      <c r="B465" s="292"/>
      <c r="C465" s="36"/>
      <c r="D465" s="290"/>
      <c r="E465" s="36"/>
      <c r="F465" s="36"/>
      <c r="G465" s="84"/>
      <c r="H465" s="36"/>
      <c r="I465" s="36"/>
      <c r="J465" s="293"/>
      <c r="K465" s="83"/>
      <c r="L465" s="293"/>
      <c r="M465" s="36"/>
      <c r="N465" s="36"/>
      <c r="O465" s="37"/>
      <c r="P465" s="37"/>
      <c r="Q465" s="237"/>
      <c r="R465" s="37"/>
      <c r="S465" s="37"/>
      <c r="T465" s="37"/>
      <c r="U465" s="37"/>
      <c r="V465" s="122"/>
      <c r="W465" s="122"/>
      <c r="X465" s="37"/>
      <c r="Y465" s="37"/>
      <c r="Z465" s="37"/>
    </row>
    <row r="466" spans="1:26" ht="13">
      <c r="A466" s="238"/>
      <c r="B466" s="292"/>
      <c r="C466" s="36"/>
      <c r="D466" s="290"/>
      <c r="E466" s="36"/>
      <c r="F466" s="36"/>
      <c r="G466" s="84"/>
      <c r="H466" s="36"/>
      <c r="I466" s="36"/>
      <c r="J466" s="293"/>
      <c r="K466" s="83"/>
      <c r="L466" s="293"/>
      <c r="M466" s="36"/>
      <c r="N466" s="36"/>
      <c r="O466" s="37"/>
      <c r="P466" s="37"/>
      <c r="Q466" s="237"/>
      <c r="R466" s="37"/>
      <c r="S466" s="37"/>
      <c r="T466" s="37"/>
      <c r="U466" s="37"/>
      <c r="V466" s="122"/>
      <c r="W466" s="122"/>
      <c r="X466" s="37"/>
      <c r="Y466" s="37"/>
      <c r="Z466" s="37"/>
    </row>
    <row r="467" spans="1:26" ht="13">
      <c r="A467" s="238"/>
      <c r="B467" s="292"/>
      <c r="C467" s="36"/>
      <c r="D467" s="290"/>
      <c r="E467" s="36"/>
      <c r="F467" s="36"/>
      <c r="G467" s="84"/>
      <c r="H467" s="36"/>
      <c r="I467" s="36"/>
      <c r="J467" s="293"/>
      <c r="K467" s="83"/>
      <c r="L467" s="293"/>
      <c r="M467" s="36"/>
      <c r="N467" s="36"/>
      <c r="O467" s="37"/>
      <c r="P467" s="37"/>
      <c r="Q467" s="237"/>
      <c r="R467" s="37"/>
      <c r="S467" s="37"/>
      <c r="T467" s="37"/>
      <c r="U467" s="37"/>
      <c r="V467" s="122"/>
      <c r="W467" s="122"/>
      <c r="X467" s="37"/>
      <c r="Y467" s="37"/>
      <c r="Z467" s="37"/>
    </row>
    <row r="468" spans="1:26" ht="13">
      <c r="A468" s="238"/>
      <c r="B468" s="292"/>
      <c r="C468" s="36"/>
      <c r="D468" s="290"/>
      <c r="E468" s="36"/>
      <c r="F468" s="36"/>
      <c r="G468" s="84"/>
      <c r="H468" s="36"/>
      <c r="I468" s="36"/>
      <c r="J468" s="293"/>
      <c r="K468" s="83"/>
      <c r="L468" s="293"/>
      <c r="M468" s="36"/>
      <c r="N468" s="36"/>
      <c r="O468" s="37"/>
      <c r="P468" s="37"/>
      <c r="Q468" s="237"/>
      <c r="R468" s="37"/>
      <c r="S468" s="37"/>
      <c r="T468" s="37"/>
      <c r="U468" s="37"/>
      <c r="V468" s="122"/>
      <c r="W468" s="122"/>
      <c r="X468" s="37"/>
      <c r="Y468" s="37"/>
      <c r="Z468" s="37"/>
    </row>
    <row r="469" spans="1:26" ht="13">
      <c r="A469" s="238"/>
      <c r="B469" s="292"/>
      <c r="C469" s="36"/>
      <c r="D469" s="290"/>
      <c r="E469" s="36"/>
      <c r="F469" s="36"/>
      <c r="G469" s="84"/>
      <c r="H469" s="36"/>
      <c r="I469" s="36"/>
      <c r="J469" s="293"/>
      <c r="K469" s="83"/>
      <c r="L469" s="293"/>
      <c r="M469" s="36"/>
      <c r="N469" s="36"/>
      <c r="O469" s="37"/>
      <c r="P469" s="37"/>
      <c r="Q469" s="237"/>
      <c r="R469" s="37"/>
      <c r="S469" s="37"/>
      <c r="T469" s="37"/>
      <c r="U469" s="37"/>
      <c r="V469" s="122"/>
      <c r="W469" s="122"/>
      <c r="X469" s="37"/>
      <c r="Y469" s="37"/>
      <c r="Z469" s="37"/>
    </row>
    <row r="470" spans="1:26" ht="13">
      <c r="A470" s="238"/>
      <c r="B470" s="292"/>
      <c r="C470" s="36"/>
      <c r="D470" s="290"/>
      <c r="E470" s="36"/>
      <c r="F470" s="36"/>
      <c r="G470" s="84"/>
      <c r="H470" s="36"/>
      <c r="I470" s="36"/>
      <c r="J470" s="293"/>
      <c r="K470" s="83"/>
      <c r="L470" s="293"/>
      <c r="M470" s="36"/>
      <c r="N470" s="36"/>
      <c r="O470" s="37"/>
      <c r="P470" s="37"/>
      <c r="Q470" s="237"/>
      <c r="R470" s="37"/>
      <c r="S470" s="37"/>
      <c r="T470" s="37"/>
      <c r="U470" s="37"/>
      <c r="V470" s="122"/>
      <c r="W470" s="122"/>
      <c r="X470" s="37"/>
      <c r="Y470" s="37"/>
      <c r="Z470" s="37"/>
    </row>
    <row r="471" spans="1:26" ht="13">
      <c r="A471" s="238"/>
      <c r="B471" s="292"/>
      <c r="C471" s="36"/>
      <c r="D471" s="290"/>
      <c r="E471" s="36"/>
      <c r="F471" s="36"/>
      <c r="G471" s="84"/>
      <c r="H471" s="36"/>
      <c r="I471" s="36"/>
      <c r="J471" s="293"/>
      <c r="K471" s="83"/>
      <c r="L471" s="293"/>
      <c r="M471" s="36"/>
      <c r="N471" s="36"/>
      <c r="O471" s="37"/>
      <c r="P471" s="37"/>
      <c r="Q471" s="237"/>
      <c r="R471" s="37"/>
      <c r="S471" s="37"/>
      <c r="T471" s="37"/>
      <c r="U471" s="37"/>
      <c r="V471" s="122"/>
      <c r="W471" s="122"/>
      <c r="X471" s="37"/>
      <c r="Y471" s="37"/>
      <c r="Z471" s="37"/>
    </row>
    <row r="472" spans="1:26" ht="13">
      <c r="A472" s="238"/>
      <c r="B472" s="292"/>
      <c r="C472" s="36"/>
      <c r="D472" s="290"/>
      <c r="E472" s="36"/>
      <c r="F472" s="36"/>
      <c r="G472" s="84"/>
      <c r="H472" s="36"/>
      <c r="I472" s="36"/>
      <c r="J472" s="293"/>
      <c r="K472" s="83"/>
      <c r="L472" s="293"/>
      <c r="M472" s="36"/>
      <c r="N472" s="36"/>
      <c r="O472" s="37"/>
      <c r="P472" s="37"/>
      <c r="Q472" s="237"/>
      <c r="R472" s="37"/>
      <c r="S472" s="37"/>
      <c r="T472" s="37"/>
      <c r="U472" s="37"/>
      <c r="V472" s="122"/>
      <c r="W472" s="122"/>
      <c r="X472" s="37"/>
      <c r="Y472" s="37"/>
      <c r="Z472" s="37"/>
    </row>
    <row r="473" spans="1:26" ht="13">
      <c r="A473" s="238"/>
      <c r="B473" s="292"/>
      <c r="C473" s="36"/>
      <c r="D473" s="290"/>
      <c r="E473" s="36"/>
      <c r="F473" s="36"/>
      <c r="G473" s="84"/>
      <c r="H473" s="36"/>
      <c r="I473" s="36"/>
      <c r="J473" s="293"/>
      <c r="K473" s="83"/>
      <c r="L473" s="293"/>
      <c r="M473" s="36"/>
      <c r="N473" s="36"/>
      <c r="O473" s="37"/>
      <c r="P473" s="37"/>
      <c r="Q473" s="237"/>
      <c r="R473" s="37"/>
      <c r="S473" s="37"/>
      <c r="T473" s="37"/>
      <c r="U473" s="37"/>
      <c r="V473" s="122"/>
      <c r="W473" s="122"/>
      <c r="X473" s="37"/>
      <c r="Y473" s="37"/>
      <c r="Z473" s="37"/>
    </row>
    <row r="474" spans="1:26" ht="13">
      <c r="A474" s="238"/>
      <c r="B474" s="292"/>
      <c r="C474" s="36"/>
      <c r="D474" s="290"/>
      <c r="E474" s="36"/>
      <c r="F474" s="36"/>
      <c r="G474" s="84"/>
      <c r="H474" s="36"/>
      <c r="I474" s="36"/>
      <c r="J474" s="293"/>
      <c r="K474" s="83"/>
      <c r="L474" s="293"/>
      <c r="M474" s="36"/>
      <c r="N474" s="36"/>
      <c r="O474" s="37"/>
      <c r="P474" s="37"/>
      <c r="Q474" s="237"/>
      <c r="R474" s="37"/>
      <c r="S474" s="37"/>
      <c r="T474" s="37"/>
      <c r="U474" s="37"/>
      <c r="V474" s="122"/>
      <c r="W474" s="122"/>
      <c r="X474" s="37"/>
      <c r="Y474" s="37"/>
      <c r="Z474" s="37"/>
    </row>
    <row r="475" spans="1:26" ht="13">
      <c r="A475" s="238"/>
      <c r="B475" s="292"/>
      <c r="C475" s="36"/>
      <c r="D475" s="290"/>
      <c r="E475" s="36"/>
      <c r="F475" s="36"/>
      <c r="G475" s="84"/>
      <c r="H475" s="36"/>
      <c r="I475" s="36"/>
      <c r="J475" s="293"/>
      <c r="K475" s="83"/>
      <c r="L475" s="293"/>
      <c r="M475" s="36"/>
      <c r="N475" s="36"/>
      <c r="O475" s="37"/>
      <c r="P475" s="37"/>
      <c r="Q475" s="237"/>
      <c r="R475" s="37"/>
      <c r="S475" s="37"/>
      <c r="T475" s="37"/>
      <c r="U475" s="37"/>
      <c r="V475" s="122"/>
      <c r="W475" s="122"/>
      <c r="X475" s="37"/>
      <c r="Y475" s="37"/>
      <c r="Z475" s="37"/>
    </row>
    <row r="476" spans="1:26" ht="13">
      <c r="A476" s="238"/>
      <c r="B476" s="292"/>
      <c r="C476" s="36"/>
      <c r="D476" s="290"/>
      <c r="E476" s="36"/>
      <c r="F476" s="36"/>
      <c r="G476" s="84"/>
      <c r="H476" s="36"/>
      <c r="I476" s="36"/>
      <c r="J476" s="293"/>
      <c r="K476" s="83"/>
      <c r="L476" s="293"/>
      <c r="M476" s="36"/>
      <c r="N476" s="36"/>
      <c r="O476" s="37"/>
      <c r="P476" s="37"/>
      <c r="Q476" s="237"/>
      <c r="R476" s="37"/>
      <c r="S476" s="37"/>
      <c r="T476" s="37"/>
      <c r="U476" s="37"/>
      <c r="V476" s="122"/>
      <c r="W476" s="122"/>
      <c r="X476" s="37"/>
      <c r="Y476" s="37"/>
      <c r="Z476" s="37"/>
    </row>
    <row r="477" spans="1:26" ht="13">
      <c r="A477" s="238"/>
      <c r="B477" s="292"/>
      <c r="C477" s="36"/>
      <c r="D477" s="290"/>
      <c r="E477" s="36"/>
      <c r="F477" s="36"/>
      <c r="G477" s="84"/>
      <c r="H477" s="36"/>
      <c r="I477" s="36"/>
      <c r="J477" s="293"/>
      <c r="K477" s="83"/>
      <c r="L477" s="293"/>
      <c r="M477" s="36"/>
      <c r="N477" s="36"/>
      <c r="O477" s="37"/>
      <c r="P477" s="37"/>
      <c r="Q477" s="237"/>
      <c r="R477" s="37"/>
      <c r="S477" s="37"/>
      <c r="T477" s="37"/>
      <c r="U477" s="37"/>
      <c r="V477" s="122"/>
      <c r="W477" s="122"/>
      <c r="X477" s="37"/>
      <c r="Y477" s="37"/>
      <c r="Z477" s="37"/>
    </row>
    <row r="478" spans="1:26" ht="13">
      <c r="A478" s="238"/>
      <c r="B478" s="292"/>
      <c r="C478" s="36"/>
      <c r="D478" s="290"/>
      <c r="E478" s="36"/>
      <c r="F478" s="36"/>
      <c r="G478" s="84"/>
      <c r="H478" s="36"/>
      <c r="I478" s="36"/>
      <c r="J478" s="293"/>
      <c r="K478" s="83"/>
      <c r="L478" s="293"/>
      <c r="M478" s="36"/>
      <c r="N478" s="36"/>
      <c r="O478" s="37"/>
      <c r="P478" s="37"/>
      <c r="Q478" s="237"/>
      <c r="R478" s="37"/>
      <c r="S478" s="37"/>
      <c r="T478" s="37"/>
      <c r="U478" s="37"/>
      <c r="V478" s="122"/>
      <c r="W478" s="122"/>
      <c r="X478" s="37"/>
      <c r="Y478" s="37"/>
      <c r="Z478" s="37"/>
    </row>
    <row r="479" spans="1:26" ht="13">
      <c r="A479" s="238"/>
      <c r="B479" s="292"/>
      <c r="C479" s="36"/>
      <c r="D479" s="290"/>
      <c r="E479" s="36"/>
      <c r="F479" s="36"/>
      <c r="G479" s="84"/>
      <c r="H479" s="36"/>
      <c r="I479" s="36"/>
      <c r="J479" s="293"/>
      <c r="K479" s="83"/>
      <c r="L479" s="293"/>
      <c r="M479" s="36"/>
      <c r="N479" s="36"/>
      <c r="O479" s="37"/>
      <c r="P479" s="37"/>
      <c r="Q479" s="237"/>
      <c r="R479" s="37"/>
      <c r="S479" s="37"/>
      <c r="T479" s="37"/>
      <c r="U479" s="37"/>
      <c r="V479" s="122"/>
      <c r="W479" s="122"/>
      <c r="X479" s="37"/>
      <c r="Y479" s="37"/>
      <c r="Z479" s="37"/>
    </row>
    <row r="480" spans="1:26" ht="13">
      <c r="A480" s="238"/>
      <c r="B480" s="292"/>
      <c r="C480" s="36"/>
      <c r="D480" s="290"/>
      <c r="E480" s="36"/>
      <c r="F480" s="36"/>
      <c r="G480" s="84"/>
      <c r="H480" s="36"/>
      <c r="I480" s="36"/>
      <c r="J480" s="293"/>
      <c r="K480" s="83"/>
      <c r="L480" s="293"/>
      <c r="M480" s="36"/>
      <c r="N480" s="36"/>
      <c r="O480" s="37"/>
      <c r="P480" s="37"/>
      <c r="Q480" s="237"/>
      <c r="R480" s="37"/>
      <c r="S480" s="37"/>
      <c r="T480" s="37"/>
      <c r="U480" s="37"/>
      <c r="V480" s="122"/>
      <c r="W480" s="122"/>
      <c r="X480" s="37"/>
      <c r="Y480" s="37"/>
      <c r="Z480" s="37"/>
    </row>
    <row r="481" spans="1:26" ht="13">
      <c r="A481" s="238"/>
      <c r="B481" s="292"/>
      <c r="C481" s="36"/>
      <c r="D481" s="290"/>
      <c r="E481" s="36"/>
      <c r="F481" s="36"/>
      <c r="G481" s="84"/>
      <c r="H481" s="36"/>
      <c r="I481" s="36"/>
      <c r="J481" s="293"/>
      <c r="K481" s="83"/>
      <c r="L481" s="293"/>
      <c r="M481" s="36"/>
      <c r="N481" s="36"/>
      <c r="O481" s="37"/>
      <c r="P481" s="37"/>
      <c r="Q481" s="237"/>
      <c r="R481" s="37"/>
      <c r="S481" s="37"/>
      <c r="T481" s="37"/>
      <c r="U481" s="37"/>
      <c r="V481" s="122"/>
      <c r="W481" s="122"/>
      <c r="X481" s="37"/>
      <c r="Y481" s="37"/>
      <c r="Z481" s="37"/>
    </row>
    <row r="482" spans="1:26" ht="13">
      <c r="A482" s="238"/>
      <c r="B482" s="292"/>
      <c r="C482" s="36"/>
      <c r="D482" s="290"/>
      <c r="E482" s="36"/>
      <c r="F482" s="36"/>
      <c r="G482" s="84"/>
      <c r="H482" s="36"/>
      <c r="I482" s="36"/>
      <c r="J482" s="293"/>
      <c r="K482" s="83"/>
      <c r="L482" s="293"/>
      <c r="M482" s="36"/>
      <c r="N482" s="36"/>
      <c r="O482" s="37"/>
      <c r="P482" s="37"/>
      <c r="Q482" s="237"/>
      <c r="R482" s="37"/>
      <c r="S482" s="37"/>
      <c r="T482" s="37"/>
      <c r="U482" s="37"/>
      <c r="V482" s="122"/>
      <c r="W482" s="122"/>
      <c r="X482" s="37"/>
      <c r="Y482" s="37"/>
      <c r="Z482" s="37"/>
    </row>
    <row r="483" spans="1:26" ht="13">
      <c r="A483" s="238"/>
      <c r="B483" s="292"/>
      <c r="C483" s="36"/>
      <c r="D483" s="290"/>
      <c r="E483" s="36"/>
      <c r="F483" s="36"/>
      <c r="G483" s="84"/>
      <c r="H483" s="36"/>
      <c r="I483" s="36"/>
      <c r="J483" s="293"/>
      <c r="K483" s="83"/>
      <c r="L483" s="293"/>
      <c r="M483" s="36"/>
      <c r="N483" s="36"/>
      <c r="O483" s="37"/>
      <c r="P483" s="37"/>
      <c r="Q483" s="237"/>
      <c r="R483" s="37"/>
      <c r="S483" s="37"/>
      <c r="T483" s="37"/>
      <c r="U483" s="37"/>
      <c r="V483" s="122"/>
      <c r="W483" s="122"/>
      <c r="X483" s="37"/>
      <c r="Y483" s="37"/>
      <c r="Z483" s="37"/>
    </row>
    <row r="484" spans="1:26" ht="13">
      <c r="A484" s="238"/>
      <c r="B484" s="292"/>
      <c r="C484" s="36"/>
      <c r="D484" s="290"/>
      <c r="E484" s="36"/>
      <c r="F484" s="36"/>
      <c r="G484" s="84"/>
      <c r="H484" s="36"/>
      <c r="I484" s="36"/>
      <c r="J484" s="293"/>
      <c r="K484" s="83"/>
      <c r="L484" s="293"/>
      <c r="M484" s="36"/>
      <c r="N484" s="36"/>
      <c r="O484" s="37"/>
      <c r="P484" s="37"/>
      <c r="Q484" s="237"/>
      <c r="R484" s="37"/>
      <c r="S484" s="37"/>
      <c r="T484" s="37"/>
      <c r="U484" s="37"/>
      <c r="V484" s="122"/>
      <c r="W484" s="122"/>
      <c r="X484" s="37"/>
      <c r="Y484" s="37"/>
      <c r="Z484" s="37"/>
    </row>
    <row r="485" spans="1:26" ht="13">
      <c r="A485" s="238"/>
      <c r="B485" s="292"/>
      <c r="C485" s="36"/>
      <c r="D485" s="290"/>
      <c r="E485" s="36"/>
      <c r="F485" s="36"/>
      <c r="G485" s="84"/>
      <c r="H485" s="36"/>
      <c r="I485" s="36"/>
      <c r="J485" s="293"/>
      <c r="K485" s="83"/>
      <c r="L485" s="293"/>
      <c r="M485" s="36"/>
      <c r="N485" s="36"/>
      <c r="O485" s="37"/>
      <c r="P485" s="37"/>
      <c r="Q485" s="237"/>
      <c r="R485" s="37"/>
      <c r="S485" s="37"/>
      <c r="T485" s="37"/>
      <c r="U485" s="37"/>
      <c r="V485" s="122"/>
      <c r="W485" s="122"/>
      <c r="X485" s="37"/>
      <c r="Y485" s="37"/>
      <c r="Z485" s="37"/>
    </row>
    <row r="486" spans="1:26" ht="13">
      <c r="A486" s="238"/>
      <c r="B486" s="292"/>
      <c r="C486" s="36"/>
      <c r="D486" s="290"/>
      <c r="E486" s="36"/>
      <c r="F486" s="36"/>
      <c r="G486" s="84"/>
      <c r="H486" s="36"/>
      <c r="I486" s="36"/>
      <c r="J486" s="293"/>
      <c r="K486" s="83"/>
      <c r="L486" s="293"/>
      <c r="M486" s="36"/>
      <c r="N486" s="36"/>
      <c r="O486" s="37"/>
      <c r="P486" s="37"/>
      <c r="Q486" s="237"/>
      <c r="R486" s="37"/>
      <c r="S486" s="37"/>
      <c r="T486" s="37"/>
      <c r="U486" s="37"/>
      <c r="V486" s="122"/>
      <c r="W486" s="122"/>
      <c r="X486" s="37"/>
      <c r="Y486" s="37"/>
      <c r="Z486" s="37"/>
    </row>
    <row r="487" spans="1:26" ht="13">
      <c r="A487" s="238"/>
      <c r="B487" s="292"/>
      <c r="C487" s="36"/>
      <c r="D487" s="290"/>
      <c r="E487" s="36"/>
      <c r="F487" s="36"/>
      <c r="G487" s="84"/>
      <c r="H487" s="36"/>
      <c r="I487" s="36"/>
      <c r="J487" s="293"/>
      <c r="K487" s="83"/>
      <c r="L487" s="293"/>
      <c r="M487" s="36"/>
      <c r="N487" s="36"/>
      <c r="O487" s="37"/>
      <c r="P487" s="37"/>
      <c r="Q487" s="237"/>
      <c r="R487" s="37"/>
      <c r="S487" s="37"/>
      <c r="T487" s="37"/>
      <c r="U487" s="37"/>
      <c r="V487" s="122"/>
      <c r="W487" s="122"/>
      <c r="X487" s="37"/>
      <c r="Y487" s="37"/>
      <c r="Z487" s="37"/>
    </row>
    <row r="488" spans="1:26" ht="13">
      <c r="A488" s="238"/>
      <c r="B488" s="292"/>
      <c r="C488" s="36"/>
      <c r="D488" s="290"/>
      <c r="E488" s="36"/>
      <c r="F488" s="36"/>
      <c r="G488" s="84"/>
      <c r="H488" s="36"/>
      <c r="I488" s="36"/>
      <c r="J488" s="293"/>
      <c r="K488" s="83"/>
      <c r="L488" s="293"/>
      <c r="M488" s="36"/>
      <c r="N488" s="36"/>
      <c r="O488" s="37"/>
      <c r="P488" s="37"/>
      <c r="Q488" s="237"/>
      <c r="R488" s="37"/>
      <c r="S488" s="37"/>
      <c r="T488" s="37"/>
      <c r="U488" s="37"/>
      <c r="V488" s="122"/>
      <c r="W488" s="122"/>
      <c r="X488" s="37"/>
      <c r="Y488" s="37"/>
      <c r="Z488" s="37"/>
    </row>
    <row r="489" spans="1:26" ht="13">
      <c r="A489" s="238"/>
      <c r="B489" s="292"/>
      <c r="C489" s="36"/>
      <c r="D489" s="290"/>
      <c r="E489" s="36"/>
      <c r="F489" s="36"/>
      <c r="G489" s="84"/>
      <c r="H489" s="36"/>
      <c r="I489" s="36"/>
      <c r="J489" s="293"/>
      <c r="K489" s="83"/>
      <c r="L489" s="293"/>
      <c r="M489" s="36"/>
      <c r="N489" s="36"/>
      <c r="O489" s="37"/>
      <c r="P489" s="37"/>
      <c r="Q489" s="237"/>
      <c r="R489" s="37"/>
      <c r="S489" s="37"/>
      <c r="T489" s="37"/>
      <c r="U489" s="37"/>
      <c r="V489" s="122"/>
      <c r="W489" s="122"/>
      <c r="X489" s="37"/>
      <c r="Y489" s="37"/>
      <c r="Z489" s="37"/>
    </row>
    <row r="490" spans="1:26" ht="13">
      <c r="A490" s="238"/>
      <c r="B490" s="292"/>
      <c r="C490" s="36"/>
      <c r="D490" s="290"/>
      <c r="E490" s="36"/>
      <c r="F490" s="36"/>
      <c r="G490" s="84"/>
      <c r="H490" s="36"/>
      <c r="I490" s="36"/>
      <c r="J490" s="293"/>
      <c r="K490" s="83"/>
      <c r="L490" s="293"/>
      <c r="M490" s="36"/>
      <c r="N490" s="36"/>
      <c r="O490" s="37"/>
      <c r="P490" s="37"/>
      <c r="Q490" s="237"/>
      <c r="R490" s="37"/>
      <c r="S490" s="37"/>
      <c r="T490" s="37"/>
      <c r="U490" s="37"/>
      <c r="V490" s="122"/>
      <c r="W490" s="122"/>
      <c r="X490" s="37"/>
      <c r="Y490" s="37"/>
      <c r="Z490" s="37"/>
    </row>
    <row r="491" spans="1:26" ht="13">
      <c r="A491" s="238"/>
      <c r="B491" s="292"/>
      <c r="C491" s="36"/>
      <c r="D491" s="290"/>
      <c r="E491" s="36"/>
      <c r="F491" s="36"/>
      <c r="G491" s="84"/>
      <c r="H491" s="36"/>
      <c r="I491" s="36"/>
      <c r="J491" s="293"/>
      <c r="K491" s="83"/>
      <c r="L491" s="293"/>
      <c r="M491" s="36"/>
      <c r="N491" s="36"/>
      <c r="O491" s="37"/>
      <c r="P491" s="37"/>
      <c r="Q491" s="237"/>
      <c r="R491" s="37"/>
      <c r="S491" s="37"/>
      <c r="T491" s="37"/>
      <c r="U491" s="37"/>
      <c r="V491" s="122"/>
      <c r="W491" s="122"/>
      <c r="X491" s="37"/>
      <c r="Y491" s="37"/>
      <c r="Z491" s="37"/>
    </row>
    <row r="492" spans="1:26" ht="13">
      <c r="A492" s="238"/>
      <c r="B492" s="292"/>
      <c r="C492" s="36"/>
      <c r="D492" s="290"/>
      <c r="E492" s="36"/>
      <c r="F492" s="36"/>
      <c r="G492" s="84"/>
      <c r="H492" s="36"/>
      <c r="I492" s="36"/>
      <c r="J492" s="293"/>
      <c r="K492" s="83"/>
      <c r="L492" s="293"/>
      <c r="M492" s="36"/>
      <c r="N492" s="36"/>
      <c r="O492" s="37"/>
      <c r="P492" s="37"/>
      <c r="Q492" s="237"/>
      <c r="R492" s="37"/>
      <c r="S492" s="37"/>
      <c r="T492" s="37"/>
      <c r="U492" s="37"/>
      <c r="V492" s="122"/>
      <c r="W492" s="122"/>
      <c r="X492" s="37"/>
      <c r="Y492" s="37"/>
      <c r="Z492" s="37"/>
    </row>
    <row r="493" spans="1:26" ht="13">
      <c r="A493" s="238"/>
      <c r="B493" s="292"/>
      <c r="C493" s="36"/>
      <c r="D493" s="290"/>
      <c r="E493" s="36"/>
      <c r="F493" s="36"/>
      <c r="G493" s="84"/>
      <c r="H493" s="36"/>
      <c r="I493" s="36"/>
      <c r="J493" s="293"/>
      <c r="K493" s="83"/>
      <c r="L493" s="293"/>
      <c r="M493" s="36"/>
      <c r="N493" s="36"/>
      <c r="O493" s="37"/>
      <c r="P493" s="37"/>
      <c r="Q493" s="237"/>
      <c r="R493" s="37"/>
      <c r="S493" s="37"/>
      <c r="T493" s="37"/>
      <c r="U493" s="37"/>
      <c r="V493" s="122"/>
      <c r="W493" s="122"/>
      <c r="X493" s="37"/>
      <c r="Y493" s="37"/>
      <c r="Z493" s="37"/>
    </row>
    <row r="494" spans="1:26" ht="13">
      <c r="A494" s="238"/>
      <c r="B494" s="292"/>
      <c r="C494" s="36"/>
      <c r="D494" s="290"/>
      <c r="E494" s="36"/>
      <c r="F494" s="36"/>
      <c r="G494" s="84"/>
      <c r="H494" s="36"/>
      <c r="I494" s="36"/>
      <c r="J494" s="293"/>
      <c r="K494" s="83"/>
      <c r="L494" s="293"/>
      <c r="M494" s="36"/>
      <c r="N494" s="36"/>
      <c r="O494" s="37"/>
      <c r="P494" s="37"/>
      <c r="Q494" s="237"/>
      <c r="R494" s="37"/>
      <c r="S494" s="37"/>
      <c r="T494" s="37"/>
      <c r="U494" s="37"/>
      <c r="V494" s="122"/>
      <c r="W494" s="122"/>
      <c r="X494" s="37"/>
      <c r="Y494" s="37"/>
      <c r="Z494" s="37"/>
    </row>
    <row r="495" spans="1:26" ht="13">
      <c r="A495" s="238"/>
      <c r="B495" s="292"/>
      <c r="C495" s="36"/>
      <c r="D495" s="290"/>
      <c r="E495" s="36"/>
      <c r="F495" s="36"/>
      <c r="G495" s="84"/>
      <c r="H495" s="36"/>
      <c r="I495" s="36"/>
      <c r="J495" s="293"/>
      <c r="K495" s="83"/>
      <c r="L495" s="293"/>
      <c r="M495" s="36"/>
      <c r="N495" s="36"/>
      <c r="O495" s="37"/>
      <c r="P495" s="37"/>
      <c r="Q495" s="237"/>
      <c r="R495" s="37"/>
      <c r="S495" s="37"/>
      <c r="T495" s="37"/>
      <c r="U495" s="37"/>
      <c r="V495" s="122"/>
      <c r="W495" s="122"/>
      <c r="X495" s="37"/>
      <c r="Y495" s="37"/>
      <c r="Z495" s="37"/>
    </row>
    <row r="496" spans="1:26" ht="13">
      <c r="A496" s="238"/>
      <c r="B496" s="292"/>
      <c r="C496" s="36"/>
      <c r="D496" s="290"/>
      <c r="E496" s="36"/>
      <c r="F496" s="36"/>
      <c r="G496" s="84"/>
      <c r="H496" s="36"/>
      <c r="I496" s="36"/>
      <c r="J496" s="293"/>
      <c r="K496" s="83"/>
      <c r="L496" s="293"/>
      <c r="M496" s="36"/>
      <c r="N496" s="36"/>
      <c r="O496" s="37"/>
      <c r="P496" s="37"/>
      <c r="Q496" s="237"/>
      <c r="R496" s="37"/>
      <c r="S496" s="37"/>
      <c r="T496" s="37"/>
      <c r="U496" s="37"/>
      <c r="V496" s="122"/>
      <c r="W496" s="122"/>
      <c r="X496" s="37"/>
      <c r="Y496" s="37"/>
      <c r="Z496" s="37"/>
    </row>
    <row r="497" spans="1:26" ht="13">
      <c r="A497" s="238"/>
      <c r="B497" s="292"/>
      <c r="C497" s="36"/>
      <c r="D497" s="290"/>
      <c r="E497" s="36"/>
      <c r="F497" s="36"/>
      <c r="G497" s="84"/>
      <c r="H497" s="36"/>
      <c r="I497" s="36"/>
      <c r="J497" s="293"/>
      <c r="K497" s="83"/>
      <c r="L497" s="293"/>
      <c r="M497" s="36"/>
      <c r="N497" s="36"/>
      <c r="O497" s="37"/>
      <c r="P497" s="37"/>
      <c r="Q497" s="237"/>
      <c r="R497" s="37"/>
      <c r="S497" s="37"/>
      <c r="T497" s="37"/>
      <c r="U497" s="37"/>
      <c r="V497" s="122"/>
      <c r="W497" s="122"/>
      <c r="X497" s="37"/>
      <c r="Y497" s="37"/>
      <c r="Z497" s="37"/>
    </row>
    <row r="498" spans="1:26" ht="13">
      <c r="A498" s="238"/>
      <c r="B498" s="292"/>
      <c r="C498" s="36"/>
      <c r="D498" s="290"/>
      <c r="E498" s="36"/>
      <c r="F498" s="36"/>
      <c r="G498" s="84"/>
      <c r="H498" s="36"/>
      <c r="I498" s="36"/>
      <c r="J498" s="293"/>
      <c r="K498" s="83"/>
      <c r="L498" s="293"/>
      <c r="M498" s="36"/>
      <c r="N498" s="36"/>
      <c r="O498" s="37"/>
      <c r="P498" s="37"/>
      <c r="Q498" s="237"/>
      <c r="R498" s="37"/>
      <c r="S498" s="37"/>
      <c r="T498" s="37"/>
      <c r="U498" s="37"/>
      <c r="V498" s="122"/>
      <c r="W498" s="122"/>
      <c r="X498" s="37"/>
      <c r="Y498" s="37"/>
      <c r="Z498" s="37"/>
    </row>
    <row r="499" spans="1:26" ht="13">
      <c r="A499" s="238"/>
      <c r="B499" s="292"/>
      <c r="C499" s="36"/>
      <c r="D499" s="290"/>
      <c r="E499" s="36"/>
      <c r="F499" s="36"/>
      <c r="G499" s="84"/>
      <c r="H499" s="36"/>
      <c r="I499" s="36"/>
      <c r="J499" s="293"/>
      <c r="K499" s="83"/>
      <c r="L499" s="293"/>
      <c r="M499" s="36"/>
      <c r="N499" s="36"/>
      <c r="O499" s="37"/>
      <c r="P499" s="37"/>
      <c r="Q499" s="237"/>
      <c r="R499" s="37"/>
      <c r="S499" s="37"/>
      <c r="T499" s="37"/>
      <c r="U499" s="37"/>
      <c r="V499" s="122"/>
      <c r="W499" s="122"/>
      <c r="X499" s="37"/>
      <c r="Y499" s="37"/>
      <c r="Z499" s="37"/>
    </row>
    <row r="500" spans="1:26" ht="13">
      <c r="A500" s="238"/>
      <c r="B500" s="292"/>
      <c r="C500" s="36"/>
      <c r="D500" s="290"/>
      <c r="E500" s="36"/>
      <c r="F500" s="36"/>
      <c r="G500" s="84"/>
      <c r="H500" s="36"/>
      <c r="I500" s="36"/>
      <c r="J500" s="293"/>
      <c r="K500" s="83"/>
      <c r="L500" s="293"/>
      <c r="M500" s="36"/>
      <c r="N500" s="36"/>
      <c r="O500" s="37"/>
      <c r="P500" s="37"/>
      <c r="Q500" s="237"/>
      <c r="R500" s="37"/>
      <c r="S500" s="37"/>
      <c r="T500" s="37"/>
      <c r="U500" s="37"/>
      <c r="V500" s="122"/>
      <c r="W500" s="122"/>
      <c r="X500" s="37"/>
      <c r="Y500" s="37"/>
      <c r="Z500" s="37"/>
    </row>
    <row r="501" spans="1:26" ht="13">
      <c r="A501" s="238"/>
      <c r="B501" s="292"/>
      <c r="C501" s="36"/>
      <c r="D501" s="290"/>
      <c r="E501" s="36"/>
      <c r="F501" s="36"/>
      <c r="G501" s="84"/>
      <c r="H501" s="36"/>
      <c r="I501" s="36"/>
      <c r="J501" s="293"/>
      <c r="K501" s="83"/>
      <c r="L501" s="293"/>
      <c r="M501" s="36"/>
      <c r="N501" s="36"/>
      <c r="O501" s="37"/>
      <c r="P501" s="37"/>
      <c r="Q501" s="237"/>
      <c r="R501" s="37"/>
      <c r="S501" s="37"/>
      <c r="T501" s="37"/>
      <c r="U501" s="37"/>
      <c r="V501" s="122"/>
      <c r="W501" s="122"/>
      <c r="X501" s="37"/>
      <c r="Y501" s="37"/>
      <c r="Z501" s="37"/>
    </row>
    <row r="502" spans="1:26" ht="13">
      <c r="A502" s="238"/>
      <c r="B502" s="292"/>
      <c r="C502" s="36"/>
      <c r="D502" s="290"/>
      <c r="E502" s="36"/>
      <c r="F502" s="36"/>
      <c r="G502" s="84"/>
      <c r="H502" s="36"/>
      <c r="I502" s="36"/>
      <c r="J502" s="293"/>
      <c r="K502" s="83"/>
      <c r="L502" s="293"/>
      <c r="M502" s="36"/>
      <c r="N502" s="36"/>
      <c r="O502" s="37"/>
      <c r="P502" s="37"/>
      <c r="Q502" s="237"/>
      <c r="R502" s="37"/>
      <c r="S502" s="37"/>
      <c r="T502" s="37"/>
      <c r="U502" s="37"/>
      <c r="V502" s="122"/>
      <c r="W502" s="122"/>
      <c r="X502" s="37"/>
      <c r="Y502" s="37"/>
      <c r="Z502" s="37"/>
    </row>
    <row r="503" spans="1:26" ht="13">
      <c r="A503" s="238"/>
      <c r="B503" s="292"/>
      <c r="C503" s="36"/>
      <c r="D503" s="290"/>
      <c r="E503" s="36"/>
      <c r="F503" s="36"/>
      <c r="G503" s="84"/>
      <c r="H503" s="36"/>
      <c r="I503" s="36"/>
      <c r="J503" s="293"/>
      <c r="K503" s="83"/>
      <c r="L503" s="293"/>
      <c r="M503" s="36"/>
      <c r="N503" s="36"/>
      <c r="O503" s="37"/>
      <c r="P503" s="37"/>
      <c r="Q503" s="237"/>
      <c r="R503" s="37"/>
      <c r="S503" s="37"/>
      <c r="T503" s="37"/>
      <c r="U503" s="37"/>
      <c r="V503" s="122"/>
      <c r="W503" s="122"/>
      <c r="X503" s="37"/>
      <c r="Y503" s="37"/>
      <c r="Z503" s="37"/>
    </row>
    <row r="504" spans="1:26" ht="13">
      <c r="A504" s="238"/>
      <c r="B504" s="292"/>
      <c r="C504" s="36"/>
      <c r="D504" s="290"/>
      <c r="E504" s="36"/>
      <c r="F504" s="36"/>
      <c r="G504" s="84"/>
      <c r="H504" s="36"/>
      <c r="I504" s="36"/>
      <c r="J504" s="293"/>
      <c r="K504" s="83"/>
      <c r="L504" s="293"/>
      <c r="M504" s="36"/>
      <c r="N504" s="36"/>
      <c r="O504" s="37"/>
      <c r="P504" s="37"/>
      <c r="Q504" s="237"/>
      <c r="R504" s="37"/>
      <c r="S504" s="37"/>
      <c r="T504" s="37"/>
      <c r="U504" s="37"/>
      <c r="V504" s="122"/>
      <c r="W504" s="122"/>
      <c r="X504" s="37"/>
      <c r="Y504" s="37"/>
      <c r="Z504" s="37"/>
    </row>
    <row r="505" spans="1:26" ht="13">
      <c r="A505" s="238"/>
      <c r="B505" s="292"/>
      <c r="C505" s="36"/>
      <c r="D505" s="290"/>
      <c r="E505" s="36"/>
      <c r="F505" s="36"/>
      <c r="G505" s="84"/>
      <c r="H505" s="36"/>
      <c r="I505" s="36"/>
      <c r="J505" s="293"/>
      <c r="K505" s="83"/>
      <c r="L505" s="293"/>
      <c r="M505" s="36"/>
      <c r="N505" s="36"/>
      <c r="O505" s="37"/>
      <c r="P505" s="37"/>
      <c r="Q505" s="237"/>
      <c r="R505" s="37"/>
      <c r="S505" s="37"/>
      <c r="T505" s="37"/>
      <c r="U505" s="37"/>
      <c r="V505" s="122"/>
      <c r="W505" s="122"/>
      <c r="X505" s="37"/>
      <c r="Y505" s="37"/>
      <c r="Z505" s="37"/>
    </row>
    <row r="506" spans="1:26" ht="13">
      <c r="A506" s="238"/>
      <c r="B506" s="292"/>
      <c r="C506" s="36"/>
      <c r="D506" s="290"/>
      <c r="E506" s="36"/>
      <c r="F506" s="36"/>
      <c r="G506" s="84"/>
      <c r="H506" s="36"/>
      <c r="I506" s="36"/>
      <c r="J506" s="293"/>
      <c r="K506" s="83"/>
      <c r="L506" s="293"/>
      <c r="M506" s="36"/>
      <c r="N506" s="36"/>
      <c r="O506" s="37"/>
      <c r="P506" s="37"/>
      <c r="Q506" s="237"/>
      <c r="R506" s="37"/>
      <c r="S506" s="37"/>
      <c r="T506" s="37"/>
      <c r="U506" s="37"/>
      <c r="V506" s="122"/>
      <c r="W506" s="122"/>
      <c r="X506" s="37"/>
      <c r="Y506" s="37"/>
      <c r="Z506" s="37"/>
    </row>
    <row r="507" spans="1:26" ht="13">
      <c r="A507" s="238"/>
      <c r="B507" s="292"/>
      <c r="C507" s="36"/>
      <c r="D507" s="290"/>
      <c r="E507" s="36"/>
      <c r="F507" s="36"/>
      <c r="G507" s="84"/>
      <c r="H507" s="36"/>
      <c r="I507" s="36"/>
      <c r="J507" s="293"/>
      <c r="K507" s="83"/>
      <c r="L507" s="293"/>
      <c r="M507" s="36"/>
      <c r="N507" s="36"/>
      <c r="O507" s="37"/>
      <c r="P507" s="37"/>
      <c r="Q507" s="237"/>
      <c r="R507" s="37"/>
      <c r="S507" s="37"/>
      <c r="T507" s="37"/>
      <c r="U507" s="37"/>
      <c r="V507" s="122"/>
      <c r="W507" s="122"/>
      <c r="X507" s="37"/>
      <c r="Y507" s="37"/>
      <c r="Z507" s="37"/>
    </row>
    <row r="508" spans="1:26" ht="13">
      <c r="A508" s="238"/>
      <c r="B508" s="292"/>
      <c r="C508" s="36"/>
      <c r="D508" s="290"/>
      <c r="E508" s="36"/>
      <c r="F508" s="36"/>
      <c r="G508" s="84"/>
      <c r="H508" s="36"/>
      <c r="I508" s="36"/>
      <c r="J508" s="293"/>
      <c r="K508" s="83"/>
      <c r="L508" s="293"/>
      <c r="M508" s="36"/>
      <c r="N508" s="36"/>
      <c r="O508" s="37"/>
      <c r="P508" s="37"/>
      <c r="Q508" s="237"/>
      <c r="R508" s="37"/>
      <c r="S508" s="37"/>
      <c r="T508" s="37"/>
      <c r="U508" s="37"/>
      <c r="V508" s="122"/>
      <c r="W508" s="122"/>
      <c r="X508" s="37"/>
      <c r="Y508" s="37"/>
      <c r="Z508" s="37"/>
    </row>
    <row r="509" spans="1:26" ht="13">
      <c r="A509" s="238"/>
      <c r="B509" s="292"/>
      <c r="C509" s="36"/>
      <c r="D509" s="290"/>
      <c r="E509" s="36"/>
      <c r="F509" s="36"/>
      <c r="G509" s="84"/>
      <c r="H509" s="36"/>
      <c r="I509" s="36"/>
      <c r="J509" s="293"/>
      <c r="K509" s="83"/>
      <c r="L509" s="293"/>
      <c r="M509" s="36"/>
      <c r="N509" s="36"/>
      <c r="O509" s="37"/>
      <c r="P509" s="37"/>
      <c r="Q509" s="237"/>
      <c r="R509" s="37"/>
      <c r="S509" s="37"/>
      <c r="T509" s="37"/>
      <c r="U509" s="37"/>
      <c r="V509" s="122"/>
      <c r="W509" s="122"/>
      <c r="X509" s="37"/>
      <c r="Y509" s="37"/>
      <c r="Z509" s="37"/>
    </row>
    <row r="510" spans="1:26" ht="13">
      <c r="A510" s="238"/>
      <c r="B510" s="292"/>
      <c r="C510" s="36"/>
      <c r="D510" s="290"/>
      <c r="E510" s="36"/>
      <c r="F510" s="36"/>
      <c r="G510" s="84"/>
      <c r="H510" s="36"/>
      <c r="I510" s="36"/>
      <c r="J510" s="293"/>
      <c r="K510" s="83"/>
      <c r="L510" s="293"/>
      <c r="M510" s="36"/>
      <c r="N510" s="36"/>
      <c r="O510" s="37"/>
      <c r="P510" s="37"/>
      <c r="Q510" s="237"/>
      <c r="R510" s="37"/>
      <c r="S510" s="37"/>
      <c r="T510" s="37"/>
      <c r="U510" s="37"/>
      <c r="V510" s="122"/>
      <c r="W510" s="122"/>
      <c r="X510" s="37"/>
      <c r="Y510" s="37"/>
      <c r="Z510" s="37"/>
    </row>
    <row r="511" spans="1:26" ht="13">
      <c r="A511" s="238"/>
      <c r="B511" s="292"/>
      <c r="C511" s="36"/>
      <c r="D511" s="290"/>
      <c r="E511" s="36"/>
      <c r="F511" s="36"/>
      <c r="G511" s="84"/>
      <c r="H511" s="36"/>
      <c r="I511" s="36"/>
      <c r="J511" s="293"/>
      <c r="K511" s="83"/>
      <c r="L511" s="293"/>
      <c r="M511" s="36"/>
      <c r="N511" s="36"/>
      <c r="O511" s="37"/>
      <c r="P511" s="37"/>
      <c r="Q511" s="237"/>
      <c r="R511" s="37"/>
      <c r="S511" s="37"/>
      <c r="T511" s="37"/>
      <c r="U511" s="37"/>
      <c r="V511" s="122"/>
      <c r="W511" s="122"/>
      <c r="X511" s="37"/>
      <c r="Y511" s="37"/>
      <c r="Z511" s="37"/>
    </row>
    <row r="512" spans="1:26" ht="13">
      <c r="A512" s="238"/>
      <c r="B512" s="292"/>
      <c r="C512" s="36"/>
      <c r="D512" s="290"/>
      <c r="E512" s="36"/>
      <c r="F512" s="36"/>
      <c r="G512" s="84"/>
      <c r="H512" s="36"/>
      <c r="I512" s="36"/>
      <c r="J512" s="293"/>
      <c r="K512" s="83"/>
      <c r="L512" s="293"/>
      <c r="M512" s="36"/>
      <c r="N512" s="36"/>
      <c r="O512" s="37"/>
      <c r="P512" s="37"/>
      <c r="Q512" s="237"/>
      <c r="R512" s="37"/>
      <c r="S512" s="37"/>
      <c r="T512" s="37"/>
      <c r="U512" s="37"/>
      <c r="V512" s="122"/>
      <c r="W512" s="122"/>
      <c r="X512" s="37"/>
      <c r="Y512" s="37"/>
      <c r="Z512" s="37"/>
    </row>
    <row r="513" spans="1:26" ht="13">
      <c r="A513" s="238"/>
      <c r="B513" s="292"/>
      <c r="C513" s="36"/>
      <c r="D513" s="290"/>
      <c r="E513" s="36"/>
      <c r="F513" s="36"/>
      <c r="G513" s="84"/>
      <c r="H513" s="36"/>
      <c r="I513" s="36"/>
      <c r="J513" s="293"/>
      <c r="K513" s="83"/>
      <c r="L513" s="293"/>
      <c r="M513" s="36"/>
      <c r="N513" s="36"/>
      <c r="O513" s="37"/>
      <c r="P513" s="37"/>
      <c r="Q513" s="237"/>
      <c r="R513" s="37"/>
      <c r="S513" s="37"/>
      <c r="T513" s="37"/>
      <c r="U513" s="37"/>
      <c r="V513" s="122"/>
      <c r="W513" s="122"/>
      <c r="X513" s="37"/>
      <c r="Y513" s="37"/>
      <c r="Z513" s="37"/>
    </row>
    <row r="514" spans="1:26" ht="13">
      <c r="A514" s="238"/>
      <c r="B514" s="292"/>
      <c r="C514" s="36"/>
      <c r="D514" s="290"/>
      <c r="E514" s="36"/>
      <c r="F514" s="36"/>
      <c r="G514" s="84"/>
      <c r="H514" s="36"/>
      <c r="I514" s="36"/>
      <c r="J514" s="293"/>
      <c r="K514" s="83"/>
      <c r="L514" s="293"/>
      <c r="M514" s="36"/>
      <c r="N514" s="36"/>
      <c r="O514" s="37"/>
      <c r="P514" s="37"/>
      <c r="Q514" s="237"/>
      <c r="R514" s="37"/>
      <c r="S514" s="37"/>
      <c r="T514" s="37"/>
      <c r="U514" s="37"/>
      <c r="V514" s="122"/>
      <c r="W514" s="122"/>
      <c r="X514" s="37"/>
      <c r="Y514" s="37"/>
      <c r="Z514" s="37"/>
    </row>
    <row r="515" spans="1:26" ht="13">
      <c r="A515" s="238"/>
      <c r="B515" s="292"/>
      <c r="C515" s="36"/>
      <c r="D515" s="290"/>
      <c r="E515" s="36"/>
      <c r="F515" s="36"/>
      <c r="G515" s="84"/>
      <c r="H515" s="36"/>
      <c r="I515" s="36"/>
      <c r="J515" s="293"/>
      <c r="K515" s="83"/>
      <c r="L515" s="293"/>
      <c r="M515" s="36"/>
      <c r="N515" s="36"/>
      <c r="O515" s="37"/>
      <c r="P515" s="37"/>
      <c r="Q515" s="237"/>
      <c r="R515" s="37"/>
      <c r="S515" s="37"/>
      <c r="T515" s="37"/>
      <c r="U515" s="37"/>
      <c r="V515" s="122"/>
      <c r="W515" s="122"/>
      <c r="X515" s="37"/>
      <c r="Y515" s="37"/>
      <c r="Z515" s="37"/>
    </row>
    <row r="516" spans="1:26" ht="13">
      <c r="A516" s="238"/>
      <c r="B516" s="292"/>
      <c r="C516" s="36"/>
      <c r="D516" s="290"/>
      <c r="E516" s="36"/>
      <c r="F516" s="36"/>
      <c r="G516" s="84"/>
      <c r="H516" s="36"/>
      <c r="I516" s="36"/>
      <c r="J516" s="293"/>
      <c r="K516" s="83"/>
      <c r="L516" s="293"/>
      <c r="M516" s="36"/>
      <c r="N516" s="36"/>
      <c r="O516" s="37"/>
      <c r="P516" s="37"/>
      <c r="Q516" s="237"/>
      <c r="R516" s="37"/>
      <c r="S516" s="37"/>
      <c r="T516" s="37"/>
      <c r="U516" s="37"/>
      <c r="V516" s="122"/>
      <c r="W516" s="122"/>
      <c r="X516" s="37"/>
      <c r="Y516" s="37"/>
      <c r="Z516" s="37"/>
    </row>
    <row r="517" spans="1:26" ht="13">
      <c r="A517" s="238"/>
      <c r="B517" s="292"/>
      <c r="C517" s="36"/>
      <c r="D517" s="290"/>
      <c r="E517" s="36"/>
      <c r="F517" s="36"/>
      <c r="G517" s="84"/>
      <c r="H517" s="36"/>
      <c r="I517" s="36"/>
      <c r="J517" s="293"/>
      <c r="K517" s="83"/>
      <c r="L517" s="293"/>
      <c r="M517" s="36"/>
      <c r="N517" s="36"/>
      <c r="O517" s="37"/>
      <c r="P517" s="37"/>
      <c r="Q517" s="237"/>
      <c r="R517" s="37"/>
      <c r="S517" s="37"/>
      <c r="T517" s="37"/>
      <c r="U517" s="37"/>
      <c r="V517" s="122"/>
      <c r="W517" s="122"/>
      <c r="X517" s="37"/>
      <c r="Y517" s="37"/>
      <c r="Z517" s="37"/>
    </row>
    <row r="518" spans="1:26" ht="13">
      <c r="A518" s="238"/>
      <c r="B518" s="292"/>
      <c r="C518" s="36"/>
      <c r="D518" s="290"/>
      <c r="E518" s="36"/>
      <c r="F518" s="36"/>
      <c r="G518" s="84"/>
      <c r="H518" s="36"/>
      <c r="I518" s="36"/>
      <c r="J518" s="293"/>
      <c r="K518" s="83"/>
      <c r="L518" s="293"/>
      <c r="M518" s="36"/>
      <c r="N518" s="36"/>
      <c r="O518" s="37"/>
      <c r="P518" s="37"/>
      <c r="Q518" s="237"/>
      <c r="R518" s="37"/>
      <c r="S518" s="37"/>
      <c r="T518" s="37"/>
      <c r="U518" s="37"/>
      <c r="V518" s="122"/>
      <c r="W518" s="122"/>
      <c r="X518" s="37"/>
      <c r="Y518" s="37"/>
      <c r="Z518" s="37"/>
    </row>
    <row r="519" spans="1:26" ht="13">
      <c r="A519" s="238"/>
      <c r="B519" s="292"/>
      <c r="C519" s="36"/>
      <c r="D519" s="290"/>
      <c r="E519" s="36"/>
      <c r="F519" s="36"/>
      <c r="G519" s="84"/>
      <c r="H519" s="36"/>
      <c r="I519" s="36"/>
      <c r="J519" s="293"/>
      <c r="K519" s="83"/>
      <c r="L519" s="293"/>
      <c r="M519" s="36"/>
      <c r="N519" s="36"/>
      <c r="O519" s="37"/>
      <c r="P519" s="37"/>
      <c r="Q519" s="237"/>
      <c r="R519" s="37"/>
      <c r="S519" s="37"/>
      <c r="T519" s="37"/>
      <c r="U519" s="37"/>
      <c r="V519" s="122"/>
      <c r="W519" s="122"/>
      <c r="X519" s="37"/>
      <c r="Y519" s="37"/>
      <c r="Z519" s="37"/>
    </row>
    <row r="520" spans="1:26" ht="13">
      <c r="A520" s="238"/>
      <c r="B520" s="292"/>
      <c r="C520" s="36"/>
      <c r="D520" s="290"/>
      <c r="E520" s="36"/>
      <c r="F520" s="36"/>
      <c r="G520" s="84"/>
      <c r="H520" s="36"/>
      <c r="I520" s="36"/>
      <c r="J520" s="293"/>
      <c r="K520" s="83"/>
      <c r="L520" s="293"/>
      <c r="M520" s="36"/>
      <c r="N520" s="36"/>
      <c r="O520" s="37"/>
      <c r="P520" s="37"/>
      <c r="Q520" s="237"/>
      <c r="R520" s="37"/>
      <c r="S520" s="37"/>
      <c r="T520" s="37"/>
      <c r="U520" s="37"/>
      <c r="V520" s="122"/>
      <c r="W520" s="122"/>
      <c r="X520" s="37"/>
      <c r="Y520" s="37"/>
      <c r="Z520" s="37"/>
    </row>
    <row r="521" spans="1:26" ht="13">
      <c r="A521" s="238"/>
      <c r="B521" s="292"/>
      <c r="C521" s="36"/>
      <c r="D521" s="290"/>
      <c r="E521" s="36"/>
      <c r="F521" s="36"/>
      <c r="G521" s="84"/>
      <c r="H521" s="36"/>
      <c r="I521" s="36"/>
      <c r="J521" s="293"/>
      <c r="K521" s="83"/>
      <c r="L521" s="293"/>
      <c r="M521" s="36"/>
      <c r="N521" s="36"/>
      <c r="O521" s="37"/>
      <c r="P521" s="37"/>
      <c r="Q521" s="237"/>
      <c r="R521" s="37"/>
      <c r="S521" s="37"/>
      <c r="T521" s="37"/>
      <c r="U521" s="37"/>
      <c r="V521" s="122"/>
      <c r="W521" s="122"/>
      <c r="X521" s="37"/>
      <c r="Y521" s="37"/>
      <c r="Z521" s="37"/>
    </row>
    <row r="522" spans="1:26" ht="13">
      <c r="A522" s="238"/>
      <c r="B522" s="292"/>
      <c r="C522" s="36"/>
      <c r="D522" s="290"/>
      <c r="E522" s="36"/>
      <c r="F522" s="36"/>
      <c r="G522" s="84"/>
      <c r="H522" s="36"/>
      <c r="I522" s="36"/>
      <c r="J522" s="293"/>
      <c r="K522" s="83"/>
      <c r="L522" s="293"/>
      <c r="M522" s="36"/>
      <c r="N522" s="36"/>
      <c r="O522" s="37"/>
      <c r="P522" s="37"/>
      <c r="Q522" s="237"/>
      <c r="R522" s="37"/>
      <c r="S522" s="37"/>
      <c r="T522" s="37"/>
      <c r="U522" s="37"/>
      <c r="V522" s="122"/>
      <c r="W522" s="122"/>
      <c r="X522" s="37"/>
      <c r="Y522" s="37"/>
      <c r="Z522" s="37"/>
    </row>
    <row r="523" spans="1:26" ht="13">
      <c r="A523" s="238"/>
      <c r="B523" s="292"/>
      <c r="C523" s="36"/>
      <c r="D523" s="290"/>
      <c r="E523" s="36"/>
      <c r="F523" s="36"/>
      <c r="G523" s="84"/>
      <c r="H523" s="36"/>
      <c r="I523" s="36"/>
      <c r="J523" s="293"/>
      <c r="K523" s="83"/>
      <c r="L523" s="293"/>
      <c r="M523" s="36"/>
      <c r="N523" s="36"/>
      <c r="O523" s="37"/>
      <c r="P523" s="37"/>
      <c r="Q523" s="237"/>
      <c r="R523" s="37"/>
      <c r="S523" s="37"/>
      <c r="T523" s="37"/>
      <c r="U523" s="37"/>
      <c r="V523" s="122"/>
      <c r="W523" s="122"/>
      <c r="X523" s="37"/>
      <c r="Y523" s="37"/>
      <c r="Z523" s="37"/>
    </row>
    <row r="524" spans="1:26" ht="13">
      <c r="A524" s="238"/>
      <c r="B524" s="292"/>
      <c r="C524" s="36"/>
      <c r="D524" s="290"/>
      <c r="E524" s="36"/>
      <c r="F524" s="36"/>
      <c r="G524" s="84"/>
      <c r="H524" s="36"/>
      <c r="I524" s="36"/>
      <c r="J524" s="293"/>
      <c r="K524" s="83"/>
      <c r="L524" s="293"/>
      <c r="M524" s="36"/>
      <c r="N524" s="36"/>
      <c r="O524" s="37"/>
      <c r="P524" s="37"/>
      <c r="Q524" s="237"/>
      <c r="R524" s="37"/>
      <c r="S524" s="37"/>
      <c r="T524" s="37"/>
      <c r="U524" s="37"/>
      <c r="V524" s="122"/>
      <c r="W524" s="122"/>
      <c r="X524" s="37"/>
      <c r="Y524" s="37"/>
      <c r="Z524" s="37"/>
    </row>
    <row r="525" spans="1:26" ht="13">
      <c r="A525" s="238"/>
      <c r="B525" s="292"/>
      <c r="C525" s="36"/>
      <c r="D525" s="290"/>
      <c r="E525" s="36"/>
      <c r="F525" s="36"/>
      <c r="G525" s="84"/>
      <c r="H525" s="36"/>
      <c r="I525" s="36"/>
      <c r="J525" s="293"/>
      <c r="K525" s="83"/>
      <c r="L525" s="293"/>
      <c r="M525" s="36"/>
      <c r="N525" s="36"/>
      <c r="O525" s="37"/>
      <c r="P525" s="37"/>
      <c r="Q525" s="237"/>
      <c r="R525" s="37"/>
      <c r="S525" s="37"/>
      <c r="T525" s="37"/>
      <c r="U525" s="37"/>
      <c r="V525" s="122"/>
      <c r="W525" s="122"/>
      <c r="X525" s="37"/>
      <c r="Y525" s="37"/>
      <c r="Z525" s="37"/>
    </row>
    <row r="526" spans="1:26" ht="13">
      <c r="A526" s="238"/>
      <c r="B526" s="292"/>
      <c r="C526" s="36"/>
      <c r="D526" s="290"/>
      <c r="E526" s="36"/>
      <c r="F526" s="36"/>
      <c r="G526" s="84"/>
      <c r="H526" s="36"/>
      <c r="I526" s="36"/>
      <c r="J526" s="293"/>
      <c r="K526" s="83"/>
      <c r="L526" s="293"/>
      <c r="M526" s="36"/>
      <c r="N526" s="36"/>
      <c r="O526" s="37"/>
      <c r="P526" s="37"/>
      <c r="Q526" s="237"/>
      <c r="R526" s="37"/>
      <c r="S526" s="37"/>
      <c r="T526" s="37"/>
      <c r="U526" s="37"/>
      <c r="V526" s="122"/>
      <c r="W526" s="122"/>
      <c r="X526" s="37"/>
      <c r="Y526" s="37"/>
      <c r="Z526" s="37"/>
    </row>
    <row r="527" spans="1:26" ht="13">
      <c r="A527" s="238"/>
      <c r="B527" s="292"/>
      <c r="C527" s="36"/>
      <c r="D527" s="290"/>
      <c r="E527" s="36"/>
      <c r="F527" s="36"/>
      <c r="G527" s="84"/>
      <c r="H527" s="36"/>
      <c r="I527" s="36"/>
      <c r="J527" s="293"/>
      <c r="K527" s="83"/>
      <c r="L527" s="293"/>
      <c r="M527" s="36"/>
      <c r="N527" s="36"/>
      <c r="O527" s="37"/>
      <c r="P527" s="37"/>
      <c r="Q527" s="237"/>
      <c r="R527" s="37"/>
      <c r="S527" s="37"/>
      <c r="T527" s="37"/>
      <c r="U527" s="37"/>
      <c r="V527" s="122"/>
      <c r="W527" s="122"/>
      <c r="X527" s="37"/>
      <c r="Y527" s="37"/>
      <c r="Z527" s="37"/>
    </row>
    <row r="528" spans="1:26" ht="13">
      <c r="A528" s="238"/>
      <c r="B528" s="292"/>
      <c r="C528" s="36"/>
      <c r="D528" s="290"/>
      <c r="E528" s="36"/>
      <c r="F528" s="36"/>
      <c r="G528" s="84"/>
      <c r="H528" s="36"/>
      <c r="I528" s="36"/>
      <c r="J528" s="293"/>
      <c r="K528" s="83"/>
      <c r="L528" s="293"/>
      <c r="M528" s="36"/>
      <c r="N528" s="36"/>
      <c r="O528" s="37"/>
      <c r="P528" s="37"/>
      <c r="Q528" s="237"/>
      <c r="R528" s="37"/>
      <c r="S528" s="37"/>
      <c r="T528" s="37"/>
      <c r="U528" s="37"/>
      <c r="V528" s="122"/>
      <c r="W528" s="122"/>
      <c r="X528" s="37"/>
      <c r="Y528" s="37"/>
      <c r="Z528" s="37"/>
    </row>
    <row r="529" spans="1:26" ht="13">
      <c r="A529" s="238"/>
      <c r="B529" s="292"/>
      <c r="C529" s="36"/>
      <c r="D529" s="290"/>
      <c r="E529" s="36"/>
      <c r="F529" s="36"/>
      <c r="G529" s="84"/>
      <c r="H529" s="36"/>
      <c r="I529" s="36"/>
      <c r="J529" s="293"/>
      <c r="K529" s="83"/>
      <c r="L529" s="293"/>
      <c r="M529" s="36"/>
      <c r="N529" s="36"/>
      <c r="O529" s="37"/>
      <c r="P529" s="37"/>
      <c r="Q529" s="237"/>
      <c r="R529" s="37"/>
      <c r="S529" s="37"/>
      <c r="T529" s="37"/>
      <c r="U529" s="37"/>
      <c r="V529" s="122"/>
      <c r="W529" s="122"/>
      <c r="X529" s="37"/>
      <c r="Y529" s="37"/>
      <c r="Z529" s="37"/>
    </row>
    <row r="530" spans="1:26" ht="13">
      <c r="A530" s="238"/>
      <c r="B530" s="292"/>
      <c r="C530" s="36"/>
      <c r="D530" s="290"/>
      <c r="E530" s="36"/>
      <c r="F530" s="36"/>
      <c r="G530" s="84"/>
      <c r="H530" s="36"/>
      <c r="I530" s="36"/>
      <c r="J530" s="293"/>
      <c r="K530" s="83"/>
      <c r="L530" s="293"/>
      <c r="M530" s="36"/>
      <c r="N530" s="36"/>
      <c r="O530" s="37"/>
      <c r="P530" s="37"/>
      <c r="Q530" s="237"/>
      <c r="R530" s="37"/>
      <c r="S530" s="37"/>
      <c r="T530" s="37"/>
      <c r="U530" s="37"/>
      <c r="V530" s="122"/>
      <c r="W530" s="122"/>
      <c r="X530" s="37"/>
      <c r="Y530" s="37"/>
      <c r="Z530" s="37"/>
    </row>
    <row r="531" spans="1:26" ht="13">
      <c r="A531" s="238"/>
      <c r="B531" s="292"/>
      <c r="C531" s="36"/>
      <c r="D531" s="290"/>
      <c r="E531" s="36"/>
      <c r="F531" s="36"/>
      <c r="G531" s="84"/>
      <c r="H531" s="36"/>
      <c r="I531" s="36"/>
      <c r="J531" s="293"/>
      <c r="K531" s="83"/>
      <c r="L531" s="293"/>
      <c r="M531" s="36"/>
      <c r="N531" s="36"/>
      <c r="O531" s="37"/>
      <c r="P531" s="37"/>
      <c r="Q531" s="237"/>
      <c r="R531" s="37"/>
      <c r="S531" s="37"/>
      <c r="T531" s="37"/>
      <c r="U531" s="37"/>
      <c r="V531" s="122"/>
      <c r="W531" s="122"/>
      <c r="X531" s="37"/>
      <c r="Y531" s="37"/>
      <c r="Z531" s="37"/>
    </row>
    <row r="532" spans="1:26" ht="13">
      <c r="A532" s="238"/>
      <c r="B532" s="292"/>
      <c r="C532" s="36"/>
      <c r="D532" s="290"/>
      <c r="E532" s="36"/>
      <c r="F532" s="36"/>
      <c r="G532" s="84"/>
      <c r="H532" s="36"/>
      <c r="I532" s="36"/>
      <c r="J532" s="293"/>
      <c r="K532" s="83"/>
      <c r="L532" s="293"/>
      <c r="M532" s="36"/>
      <c r="N532" s="36"/>
      <c r="O532" s="37"/>
      <c r="P532" s="37"/>
      <c r="Q532" s="237"/>
      <c r="R532" s="37"/>
      <c r="S532" s="37"/>
      <c r="T532" s="37"/>
      <c r="U532" s="37"/>
      <c r="V532" s="122"/>
      <c r="W532" s="122"/>
      <c r="X532" s="37"/>
      <c r="Y532" s="37"/>
      <c r="Z532" s="37"/>
    </row>
    <row r="533" spans="1:26" ht="13">
      <c r="A533" s="238"/>
      <c r="B533" s="292"/>
      <c r="C533" s="36"/>
      <c r="D533" s="290"/>
      <c r="E533" s="36"/>
      <c r="F533" s="36"/>
      <c r="G533" s="84"/>
      <c r="H533" s="36"/>
      <c r="I533" s="36"/>
      <c r="J533" s="293"/>
      <c r="K533" s="83"/>
      <c r="L533" s="293"/>
      <c r="M533" s="36"/>
      <c r="N533" s="36"/>
      <c r="O533" s="37"/>
      <c r="P533" s="37"/>
      <c r="Q533" s="237"/>
      <c r="R533" s="37"/>
      <c r="S533" s="37"/>
      <c r="T533" s="37"/>
      <c r="U533" s="37"/>
      <c r="V533" s="122"/>
      <c r="W533" s="122"/>
      <c r="X533" s="37"/>
      <c r="Y533" s="37"/>
      <c r="Z533" s="37"/>
    </row>
    <row r="534" spans="1:26" ht="13">
      <c r="A534" s="238"/>
      <c r="B534" s="292"/>
      <c r="C534" s="36"/>
      <c r="D534" s="290"/>
      <c r="E534" s="36"/>
      <c r="F534" s="36"/>
      <c r="G534" s="84"/>
      <c r="H534" s="36"/>
      <c r="I534" s="36"/>
      <c r="J534" s="293"/>
      <c r="K534" s="83"/>
      <c r="L534" s="293"/>
      <c r="M534" s="36"/>
      <c r="N534" s="36"/>
      <c r="O534" s="37"/>
      <c r="P534" s="37"/>
      <c r="Q534" s="237"/>
      <c r="R534" s="37"/>
      <c r="S534" s="37"/>
      <c r="T534" s="37"/>
      <c r="U534" s="37"/>
      <c r="V534" s="122"/>
      <c r="W534" s="122"/>
      <c r="X534" s="37"/>
      <c r="Y534" s="37"/>
      <c r="Z534" s="37"/>
    </row>
    <row r="535" spans="1:26" ht="13">
      <c r="A535" s="238"/>
      <c r="B535" s="292"/>
      <c r="C535" s="36"/>
      <c r="D535" s="290"/>
      <c r="E535" s="36"/>
      <c r="F535" s="36"/>
      <c r="G535" s="84"/>
      <c r="H535" s="36"/>
      <c r="I535" s="36"/>
      <c r="J535" s="293"/>
      <c r="K535" s="83"/>
      <c r="L535" s="293"/>
      <c r="M535" s="36"/>
      <c r="N535" s="36"/>
      <c r="O535" s="37"/>
      <c r="P535" s="37"/>
      <c r="Q535" s="237"/>
      <c r="R535" s="37"/>
      <c r="S535" s="37"/>
      <c r="T535" s="37"/>
      <c r="U535" s="37"/>
      <c r="V535" s="122"/>
      <c r="W535" s="122"/>
      <c r="X535" s="37"/>
      <c r="Y535" s="37"/>
      <c r="Z535" s="37"/>
    </row>
    <row r="536" spans="1:26" ht="13">
      <c r="A536" s="238"/>
      <c r="B536" s="292"/>
      <c r="C536" s="36"/>
      <c r="D536" s="290"/>
      <c r="E536" s="36"/>
      <c r="F536" s="36"/>
      <c r="G536" s="84"/>
      <c r="H536" s="36"/>
      <c r="I536" s="36"/>
      <c r="J536" s="293"/>
      <c r="K536" s="83"/>
      <c r="L536" s="293"/>
      <c r="M536" s="36"/>
      <c r="N536" s="36"/>
      <c r="O536" s="37"/>
      <c r="P536" s="37"/>
      <c r="Q536" s="237"/>
      <c r="R536" s="37"/>
      <c r="S536" s="37"/>
      <c r="T536" s="37"/>
      <c r="U536" s="37"/>
      <c r="V536" s="122"/>
      <c r="W536" s="122"/>
      <c r="X536" s="37"/>
      <c r="Y536" s="37"/>
      <c r="Z536" s="37"/>
    </row>
    <row r="537" spans="1:26" ht="13">
      <c r="A537" s="238"/>
      <c r="B537" s="292"/>
      <c r="C537" s="36"/>
      <c r="D537" s="290"/>
      <c r="E537" s="36"/>
      <c r="F537" s="36"/>
      <c r="G537" s="84"/>
      <c r="H537" s="36"/>
      <c r="I537" s="36"/>
      <c r="J537" s="293"/>
      <c r="K537" s="83"/>
      <c r="L537" s="293"/>
      <c r="M537" s="36"/>
      <c r="N537" s="36"/>
      <c r="O537" s="37"/>
      <c r="P537" s="37"/>
      <c r="Q537" s="237"/>
      <c r="R537" s="37"/>
      <c r="S537" s="37"/>
      <c r="T537" s="37"/>
      <c r="U537" s="37"/>
      <c r="V537" s="122"/>
      <c r="W537" s="122"/>
      <c r="X537" s="37"/>
      <c r="Y537" s="37"/>
      <c r="Z537" s="37"/>
    </row>
    <row r="538" spans="1:26" ht="13">
      <c r="A538" s="238"/>
      <c r="B538" s="292"/>
      <c r="C538" s="36"/>
      <c r="D538" s="290"/>
      <c r="E538" s="36"/>
      <c r="F538" s="36"/>
      <c r="G538" s="84"/>
      <c r="H538" s="36"/>
      <c r="I538" s="36"/>
      <c r="J538" s="293"/>
      <c r="K538" s="83"/>
      <c r="L538" s="293"/>
      <c r="M538" s="36"/>
      <c r="N538" s="36"/>
      <c r="O538" s="37"/>
      <c r="P538" s="37"/>
      <c r="Q538" s="237"/>
      <c r="R538" s="37"/>
      <c r="S538" s="37"/>
      <c r="T538" s="37"/>
      <c r="U538" s="37"/>
      <c r="V538" s="122"/>
      <c r="W538" s="122"/>
      <c r="X538" s="37"/>
      <c r="Y538" s="37"/>
      <c r="Z538" s="37"/>
    </row>
    <row r="539" spans="1:26" ht="13">
      <c r="A539" s="238"/>
      <c r="B539" s="292"/>
      <c r="C539" s="36"/>
      <c r="D539" s="290"/>
      <c r="E539" s="36"/>
      <c r="F539" s="36"/>
      <c r="G539" s="84"/>
      <c r="H539" s="36"/>
      <c r="I539" s="36"/>
      <c r="J539" s="293"/>
      <c r="K539" s="83"/>
      <c r="L539" s="293"/>
      <c r="M539" s="36"/>
      <c r="N539" s="36"/>
      <c r="O539" s="37"/>
      <c r="P539" s="37"/>
      <c r="Q539" s="237"/>
      <c r="R539" s="37"/>
      <c r="S539" s="37"/>
      <c r="T539" s="37"/>
      <c r="U539" s="37"/>
      <c r="V539" s="122"/>
      <c r="W539" s="122"/>
      <c r="X539" s="37"/>
      <c r="Y539" s="37"/>
      <c r="Z539" s="37"/>
    </row>
    <row r="540" spans="1:26" ht="13">
      <c r="A540" s="238"/>
      <c r="B540" s="292"/>
      <c r="C540" s="36"/>
      <c r="D540" s="290"/>
      <c r="E540" s="36"/>
      <c r="F540" s="36"/>
      <c r="G540" s="84"/>
      <c r="H540" s="36"/>
      <c r="I540" s="36"/>
      <c r="J540" s="293"/>
      <c r="K540" s="83"/>
      <c r="L540" s="293"/>
      <c r="M540" s="36"/>
      <c r="N540" s="36"/>
      <c r="O540" s="37"/>
      <c r="P540" s="37"/>
      <c r="Q540" s="237"/>
      <c r="R540" s="37"/>
      <c r="S540" s="37"/>
      <c r="T540" s="37"/>
      <c r="U540" s="37"/>
      <c r="V540" s="122"/>
      <c r="W540" s="122"/>
      <c r="X540" s="37"/>
      <c r="Y540" s="37"/>
      <c r="Z540" s="37"/>
    </row>
    <row r="541" spans="1:26" ht="13">
      <c r="A541" s="238"/>
      <c r="B541" s="292"/>
      <c r="C541" s="36"/>
      <c r="D541" s="290"/>
      <c r="E541" s="36"/>
      <c r="F541" s="36"/>
      <c r="G541" s="84"/>
      <c r="H541" s="36"/>
      <c r="I541" s="36"/>
      <c r="J541" s="293"/>
      <c r="K541" s="83"/>
      <c r="L541" s="293"/>
      <c r="M541" s="36"/>
      <c r="N541" s="36"/>
      <c r="O541" s="37"/>
      <c r="P541" s="37"/>
      <c r="Q541" s="237"/>
      <c r="R541" s="37"/>
      <c r="S541" s="37"/>
      <c r="T541" s="37"/>
      <c r="U541" s="37"/>
      <c r="V541" s="122"/>
      <c r="W541" s="122"/>
      <c r="X541" s="37"/>
      <c r="Y541" s="37"/>
      <c r="Z541" s="37"/>
    </row>
    <row r="542" spans="1:26" ht="13">
      <c r="A542" s="238"/>
      <c r="B542" s="292"/>
      <c r="C542" s="36"/>
      <c r="D542" s="290"/>
      <c r="E542" s="36"/>
      <c r="F542" s="36"/>
      <c r="G542" s="84"/>
      <c r="H542" s="36"/>
      <c r="I542" s="36"/>
      <c r="J542" s="293"/>
      <c r="K542" s="83"/>
      <c r="L542" s="293"/>
      <c r="M542" s="36"/>
      <c r="N542" s="36"/>
      <c r="O542" s="37"/>
      <c r="P542" s="37"/>
      <c r="Q542" s="237"/>
      <c r="R542" s="37"/>
      <c r="S542" s="37"/>
      <c r="T542" s="37"/>
      <c r="U542" s="37"/>
      <c r="V542" s="122"/>
      <c r="W542" s="122"/>
      <c r="X542" s="37"/>
      <c r="Y542" s="37"/>
      <c r="Z542" s="37"/>
    </row>
    <row r="543" spans="1:26" ht="13">
      <c r="A543" s="238"/>
      <c r="B543" s="292"/>
      <c r="C543" s="36"/>
      <c r="D543" s="290"/>
      <c r="E543" s="36"/>
      <c r="F543" s="36"/>
      <c r="G543" s="84"/>
      <c r="H543" s="36"/>
      <c r="I543" s="36"/>
      <c r="J543" s="293"/>
      <c r="K543" s="83"/>
      <c r="L543" s="293"/>
      <c r="M543" s="36"/>
      <c r="N543" s="36"/>
      <c r="O543" s="37"/>
      <c r="P543" s="37"/>
      <c r="Q543" s="237"/>
      <c r="R543" s="37"/>
      <c r="S543" s="37"/>
      <c r="T543" s="37"/>
      <c r="U543" s="37"/>
      <c r="V543" s="122"/>
      <c r="W543" s="122"/>
      <c r="X543" s="37"/>
      <c r="Y543" s="37"/>
      <c r="Z543" s="37"/>
    </row>
    <row r="544" spans="1:26" ht="13">
      <c r="A544" s="238"/>
      <c r="B544" s="292"/>
      <c r="C544" s="36"/>
      <c r="D544" s="290"/>
      <c r="E544" s="36"/>
      <c r="F544" s="36"/>
      <c r="G544" s="84"/>
      <c r="H544" s="36"/>
      <c r="I544" s="36"/>
      <c r="J544" s="293"/>
      <c r="K544" s="83"/>
      <c r="L544" s="293"/>
      <c r="M544" s="36"/>
      <c r="N544" s="36"/>
      <c r="O544" s="37"/>
      <c r="P544" s="37"/>
      <c r="Q544" s="237"/>
      <c r="R544" s="37"/>
      <c r="S544" s="37"/>
      <c r="T544" s="37"/>
      <c r="U544" s="37"/>
      <c r="V544" s="122"/>
      <c r="W544" s="122"/>
      <c r="X544" s="37"/>
      <c r="Y544" s="37"/>
      <c r="Z544" s="37"/>
    </row>
    <row r="545" spans="1:26" ht="13">
      <c r="A545" s="238"/>
      <c r="B545" s="292"/>
      <c r="C545" s="36"/>
      <c r="D545" s="290"/>
      <c r="E545" s="36"/>
      <c r="F545" s="36"/>
      <c r="G545" s="84"/>
      <c r="H545" s="36"/>
      <c r="I545" s="36"/>
      <c r="J545" s="293"/>
      <c r="K545" s="83"/>
      <c r="L545" s="293"/>
      <c r="M545" s="36"/>
      <c r="N545" s="36"/>
      <c r="O545" s="37"/>
      <c r="P545" s="37"/>
      <c r="Q545" s="237"/>
      <c r="R545" s="37"/>
      <c r="S545" s="37"/>
      <c r="T545" s="37"/>
      <c r="U545" s="37"/>
      <c r="V545" s="122"/>
      <c r="W545" s="122"/>
      <c r="X545" s="37"/>
      <c r="Y545" s="37"/>
      <c r="Z545" s="37"/>
    </row>
    <row r="546" spans="1:26" ht="13">
      <c r="A546" s="238"/>
      <c r="B546" s="292"/>
      <c r="C546" s="36"/>
      <c r="D546" s="290"/>
      <c r="E546" s="36"/>
      <c r="F546" s="36"/>
      <c r="G546" s="84"/>
      <c r="H546" s="36"/>
      <c r="I546" s="36"/>
      <c r="J546" s="293"/>
      <c r="K546" s="83"/>
      <c r="L546" s="293"/>
      <c r="M546" s="36"/>
      <c r="N546" s="36"/>
      <c r="O546" s="37"/>
      <c r="P546" s="37"/>
      <c r="Q546" s="237"/>
      <c r="R546" s="37"/>
      <c r="S546" s="37"/>
      <c r="T546" s="37"/>
      <c r="U546" s="37"/>
      <c r="V546" s="122"/>
      <c r="W546" s="122"/>
      <c r="X546" s="37"/>
      <c r="Y546" s="37"/>
      <c r="Z546" s="37"/>
    </row>
    <row r="547" spans="1:26" ht="13">
      <c r="A547" s="238"/>
      <c r="B547" s="292"/>
      <c r="C547" s="36"/>
      <c r="D547" s="290"/>
      <c r="E547" s="36"/>
      <c r="F547" s="36"/>
      <c r="G547" s="84"/>
      <c r="H547" s="36"/>
      <c r="I547" s="36"/>
      <c r="J547" s="293"/>
      <c r="K547" s="83"/>
      <c r="L547" s="293"/>
      <c r="M547" s="36"/>
      <c r="N547" s="36"/>
      <c r="O547" s="37"/>
      <c r="P547" s="37"/>
      <c r="Q547" s="237"/>
      <c r="R547" s="37"/>
      <c r="S547" s="37"/>
      <c r="T547" s="37"/>
      <c r="U547" s="37"/>
      <c r="V547" s="122"/>
      <c r="W547" s="122"/>
      <c r="X547" s="37"/>
      <c r="Y547" s="37"/>
      <c r="Z547" s="37"/>
    </row>
    <row r="548" spans="1:26" ht="13">
      <c r="A548" s="238"/>
      <c r="B548" s="292"/>
      <c r="C548" s="36"/>
      <c r="D548" s="290"/>
      <c r="E548" s="36"/>
      <c r="F548" s="36"/>
      <c r="G548" s="84"/>
      <c r="H548" s="36"/>
      <c r="I548" s="36"/>
      <c r="J548" s="293"/>
      <c r="K548" s="83"/>
      <c r="L548" s="293"/>
      <c r="M548" s="36"/>
      <c r="N548" s="36"/>
      <c r="O548" s="37"/>
      <c r="P548" s="37"/>
      <c r="Q548" s="237"/>
      <c r="R548" s="37"/>
      <c r="S548" s="37"/>
      <c r="T548" s="37"/>
      <c r="U548" s="37"/>
      <c r="V548" s="122"/>
      <c r="W548" s="122"/>
      <c r="X548" s="37"/>
      <c r="Y548" s="37"/>
      <c r="Z548" s="37"/>
    </row>
    <row r="549" spans="1:26" ht="13">
      <c r="A549" s="238"/>
      <c r="B549" s="292"/>
      <c r="C549" s="36"/>
      <c r="D549" s="290"/>
      <c r="E549" s="36"/>
      <c r="F549" s="36"/>
      <c r="G549" s="84"/>
      <c r="H549" s="36"/>
      <c r="I549" s="36"/>
      <c r="J549" s="293"/>
      <c r="K549" s="83"/>
      <c r="L549" s="293"/>
      <c r="M549" s="36"/>
      <c r="N549" s="36"/>
      <c r="O549" s="37"/>
      <c r="P549" s="37"/>
      <c r="Q549" s="237"/>
      <c r="R549" s="37"/>
      <c r="S549" s="37"/>
      <c r="T549" s="37"/>
      <c r="U549" s="37"/>
      <c r="V549" s="122"/>
      <c r="W549" s="122"/>
      <c r="X549" s="37"/>
      <c r="Y549" s="37"/>
      <c r="Z549" s="37"/>
    </row>
    <row r="550" spans="1:26" ht="13">
      <c r="A550" s="238"/>
      <c r="B550" s="292"/>
      <c r="C550" s="36"/>
      <c r="D550" s="290"/>
      <c r="E550" s="36"/>
      <c r="F550" s="36"/>
      <c r="G550" s="84"/>
      <c r="H550" s="36"/>
      <c r="I550" s="36"/>
      <c r="J550" s="293"/>
      <c r="K550" s="83"/>
      <c r="L550" s="293"/>
      <c r="M550" s="36"/>
      <c r="N550" s="36"/>
      <c r="O550" s="37"/>
      <c r="P550" s="37"/>
      <c r="Q550" s="237"/>
      <c r="R550" s="37"/>
      <c r="S550" s="37"/>
      <c r="T550" s="37"/>
      <c r="U550" s="37"/>
      <c r="V550" s="122"/>
      <c r="W550" s="122"/>
      <c r="X550" s="37"/>
      <c r="Y550" s="37"/>
      <c r="Z550" s="37"/>
    </row>
    <row r="551" spans="1:26" ht="13">
      <c r="A551" s="238"/>
      <c r="B551" s="292"/>
      <c r="C551" s="36"/>
      <c r="D551" s="290"/>
      <c r="E551" s="36"/>
      <c r="F551" s="36"/>
      <c r="G551" s="84"/>
      <c r="H551" s="36"/>
      <c r="I551" s="36"/>
      <c r="J551" s="293"/>
      <c r="K551" s="83"/>
      <c r="L551" s="293"/>
      <c r="M551" s="36"/>
      <c r="N551" s="36"/>
      <c r="O551" s="37"/>
      <c r="P551" s="37"/>
      <c r="Q551" s="237"/>
      <c r="R551" s="37"/>
      <c r="S551" s="37"/>
      <c r="T551" s="37"/>
      <c r="U551" s="37"/>
      <c r="V551" s="122"/>
      <c r="W551" s="122"/>
      <c r="X551" s="37"/>
      <c r="Y551" s="37"/>
      <c r="Z551" s="37"/>
    </row>
    <row r="552" spans="1:26" ht="13">
      <c r="A552" s="238"/>
      <c r="B552" s="292"/>
      <c r="C552" s="36"/>
      <c r="D552" s="290"/>
      <c r="E552" s="36"/>
      <c r="F552" s="36"/>
      <c r="G552" s="84"/>
      <c r="H552" s="36"/>
      <c r="I552" s="36"/>
      <c r="J552" s="293"/>
      <c r="K552" s="83"/>
      <c r="L552" s="293"/>
      <c r="M552" s="36"/>
      <c r="N552" s="36"/>
      <c r="O552" s="37"/>
      <c r="P552" s="37"/>
      <c r="Q552" s="237"/>
      <c r="R552" s="37"/>
      <c r="S552" s="37"/>
      <c r="T552" s="37"/>
      <c r="U552" s="37"/>
      <c r="V552" s="122"/>
      <c r="W552" s="122"/>
      <c r="X552" s="37"/>
      <c r="Y552" s="37"/>
      <c r="Z552" s="37"/>
    </row>
    <row r="553" spans="1:26" ht="13">
      <c r="A553" s="238"/>
      <c r="B553" s="292"/>
      <c r="C553" s="36"/>
      <c r="D553" s="290"/>
      <c r="E553" s="36"/>
      <c r="F553" s="36"/>
      <c r="G553" s="84"/>
      <c r="H553" s="36"/>
      <c r="I553" s="36"/>
      <c r="J553" s="293"/>
      <c r="K553" s="83"/>
      <c r="L553" s="293"/>
      <c r="M553" s="36"/>
      <c r="N553" s="36"/>
      <c r="O553" s="37"/>
      <c r="P553" s="37"/>
      <c r="Q553" s="237"/>
      <c r="R553" s="37"/>
      <c r="S553" s="37"/>
      <c r="T553" s="37"/>
      <c r="U553" s="37"/>
      <c r="V553" s="122"/>
      <c r="W553" s="122"/>
      <c r="X553" s="37"/>
      <c r="Y553" s="37"/>
      <c r="Z553" s="37"/>
    </row>
    <row r="554" spans="1:26" ht="13">
      <c r="A554" s="238"/>
      <c r="B554" s="292"/>
      <c r="C554" s="36"/>
      <c r="D554" s="290"/>
      <c r="E554" s="36"/>
      <c r="F554" s="36"/>
      <c r="G554" s="84"/>
      <c r="H554" s="36"/>
      <c r="I554" s="36"/>
      <c r="J554" s="293"/>
      <c r="K554" s="83"/>
      <c r="L554" s="293"/>
      <c r="M554" s="36"/>
      <c r="N554" s="36"/>
      <c r="O554" s="37"/>
      <c r="P554" s="37"/>
      <c r="Q554" s="237"/>
      <c r="R554" s="37"/>
      <c r="S554" s="37"/>
      <c r="T554" s="37"/>
      <c r="U554" s="37"/>
      <c r="V554" s="122"/>
      <c r="W554" s="122"/>
      <c r="X554" s="37"/>
      <c r="Y554" s="37"/>
      <c r="Z554" s="37"/>
    </row>
    <row r="555" spans="1:26" ht="13">
      <c r="A555" s="238"/>
      <c r="B555" s="292"/>
      <c r="C555" s="36"/>
      <c r="D555" s="290"/>
      <c r="E555" s="36"/>
      <c r="F555" s="36"/>
      <c r="G555" s="84"/>
      <c r="H555" s="36"/>
      <c r="I555" s="36"/>
      <c r="J555" s="293"/>
      <c r="K555" s="83"/>
      <c r="L555" s="293"/>
      <c r="M555" s="36"/>
      <c r="N555" s="36"/>
      <c r="O555" s="37"/>
      <c r="P555" s="37"/>
      <c r="Q555" s="237"/>
      <c r="R555" s="37"/>
      <c r="S555" s="37"/>
      <c r="T555" s="37"/>
      <c r="U555" s="37"/>
      <c r="V555" s="122"/>
      <c r="W555" s="122"/>
      <c r="X555" s="37"/>
      <c r="Y555" s="37"/>
      <c r="Z555" s="37"/>
    </row>
    <row r="556" spans="1:26" ht="13">
      <c r="A556" s="238"/>
      <c r="B556" s="292"/>
      <c r="C556" s="36"/>
      <c r="D556" s="290"/>
      <c r="E556" s="36"/>
      <c r="F556" s="36"/>
      <c r="G556" s="84"/>
      <c r="H556" s="36"/>
      <c r="I556" s="36"/>
      <c r="J556" s="293"/>
      <c r="K556" s="83"/>
      <c r="L556" s="293"/>
      <c r="M556" s="36"/>
      <c r="N556" s="36"/>
      <c r="O556" s="37"/>
      <c r="P556" s="37"/>
      <c r="Q556" s="237"/>
      <c r="R556" s="37"/>
      <c r="S556" s="37"/>
      <c r="T556" s="37"/>
      <c r="U556" s="37"/>
      <c r="V556" s="122"/>
      <c r="W556" s="122"/>
      <c r="X556" s="37"/>
      <c r="Y556" s="37"/>
      <c r="Z556" s="37"/>
    </row>
    <row r="557" spans="1:26" ht="13">
      <c r="A557" s="238"/>
      <c r="B557" s="292"/>
      <c r="C557" s="36"/>
      <c r="D557" s="290"/>
      <c r="E557" s="36"/>
      <c r="F557" s="36"/>
      <c r="G557" s="84"/>
      <c r="H557" s="36"/>
      <c r="I557" s="36"/>
      <c r="J557" s="293"/>
      <c r="K557" s="83"/>
      <c r="L557" s="293"/>
      <c r="M557" s="36"/>
      <c r="N557" s="36"/>
      <c r="O557" s="37"/>
      <c r="P557" s="37"/>
      <c r="Q557" s="237"/>
      <c r="R557" s="37"/>
      <c r="S557" s="37"/>
      <c r="T557" s="37"/>
      <c r="U557" s="37"/>
      <c r="V557" s="122"/>
      <c r="W557" s="122"/>
      <c r="X557" s="37"/>
      <c r="Y557" s="37"/>
      <c r="Z557" s="37"/>
    </row>
    <row r="558" spans="1:26" ht="13">
      <c r="A558" s="238"/>
      <c r="B558" s="292"/>
      <c r="C558" s="36"/>
      <c r="D558" s="290"/>
      <c r="E558" s="36"/>
      <c r="F558" s="36"/>
      <c r="G558" s="84"/>
      <c r="H558" s="36"/>
      <c r="I558" s="36"/>
      <c r="J558" s="293"/>
      <c r="K558" s="83"/>
      <c r="L558" s="293"/>
      <c r="M558" s="36"/>
      <c r="N558" s="36"/>
      <c r="O558" s="37"/>
      <c r="P558" s="37"/>
      <c r="Q558" s="237"/>
      <c r="R558" s="37"/>
      <c r="S558" s="37"/>
      <c r="T558" s="37"/>
      <c r="U558" s="37"/>
      <c r="V558" s="122"/>
      <c r="W558" s="122"/>
      <c r="X558" s="37"/>
      <c r="Y558" s="37"/>
      <c r="Z558" s="37"/>
    </row>
    <row r="559" spans="1:26" ht="13">
      <c r="A559" s="238"/>
      <c r="B559" s="292"/>
      <c r="C559" s="36"/>
      <c r="D559" s="290"/>
      <c r="E559" s="36"/>
      <c r="F559" s="36"/>
      <c r="G559" s="84"/>
      <c r="H559" s="36"/>
      <c r="I559" s="36"/>
      <c r="J559" s="293"/>
      <c r="K559" s="83"/>
      <c r="L559" s="293"/>
      <c r="M559" s="36"/>
      <c r="N559" s="36"/>
      <c r="O559" s="37"/>
      <c r="P559" s="37"/>
      <c r="Q559" s="237"/>
      <c r="R559" s="37"/>
      <c r="S559" s="37"/>
      <c r="T559" s="37"/>
      <c r="U559" s="37"/>
      <c r="V559" s="122"/>
      <c r="W559" s="122"/>
      <c r="X559" s="37"/>
      <c r="Y559" s="37"/>
      <c r="Z559" s="37"/>
    </row>
    <row r="560" spans="1:26" ht="13">
      <c r="A560" s="238"/>
      <c r="B560" s="292"/>
      <c r="C560" s="36"/>
      <c r="D560" s="290"/>
      <c r="E560" s="36"/>
      <c r="F560" s="36"/>
      <c r="G560" s="84"/>
      <c r="H560" s="36"/>
      <c r="I560" s="36"/>
      <c r="J560" s="293"/>
      <c r="K560" s="83"/>
      <c r="L560" s="293"/>
      <c r="M560" s="36"/>
      <c r="N560" s="36"/>
      <c r="O560" s="37"/>
      <c r="P560" s="37"/>
      <c r="Q560" s="237"/>
      <c r="R560" s="37"/>
      <c r="S560" s="37"/>
      <c r="T560" s="37"/>
      <c r="U560" s="37"/>
      <c r="V560" s="122"/>
      <c r="W560" s="122"/>
      <c r="X560" s="37"/>
      <c r="Y560" s="37"/>
      <c r="Z560" s="37"/>
    </row>
    <row r="561" spans="1:26" ht="13">
      <c r="A561" s="238"/>
      <c r="B561" s="292"/>
      <c r="C561" s="36"/>
      <c r="D561" s="290"/>
      <c r="E561" s="36"/>
      <c r="F561" s="36"/>
      <c r="G561" s="84"/>
      <c r="H561" s="36"/>
      <c r="I561" s="36"/>
      <c r="J561" s="293"/>
      <c r="K561" s="83"/>
      <c r="L561" s="293"/>
      <c r="M561" s="36"/>
      <c r="N561" s="36"/>
      <c r="O561" s="37"/>
      <c r="P561" s="37"/>
      <c r="Q561" s="237"/>
      <c r="R561" s="37"/>
      <c r="S561" s="37"/>
      <c r="T561" s="37"/>
      <c r="U561" s="37"/>
      <c r="V561" s="122"/>
      <c r="W561" s="122"/>
      <c r="X561" s="37"/>
      <c r="Y561" s="37"/>
      <c r="Z561" s="37"/>
    </row>
    <row r="562" spans="1:26" ht="13">
      <c r="A562" s="238"/>
      <c r="B562" s="292"/>
      <c r="C562" s="36"/>
      <c r="D562" s="290"/>
      <c r="E562" s="36"/>
      <c r="F562" s="36"/>
      <c r="G562" s="84"/>
      <c r="H562" s="36"/>
      <c r="I562" s="36"/>
      <c r="J562" s="293"/>
      <c r="K562" s="83"/>
      <c r="L562" s="293"/>
      <c r="M562" s="36"/>
      <c r="N562" s="36"/>
      <c r="O562" s="37"/>
      <c r="P562" s="37"/>
      <c r="Q562" s="237"/>
      <c r="R562" s="37"/>
      <c r="S562" s="37"/>
      <c r="T562" s="37"/>
      <c r="U562" s="37"/>
      <c r="V562" s="122"/>
      <c r="W562" s="122"/>
      <c r="X562" s="37"/>
      <c r="Y562" s="37"/>
      <c r="Z562" s="37"/>
    </row>
    <row r="563" spans="1:26" ht="13">
      <c r="A563" s="238"/>
      <c r="B563" s="292"/>
      <c r="C563" s="36"/>
      <c r="D563" s="290"/>
      <c r="E563" s="36"/>
      <c r="F563" s="36"/>
      <c r="G563" s="84"/>
      <c r="H563" s="36"/>
      <c r="I563" s="36"/>
      <c r="J563" s="293"/>
      <c r="K563" s="83"/>
      <c r="L563" s="293"/>
      <c r="M563" s="36"/>
      <c r="N563" s="36"/>
      <c r="O563" s="37"/>
      <c r="P563" s="37"/>
      <c r="Q563" s="237"/>
      <c r="R563" s="37"/>
      <c r="S563" s="37"/>
      <c r="T563" s="37"/>
      <c r="U563" s="37"/>
      <c r="V563" s="122"/>
      <c r="W563" s="122"/>
      <c r="X563" s="37"/>
      <c r="Y563" s="37"/>
      <c r="Z563" s="37"/>
    </row>
    <row r="564" spans="1:26" ht="13">
      <c r="A564" s="238"/>
      <c r="B564" s="292"/>
      <c r="C564" s="36"/>
      <c r="D564" s="290"/>
      <c r="E564" s="36"/>
      <c r="F564" s="36"/>
      <c r="G564" s="84"/>
      <c r="H564" s="36"/>
      <c r="I564" s="36"/>
      <c r="J564" s="293"/>
      <c r="K564" s="83"/>
      <c r="L564" s="293"/>
      <c r="M564" s="36"/>
      <c r="N564" s="36"/>
      <c r="O564" s="37"/>
      <c r="P564" s="37"/>
      <c r="Q564" s="237"/>
      <c r="R564" s="37"/>
      <c r="S564" s="37"/>
      <c r="T564" s="37"/>
      <c r="U564" s="37"/>
      <c r="V564" s="122"/>
      <c r="W564" s="122"/>
      <c r="X564" s="37"/>
      <c r="Y564" s="37"/>
      <c r="Z564" s="37"/>
    </row>
    <row r="565" spans="1:26" ht="13">
      <c r="A565" s="238"/>
      <c r="B565" s="292"/>
      <c r="C565" s="36"/>
      <c r="D565" s="290"/>
      <c r="E565" s="36"/>
      <c r="F565" s="36"/>
      <c r="G565" s="84"/>
      <c r="H565" s="36"/>
      <c r="I565" s="36"/>
      <c r="J565" s="293"/>
      <c r="K565" s="83"/>
      <c r="L565" s="293"/>
      <c r="M565" s="36"/>
      <c r="N565" s="36"/>
      <c r="O565" s="37"/>
      <c r="P565" s="37"/>
      <c r="Q565" s="237"/>
      <c r="R565" s="37"/>
      <c r="S565" s="37"/>
      <c r="T565" s="37"/>
      <c r="U565" s="37"/>
      <c r="V565" s="122"/>
      <c r="W565" s="122"/>
      <c r="X565" s="37"/>
      <c r="Y565" s="37"/>
      <c r="Z565" s="37"/>
    </row>
    <row r="566" spans="1:26" ht="13">
      <c r="A566" s="238"/>
      <c r="B566" s="292"/>
      <c r="C566" s="36"/>
      <c r="D566" s="290"/>
      <c r="E566" s="36"/>
      <c r="F566" s="36"/>
      <c r="G566" s="84"/>
      <c r="H566" s="36"/>
      <c r="I566" s="36"/>
      <c r="J566" s="293"/>
      <c r="K566" s="83"/>
      <c r="L566" s="293"/>
      <c r="M566" s="36"/>
      <c r="N566" s="36"/>
      <c r="O566" s="37"/>
      <c r="P566" s="37"/>
      <c r="Q566" s="237"/>
      <c r="R566" s="37"/>
      <c r="S566" s="37"/>
      <c r="T566" s="37"/>
      <c r="U566" s="37"/>
      <c r="V566" s="122"/>
      <c r="W566" s="122"/>
      <c r="X566" s="37"/>
      <c r="Y566" s="37"/>
      <c r="Z566" s="37"/>
    </row>
    <row r="567" spans="1:26" ht="13">
      <c r="A567" s="238"/>
      <c r="B567" s="292"/>
      <c r="C567" s="36"/>
      <c r="D567" s="290"/>
      <c r="E567" s="36"/>
      <c r="F567" s="36"/>
      <c r="G567" s="84"/>
      <c r="H567" s="36"/>
      <c r="I567" s="36"/>
      <c r="J567" s="293"/>
      <c r="K567" s="83"/>
      <c r="L567" s="293"/>
      <c r="M567" s="36"/>
      <c r="N567" s="36"/>
      <c r="O567" s="37"/>
      <c r="P567" s="37"/>
      <c r="Q567" s="237"/>
      <c r="R567" s="37"/>
      <c r="S567" s="37"/>
      <c r="T567" s="37"/>
      <c r="U567" s="37"/>
      <c r="V567" s="122"/>
      <c r="W567" s="122"/>
      <c r="X567" s="37"/>
      <c r="Y567" s="37"/>
      <c r="Z567" s="37"/>
    </row>
    <row r="568" spans="1:26" ht="13">
      <c r="A568" s="238"/>
      <c r="B568" s="292"/>
      <c r="C568" s="36"/>
      <c r="D568" s="290"/>
      <c r="E568" s="36"/>
      <c r="F568" s="36"/>
      <c r="G568" s="84"/>
      <c r="H568" s="36"/>
      <c r="I568" s="36"/>
      <c r="J568" s="293"/>
      <c r="K568" s="83"/>
      <c r="L568" s="293"/>
      <c r="M568" s="36"/>
      <c r="N568" s="36"/>
      <c r="O568" s="37"/>
      <c r="P568" s="37"/>
      <c r="Q568" s="237"/>
      <c r="R568" s="37"/>
      <c r="S568" s="37"/>
      <c r="T568" s="37"/>
      <c r="U568" s="37"/>
      <c r="V568" s="122"/>
      <c r="W568" s="122"/>
      <c r="X568" s="37"/>
      <c r="Y568" s="37"/>
      <c r="Z568" s="37"/>
    </row>
    <row r="569" spans="1:26" ht="13">
      <c r="A569" s="238"/>
      <c r="B569" s="292"/>
      <c r="C569" s="36"/>
      <c r="D569" s="290"/>
      <c r="E569" s="36"/>
      <c r="F569" s="36"/>
      <c r="G569" s="84"/>
      <c r="H569" s="36"/>
      <c r="I569" s="36"/>
      <c r="J569" s="293"/>
      <c r="K569" s="83"/>
      <c r="L569" s="293"/>
      <c r="M569" s="36"/>
      <c r="N569" s="36"/>
      <c r="O569" s="37"/>
      <c r="P569" s="37"/>
      <c r="Q569" s="237"/>
      <c r="R569" s="37"/>
      <c r="S569" s="37"/>
      <c r="T569" s="37"/>
      <c r="U569" s="37"/>
      <c r="V569" s="122"/>
      <c r="W569" s="122"/>
      <c r="X569" s="37"/>
      <c r="Y569" s="37"/>
      <c r="Z569" s="37"/>
    </row>
    <row r="570" spans="1:26" ht="13">
      <c r="A570" s="238"/>
      <c r="B570" s="292"/>
      <c r="C570" s="36"/>
      <c r="D570" s="290"/>
      <c r="E570" s="36"/>
      <c r="F570" s="36"/>
      <c r="G570" s="84"/>
      <c r="H570" s="36"/>
      <c r="I570" s="36"/>
      <c r="J570" s="293"/>
      <c r="K570" s="83"/>
      <c r="L570" s="293"/>
      <c r="M570" s="36"/>
      <c r="N570" s="36"/>
      <c r="O570" s="37"/>
      <c r="P570" s="37"/>
      <c r="Q570" s="237"/>
      <c r="R570" s="37"/>
      <c r="S570" s="37"/>
      <c r="T570" s="37"/>
      <c r="U570" s="37"/>
      <c r="V570" s="122"/>
      <c r="W570" s="122"/>
      <c r="X570" s="37"/>
      <c r="Y570" s="37"/>
      <c r="Z570" s="37"/>
    </row>
    <row r="571" spans="1:26" ht="13">
      <c r="A571" s="238"/>
      <c r="B571" s="292"/>
      <c r="C571" s="36"/>
      <c r="D571" s="290"/>
      <c r="E571" s="36"/>
      <c r="F571" s="36"/>
      <c r="G571" s="84"/>
      <c r="H571" s="36"/>
      <c r="I571" s="36"/>
      <c r="J571" s="293"/>
      <c r="K571" s="83"/>
      <c r="L571" s="293"/>
      <c r="M571" s="36"/>
      <c r="N571" s="36"/>
      <c r="O571" s="37"/>
      <c r="P571" s="37"/>
      <c r="Q571" s="237"/>
      <c r="R571" s="37"/>
      <c r="S571" s="37"/>
      <c r="T571" s="37"/>
      <c r="U571" s="37"/>
      <c r="V571" s="122"/>
      <c r="W571" s="122"/>
      <c r="X571" s="37"/>
      <c r="Y571" s="37"/>
      <c r="Z571" s="37"/>
    </row>
    <row r="572" spans="1:26" ht="13">
      <c r="A572" s="238"/>
      <c r="B572" s="292"/>
      <c r="C572" s="36"/>
      <c r="D572" s="290"/>
      <c r="E572" s="36"/>
      <c r="F572" s="36"/>
      <c r="G572" s="84"/>
      <c r="H572" s="36"/>
      <c r="I572" s="36"/>
      <c r="J572" s="293"/>
      <c r="K572" s="83"/>
      <c r="L572" s="293"/>
      <c r="M572" s="36"/>
      <c r="N572" s="36"/>
      <c r="O572" s="37"/>
      <c r="P572" s="37"/>
      <c r="Q572" s="237"/>
      <c r="R572" s="37"/>
      <c r="S572" s="37"/>
      <c r="T572" s="37"/>
      <c r="U572" s="37"/>
      <c r="V572" s="122"/>
      <c r="W572" s="122"/>
      <c r="X572" s="37"/>
      <c r="Y572" s="37"/>
      <c r="Z572" s="37"/>
    </row>
    <row r="573" spans="1:26" ht="13">
      <c r="A573" s="238"/>
      <c r="B573" s="292"/>
      <c r="C573" s="36"/>
      <c r="D573" s="290"/>
      <c r="E573" s="36"/>
      <c r="F573" s="36"/>
      <c r="G573" s="84"/>
      <c r="H573" s="36"/>
      <c r="I573" s="36"/>
      <c r="J573" s="293"/>
      <c r="K573" s="83"/>
      <c r="L573" s="293"/>
      <c r="M573" s="36"/>
      <c r="N573" s="36"/>
      <c r="O573" s="37"/>
      <c r="P573" s="37"/>
      <c r="Q573" s="237"/>
      <c r="R573" s="37"/>
      <c r="S573" s="37"/>
      <c r="T573" s="37"/>
      <c r="U573" s="37"/>
      <c r="V573" s="122"/>
      <c r="W573" s="122"/>
      <c r="X573" s="37"/>
      <c r="Y573" s="37"/>
      <c r="Z573" s="37"/>
    </row>
    <row r="574" spans="1:26" ht="13">
      <c r="A574" s="238"/>
      <c r="B574" s="292"/>
      <c r="C574" s="36"/>
      <c r="D574" s="290"/>
      <c r="E574" s="36"/>
      <c r="F574" s="36"/>
      <c r="G574" s="84"/>
      <c r="H574" s="36"/>
      <c r="I574" s="36"/>
      <c r="J574" s="293"/>
      <c r="K574" s="83"/>
      <c r="L574" s="293"/>
      <c r="M574" s="36"/>
      <c r="N574" s="36"/>
      <c r="O574" s="37"/>
      <c r="P574" s="37"/>
      <c r="Q574" s="237"/>
      <c r="R574" s="37"/>
      <c r="S574" s="37"/>
      <c r="T574" s="37"/>
      <c r="U574" s="37"/>
      <c r="V574" s="122"/>
      <c r="W574" s="122"/>
      <c r="X574" s="37"/>
      <c r="Y574" s="37"/>
      <c r="Z574" s="37"/>
    </row>
    <row r="575" spans="1:26" ht="13">
      <c r="A575" s="238"/>
      <c r="B575" s="292"/>
      <c r="C575" s="36"/>
      <c r="D575" s="290"/>
      <c r="E575" s="36"/>
      <c r="F575" s="36"/>
      <c r="G575" s="84"/>
      <c r="H575" s="36"/>
      <c r="I575" s="36"/>
      <c r="J575" s="293"/>
      <c r="K575" s="83"/>
      <c r="L575" s="293"/>
      <c r="M575" s="36"/>
      <c r="N575" s="36"/>
      <c r="O575" s="37"/>
      <c r="P575" s="37"/>
      <c r="Q575" s="237"/>
      <c r="R575" s="37"/>
      <c r="S575" s="37"/>
      <c r="T575" s="37"/>
      <c r="U575" s="37"/>
      <c r="V575" s="122"/>
      <c r="W575" s="122"/>
      <c r="X575" s="37"/>
      <c r="Y575" s="37"/>
      <c r="Z575" s="37"/>
    </row>
    <row r="576" spans="1:26" ht="13">
      <c r="A576" s="238"/>
      <c r="B576" s="292"/>
      <c r="C576" s="36"/>
      <c r="D576" s="290"/>
      <c r="E576" s="36"/>
      <c r="F576" s="36"/>
      <c r="G576" s="84"/>
      <c r="H576" s="36"/>
      <c r="I576" s="36"/>
      <c r="J576" s="293"/>
      <c r="K576" s="83"/>
      <c r="L576" s="293"/>
      <c r="M576" s="36"/>
      <c r="N576" s="36"/>
      <c r="O576" s="37"/>
      <c r="P576" s="37"/>
      <c r="Q576" s="237"/>
      <c r="R576" s="37"/>
      <c r="S576" s="37"/>
      <c r="T576" s="37"/>
      <c r="U576" s="37"/>
      <c r="V576" s="122"/>
      <c r="W576" s="122"/>
      <c r="X576" s="37"/>
      <c r="Y576" s="37"/>
      <c r="Z576" s="37"/>
    </row>
    <row r="577" spans="1:26" ht="13">
      <c r="A577" s="238"/>
      <c r="B577" s="292"/>
      <c r="C577" s="36"/>
      <c r="D577" s="290"/>
      <c r="E577" s="36"/>
      <c r="F577" s="36"/>
      <c r="G577" s="84"/>
      <c r="H577" s="36"/>
      <c r="I577" s="36"/>
      <c r="J577" s="293"/>
      <c r="K577" s="83"/>
      <c r="L577" s="293"/>
      <c r="M577" s="36"/>
      <c r="N577" s="36"/>
      <c r="O577" s="37"/>
      <c r="P577" s="37"/>
      <c r="Q577" s="237"/>
      <c r="R577" s="37"/>
      <c r="S577" s="37"/>
      <c r="T577" s="37"/>
      <c r="U577" s="37"/>
      <c r="V577" s="122"/>
      <c r="W577" s="122"/>
      <c r="X577" s="37"/>
      <c r="Y577" s="37"/>
      <c r="Z577" s="37"/>
    </row>
    <row r="578" spans="1:26" ht="13">
      <c r="A578" s="238"/>
      <c r="B578" s="292"/>
      <c r="C578" s="36"/>
      <c r="D578" s="290"/>
      <c r="E578" s="36"/>
      <c r="F578" s="36"/>
      <c r="G578" s="84"/>
      <c r="H578" s="36"/>
      <c r="I578" s="36"/>
      <c r="J578" s="293"/>
      <c r="K578" s="83"/>
      <c r="L578" s="293"/>
      <c r="M578" s="36"/>
      <c r="N578" s="36"/>
      <c r="O578" s="37"/>
      <c r="P578" s="37"/>
      <c r="Q578" s="237"/>
      <c r="R578" s="37"/>
      <c r="S578" s="37"/>
      <c r="T578" s="37"/>
      <c r="U578" s="37"/>
      <c r="V578" s="122"/>
      <c r="W578" s="122"/>
      <c r="X578" s="37"/>
      <c r="Y578" s="37"/>
      <c r="Z578" s="37"/>
    </row>
    <row r="579" spans="1:26" ht="13">
      <c r="A579" s="238"/>
      <c r="B579" s="292"/>
      <c r="C579" s="36"/>
      <c r="D579" s="290"/>
      <c r="E579" s="36"/>
      <c r="F579" s="36"/>
      <c r="G579" s="84"/>
      <c r="H579" s="36"/>
      <c r="I579" s="36"/>
      <c r="J579" s="293"/>
      <c r="K579" s="83"/>
      <c r="L579" s="293"/>
      <c r="M579" s="36"/>
      <c r="N579" s="36"/>
      <c r="O579" s="37"/>
      <c r="P579" s="37"/>
      <c r="Q579" s="237"/>
      <c r="R579" s="37"/>
      <c r="S579" s="37"/>
      <c r="T579" s="37"/>
      <c r="U579" s="37"/>
      <c r="V579" s="122"/>
      <c r="W579" s="122"/>
      <c r="X579" s="37"/>
      <c r="Y579" s="37"/>
      <c r="Z579" s="37"/>
    </row>
    <row r="580" spans="1:26" ht="13">
      <c r="A580" s="238"/>
      <c r="B580" s="292"/>
      <c r="C580" s="36"/>
      <c r="D580" s="290"/>
      <c r="E580" s="36"/>
      <c r="F580" s="36"/>
      <c r="G580" s="84"/>
      <c r="H580" s="36"/>
      <c r="I580" s="36"/>
      <c r="J580" s="293"/>
      <c r="K580" s="83"/>
      <c r="L580" s="293"/>
      <c r="M580" s="36"/>
      <c r="N580" s="36"/>
      <c r="O580" s="37"/>
      <c r="P580" s="37"/>
      <c r="Q580" s="237"/>
      <c r="R580" s="37"/>
      <c r="S580" s="37"/>
      <c r="T580" s="37"/>
      <c r="U580" s="37"/>
      <c r="V580" s="122"/>
      <c r="W580" s="122"/>
      <c r="X580" s="37"/>
      <c r="Y580" s="37"/>
      <c r="Z580" s="37"/>
    </row>
    <row r="581" spans="1:26" ht="13">
      <c r="A581" s="238"/>
      <c r="B581" s="292"/>
      <c r="C581" s="36"/>
      <c r="D581" s="290"/>
      <c r="E581" s="36"/>
      <c r="F581" s="36"/>
      <c r="G581" s="84"/>
      <c r="H581" s="36"/>
      <c r="I581" s="36"/>
      <c r="J581" s="293"/>
      <c r="K581" s="83"/>
      <c r="L581" s="293"/>
      <c r="M581" s="36"/>
      <c r="N581" s="36"/>
      <c r="O581" s="37"/>
      <c r="P581" s="37"/>
      <c r="Q581" s="237"/>
      <c r="R581" s="37"/>
      <c r="S581" s="37"/>
      <c r="T581" s="37"/>
      <c r="U581" s="37"/>
      <c r="V581" s="122"/>
      <c r="W581" s="122"/>
      <c r="X581" s="37"/>
      <c r="Y581" s="37"/>
      <c r="Z581" s="37"/>
    </row>
    <row r="582" spans="1:26" ht="13">
      <c r="A582" s="238"/>
      <c r="B582" s="292"/>
      <c r="C582" s="36"/>
      <c r="D582" s="290"/>
      <c r="E582" s="36"/>
      <c r="F582" s="36"/>
      <c r="G582" s="84"/>
      <c r="H582" s="36"/>
      <c r="I582" s="36"/>
      <c r="J582" s="293"/>
      <c r="K582" s="83"/>
      <c r="L582" s="293"/>
      <c r="M582" s="36"/>
      <c r="N582" s="36"/>
      <c r="O582" s="37"/>
      <c r="P582" s="37"/>
      <c r="Q582" s="237"/>
      <c r="R582" s="37"/>
      <c r="S582" s="37"/>
      <c r="T582" s="37"/>
      <c r="U582" s="37"/>
      <c r="V582" s="122"/>
      <c r="W582" s="122"/>
      <c r="X582" s="37"/>
      <c r="Y582" s="37"/>
      <c r="Z582" s="37"/>
    </row>
    <row r="583" spans="1:26" ht="13">
      <c r="A583" s="238"/>
      <c r="B583" s="292"/>
      <c r="C583" s="36"/>
      <c r="D583" s="290"/>
      <c r="E583" s="36"/>
      <c r="F583" s="36"/>
      <c r="G583" s="84"/>
      <c r="H583" s="36"/>
      <c r="I583" s="36"/>
      <c r="J583" s="293"/>
      <c r="K583" s="83"/>
      <c r="L583" s="293"/>
      <c r="M583" s="36"/>
      <c r="N583" s="36"/>
      <c r="O583" s="37"/>
      <c r="P583" s="37"/>
      <c r="Q583" s="237"/>
      <c r="R583" s="37"/>
      <c r="S583" s="37"/>
      <c r="T583" s="37"/>
      <c r="U583" s="37"/>
      <c r="V583" s="122"/>
      <c r="W583" s="122"/>
      <c r="X583" s="37"/>
      <c r="Y583" s="37"/>
      <c r="Z583" s="37"/>
    </row>
    <row r="584" spans="1:26" ht="13">
      <c r="A584" s="238"/>
      <c r="B584" s="292"/>
      <c r="C584" s="36"/>
      <c r="D584" s="290"/>
      <c r="E584" s="36"/>
      <c r="F584" s="36"/>
      <c r="G584" s="84"/>
      <c r="H584" s="36"/>
      <c r="I584" s="36"/>
      <c r="J584" s="293"/>
      <c r="K584" s="83"/>
      <c r="L584" s="293"/>
      <c r="M584" s="36"/>
      <c r="N584" s="36"/>
      <c r="O584" s="37"/>
      <c r="P584" s="37"/>
      <c r="Q584" s="237"/>
      <c r="R584" s="37"/>
      <c r="S584" s="37"/>
      <c r="T584" s="37"/>
      <c r="U584" s="37"/>
      <c r="V584" s="122"/>
      <c r="W584" s="122"/>
      <c r="X584" s="37"/>
      <c r="Y584" s="37"/>
      <c r="Z584" s="37"/>
    </row>
    <row r="585" spans="1:26" ht="13">
      <c r="A585" s="238"/>
      <c r="B585" s="292"/>
      <c r="C585" s="36"/>
      <c r="D585" s="290"/>
      <c r="E585" s="36"/>
      <c r="F585" s="36"/>
      <c r="G585" s="84"/>
      <c r="H585" s="36"/>
      <c r="I585" s="36"/>
      <c r="J585" s="293"/>
      <c r="K585" s="83"/>
      <c r="L585" s="293"/>
      <c r="M585" s="36"/>
      <c r="N585" s="36"/>
      <c r="O585" s="37"/>
      <c r="P585" s="37"/>
      <c r="Q585" s="237"/>
      <c r="R585" s="37"/>
      <c r="S585" s="37"/>
      <c r="T585" s="37"/>
      <c r="U585" s="37"/>
      <c r="V585" s="122"/>
      <c r="W585" s="122"/>
      <c r="X585" s="37"/>
      <c r="Y585" s="37"/>
      <c r="Z585" s="37"/>
    </row>
    <row r="586" spans="1:26" ht="13">
      <c r="A586" s="238"/>
      <c r="B586" s="292"/>
      <c r="C586" s="36"/>
      <c r="D586" s="290"/>
      <c r="E586" s="36"/>
      <c r="F586" s="36"/>
      <c r="G586" s="84"/>
      <c r="H586" s="36"/>
      <c r="I586" s="36"/>
      <c r="J586" s="293"/>
      <c r="K586" s="83"/>
      <c r="L586" s="293"/>
      <c r="M586" s="36"/>
      <c r="N586" s="36"/>
      <c r="O586" s="37"/>
      <c r="P586" s="37"/>
      <c r="Q586" s="237"/>
      <c r="R586" s="37"/>
      <c r="S586" s="37"/>
      <c r="T586" s="37"/>
      <c r="U586" s="37"/>
      <c r="V586" s="122"/>
      <c r="W586" s="122"/>
      <c r="X586" s="37"/>
      <c r="Y586" s="37"/>
      <c r="Z586" s="37"/>
    </row>
    <row r="587" spans="1:26" ht="13">
      <c r="A587" s="238"/>
      <c r="B587" s="292"/>
      <c r="C587" s="36"/>
      <c r="D587" s="290"/>
      <c r="E587" s="36"/>
      <c r="F587" s="36"/>
      <c r="G587" s="84"/>
      <c r="H587" s="36"/>
      <c r="I587" s="36"/>
      <c r="J587" s="293"/>
      <c r="K587" s="83"/>
      <c r="L587" s="293"/>
      <c r="M587" s="36"/>
      <c r="N587" s="36"/>
      <c r="O587" s="37"/>
      <c r="P587" s="37"/>
      <c r="Q587" s="237"/>
      <c r="R587" s="37"/>
      <c r="S587" s="37"/>
      <c r="T587" s="37"/>
      <c r="U587" s="37"/>
      <c r="V587" s="122"/>
      <c r="W587" s="122"/>
      <c r="X587" s="37"/>
      <c r="Y587" s="37"/>
      <c r="Z587" s="37"/>
    </row>
    <row r="588" spans="1:26" ht="13">
      <c r="A588" s="238"/>
      <c r="B588" s="292"/>
      <c r="C588" s="36"/>
      <c r="D588" s="290"/>
      <c r="E588" s="36"/>
      <c r="F588" s="36"/>
      <c r="G588" s="84"/>
      <c r="H588" s="36"/>
      <c r="I588" s="36"/>
      <c r="J588" s="293"/>
      <c r="K588" s="83"/>
      <c r="L588" s="293"/>
      <c r="M588" s="36"/>
      <c r="N588" s="36"/>
      <c r="O588" s="37"/>
      <c r="P588" s="37"/>
      <c r="Q588" s="237"/>
      <c r="R588" s="37"/>
      <c r="S588" s="37"/>
      <c r="T588" s="37"/>
      <c r="U588" s="37"/>
      <c r="V588" s="122"/>
      <c r="W588" s="122"/>
      <c r="X588" s="37"/>
      <c r="Y588" s="37"/>
      <c r="Z588" s="37"/>
    </row>
    <row r="589" spans="1:26" ht="13">
      <c r="A589" s="238"/>
      <c r="B589" s="292"/>
      <c r="C589" s="36"/>
      <c r="D589" s="290"/>
      <c r="E589" s="36"/>
      <c r="F589" s="36"/>
      <c r="G589" s="84"/>
      <c r="H589" s="36"/>
      <c r="I589" s="36"/>
      <c r="J589" s="293"/>
      <c r="K589" s="83"/>
      <c r="L589" s="293"/>
      <c r="M589" s="36"/>
      <c r="N589" s="36"/>
      <c r="O589" s="37"/>
      <c r="P589" s="37"/>
      <c r="Q589" s="237"/>
      <c r="R589" s="37"/>
      <c r="S589" s="37"/>
      <c r="T589" s="37"/>
      <c r="U589" s="37"/>
      <c r="V589" s="122"/>
      <c r="W589" s="122"/>
      <c r="X589" s="37"/>
      <c r="Y589" s="37"/>
      <c r="Z589" s="37"/>
    </row>
    <row r="590" spans="1:26" ht="13">
      <c r="A590" s="238"/>
      <c r="B590" s="292"/>
      <c r="C590" s="36"/>
      <c r="D590" s="290"/>
      <c r="E590" s="36"/>
      <c r="F590" s="36"/>
      <c r="G590" s="84"/>
      <c r="H590" s="36"/>
      <c r="I590" s="36"/>
      <c r="J590" s="293"/>
      <c r="K590" s="83"/>
      <c r="L590" s="293"/>
      <c r="M590" s="36"/>
      <c r="N590" s="36"/>
      <c r="O590" s="37"/>
      <c r="P590" s="37"/>
      <c r="Q590" s="237"/>
      <c r="R590" s="37"/>
      <c r="S590" s="37"/>
      <c r="T590" s="37"/>
      <c r="U590" s="37"/>
      <c r="V590" s="122"/>
      <c r="W590" s="122"/>
      <c r="X590" s="37"/>
      <c r="Y590" s="37"/>
      <c r="Z590" s="37"/>
    </row>
    <row r="591" spans="1:26" ht="13">
      <c r="A591" s="238"/>
      <c r="B591" s="292"/>
      <c r="C591" s="36"/>
      <c r="D591" s="290"/>
      <c r="E591" s="36"/>
      <c r="F591" s="36"/>
      <c r="G591" s="84"/>
      <c r="H591" s="36"/>
      <c r="I591" s="36"/>
      <c r="J591" s="293"/>
      <c r="K591" s="83"/>
      <c r="L591" s="293"/>
      <c r="M591" s="36"/>
      <c r="N591" s="36"/>
      <c r="O591" s="37"/>
      <c r="P591" s="37"/>
      <c r="Q591" s="237"/>
      <c r="R591" s="37"/>
      <c r="S591" s="37"/>
      <c r="T591" s="37"/>
      <c r="U591" s="37"/>
      <c r="V591" s="122"/>
      <c r="W591" s="122"/>
      <c r="X591" s="37"/>
      <c r="Y591" s="37"/>
      <c r="Z591" s="37"/>
    </row>
    <row r="592" spans="1:26" ht="13">
      <c r="A592" s="238"/>
      <c r="B592" s="292"/>
      <c r="C592" s="36"/>
      <c r="D592" s="290"/>
      <c r="E592" s="36"/>
      <c r="F592" s="36"/>
      <c r="G592" s="84"/>
      <c r="H592" s="36"/>
      <c r="I592" s="36"/>
      <c r="J592" s="293"/>
      <c r="K592" s="83"/>
      <c r="L592" s="293"/>
      <c r="M592" s="36"/>
      <c r="N592" s="36"/>
      <c r="O592" s="37"/>
      <c r="P592" s="37"/>
      <c r="Q592" s="237"/>
      <c r="R592" s="37"/>
      <c r="S592" s="37"/>
      <c r="T592" s="37"/>
      <c r="U592" s="37"/>
      <c r="V592" s="122"/>
      <c r="W592" s="122"/>
      <c r="X592" s="37"/>
      <c r="Y592" s="37"/>
      <c r="Z592" s="37"/>
    </row>
    <row r="593" spans="1:26" ht="13">
      <c r="A593" s="238"/>
      <c r="B593" s="292"/>
      <c r="C593" s="36"/>
      <c r="D593" s="290"/>
      <c r="E593" s="36"/>
      <c r="F593" s="36"/>
      <c r="G593" s="84"/>
      <c r="H593" s="36"/>
      <c r="I593" s="36"/>
      <c r="J593" s="293"/>
      <c r="K593" s="83"/>
      <c r="L593" s="293"/>
      <c r="M593" s="36"/>
      <c r="N593" s="36"/>
      <c r="O593" s="37"/>
      <c r="P593" s="37"/>
      <c r="Q593" s="237"/>
      <c r="R593" s="37"/>
      <c r="S593" s="37"/>
      <c r="T593" s="37"/>
      <c r="U593" s="37"/>
      <c r="V593" s="122"/>
      <c r="W593" s="122"/>
      <c r="X593" s="37"/>
      <c r="Y593" s="37"/>
      <c r="Z593" s="37"/>
    </row>
    <row r="594" spans="1:26" ht="13">
      <c r="A594" s="238"/>
      <c r="B594" s="292"/>
      <c r="C594" s="36"/>
      <c r="D594" s="290"/>
      <c r="E594" s="36"/>
      <c r="F594" s="36"/>
      <c r="G594" s="84"/>
      <c r="H594" s="36"/>
      <c r="I594" s="36"/>
      <c r="J594" s="293"/>
      <c r="K594" s="83"/>
      <c r="L594" s="293"/>
      <c r="M594" s="36"/>
      <c r="N594" s="36"/>
      <c r="O594" s="37"/>
      <c r="P594" s="37"/>
      <c r="Q594" s="237"/>
      <c r="R594" s="37"/>
      <c r="S594" s="37"/>
      <c r="T594" s="37"/>
      <c r="U594" s="37"/>
      <c r="V594" s="122"/>
      <c r="W594" s="122"/>
      <c r="X594" s="37"/>
      <c r="Y594" s="37"/>
      <c r="Z594" s="37"/>
    </row>
    <row r="595" spans="1:26" ht="13">
      <c r="A595" s="238"/>
      <c r="B595" s="292"/>
      <c r="C595" s="36"/>
      <c r="D595" s="290"/>
      <c r="E595" s="36"/>
      <c r="F595" s="36"/>
      <c r="G595" s="84"/>
      <c r="H595" s="36"/>
      <c r="I595" s="36"/>
      <c r="J595" s="293"/>
      <c r="K595" s="83"/>
      <c r="L595" s="293"/>
      <c r="M595" s="36"/>
      <c r="N595" s="36"/>
      <c r="O595" s="37"/>
      <c r="P595" s="37"/>
      <c r="Q595" s="237"/>
      <c r="R595" s="37"/>
      <c r="S595" s="37"/>
      <c r="T595" s="37"/>
      <c r="U595" s="37"/>
      <c r="V595" s="122"/>
      <c r="W595" s="122"/>
      <c r="X595" s="37"/>
      <c r="Y595" s="37"/>
      <c r="Z595" s="37"/>
    </row>
    <row r="596" spans="1:26" ht="13">
      <c r="A596" s="238"/>
      <c r="B596" s="292"/>
      <c r="C596" s="36"/>
      <c r="D596" s="290"/>
      <c r="E596" s="36"/>
      <c r="F596" s="36"/>
      <c r="G596" s="84"/>
      <c r="H596" s="36"/>
      <c r="I596" s="36"/>
      <c r="J596" s="293"/>
      <c r="K596" s="83"/>
      <c r="L596" s="293"/>
      <c r="M596" s="36"/>
      <c r="N596" s="36"/>
      <c r="O596" s="37"/>
      <c r="P596" s="37"/>
      <c r="Q596" s="237"/>
      <c r="R596" s="37"/>
      <c r="S596" s="37"/>
      <c r="T596" s="37"/>
      <c r="U596" s="37"/>
      <c r="V596" s="122"/>
      <c r="W596" s="122"/>
      <c r="X596" s="37"/>
      <c r="Y596" s="37"/>
      <c r="Z596" s="37"/>
    </row>
    <row r="597" spans="1:26" ht="13">
      <c r="A597" s="238"/>
      <c r="B597" s="292"/>
      <c r="C597" s="36"/>
      <c r="D597" s="290"/>
      <c r="E597" s="36"/>
      <c r="F597" s="36"/>
      <c r="G597" s="84"/>
      <c r="H597" s="36"/>
      <c r="I597" s="36"/>
      <c r="J597" s="293"/>
      <c r="K597" s="83"/>
      <c r="L597" s="293"/>
      <c r="M597" s="36"/>
      <c r="N597" s="36"/>
      <c r="O597" s="37"/>
      <c r="P597" s="37"/>
      <c r="Q597" s="237"/>
      <c r="R597" s="37"/>
      <c r="S597" s="37"/>
      <c r="T597" s="37"/>
      <c r="U597" s="37"/>
      <c r="V597" s="122"/>
      <c r="W597" s="122"/>
      <c r="X597" s="37"/>
      <c r="Y597" s="37"/>
      <c r="Z597" s="37"/>
    </row>
    <row r="598" spans="1:26" ht="13">
      <c r="A598" s="238"/>
      <c r="B598" s="292"/>
      <c r="C598" s="36"/>
      <c r="D598" s="290"/>
      <c r="E598" s="36"/>
      <c r="F598" s="36"/>
      <c r="G598" s="84"/>
      <c r="H598" s="36"/>
      <c r="I598" s="36"/>
      <c r="J598" s="293"/>
      <c r="K598" s="83"/>
      <c r="L598" s="293"/>
      <c r="M598" s="36"/>
      <c r="N598" s="36"/>
      <c r="O598" s="37"/>
      <c r="P598" s="37"/>
      <c r="Q598" s="237"/>
      <c r="R598" s="37"/>
      <c r="S598" s="37"/>
      <c r="T598" s="37"/>
      <c r="U598" s="37"/>
      <c r="V598" s="122"/>
      <c r="W598" s="122"/>
      <c r="X598" s="37"/>
      <c r="Y598" s="37"/>
      <c r="Z598" s="37"/>
    </row>
    <row r="599" spans="1:26" ht="13">
      <c r="A599" s="238"/>
      <c r="B599" s="292"/>
      <c r="C599" s="36"/>
      <c r="D599" s="290"/>
      <c r="E599" s="36"/>
      <c r="F599" s="36"/>
      <c r="G599" s="84"/>
      <c r="H599" s="36"/>
      <c r="I599" s="36"/>
      <c r="J599" s="293"/>
      <c r="K599" s="83"/>
      <c r="L599" s="293"/>
      <c r="M599" s="36"/>
      <c r="N599" s="36"/>
      <c r="O599" s="37"/>
      <c r="P599" s="37"/>
      <c r="Q599" s="237"/>
      <c r="R599" s="37"/>
      <c r="S599" s="37"/>
      <c r="T599" s="37"/>
      <c r="U599" s="37"/>
      <c r="V599" s="122"/>
      <c r="W599" s="122"/>
      <c r="X599" s="37"/>
      <c r="Y599" s="37"/>
      <c r="Z599" s="37"/>
    </row>
    <row r="600" spans="1:26" ht="13">
      <c r="A600" s="238"/>
      <c r="B600" s="292"/>
      <c r="C600" s="36"/>
      <c r="D600" s="290"/>
      <c r="E600" s="36"/>
      <c r="F600" s="36"/>
      <c r="G600" s="84"/>
      <c r="H600" s="36"/>
      <c r="I600" s="36"/>
      <c r="J600" s="293"/>
      <c r="K600" s="83"/>
      <c r="L600" s="293"/>
      <c r="M600" s="36"/>
      <c r="N600" s="36"/>
      <c r="O600" s="37"/>
      <c r="P600" s="37"/>
      <c r="Q600" s="237"/>
      <c r="R600" s="37"/>
      <c r="S600" s="37"/>
      <c r="T600" s="37"/>
      <c r="U600" s="37"/>
      <c r="V600" s="122"/>
      <c r="W600" s="122"/>
      <c r="X600" s="37"/>
      <c r="Y600" s="37"/>
      <c r="Z600" s="37"/>
    </row>
    <row r="601" spans="1:26" ht="13">
      <c r="A601" s="238"/>
      <c r="B601" s="292"/>
      <c r="C601" s="36"/>
      <c r="D601" s="290"/>
      <c r="E601" s="36"/>
      <c r="F601" s="36"/>
      <c r="G601" s="84"/>
      <c r="H601" s="36"/>
      <c r="I601" s="36"/>
      <c r="J601" s="293"/>
      <c r="K601" s="83"/>
      <c r="L601" s="293"/>
      <c r="M601" s="36"/>
      <c r="N601" s="36"/>
      <c r="O601" s="37"/>
      <c r="P601" s="37"/>
      <c r="Q601" s="237"/>
      <c r="R601" s="37"/>
      <c r="S601" s="37"/>
      <c r="T601" s="37"/>
      <c r="U601" s="37"/>
      <c r="V601" s="122"/>
      <c r="W601" s="122"/>
      <c r="X601" s="37"/>
      <c r="Y601" s="37"/>
      <c r="Z601" s="37"/>
    </row>
    <row r="602" spans="1:26" ht="13">
      <c r="A602" s="238"/>
      <c r="B602" s="292"/>
      <c r="C602" s="36"/>
      <c r="D602" s="290"/>
      <c r="E602" s="36"/>
      <c r="F602" s="36"/>
      <c r="G602" s="84"/>
      <c r="H602" s="36"/>
      <c r="I602" s="36"/>
      <c r="J602" s="293"/>
      <c r="K602" s="83"/>
      <c r="L602" s="293"/>
      <c r="M602" s="36"/>
      <c r="N602" s="36"/>
      <c r="O602" s="37"/>
      <c r="P602" s="37"/>
      <c r="Q602" s="237"/>
      <c r="R602" s="37"/>
      <c r="S602" s="37"/>
      <c r="T602" s="37"/>
      <c r="U602" s="37"/>
      <c r="V602" s="122"/>
      <c r="W602" s="122"/>
      <c r="X602" s="37"/>
      <c r="Y602" s="37"/>
      <c r="Z602" s="37"/>
    </row>
    <row r="603" spans="1:26" ht="13">
      <c r="A603" s="238"/>
      <c r="B603" s="292"/>
      <c r="C603" s="36"/>
      <c r="D603" s="290"/>
      <c r="E603" s="36"/>
      <c r="F603" s="36"/>
      <c r="G603" s="84"/>
      <c r="H603" s="36"/>
      <c r="I603" s="36"/>
      <c r="J603" s="293"/>
      <c r="K603" s="83"/>
      <c r="L603" s="293"/>
      <c r="M603" s="36"/>
      <c r="N603" s="36"/>
      <c r="O603" s="37"/>
      <c r="P603" s="37"/>
      <c r="Q603" s="237"/>
      <c r="R603" s="37"/>
      <c r="S603" s="37"/>
      <c r="T603" s="37"/>
      <c r="U603" s="37"/>
      <c r="V603" s="122"/>
      <c r="W603" s="122"/>
      <c r="X603" s="37"/>
      <c r="Y603" s="37"/>
      <c r="Z603" s="37"/>
    </row>
    <row r="604" spans="1:26" ht="13">
      <c r="A604" s="238"/>
      <c r="B604" s="292"/>
      <c r="C604" s="36"/>
      <c r="D604" s="290"/>
      <c r="E604" s="36"/>
      <c r="F604" s="36"/>
      <c r="G604" s="84"/>
      <c r="H604" s="36"/>
      <c r="I604" s="36"/>
      <c r="J604" s="293"/>
      <c r="K604" s="83"/>
      <c r="L604" s="293"/>
      <c r="M604" s="36"/>
      <c r="N604" s="36"/>
      <c r="O604" s="37"/>
      <c r="P604" s="37"/>
      <c r="Q604" s="237"/>
      <c r="R604" s="37"/>
      <c r="S604" s="37"/>
      <c r="T604" s="37"/>
      <c r="U604" s="37"/>
      <c r="V604" s="122"/>
      <c r="W604" s="122"/>
      <c r="X604" s="37"/>
      <c r="Y604" s="37"/>
      <c r="Z604" s="37"/>
    </row>
    <row r="605" spans="1:26" ht="13">
      <c r="A605" s="238"/>
      <c r="B605" s="292"/>
      <c r="C605" s="36"/>
      <c r="D605" s="290"/>
      <c r="E605" s="36"/>
      <c r="F605" s="36"/>
      <c r="G605" s="84"/>
      <c r="H605" s="36"/>
      <c r="I605" s="36"/>
      <c r="J605" s="293"/>
      <c r="K605" s="83"/>
      <c r="L605" s="293"/>
      <c r="M605" s="36"/>
      <c r="N605" s="36"/>
      <c r="O605" s="37"/>
      <c r="P605" s="37"/>
      <c r="Q605" s="237"/>
      <c r="R605" s="37"/>
      <c r="S605" s="37"/>
      <c r="T605" s="37"/>
      <c r="U605" s="37"/>
      <c r="V605" s="122"/>
      <c r="W605" s="122"/>
      <c r="X605" s="37"/>
      <c r="Y605" s="37"/>
      <c r="Z605" s="37"/>
    </row>
    <row r="606" spans="1:26" ht="13">
      <c r="A606" s="238"/>
      <c r="B606" s="292"/>
      <c r="C606" s="36"/>
      <c r="D606" s="290"/>
      <c r="E606" s="36"/>
      <c r="F606" s="36"/>
      <c r="G606" s="84"/>
      <c r="H606" s="36"/>
      <c r="I606" s="36"/>
      <c r="J606" s="293"/>
      <c r="K606" s="83"/>
      <c r="L606" s="293"/>
      <c r="M606" s="36"/>
      <c r="N606" s="36"/>
      <c r="O606" s="37"/>
      <c r="P606" s="37"/>
      <c r="Q606" s="237"/>
      <c r="R606" s="37"/>
      <c r="S606" s="37"/>
      <c r="T606" s="37"/>
      <c r="U606" s="37"/>
      <c r="V606" s="122"/>
      <c r="W606" s="122"/>
      <c r="X606" s="37"/>
      <c r="Y606" s="37"/>
      <c r="Z606" s="37"/>
    </row>
    <row r="607" spans="1:26" ht="13">
      <c r="A607" s="238"/>
      <c r="B607" s="292"/>
      <c r="C607" s="36"/>
      <c r="D607" s="290"/>
      <c r="E607" s="36"/>
      <c r="F607" s="36"/>
      <c r="G607" s="84"/>
      <c r="H607" s="36"/>
      <c r="I607" s="36"/>
      <c r="J607" s="293"/>
      <c r="K607" s="83"/>
      <c r="L607" s="293"/>
      <c r="M607" s="36"/>
      <c r="N607" s="36"/>
      <c r="O607" s="37"/>
      <c r="P607" s="37"/>
      <c r="Q607" s="237"/>
      <c r="R607" s="37"/>
      <c r="S607" s="37"/>
      <c r="T607" s="37"/>
      <c r="U607" s="37"/>
      <c r="V607" s="122"/>
      <c r="W607" s="122"/>
      <c r="X607" s="37"/>
      <c r="Y607" s="37"/>
      <c r="Z607" s="37"/>
    </row>
    <row r="608" spans="1:26" ht="13">
      <c r="A608" s="238"/>
      <c r="B608" s="292"/>
      <c r="C608" s="36"/>
      <c r="D608" s="290"/>
      <c r="E608" s="36"/>
      <c r="F608" s="36"/>
      <c r="G608" s="84"/>
      <c r="H608" s="36"/>
      <c r="I608" s="36"/>
      <c r="J608" s="293"/>
      <c r="K608" s="83"/>
      <c r="L608" s="293"/>
      <c r="M608" s="36"/>
      <c r="N608" s="36"/>
      <c r="O608" s="37"/>
      <c r="P608" s="37"/>
      <c r="Q608" s="237"/>
      <c r="R608" s="37"/>
      <c r="S608" s="37"/>
      <c r="T608" s="37"/>
      <c r="U608" s="37"/>
      <c r="V608" s="122"/>
      <c r="W608" s="122"/>
      <c r="X608" s="37"/>
      <c r="Y608" s="37"/>
      <c r="Z608" s="37"/>
    </row>
    <row r="609" spans="1:26" ht="13">
      <c r="A609" s="238"/>
      <c r="B609" s="292"/>
      <c r="C609" s="36"/>
      <c r="D609" s="290"/>
      <c r="E609" s="36"/>
      <c r="F609" s="36"/>
      <c r="G609" s="84"/>
      <c r="H609" s="36"/>
      <c r="I609" s="36"/>
      <c r="J609" s="293"/>
      <c r="K609" s="83"/>
      <c r="L609" s="293"/>
      <c r="M609" s="36"/>
      <c r="N609" s="36"/>
      <c r="O609" s="37"/>
      <c r="P609" s="37"/>
      <c r="Q609" s="237"/>
      <c r="R609" s="37"/>
      <c r="S609" s="37"/>
      <c r="T609" s="37"/>
      <c r="U609" s="37"/>
      <c r="V609" s="122"/>
      <c r="W609" s="122"/>
      <c r="X609" s="37"/>
      <c r="Y609" s="37"/>
      <c r="Z609" s="37"/>
    </row>
    <row r="610" spans="1:26" ht="13">
      <c r="A610" s="238"/>
      <c r="B610" s="292"/>
      <c r="C610" s="36"/>
      <c r="D610" s="290"/>
      <c r="E610" s="36"/>
      <c r="F610" s="36"/>
      <c r="G610" s="84"/>
      <c r="H610" s="36"/>
      <c r="I610" s="36"/>
      <c r="J610" s="293"/>
      <c r="K610" s="83"/>
      <c r="L610" s="293"/>
      <c r="M610" s="36"/>
      <c r="N610" s="36"/>
      <c r="O610" s="37"/>
      <c r="P610" s="37"/>
      <c r="Q610" s="237"/>
      <c r="R610" s="37"/>
      <c r="S610" s="37"/>
      <c r="T610" s="37"/>
      <c r="U610" s="37"/>
      <c r="V610" s="122"/>
      <c r="W610" s="122"/>
      <c r="X610" s="37"/>
      <c r="Y610" s="37"/>
      <c r="Z610" s="37"/>
    </row>
    <row r="611" spans="1:26" ht="13">
      <c r="A611" s="238"/>
      <c r="B611" s="292"/>
      <c r="C611" s="36"/>
      <c r="D611" s="290"/>
      <c r="E611" s="36"/>
      <c r="F611" s="36"/>
      <c r="G611" s="84"/>
      <c r="H611" s="36"/>
      <c r="I611" s="36"/>
      <c r="J611" s="293"/>
      <c r="K611" s="83"/>
      <c r="L611" s="293"/>
      <c r="M611" s="36"/>
      <c r="N611" s="36"/>
      <c r="O611" s="37"/>
      <c r="P611" s="37"/>
      <c r="Q611" s="237"/>
      <c r="R611" s="37"/>
      <c r="S611" s="37"/>
      <c r="T611" s="37"/>
      <c r="U611" s="37"/>
      <c r="V611" s="122"/>
      <c r="W611" s="122"/>
      <c r="X611" s="37"/>
      <c r="Y611" s="37"/>
      <c r="Z611" s="37"/>
    </row>
    <row r="612" spans="1:26" ht="13">
      <c r="A612" s="238"/>
      <c r="B612" s="292"/>
      <c r="C612" s="36"/>
      <c r="D612" s="290"/>
      <c r="E612" s="36"/>
      <c r="F612" s="36"/>
      <c r="G612" s="84"/>
      <c r="H612" s="36"/>
      <c r="I612" s="36"/>
      <c r="J612" s="293"/>
      <c r="K612" s="83"/>
      <c r="L612" s="293"/>
      <c r="M612" s="36"/>
      <c r="N612" s="36"/>
      <c r="O612" s="37"/>
      <c r="P612" s="37"/>
      <c r="Q612" s="237"/>
      <c r="R612" s="37"/>
      <c r="S612" s="37"/>
      <c r="T612" s="37"/>
      <c r="U612" s="37"/>
      <c r="V612" s="122"/>
      <c r="W612" s="122"/>
      <c r="X612" s="37"/>
      <c r="Y612" s="37"/>
      <c r="Z612" s="37"/>
    </row>
    <row r="613" spans="1:26" ht="13">
      <c r="A613" s="238"/>
      <c r="B613" s="292"/>
      <c r="C613" s="36"/>
      <c r="D613" s="290"/>
      <c r="E613" s="36"/>
      <c r="F613" s="36"/>
      <c r="G613" s="84"/>
      <c r="H613" s="36"/>
      <c r="I613" s="36"/>
      <c r="J613" s="293"/>
      <c r="K613" s="83"/>
      <c r="L613" s="293"/>
      <c r="M613" s="36"/>
      <c r="N613" s="36"/>
      <c r="O613" s="37"/>
      <c r="P613" s="37"/>
      <c r="Q613" s="237"/>
      <c r="R613" s="37"/>
      <c r="S613" s="37"/>
      <c r="T613" s="37"/>
      <c r="U613" s="37"/>
      <c r="V613" s="122"/>
      <c r="W613" s="122"/>
      <c r="X613" s="37"/>
      <c r="Y613" s="37"/>
      <c r="Z613" s="37"/>
    </row>
    <row r="614" spans="1:26" ht="13">
      <c r="A614" s="238"/>
      <c r="B614" s="292"/>
      <c r="C614" s="36"/>
      <c r="D614" s="290"/>
      <c r="E614" s="36"/>
      <c r="F614" s="36"/>
      <c r="G614" s="84"/>
      <c r="H614" s="36"/>
      <c r="I614" s="36"/>
      <c r="J614" s="293"/>
      <c r="K614" s="83"/>
      <c r="L614" s="293"/>
      <c r="M614" s="36"/>
      <c r="N614" s="36"/>
      <c r="O614" s="37"/>
      <c r="P614" s="37"/>
      <c r="Q614" s="237"/>
      <c r="R614" s="37"/>
      <c r="S614" s="37"/>
      <c r="T614" s="37"/>
      <c r="U614" s="37"/>
      <c r="V614" s="122"/>
      <c r="W614" s="122"/>
      <c r="X614" s="37"/>
      <c r="Y614" s="37"/>
      <c r="Z614" s="37"/>
    </row>
    <row r="615" spans="1:26" ht="13">
      <c r="A615" s="238"/>
      <c r="B615" s="292"/>
      <c r="C615" s="36"/>
      <c r="D615" s="290"/>
      <c r="E615" s="36"/>
      <c r="F615" s="36"/>
      <c r="G615" s="84"/>
      <c r="H615" s="36"/>
      <c r="I615" s="36"/>
      <c r="J615" s="293"/>
      <c r="K615" s="83"/>
      <c r="L615" s="293"/>
      <c r="M615" s="36"/>
      <c r="N615" s="36"/>
      <c r="O615" s="37"/>
      <c r="P615" s="37"/>
      <c r="Q615" s="237"/>
      <c r="R615" s="37"/>
      <c r="S615" s="37"/>
      <c r="T615" s="37"/>
      <c r="U615" s="37"/>
      <c r="V615" s="122"/>
      <c r="W615" s="122"/>
      <c r="X615" s="37"/>
      <c r="Y615" s="37"/>
      <c r="Z615" s="37"/>
    </row>
    <row r="616" spans="1:26" ht="13">
      <c r="A616" s="238"/>
      <c r="B616" s="292"/>
      <c r="C616" s="36"/>
      <c r="D616" s="290"/>
      <c r="E616" s="36"/>
      <c r="F616" s="36"/>
      <c r="G616" s="84"/>
      <c r="H616" s="36"/>
      <c r="I616" s="36"/>
      <c r="J616" s="293"/>
      <c r="K616" s="83"/>
      <c r="L616" s="293"/>
      <c r="M616" s="36"/>
      <c r="N616" s="36"/>
      <c r="O616" s="37"/>
      <c r="P616" s="37"/>
      <c r="Q616" s="237"/>
      <c r="R616" s="37"/>
      <c r="S616" s="37"/>
      <c r="T616" s="37"/>
      <c r="U616" s="37"/>
      <c r="V616" s="122"/>
      <c r="W616" s="122"/>
      <c r="X616" s="37"/>
      <c r="Y616" s="37"/>
      <c r="Z616" s="37"/>
    </row>
    <row r="617" spans="1:26" ht="13">
      <c r="A617" s="238"/>
      <c r="B617" s="292"/>
      <c r="C617" s="36"/>
      <c r="D617" s="290"/>
      <c r="E617" s="36"/>
      <c r="F617" s="36"/>
      <c r="G617" s="84"/>
      <c r="H617" s="36"/>
      <c r="I617" s="36"/>
      <c r="J617" s="293"/>
      <c r="K617" s="83"/>
      <c r="L617" s="293"/>
      <c r="M617" s="36"/>
      <c r="N617" s="36"/>
      <c r="O617" s="37"/>
      <c r="P617" s="37"/>
      <c r="Q617" s="237"/>
      <c r="R617" s="37"/>
      <c r="S617" s="37"/>
      <c r="T617" s="37"/>
      <c r="U617" s="37"/>
      <c r="V617" s="122"/>
      <c r="W617" s="122"/>
      <c r="X617" s="37"/>
      <c r="Y617" s="37"/>
      <c r="Z617" s="37"/>
    </row>
    <row r="618" spans="1:26" ht="13">
      <c r="A618" s="238"/>
      <c r="B618" s="292"/>
      <c r="C618" s="36"/>
      <c r="D618" s="290"/>
      <c r="E618" s="36"/>
      <c r="F618" s="36"/>
      <c r="G618" s="84"/>
      <c r="H618" s="36"/>
      <c r="I618" s="36"/>
      <c r="J618" s="293"/>
      <c r="K618" s="83"/>
      <c r="L618" s="293"/>
      <c r="M618" s="36"/>
      <c r="N618" s="36"/>
      <c r="O618" s="37"/>
      <c r="P618" s="37"/>
      <c r="Q618" s="237"/>
      <c r="R618" s="37"/>
      <c r="S618" s="37"/>
      <c r="T618" s="37"/>
      <c r="U618" s="37"/>
      <c r="V618" s="122"/>
      <c r="W618" s="122"/>
      <c r="X618" s="37"/>
      <c r="Y618" s="37"/>
      <c r="Z618" s="37"/>
    </row>
    <row r="619" spans="1:26" ht="13">
      <c r="A619" s="238"/>
      <c r="B619" s="292"/>
      <c r="C619" s="36"/>
      <c r="D619" s="290"/>
      <c r="E619" s="36"/>
      <c r="F619" s="36"/>
      <c r="G619" s="84"/>
      <c r="H619" s="36"/>
      <c r="I619" s="36"/>
      <c r="J619" s="293"/>
      <c r="K619" s="83"/>
      <c r="L619" s="293"/>
      <c r="M619" s="36"/>
      <c r="N619" s="36"/>
      <c r="O619" s="37"/>
      <c r="P619" s="37"/>
      <c r="Q619" s="237"/>
      <c r="R619" s="37"/>
      <c r="S619" s="37"/>
      <c r="T619" s="37"/>
      <c r="U619" s="37"/>
      <c r="V619" s="122"/>
      <c r="W619" s="122"/>
      <c r="X619" s="37"/>
      <c r="Y619" s="37"/>
      <c r="Z619" s="37"/>
    </row>
    <row r="620" spans="1:26" ht="13">
      <c r="A620" s="238"/>
      <c r="B620" s="292"/>
      <c r="C620" s="36"/>
      <c r="D620" s="290"/>
      <c r="E620" s="36"/>
      <c r="F620" s="36"/>
      <c r="G620" s="84"/>
      <c r="H620" s="36"/>
      <c r="I620" s="36"/>
      <c r="J620" s="293"/>
      <c r="K620" s="83"/>
      <c r="L620" s="293"/>
      <c r="M620" s="36"/>
      <c r="N620" s="36"/>
      <c r="O620" s="37"/>
      <c r="P620" s="37"/>
      <c r="Q620" s="237"/>
      <c r="R620" s="37"/>
      <c r="S620" s="37"/>
      <c r="T620" s="37"/>
      <c r="U620" s="37"/>
      <c r="V620" s="122"/>
      <c r="W620" s="122"/>
      <c r="X620" s="37"/>
      <c r="Y620" s="37"/>
      <c r="Z620" s="37"/>
    </row>
    <row r="621" spans="1:26" ht="13">
      <c r="A621" s="238"/>
      <c r="B621" s="292"/>
      <c r="C621" s="36"/>
      <c r="D621" s="290"/>
      <c r="E621" s="36"/>
      <c r="F621" s="36"/>
      <c r="G621" s="84"/>
      <c r="H621" s="36"/>
      <c r="I621" s="36"/>
      <c r="J621" s="293"/>
      <c r="K621" s="83"/>
      <c r="L621" s="293"/>
      <c r="M621" s="36"/>
      <c r="N621" s="36"/>
      <c r="O621" s="37"/>
      <c r="P621" s="37"/>
      <c r="Q621" s="237"/>
      <c r="R621" s="37"/>
      <c r="S621" s="37"/>
      <c r="T621" s="37"/>
      <c r="U621" s="37"/>
      <c r="V621" s="122"/>
      <c r="W621" s="122"/>
      <c r="X621" s="37"/>
      <c r="Y621" s="37"/>
      <c r="Z621" s="37"/>
    </row>
    <row r="622" spans="1:26" ht="13">
      <c r="A622" s="238"/>
      <c r="B622" s="292"/>
      <c r="C622" s="36"/>
      <c r="D622" s="290"/>
      <c r="E622" s="36"/>
      <c r="F622" s="36"/>
      <c r="G622" s="84"/>
      <c r="H622" s="36"/>
      <c r="I622" s="36"/>
      <c r="J622" s="293"/>
      <c r="K622" s="83"/>
      <c r="L622" s="293"/>
      <c r="M622" s="36"/>
      <c r="N622" s="36"/>
      <c r="O622" s="37"/>
      <c r="P622" s="37"/>
      <c r="Q622" s="237"/>
      <c r="R622" s="37"/>
      <c r="S622" s="37"/>
      <c r="T622" s="37"/>
      <c r="U622" s="37"/>
      <c r="V622" s="122"/>
      <c r="W622" s="122"/>
      <c r="X622" s="37"/>
      <c r="Y622" s="37"/>
      <c r="Z622" s="37"/>
    </row>
    <row r="623" spans="1:26" ht="13">
      <c r="A623" s="238"/>
      <c r="B623" s="292"/>
      <c r="C623" s="36"/>
      <c r="D623" s="290"/>
      <c r="E623" s="36"/>
      <c r="F623" s="36"/>
      <c r="G623" s="84"/>
      <c r="H623" s="36"/>
      <c r="I623" s="36"/>
      <c r="J623" s="293"/>
      <c r="K623" s="83"/>
      <c r="L623" s="293"/>
      <c r="M623" s="36"/>
      <c r="N623" s="36"/>
      <c r="O623" s="37"/>
      <c r="P623" s="37"/>
      <c r="Q623" s="237"/>
      <c r="R623" s="37"/>
      <c r="S623" s="37"/>
      <c r="T623" s="37"/>
      <c r="U623" s="37"/>
      <c r="V623" s="122"/>
      <c r="W623" s="122"/>
      <c r="X623" s="37"/>
      <c r="Y623" s="37"/>
      <c r="Z623" s="37"/>
    </row>
    <row r="624" spans="1:26" ht="13">
      <c r="A624" s="238"/>
      <c r="B624" s="292"/>
      <c r="C624" s="36"/>
      <c r="D624" s="290"/>
      <c r="E624" s="36"/>
      <c r="F624" s="36"/>
      <c r="G624" s="84"/>
      <c r="H624" s="36"/>
      <c r="I624" s="36"/>
      <c r="J624" s="293"/>
      <c r="K624" s="83"/>
      <c r="L624" s="293"/>
      <c r="M624" s="36"/>
      <c r="N624" s="36"/>
      <c r="O624" s="37"/>
      <c r="P624" s="37"/>
      <c r="Q624" s="237"/>
      <c r="R624" s="37"/>
      <c r="S624" s="37"/>
      <c r="T624" s="37"/>
      <c r="U624" s="37"/>
      <c r="V624" s="122"/>
      <c r="W624" s="122"/>
      <c r="X624" s="37"/>
      <c r="Y624" s="37"/>
      <c r="Z624" s="37"/>
    </row>
    <row r="625" spans="1:26" ht="13">
      <c r="A625" s="238"/>
      <c r="B625" s="292"/>
      <c r="C625" s="36"/>
      <c r="D625" s="290"/>
      <c r="E625" s="36"/>
      <c r="F625" s="36"/>
      <c r="G625" s="84"/>
      <c r="H625" s="36"/>
      <c r="I625" s="36"/>
      <c r="J625" s="293"/>
      <c r="K625" s="83"/>
      <c r="L625" s="293"/>
      <c r="M625" s="36"/>
      <c r="N625" s="36"/>
      <c r="O625" s="37"/>
      <c r="P625" s="37"/>
      <c r="Q625" s="237"/>
      <c r="R625" s="37"/>
      <c r="S625" s="37"/>
      <c r="T625" s="37"/>
      <c r="U625" s="37"/>
      <c r="V625" s="122"/>
      <c r="W625" s="122"/>
      <c r="X625" s="37"/>
      <c r="Y625" s="37"/>
      <c r="Z625" s="37"/>
    </row>
    <row r="626" spans="1:26" ht="13">
      <c r="A626" s="238"/>
      <c r="B626" s="292"/>
      <c r="C626" s="36"/>
      <c r="D626" s="290"/>
      <c r="E626" s="36"/>
      <c r="F626" s="36"/>
      <c r="G626" s="84"/>
      <c r="H626" s="36"/>
      <c r="I626" s="36"/>
      <c r="J626" s="293"/>
      <c r="K626" s="83"/>
      <c r="L626" s="293"/>
      <c r="M626" s="36"/>
      <c r="N626" s="36"/>
      <c r="O626" s="37"/>
      <c r="P626" s="37"/>
      <c r="Q626" s="237"/>
      <c r="R626" s="37"/>
      <c r="S626" s="37"/>
      <c r="T626" s="37"/>
      <c r="U626" s="37"/>
      <c r="V626" s="122"/>
      <c r="W626" s="122"/>
      <c r="X626" s="37"/>
      <c r="Y626" s="37"/>
      <c r="Z626" s="37"/>
    </row>
    <row r="627" spans="1:26" ht="13">
      <c r="A627" s="238"/>
      <c r="B627" s="292"/>
      <c r="C627" s="36"/>
      <c r="D627" s="290"/>
      <c r="E627" s="36"/>
      <c r="F627" s="36"/>
      <c r="G627" s="84"/>
      <c r="H627" s="36"/>
      <c r="I627" s="36"/>
      <c r="J627" s="293"/>
      <c r="K627" s="83"/>
      <c r="L627" s="293"/>
      <c r="M627" s="36"/>
      <c r="N627" s="36"/>
      <c r="O627" s="37"/>
      <c r="P627" s="37"/>
      <c r="Q627" s="237"/>
      <c r="R627" s="37"/>
      <c r="S627" s="37"/>
      <c r="T627" s="37"/>
      <c r="U627" s="37"/>
      <c r="V627" s="122"/>
      <c r="W627" s="122"/>
      <c r="X627" s="37"/>
      <c r="Y627" s="37"/>
      <c r="Z627" s="37"/>
    </row>
    <row r="628" spans="1:26" ht="13">
      <c r="A628" s="238"/>
      <c r="B628" s="292"/>
      <c r="C628" s="36"/>
      <c r="D628" s="290"/>
      <c r="E628" s="36"/>
      <c r="F628" s="36"/>
      <c r="G628" s="84"/>
      <c r="H628" s="36"/>
      <c r="I628" s="36"/>
      <c r="J628" s="293"/>
      <c r="K628" s="83"/>
      <c r="L628" s="293"/>
      <c r="M628" s="36"/>
      <c r="N628" s="36"/>
      <c r="O628" s="37"/>
      <c r="P628" s="37"/>
      <c r="Q628" s="237"/>
      <c r="R628" s="37"/>
      <c r="S628" s="37"/>
      <c r="T628" s="37"/>
      <c r="U628" s="37"/>
      <c r="V628" s="122"/>
      <c r="W628" s="122"/>
      <c r="X628" s="37"/>
      <c r="Y628" s="37"/>
      <c r="Z628" s="37"/>
    </row>
    <row r="629" spans="1:26" ht="13">
      <c r="A629" s="238"/>
      <c r="B629" s="292"/>
      <c r="C629" s="36"/>
      <c r="D629" s="290"/>
      <c r="E629" s="36"/>
      <c r="F629" s="36"/>
      <c r="G629" s="84"/>
      <c r="H629" s="36"/>
      <c r="I629" s="36"/>
      <c r="J629" s="293"/>
      <c r="K629" s="83"/>
      <c r="L629" s="293"/>
      <c r="M629" s="36"/>
      <c r="N629" s="36"/>
      <c r="O629" s="37"/>
      <c r="P629" s="37"/>
      <c r="Q629" s="237"/>
      <c r="R629" s="37"/>
      <c r="S629" s="37"/>
      <c r="T629" s="37"/>
      <c r="U629" s="37"/>
      <c r="V629" s="122"/>
      <c r="W629" s="122"/>
      <c r="X629" s="37"/>
      <c r="Y629" s="37"/>
      <c r="Z629" s="37"/>
    </row>
    <row r="630" spans="1:26" ht="13">
      <c r="A630" s="238"/>
      <c r="B630" s="292"/>
      <c r="C630" s="36"/>
      <c r="D630" s="290"/>
      <c r="E630" s="36"/>
      <c r="F630" s="36"/>
      <c r="G630" s="84"/>
      <c r="H630" s="36"/>
      <c r="I630" s="36"/>
      <c r="J630" s="293"/>
      <c r="K630" s="83"/>
      <c r="L630" s="293"/>
      <c r="M630" s="36"/>
      <c r="N630" s="36"/>
      <c r="O630" s="37"/>
      <c r="P630" s="37"/>
      <c r="Q630" s="237"/>
      <c r="R630" s="37"/>
      <c r="S630" s="37"/>
      <c r="T630" s="37"/>
      <c r="U630" s="37"/>
      <c r="V630" s="122"/>
      <c r="W630" s="122"/>
      <c r="X630" s="37"/>
      <c r="Y630" s="37"/>
      <c r="Z630" s="37"/>
    </row>
    <row r="631" spans="1:26" ht="13">
      <c r="A631" s="238"/>
      <c r="B631" s="292"/>
      <c r="C631" s="36"/>
      <c r="D631" s="290"/>
      <c r="E631" s="36"/>
      <c r="F631" s="36"/>
      <c r="G631" s="84"/>
      <c r="H631" s="36"/>
      <c r="I631" s="36"/>
      <c r="J631" s="293"/>
      <c r="K631" s="83"/>
      <c r="L631" s="293"/>
      <c r="M631" s="36"/>
      <c r="N631" s="36"/>
      <c r="O631" s="37"/>
      <c r="P631" s="37"/>
      <c r="Q631" s="237"/>
      <c r="R631" s="37"/>
      <c r="S631" s="37"/>
      <c r="T631" s="37"/>
      <c r="U631" s="37"/>
      <c r="V631" s="122"/>
      <c r="W631" s="122"/>
      <c r="X631" s="37"/>
      <c r="Y631" s="37"/>
      <c r="Z631" s="37"/>
    </row>
    <row r="632" spans="1:26" ht="13">
      <c r="A632" s="238"/>
      <c r="B632" s="292"/>
      <c r="C632" s="36"/>
      <c r="D632" s="290"/>
      <c r="E632" s="36"/>
      <c r="F632" s="36"/>
      <c r="G632" s="84"/>
      <c r="H632" s="36"/>
      <c r="I632" s="36"/>
      <c r="J632" s="293"/>
      <c r="K632" s="83"/>
      <c r="L632" s="293"/>
      <c r="M632" s="36"/>
      <c r="N632" s="36"/>
      <c r="O632" s="37"/>
      <c r="P632" s="37"/>
      <c r="Q632" s="237"/>
      <c r="R632" s="37"/>
      <c r="S632" s="37"/>
      <c r="T632" s="37"/>
      <c r="U632" s="37"/>
      <c r="V632" s="122"/>
      <c r="W632" s="122"/>
      <c r="X632" s="37"/>
      <c r="Y632" s="37"/>
      <c r="Z632" s="37"/>
    </row>
    <row r="633" spans="1:26" ht="13">
      <c r="A633" s="238"/>
      <c r="B633" s="292"/>
      <c r="C633" s="36"/>
      <c r="D633" s="290"/>
      <c r="E633" s="36"/>
      <c r="F633" s="36"/>
      <c r="G633" s="84"/>
      <c r="H633" s="36"/>
      <c r="I633" s="36"/>
      <c r="J633" s="293"/>
      <c r="K633" s="83"/>
      <c r="L633" s="293"/>
      <c r="M633" s="36"/>
      <c r="N633" s="36"/>
      <c r="O633" s="37"/>
      <c r="P633" s="37"/>
      <c r="Q633" s="237"/>
      <c r="R633" s="37"/>
      <c r="S633" s="37"/>
      <c r="T633" s="37"/>
      <c r="U633" s="37"/>
      <c r="V633" s="122"/>
      <c r="W633" s="122"/>
      <c r="X633" s="37"/>
      <c r="Y633" s="37"/>
      <c r="Z633" s="37"/>
    </row>
    <row r="634" spans="1:26" ht="13">
      <c r="A634" s="238"/>
      <c r="B634" s="292"/>
      <c r="C634" s="36"/>
      <c r="D634" s="290"/>
      <c r="E634" s="36"/>
      <c r="F634" s="36"/>
      <c r="G634" s="84"/>
      <c r="H634" s="36"/>
      <c r="I634" s="36"/>
      <c r="J634" s="293"/>
      <c r="K634" s="83"/>
      <c r="L634" s="293"/>
      <c r="M634" s="36"/>
      <c r="N634" s="36"/>
      <c r="O634" s="37"/>
      <c r="P634" s="37"/>
      <c r="Q634" s="237"/>
      <c r="R634" s="37"/>
      <c r="S634" s="37"/>
      <c r="T634" s="37"/>
      <c r="U634" s="37"/>
      <c r="V634" s="122"/>
      <c r="W634" s="122"/>
      <c r="X634" s="37"/>
      <c r="Y634" s="37"/>
      <c r="Z634" s="37"/>
    </row>
    <row r="635" spans="1:26" ht="13">
      <c r="A635" s="238"/>
      <c r="B635" s="292"/>
      <c r="C635" s="36"/>
      <c r="D635" s="290"/>
      <c r="E635" s="36"/>
      <c r="F635" s="36"/>
      <c r="G635" s="84"/>
      <c r="H635" s="36"/>
      <c r="I635" s="36"/>
      <c r="J635" s="293"/>
      <c r="K635" s="83"/>
      <c r="L635" s="293"/>
      <c r="M635" s="36"/>
      <c r="N635" s="36"/>
      <c r="O635" s="37"/>
      <c r="P635" s="37"/>
      <c r="Q635" s="237"/>
      <c r="R635" s="37"/>
      <c r="S635" s="37"/>
      <c r="T635" s="37"/>
      <c r="U635" s="37"/>
      <c r="V635" s="122"/>
      <c r="W635" s="122"/>
      <c r="X635" s="37"/>
      <c r="Y635" s="37"/>
      <c r="Z635" s="37"/>
    </row>
    <row r="636" spans="1:26" ht="13">
      <c r="A636" s="238"/>
      <c r="B636" s="292"/>
      <c r="C636" s="36"/>
      <c r="D636" s="290"/>
      <c r="E636" s="36"/>
      <c r="F636" s="36"/>
      <c r="G636" s="84"/>
      <c r="H636" s="36"/>
      <c r="I636" s="36"/>
      <c r="J636" s="293"/>
      <c r="K636" s="83"/>
      <c r="L636" s="293"/>
      <c r="M636" s="36"/>
      <c r="N636" s="36"/>
      <c r="O636" s="37"/>
      <c r="P636" s="37"/>
      <c r="Q636" s="237"/>
      <c r="R636" s="37"/>
      <c r="S636" s="37"/>
      <c r="T636" s="37"/>
      <c r="U636" s="37"/>
      <c r="V636" s="122"/>
      <c r="W636" s="122"/>
      <c r="X636" s="37"/>
      <c r="Y636" s="37"/>
      <c r="Z636" s="37"/>
    </row>
    <row r="637" spans="1:26" ht="13">
      <c r="A637" s="238"/>
      <c r="B637" s="292"/>
      <c r="C637" s="36"/>
      <c r="D637" s="290"/>
      <c r="E637" s="36"/>
      <c r="F637" s="36"/>
      <c r="G637" s="84"/>
      <c r="H637" s="36"/>
      <c r="I637" s="36"/>
      <c r="J637" s="293"/>
      <c r="K637" s="83"/>
      <c r="L637" s="293"/>
      <c r="M637" s="36"/>
      <c r="N637" s="36"/>
      <c r="O637" s="37"/>
      <c r="P637" s="37"/>
      <c r="Q637" s="237"/>
      <c r="R637" s="37"/>
      <c r="S637" s="37"/>
      <c r="T637" s="37"/>
      <c r="U637" s="37"/>
      <c r="V637" s="122"/>
      <c r="W637" s="122"/>
      <c r="X637" s="37"/>
      <c r="Y637" s="37"/>
      <c r="Z637" s="37"/>
    </row>
    <row r="638" spans="1:26" ht="13">
      <c r="A638" s="238"/>
      <c r="B638" s="292"/>
      <c r="C638" s="36"/>
      <c r="D638" s="290"/>
      <c r="E638" s="36"/>
      <c r="F638" s="36"/>
      <c r="G638" s="84"/>
      <c r="H638" s="36"/>
      <c r="I638" s="36"/>
      <c r="J638" s="293"/>
      <c r="K638" s="83"/>
      <c r="L638" s="293"/>
      <c r="M638" s="36"/>
      <c r="N638" s="36"/>
      <c r="O638" s="37"/>
      <c r="P638" s="37"/>
      <c r="Q638" s="237"/>
      <c r="R638" s="37"/>
      <c r="S638" s="37"/>
      <c r="T638" s="37"/>
      <c r="U638" s="37"/>
      <c r="V638" s="122"/>
      <c r="W638" s="122"/>
      <c r="X638" s="37"/>
      <c r="Y638" s="37"/>
      <c r="Z638" s="37"/>
    </row>
    <row r="639" spans="1:26" ht="13">
      <c r="A639" s="238"/>
      <c r="B639" s="292"/>
      <c r="C639" s="36"/>
      <c r="D639" s="290"/>
      <c r="E639" s="36"/>
      <c r="F639" s="36"/>
      <c r="G639" s="84"/>
      <c r="H639" s="36"/>
      <c r="I639" s="36"/>
      <c r="J639" s="293"/>
      <c r="K639" s="83"/>
      <c r="L639" s="293"/>
      <c r="M639" s="36"/>
      <c r="N639" s="36"/>
      <c r="O639" s="37"/>
      <c r="P639" s="37"/>
      <c r="Q639" s="237"/>
      <c r="R639" s="37"/>
      <c r="S639" s="37"/>
      <c r="T639" s="37"/>
      <c r="U639" s="37"/>
      <c r="V639" s="122"/>
      <c r="W639" s="122"/>
      <c r="X639" s="37"/>
      <c r="Y639" s="37"/>
      <c r="Z639" s="37"/>
    </row>
    <row r="640" spans="1:26" ht="13">
      <c r="A640" s="238"/>
      <c r="B640" s="292"/>
      <c r="C640" s="36"/>
      <c r="D640" s="290"/>
      <c r="E640" s="36"/>
      <c r="F640" s="36"/>
      <c r="G640" s="84"/>
      <c r="H640" s="36"/>
      <c r="I640" s="36"/>
      <c r="J640" s="293"/>
      <c r="K640" s="83"/>
      <c r="L640" s="293"/>
      <c r="M640" s="36"/>
      <c r="N640" s="36"/>
      <c r="O640" s="37"/>
      <c r="P640" s="37"/>
      <c r="Q640" s="237"/>
      <c r="R640" s="37"/>
      <c r="S640" s="37"/>
      <c r="T640" s="37"/>
      <c r="U640" s="37"/>
      <c r="V640" s="122"/>
      <c r="W640" s="122"/>
      <c r="X640" s="37"/>
      <c r="Y640" s="37"/>
      <c r="Z640" s="37"/>
    </row>
    <row r="641" spans="1:26" ht="13">
      <c r="A641" s="238"/>
      <c r="B641" s="292"/>
      <c r="C641" s="36"/>
      <c r="D641" s="290"/>
      <c r="E641" s="36"/>
      <c r="F641" s="36"/>
      <c r="G641" s="84"/>
      <c r="H641" s="36"/>
      <c r="I641" s="36"/>
      <c r="J641" s="293"/>
      <c r="K641" s="83"/>
      <c r="L641" s="293"/>
      <c r="M641" s="36"/>
      <c r="N641" s="36"/>
      <c r="O641" s="37"/>
      <c r="P641" s="37"/>
      <c r="Q641" s="237"/>
      <c r="R641" s="37"/>
      <c r="S641" s="37"/>
      <c r="T641" s="37"/>
      <c r="U641" s="37"/>
      <c r="V641" s="122"/>
      <c r="W641" s="122"/>
      <c r="X641" s="37"/>
      <c r="Y641" s="37"/>
      <c r="Z641" s="37"/>
    </row>
    <row r="642" spans="1:26" ht="13">
      <c r="A642" s="238"/>
      <c r="B642" s="292"/>
      <c r="C642" s="36"/>
      <c r="D642" s="290"/>
      <c r="E642" s="36"/>
      <c r="F642" s="36"/>
      <c r="G642" s="84"/>
      <c r="H642" s="36"/>
      <c r="I642" s="36"/>
      <c r="J642" s="293"/>
      <c r="K642" s="83"/>
      <c r="L642" s="293"/>
      <c r="M642" s="36"/>
      <c r="N642" s="36"/>
      <c r="O642" s="37"/>
      <c r="P642" s="37"/>
      <c r="Q642" s="237"/>
      <c r="R642" s="37"/>
      <c r="S642" s="37"/>
      <c r="T642" s="37"/>
      <c r="U642" s="37"/>
      <c r="V642" s="122"/>
      <c r="W642" s="122"/>
      <c r="X642" s="37"/>
      <c r="Y642" s="37"/>
      <c r="Z642" s="37"/>
    </row>
    <row r="643" spans="1:26" ht="13">
      <c r="A643" s="238"/>
      <c r="B643" s="292"/>
      <c r="C643" s="36"/>
      <c r="D643" s="290"/>
      <c r="E643" s="36"/>
      <c r="F643" s="36"/>
      <c r="G643" s="84"/>
      <c r="H643" s="36"/>
      <c r="I643" s="36"/>
      <c r="J643" s="293"/>
      <c r="K643" s="83"/>
      <c r="L643" s="293"/>
      <c r="M643" s="36"/>
      <c r="N643" s="36"/>
      <c r="O643" s="37"/>
      <c r="P643" s="37"/>
      <c r="Q643" s="237"/>
      <c r="R643" s="37"/>
      <c r="S643" s="37"/>
      <c r="T643" s="37"/>
      <c r="U643" s="37"/>
      <c r="V643" s="122"/>
      <c r="W643" s="122"/>
      <c r="X643" s="37"/>
      <c r="Y643" s="37"/>
      <c r="Z643" s="37"/>
    </row>
    <row r="644" spans="1:26" ht="13">
      <c r="A644" s="238"/>
      <c r="B644" s="292"/>
      <c r="C644" s="36"/>
      <c r="D644" s="290"/>
      <c r="E644" s="36"/>
      <c r="F644" s="36"/>
      <c r="G644" s="84"/>
      <c r="H644" s="36"/>
      <c r="I644" s="36"/>
      <c r="J644" s="293"/>
      <c r="K644" s="83"/>
      <c r="L644" s="293"/>
      <c r="M644" s="36"/>
      <c r="N644" s="36"/>
      <c r="O644" s="37"/>
      <c r="P644" s="37"/>
      <c r="Q644" s="237"/>
      <c r="R644" s="37"/>
      <c r="S644" s="37"/>
      <c r="T644" s="37"/>
      <c r="U644" s="37"/>
      <c r="V644" s="122"/>
      <c r="W644" s="122"/>
      <c r="X644" s="37"/>
      <c r="Y644" s="37"/>
      <c r="Z644" s="37"/>
    </row>
    <row r="645" spans="1:26" ht="13">
      <c r="A645" s="238"/>
      <c r="B645" s="292"/>
      <c r="C645" s="36"/>
      <c r="D645" s="290"/>
      <c r="E645" s="36"/>
      <c r="F645" s="36"/>
      <c r="G645" s="84"/>
      <c r="H645" s="36"/>
      <c r="I645" s="36"/>
      <c r="J645" s="293"/>
      <c r="K645" s="83"/>
      <c r="L645" s="293"/>
      <c r="M645" s="36"/>
      <c r="N645" s="36"/>
      <c r="O645" s="37"/>
      <c r="P645" s="37"/>
      <c r="Q645" s="237"/>
      <c r="R645" s="37"/>
      <c r="S645" s="37"/>
      <c r="T645" s="37"/>
      <c r="U645" s="37"/>
      <c r="V645" s="122"/>
      <c r="W645" s="122"/>
      <c r="X645" s="37"/>
      <c r="Y645" s="37"/>
      <c r="Z645" s="37"/>
    </row>
    <row r="646" spans="1:26" ht="13">
      <c r="A646" s="238"/>
      <c r="B646" s="292"/>
      <c r="C646" s="36"/>
      <c r="D646" s="290"/>
      <c r="E646" s="36"/>
      <c r="F646" s="36"/>
      <c r="G646" s="84"/>
      <c r="H646" s="36"/>
      <c r="I646" s="36"/>
      <c r="J646" s="293"/>
      <c r="K646" s="83"/>
      <c r="L646" s="293"/>
      <c r="M646" s="36"/>
      <c r="N646" s="36"/>
      <c r="O646" s="37"/>
      <c r="P646" s="37"/>
      <c r="Q646" s="237"/>
      <c r="R646" s="37"/>
      <c r="S646" s="37"/>
      <c r="T646" s="37"/>
      <c r="U646" s="37"/>
      <c r="V646" s="122"/>
      <c r="W646" s="122"/>
      <c r="X646" s="37"/>
      <c r="Y646" s="37"/>
      <c r="Z646" s="37"/>
    </row>
    <row r="647" spans="1:26" ht="13">
      <c r="A647" s="238"/>
      <c r="B647" s="292"/>
      <c r="C647" s="36"/>
      <c r="D647" s="290"/>
      <c r="E647" s="36"/>
      <c r="F647" s="36"/>
      <c r="G647" s="84"/>
      <c r="H647" s="36"/>
      <c r="I647" s="36"/>
      <c r="J647" s="293"/>
      <c r="K647" s="83"/>
      <c r="L647" s="293"/>
      <c r="M647" s="36"/>
      <c r="N647" s="36"/>
      <c r="O647" s="37"/>
      <c r="P647" s="37"/>
      <c r="Q647" s="237"/>
      <c r="R647" s="37"/>
      <c r="S647" s="37"/>
      <c r="T647" s="37"/>
      <c r="U647" s="37"/>
      <c r="V647" s="122"/>
      <c r="W647" s="122"/>
      <c r="X647" s="37"/>
      <c r="Y647" s="37"/>
      <c r="Z647" s="37"/>
    </row>
    <row r="648" spans="1:26" ht="13">
      <c r="A648" s="238"/>
      <c r="B648" s="292"/>
      <c r="C648" s="36"/>
      <c r="D648" s="290"/>
      <c r="E648" s="36"/>
      <c r="F648" s="36"/>
      <c r="G648" s="84"/>
      <c r="H648" s="36"/>
      <c r="I648" s="36"/>
      <c r="J648" s="293"/>
      <c r="K648" s="83"/>
      <c r="L648" s="293"/>
      <c r="M648" s="36"/>
      <c r="N648" s="36"/>
      <c r="O648" s="37"/>
      <c r="P648" s="37"/>
      <c r="Q648" s="237"/>
      <c r="R648" s="37"/>
      <c r="S648" s="37"/>
      <c r="T648" s="37"/>
      <c r="U648" s="37"/>
      <c r="V648" s="122"/>
      <c r="W648" s="122"/>
      <c r="X648" s="37"/>
      <c r="Y648" s="37"/>
      <c r="Z648" s="37"/>
    </row>
    <row r="649" spans="1:26" ht="13">
      <c r="A649" s="238"/>
      <c r="B649" s="292"/>
      <c r="C649" s="36"/>
      <c r="D649" s="290"/>
      <c r="E649" s="36"/>
      <c r="F649" s="36"/>
      <c r="G649" s="84"/>
      <c r="H649" s="36"/>
      <c r="I649" s="36"/>
      <c r="J649" s="293"/>
      <c r="K649" s="83"/>
      <c r="L649" s="293"/>
      <c r="M649" s="36"/>
      <c r="N649" s="36"/>
      <c r="O649" s="37"/>
      <c r="P649" s="37"/>
      <c r="Q649" s="237"/>
      <c r="R649" s="37"/>
      <c r="S649" s="37"/>
      <c r="T649" s="37"/>
      <c r="U649" s="37"/>
      <c r="V649" s="122"/>
      <c r="W649" s="122"/>
      <c r="X649" s="37"/>
      <c r="Y649" s="37"/>
      <c r="Z649" s="37"/>
    </row>
    <row r="650" spans="1:26" ht="13">
      <c r="A650" s="238"/>
      <c r="B650" s="292"/>
      <c r="C650" s="36"/>
      <c r="D650" s="290"/>
      <c r="E650" s="36"/>
      <c r="F650" s="36"/>
      <c r="G650" s="84"/>
      <c r="H650" s="36"/>
      <c r="I650" s="36"/>
      <c r="J650" s="293"/>
      <c r="K650" s="83"/>
      <c r="L650" s="293"/>
      <c r="M650" s="36"/>
      <c r="N650" s="36"/>
      <c r="O650" s="37"/>
      <c r="P650" s="37"/>
      <c r="Q650" s="237"/>
      <c r="R650" s="37"/>
      <c r="S650" s="37"/>
      <c r="T650" s="37"/>
      <c r="U650" s="37"/>
      <c r="V650" s="122"/>
      <c r="W650" s="122"/>
      <c r="X650" s="37"/>
      <c r="Y650" s="37"/>
      <c r="Z650" s="37"/>
    </row>
    <row r="651" spans="1:26" ht="13">
      <c r="A651" s="238"/>
      <c r="B651" s="292"/>
      <c r="C651" s="36"/>
      <c r="D651" s="290"/>
      <c r="E651" s="36"/>
      <c r="F651" s="36"/>
      <c r="G651" s="84"/>
      <c r="H651" s="36"/>
      <c r="I651" s="36"/>
      <c r="J651" s="293"/>
      <c r="K651" s="83"/>
      <c r="L651" s="293"/>
      <c r="M651" s="36"/>
      <c r="N651" s="36"/>
      <c r="O651" s="37"/>
      <c r="P651" s="37"/>
      <c r="Q651" s="237"/>
      <c r="R651" s="37"/>
      <c r="S651" s="37"/>
      <c r="T651" s="37"/>
      <c r="U651" s="37"/>
      <c r="V651" s="122"/>
      <c r="W651" s="122"/>
      <c r="X651" s="37"/>
      <c r="Y651" s="37"/>
      <c r="Z651" s="37"/>
    </row>
    <row r="652" spans="1:26" ht="13">
      <c r="A652" s="238"/>
      <c r="B652" s="292"/>
      <c r="C652" s="36"/>
      <c r="D652" s="290"/>
      <c r="E652" s="36"/>
      <c r="F652" s="36"/>
      <c r="G652" s="84"/>
      <c r="H652" s="36"/>
      <c r="I652" s="36"/>
      <c r="J652" s="293"/>
      <c r="K652" s="83"/>
      <c r="L652" s="293"/>
      <c r="M652" s="36"/>
      <c r="N652" s="36"/>
      <c r="O652" s="37"/>
      <c r="P652" s="37"/>
      <c r="Q652" s="237"/>
      <c r="R652" s="37"/>
      <c r="S652" s="37"/>
      <c r="T652" s="37"/>
      <c r="U652" s="37"/>
      <c r="V652" s="122"/>
      <c r="W652" s="122"/>
      <c r="X652" s="37"/>
      <c r="Y652" s="37"/>
      <c r="Z652" s="37"/>
    </row>
    <row r="653" spans="1:26" ht="13">
      <c r="A653" s="238"/>
      <c r="B653" s="292"/>
      <c r="C653" s="36"/>
      <c r="D653" s="290"/>
      <c r="E653" s="36"/>
      <c r="F653" s="36"/>
      <c r="G653" s="84"/>
      <c r="H653" s="36"/>
      <c r="I653" s="36"/>
      <c r="J653" s="293"/>
      <c r="K653" s="83"/>
      <c r="L653" s="293"/>
      <c r="M653" s="36"/>
      <c r="N653" s="36"/>
      <c r="O653" s="37"/>
      <c r="P653" s="37"/>
      <c r="Q653" s="237"/>
      <c r="R653" s="37"/>
      <c r="S653" s="37"/>
      <c r="T653" s="37"/>
      <c r="U653" s="37"/>
      <c r="V653" s="122"/>
      <c r="W653" s="122"/>
      <c r="X653" s="37"/>
      <c r="Y653" s="37"/>
      <c r="Z653" s="37"/>
    </row>
    <row r="654" spans="1:26" ht="13">
      <c r="A654" s="238"/>
      <c r="B654" s="292"/>
      <c r="C654" s="36"/>
      <c r="D654" s="290"/>
      <c r="E654" s="36"/>
      <c r="F654" s="36"/>
      <c r="G654" s="84"/>
      <c r="H654" s="36"/>
      <c r="I654" s="36"/>
      <c r="J654" s="293"/>
      <c r="K654" s="83"/>
      <c r="L654" s="293"/>
      <c r="M654" s="36"/>
      <c r="N654" s="36"/>
      <c r="O654" s="37"/>
      <c r="P654" s="37"/>
      <c r="Q654" s="237"/>
      <c r="R654" s="37"/>
      <c r="S654" s="37"/>
      <c r="T654" s="37"/>
      <c r="U654" s="37"/>
      <c r="V654" s="122"/>
      <c r="W654" s="122"/>
      <c r="X654" s="37"/>
      <c r="Y654" s="37"/>
      <c r="Z654" s="37"/>
    </row>
    <row r="655" spans="1:26" ht="13">
      <c r="A655" s="238"/>
      <c r="B655" s="292"/>
      <c r="C655" s="36"/>
      <c r="D655" s="290"/>
      <c r="E655" s="36"/>
      <c r="F655" s="36"/>
      <c r="G655" s="84"/>
      <c r="H655" s="36"/>
      <c r="I655" s="36"/>
      <c r="J655" s="293"/>
      <c r="K655" s="83"/>
      <c r="L655" s="293"/>
      <c r="M655" s="36"/>
      <c r="N655" s="36"/>
      <c r="O655" s="37"/>
      <c r="P655" s="37"/>
      <c r="Q655" s="237"/>
      <c r="R655" s="37"/>
      <c r="S655" s="37"/>
      <c r="T655" s="37"/>
      <c r="U655" s="37"/>
      <c r="V655" s="122"/>
      <c r="W655" s="122"/>
      <c r="X655" s="37"/>
      <c r="Y655" s="37"/>
      <c r="Z655" s="37"/>
    </row>
    <row r="656" spans="1:26" ht="13">
      <c r="A656" s="238"/>
      <c r="B656" s="292"/>
      <c r="C656" s="36"/>
      <c r="D656" s="290"/>
      <c r="E656" s="36"/>
      <c r="F656" s="36"/>
      <c r="G656" s="84"/>
      <c r="H656" s="36"/>
      <c r="I656" s="36"/>
      <c r="J656" s="293"/>
      <c r="K656" s="83"/>
      <c r="L656" s="293"/>
      <c r="M656" s="36"/>
      <c r="N656" s="36"/>
      <c r="O656" s="37"/>
      <c r="P656" s="37"/>
      <c r="Q656" s="237"/>
      <c r="R656" s="37"/>
      <c r="S656" s="37"/>
      <c r="T656" s="37"/>
      <c r="U656" s="37"/>
      <c r="V656" s="122"/>
      <c r="W656" s="122"/>
      <c r="X656" s="37"/>
      <c r="Y656" s="37"/>
      <c r="Z656" s="37"/>
    </row>
    <row r="657" spans="1:26" ht="13">
      <c r="A657" s="238"/>
      <c r="B657" s="292"/>
      <c r="C657" s="36"/>
      <c r="D657" s="290"/>
      <c r="E657" s="36"/>
      <c r="F657" s="36"/>
      <c r="G657" s="84"/>
      <c r="H657" s="36"/>
      <c r="I657" s="36"/>
      <c r="J657" s="293"/>
      <c r="K657" s="83"/>
      <c r="L657" s="293"/>
      <c r="M657" s="36"/>
      <c r="N657" s="36"/>
      <c r="O657" s="37"/>
      <c r="P657" s="37"/>
      <c r="Q657" s="237"/>
      <c r="R657" s="37"/>
      <c r="S657" s="37"/>
      <c r="T657" s="37"/>
      <c r="U657" s="37"/>
      <c r="V657" s="122"/>
      <c r="W657" s="122"/>
      <c r="X657" s="37"/>
      <c r="Y657" s="37"/>
      <c r="Z657" s="37"/>
    </row>
    <row r="658" spans="1:26" ht="13">
      <c r="A658" s="238"/>
      <c r="B658" s="292"/>
      <c r="C658" s="36"/>
      <c r="D658" s="290"/>
      <c r="E658" s="36"/>
      <c r="F658" s="36"/>
      <c r="G658" s="84"/>
      <c r="H658" s="36"/>
      <c r="I658" s="36"/>
      <c r="J658" s="293"/>
      <c r="K658" s="83"/>
      <c r="L658" s="293"/>
      <c r="M658" s="36"/>
      <c r="N658" s="36"/>
      <c r="O658" s="37"/>
      <c r="P658" s="37"/>
      <c r="Q658" s="237"/>
      <c r="R658" s="37"/>
      <c r="S658" s="37"/>
      <c r="T658" s="37"/>
      <c r="U658" s="37"/>
      <c r="V658" s="122"/>
      <c r="W658" s="122"/>
      <c r="X658" s="37"/>
      <c r="Y658" s="37"/>
      <c r="Z658" s="37"/>
    </row>
    <row r="659" spans="1:26" ht="13">
      <c r="A659" s="238"/>
      <c r="B659" s="292"/>
      <c r="C659" s="36"/>
      <c r="D659" s="290"/>
      <c r="E659" s="36"/>
      <c r="F659" s="36"/>
      <c r="G659" s="84"/>
      <c r="H659" s="36"/>
      <c r="I659" s="36"/>
      <c r="J659" s="293"/>
      <c r="K659" s="83"/>
      <c r="L659" s="293"/>
      <c r="M659" s="36"/>
      <c r="N659" s="36"/>
      <c r="O659" s="37"/>
      <c r="P659" s="37"/>
      <c r="Q659" s="237"/>
      <c r="R659" s="37"/>
      <c r="S659" s="37"/>
      <c r="T659" s="37"/>
      <c r="U659" s="37"/>
      <c r="V659" s="122"/>
      <c r="W659" s="122"/>
      <c r="X659" s="37"/>
      <c r="Y659" s="37"/>
      <c r="Z659" s="37"/>
    </row>
    <row r="660" spans="1:26" ht="13">
      <c r="A660" s="238"/>
      <c r="B660" s="292"/>
      <c r="C660" s="36"/>
      <c r="D660" s="290"/>
      <c r="E660" s="36"/>
      <c r="F660" s="36"/>
      <c r="G660" s="84"/>
      <c r="H660" s="36"/>
      <c r="I660" s="36"/>
      <c r="J660" s="293"/>
      <c r="K660" s="83"/>
      <c r="L660" s="293"/>
      <c r="M660" s="36"/>
      <c r="N660" s="36"/>
      <c r="O660" s="37"/>
      <c r="P660" s="37"/>
      <c r="Q660" s="237"/>
      <c r="R660" s="37"/>
      <c r="S660" s="37"/>
      <c r="T660" s="37"/>
      <c r="U660" s="37"/>
      <c r="V660" s="122"/>
      <c r="W660" s="122"/>
      <c r="X660" s="37"/>
      <c r="Y660" s="37"/>
      <c r="Z660" s="37"/>
    </row>
    <row r="661" spans="1:26" ht="13">
      <c r="A661" s="238"/>
      <c r="B661" s="292"/>
      <c r="C661" s="36"/>
      <c r="D661" s="290"/>
      <c r="E661" s="36"/>
      <c r="F661" s="36"/>
      <c r="G661" s="84"/>
      <c r="H661" s="36"/>
      <c r="I661" s="36"/>
      <c r="J661" s="293"/>
      <c r="K661" s="83"/>
      <c r="L661" s="293"/>
      <c r="M661" s="36"/>
      <c r="N661" s="36"/>
      <c r="O661" s="37"/>
      <c r="P661" s="37"/>
      <c r="Q661" s="237"/>
      <c r="R661" s="37"/>
      <c r="S661" s="37"/>
      <c r="T661" s="37"/>
      <c r="U661" s="37"/>
      <c r="V661" s="122"/>
      <c r="W661" s="122"/>
      <c r="X661" s="37"/>
      <c r="Y661" s="37"/>
      <c r="Z661" s="37"/>
    </row>
    <row r="662" spans="1:26" ht="13">
      <c r="A662" s="238"/>
      <c r="B662" s="292"/>
      <c r="C662" s="36"/>
      <c r="D662" s="290"/>
      <c r="E662" s="36"/>
      <c r="F662" s="36"/>
      <c r="G662" s="84"/>
      <c r="H662" s="36"/>
      <c r="I662" s="36"/>
      <c r="J662" s="293"/>
      <c r="K662" s="83"/>
      <c r="L662" s="293"/>
      <c r="M662" s="36"/>
      <c r="N662" s="36"/>
      <c r="O662" s="37"/>
      <c r="P662" s="37"/>
      <c r="Q662" s="237"/>
      <c r="R662" s="37"/>
      <c r="S662" s="37"/>
      <c r="T662" s="37"/>
      <c r="U662" s="37"/>
      <c r="V662" s="122"/>
      <c r="W662" s="122"/>
      <c r="X662" s="37"/>
      <c r="Y662" s="37"/>
      <c r="Z662" s="37"/>
    </row>
    <row r="663" spans="1:26" ht="13">
      <c r="A663" s="238"/>
      <c r="B663" s="292"/>
      <c r="C663" s="36"/>
      <c r="D663" s="290"/>
      <c r="E663" s="36"/>
      <c r="F663" s="36"/>
      <c r="G663" s="84"/>
      <c r="H663" s="36"/>
      <c r="I663" s="36"/>
      <c r="J663" s="293"/>
      <c r="K663" s="83"/>
      <c r="L663" s="293"/>
      <c r="M663" s="36"/>
      <c r="N663" s="36"/>
      <c r="O663" s="37"/>
      <c r="P663" s="37"/>
      <c r="Q663" s="237"/>
      <c r="R663" s="37"/>
      <c r="S663" s="37"/>
      <c r="T663" s="37"/>
      <c r="U663" s="37"/>
      <c r="V663" s="122"/>
      <c r="W663" s="122"/>
      <c r="X663" s="37"/>
      <c r="Y663" s="37"/>
      <c r="Z663" s="37"/>
    </row>
    <row r="664" spans="1:26" ht="13">
      <c r="A664" s="238"/>
      <c r="B664" s="292"/>
      <c r="C664" s="36"/>
      <c r="D664" s="290"/>
      <c r="E664" s="36"/>
      <c r="F664" s="36"/>
      <c r="G664" s="84"/>
      <c r="H664" s="36"/>
      <c r="I664" s="36"/>
      <c r="J664" s="293"/>
      <c r="K664" s="83"/>
      <c r="L664" s="293"/>
      <c r="M664" s="36"/>
      <c r="N664" s="36"/>
      <c r="O664" s="37"/>
      <c r="P664" s="37"/>
      <c r="Q664" s="237"/>
      <c r="R664" s="37"/>
      <c r="S664" s="37"/>
      <c r="T664" s="37"/>
      <c r="U664" s="37"/>
      <c r="V664" s="122"/>
      <c r="W664" s="122"/>
      <c r="X664" s="37"/>
      <c r="Y664" s="37"/>
      <c r="Z664" s="37"/>
    </row>
    <row r="665" spans="1:26" ht="13">
      <c r="A665" s="238"/>
      <c r="B665" s="292"/>
      <c r="C665" s="36"/>
      <c r="D665" s="290"/>
      <c r="E665" s="36"/>
      <c r="F665" s="36"/>
      <c r="G665" s="84"/>
      <c r="H665" s="36"/>
      <c r="I665" s="36"/>
      <c r="J665" s="293"/>
      <c r="K665" s="83"/>
      <c r="L665" s="293"/>
      <c r="M665" s="36"/>
      <c r="N665" s="36"/>
      <c r="O665" s="37"/>
      <c r="P665" s="37"/>
      <c r="Q665" s="237"/>
      <c r="R665" s="37"/>
      <c r="S665" s="37"/>
      <c r="T665" s="37"/>
      <c r="U665" s="37"/>
      <c r="V665" s="122"/>
      <c r="W665" s="122"/>
      <c r="X665" s="37"/>
      <c r="Y665" s="37"/>
      <c r="Z665" s="37"/>
    </row>
    <row r="666" spans="1:26" ht="13">
      <c r="A666" s="238"/>
      <c r="B666" s="292"/>
      <c r="C666" s="36"/>
      <c r="D666" s="290"/>
      <c r="E666" s="36"/>
      <c r="F666" s="36"/>
      <c r="G666" s="84"/>
      <c r="H666" s="36"/>
      <c r="I666" s="36"/>
      <c r="J666" s="293"/>
      <c r="K666" s="83"/>
      <c r="L666" s="293"/>
      <c r="M666" s="36"/>
      <c r="N666" s="36"/>
      <c r="O666" s="37"/>
      <c r="P666" s="37"/>
      <c r="Q666" s="237"/>
      <c r="R666" s="37"/>
      <c r="S666" s="37"/>
      <c r="T666" s="37"/>
      <c r="U666" s="37"/>
      <c r="V666" s="122"/>
      <c r="W666" s="122"/>
      <c r="X666" s="37"/>
      <c r="Y666" s="37"/>
      <c r="Z666" s="37"/>
    </row>
    <row r="667" spans="1:26" ht="13">
      <c r="A667" s="238"/>
      <c r="B667" s="292"/>
      <c r="C667" s="36"/>
      <c r="D667" s="290"/>
      <c r="E667" s="36"/>
      <c r="F667" s="36"/>
      <c r="G667" s="84"/>
      <c r="H667" s="36"/>
      <c r="I667" s="36"/>
      <c r="J667" s="293"/>
      <c r="K667" s="83"/>
      <c r="L667" s="293"/>
      <c r="M667" s="36"/>
      <c r="N667" s="36"/>
      <c r="O667" s="37"/>
      <c r="P667" s="37"/>
      <c r="Q667" s="237"/>
      <c r="R667" s="37"/>
      <c r="S667" s="37"/>
      <c r="T667" s="37"/>
      <c r="U667" s="37"/>
      <c r="V667" s="122"/>
      <c r="W667" s="122"/>
      <c r="X667" s="37"/>
      <c r="Y667" s="37"/>
      <c r="Z667" s="37"/>
    </row>
    <row r="668" spans="1:26" ht="13">
      <c r="A668" s="238"/>
      <c r="B668" s="292"/>
      <c r="C668" s="36"/>
      <c r="D668" s="290"/>
      <c r="E668" s="36"/>
      <c r="F668" s="36"/>
      <c r="G668" s="84"/>
      <c r="H668" s="36"/>
      <c r="I668" s="36"/>
      <c r="J668" s="293"/>
      <c r="K668" s="83"/>
      <c r="L668" s="293"/>
      <c r="M668" s="36"/>
      <c r="N668" s="36"/>
      <c r="O668" s="37"/>
      <c r="P668" s="37"/>
      <c r="Q668" s="237"/>
      <c r="R668" s="37"/>
      <c r="S668" s="37"/>
      <c r="T668" s="37"/>
      <c r="U668" s="37"/>
      <c r="V668" s="122"/>
      <c r="W668" s="122"/>
      <c r="X668" s="37"/>
      <c r="Y668" s="37"/>
      <c r="Z668" s="37"/>
    </row>
    <row r="669" spans="1:26" ht="13">
      <c r="A669" s="238"/>
      <c r="B669" s="292"/>
      <c r="C669" s="36"/>
      <c r="D669" s="290"/>
      <c r="E669" s="36"/>
      <c r="F669" s="36"/>
      <c r="G669" s="84"/>
      <c r="H669" s="36"/>
      <c r="I669" s="36"/>
      <c r="J669" s="293"/>
      <c r="K669" s="83"/>
      <c r="L669" s="293"/>
      <c r="M669" s="36"/>
      <c r="N669" s="36"/>
      <c r="O669" s="37"/>
      <c r="P669" s="37"/>
      <c r="Q669" s="237"/>
      <c r="R669" s="37"/>
      <c r="S669" s="37"/>
      <c r="T669" s="37"/>
      <c r="U669" s="37"/>
      <c r="V669" s="122"/>
      <c r="W669" s="122"/>
      <c r="X669" s="37"/>
      <c r="Y669" s="37"/>
      <c r="Z669" s="37"/>
    </row>
    <row r="670" spans="1:26" ht="13">
      <c r="A670" s="238"/>
      <c r="B670" s="292"/>
      <c r="C670" s="36"/>
      <c r="D670" s="290"/>
      <c r="E670" s="36"/>
      <c r="F670" s="36"/>
      <c r="G670" s="84"/>
      <c r="H670" s="36"/>
      <c r="I670" s="36"/>
      <c r="J670" s="293"/>
      <c r="K670" s="83"/>
      <c r="L670" s="293"/>
      <c r="M670" s="36"/>
      <c r="N670" s="36"/>
      <c r="O670" s="37"/>
      <c r="P670" s="37"/>
      <c r="Q670" s="237"/>
      <c r="R670" s="37"/>
      <c r="S670" s="37"/>
      <c r="T670" s="37"/>
      <c r="U670" s="37"/>
      <c r="V670" s="122"/>
      <c r="W670" s="122"/>
      <c r="X670" s="37"/>
      <c r="Y670" s="37"/>
      <c r="Z670" s="37"/>
    </row>
    <row r="671" spans="1:26" ht="13">
      <c r="A671" s="238"/>
      <c r="B671" s="292"/>
      <c r="C671" s="36"/>
      <c r="D671" s="290"/>
      <c r="E671" s="36"/>
      <c r="F671" s="36"/>
      <c r="G671" s="84"/>
      <c r="H671" s="36"/>
      <c r="I671" s="36"/>
      <c r="J671" s="293"/>
      <c r="K671" s="83"/>
      <c r="L671" s="293"/>
      <c r="M671" s="36"/>
      <c r="N671" s="36"/>
      <c r="O671" s="37"/>
      <c r="P671" s="37"/>
      <c r="Q671" s="237"/>
      <c r="R671" s="37"/>
      <c r="S671" s="37"/>
      <c r="T671" s="37"/>
      <c r="U671" s="37"/>
      <c r="V671" s="122"/>
      <c r="W671" s="122"/>
      <c r="X671" s="37"/>
      <c r="Y671" s="37"/>
      <c r="Z671" s="37"/>
    </row>
    <row r="672" spans="1:26" ht="13">
      <c r="A672" s="238"/>
      <c r="B672" s="292"/>
      <c r="C672" s="36"/>
      <c r="D672" s="290"/>
      <c r="E672" s="36"/>
      <c r="F672" s="36"/>
      <c r="G672" s="84"/>
      <c r="H672" s="36"/>
      <c r="I672" s="36"/>
      <c r="J672" s="293"/>
      <c r="K672" s="83"/>
      <c r="L672" s="293"/>
      <c r="M672" s="36"/>
      <c r="N672" s="36"/>
      <c r="O672" s="37"/>
      <c r="P672" s="37"/>
      <c r="Q672" s="237"/>
      <c r="R672" s="37"/>
      <c r="S672" s="37"/>
      <c r="T672" s="37"/>
      <c r="U672" s="37"/>
      <c r="V672" s="122"/>
      <c r="W672" s="122"/>
      <c r="X672" s="37"/>
      <c r="Y672" s="37"/>
      <c r="Z672" s="37"/>
    </row>
    <row r="673" spans="1:26" ht="13">
      <c r="A673" s="238"/>
      <c r="B673" s="292"/>
      <c r="C673" s="36"/>
      <c r="D673" s="290"/>
      <c r="E673" s="36"/>
      <c r="F673" s="36"/>
      <c r="G673" s="84"/>
      <c r="H673" s="36"/>
      <c r="I673" s="36"/>
      <c r="J673" s="293"/>
      <c r="K673" s="83"/>
      <c r="L673" s="293"/>
      <c r="M673" s="36"/>
      <c r="N673" s="36"/>
      <c r="O673" s="37"/>
      <c r="P673" s="37"/>
      <c r="Q673" s="237"/>
      <c r="R673" s="37"/>
      <c r="S673" s="37"/>
      <c r="T673" s="37"/>
      <c r="U673" s="37"/>
      <c r="V673" s="122"/>
      <c r="W673" s="122"/>
      <c r="X673" s="37"/>
      <c r="Y673" s="37"/>
      <c r="Z673" s="37"/>
    </row>
    <row r="674" spans="1:26" ht="13">
      <c r="A674" s="238"/>
      <c r="B674" s="292"/>
      <c r="C674" s="36"/>
      <c r="D674" s="290"/>
      <c r="E674" s="36"/>
      <c r="F674" s="36"/>
      <c r="G674" s="84"/>
      <c r="H674" s="36"/>
      <c r="I674" s="36"/>
      <c r="J674" s="293"/>
      <c r="K674" s="83"/>
      <c r="L674" s="293"/>
      <c r="M674" s="36"/>
      <c r="N674" s="36"/>
      <c r="O674" s="37"/>
      <c r="P674" s="37"/>
      <c r="Q674" s="237"/>
      <c r="R674" s="37"/>
      <c r="S674" s="37"/>
      <c r="T674" s="37"/>
      <c r="U674" s="37"/>
      <c r="V674" s="122"/>
      <c r="W674" s="122"/>
      <c r="X674" s="37"/>
      <c r="Y674" s="37"/>
      <c r="Z674" s="37"/>
    </row>
    <row r="675" spans="1:26" ht="13">
      <c r="A675" s="238"/>
      <c r="B675" s="292"/>
      <c r="C675" s="36"/>
      <c r="D675" s="290"/>
      <c r="E675" s="36"/>
      <c r="F675" s="36"/>
      <c r="G675" s="84"/>
      <c r="H675" s="36"/>
      <c r="I675" s="36"/>
      <c r="J675" s="293"/>
      <c r="K675" s="83"/>
      <c r="L675" s="293"/>
      <c r="M675" s="36"/>
      <c r="N675" s="36"/>
      <c r="O675" s="37"/>
      <c r="P675" s="37"/>
      <c r="Q675" s="237"/>
      <c r="R675" s="37"/>
      <c r="S675" s="37"/>
      <c r="T675" s="37"/>
      <c r="U675" s="37"/>
      <c r="V675" s="122"/>
      <c r="W675" s="122"/>
      <c r="X675" s="37"/>
      <c r="Y675" s="37"/>
      <c r="Z675" s="37"/>
    </row>
    <row r="676" spans="1:26" ht="13">
      <c r="A676" s="238"/>
      <c r="B676" s="292"/>
      <c r="C676" s="36"/>
      <c r="D676" s="290"/>
      <c r="E676" s="36"/>
      <c r="F676" s="36"/>
      <c r="G676" s="84"/>
      <c r="H676" s="36"/>
      <c r="I676" s="36"/>
      <c r="J676" s="293"/>
      <c r="K676" s="83"/>
      <c r="L676" s="293"/>
      <c r="M676" s="36"/>
      <c r="N676" s="36"/>
      <c r="O676" s="37"/>
      <c r="P676" s="37"/>
      <c r="Q676" s="237"/>
      <c r="R676" s="37"/>
      <c r="S676" s="37"/>
      <c r="T676" s="37"/>
      <c r="U676" s="37"/>
      <c r="V676" s="122"/>
      <c r="W676" s="122"/>
      <c r="X676" s="37"/>
      <c r="Y676" s="37"/>
      <c r="Z676" s="37"/>
    </row>
    <row r="677" spans="1:26" ht="13">
      <c r="A677" s="238"/>
      <c r="B677" s="292"/>
      <c r="C677" s="36"/>
      <c r="D677" s="290"/>
      <c r="E677" s="36"/>
      <c r="F677" s="36"/>
      <c r="G677" s="84"/>
      <c r="H677" s="36"/>
      <c r="I677" s="36"/>
      <c r="J677" s="293"/>
      <c r="K677" s="83"/>
      <c r="L677" s="293"/>
      <c r="M677" s="36"/>
      <c r="N677" s="36"/>
      <c r="O677" s="37"/>
      <c r="P677" s="37"/>
      <c r="Q677" s="237"/>
      <c r="R677" s="37"/>
      <c r="S677" s="37"/>
      <c r="T677" s="37"/>
      <c r="U677" s="37"/>
      <c r="V677" s="122"/>
      <c r="W677" s="122"/>
      <c r="X677" s="37"/>
      <c r="Y677" s="37"/>
      <c r="Z677" s="37"/>
    </row>
    <row r="678" spans="1:26" ht="13">
      <c r="A678" s="238"/>
      <c r="B678" s="292"/>
      <c r="C678" s="36"/>
      <c r="D678" s="290"/>
      <c r="E678" s="36"/>
      <c r="F678" s="36"/>
      <c r="G678" s="84"/>
      <c r="H678" s="36"/>
      <c r="I678" s="36"/>
      <c r="J678" s="293"/>
      <c r="K678" s="83"/>
      <c r="L678" s="293"/>
      <c r="M678" s="36"/>
      <c r="N678" s="36"/>
      <c r="O678" s="37"/>
      <c r="P678" s="37"/>
      <c r="Q678" s="237"/>
      <c r="R678" s="37"/>
      <c r="S678" s="37"/>
      <c r="T678" s="37"/>
      <c r="U678" s="37"/>
      <c r="V678" s="122"/>
      <c r="W678" s="122"/>
      <c r="X678" s="37"/>
      <c r="Y678" s="37"/>
      <c r="Z678" s="37"/>
    </row>
    <row r="679" spans="1:26" ht="13">
      <c r="A679" s="238"/>
      <c r="B679" s="292"/>
      <c r="C679" s="36"/>
      <c r="D679" s="290"/>
      <c r="E679" s="36"/>
      <c r="F679" s="36"/>
      <c r="G679" s="84"/>
      <c r="H679" s="36"/>
      <c r="I679" s="36"/>
      <c r="J679" s="293"/>
      <c r="K679" s="83"/>
      <c r="L679" s="293"/>
      <c r="M679" s="36"/>
      <c r="N679" s="36"/>
      <c r="O679" s="37"/>
      <c r="P679" s="37"/>
      <c r="Q679" s="237"/>
      <c r="R679" s="37"/>
      <c r="S679" s="37"/>
      <c r="T679" s="37"/>
      <c r="U679" s="37"/>
      <c r="V679" s="122"/>
      <c r="W679" s="122"/>
      <c r="X679" s="37"/>
      <c r="Y679" s="37"/>
      <c r="Z679" s="37"/>
    </row>
    <row r="680" spans="1:26" ht="13">
      <c r="A680" s="238"/>
      <c r="B680" s="292"/>
      <c r="C680" s="36"/>
      <c r="D680" s="290"/>
      <c r="E680" s="36"/>
      <c r="F680" s="36"/>
      <c r="G680" s="84"/>
      <c r="H680" s="36"/>
      <c r="I680" s="36"/>
      <c r="J680" s="293"/>
      <c r="K680" s="83"/>
      <c r="L680" s="293"/>
      <c r="M680" s="36"/>
      <c r="N680" s="36"/>
      <c r="O680" s="37"/>
      <c r="P680" s="37"/>
      <c r="Q680" s="237"/>
      <c r="R680" s="37"/>
      <c r="S680" s="37"/>
      <c r="T680" s="37"/>
      <c r="U680" s="37"/>
      <c r="V680" s="122"/>
      <c r="W680" s="122"/>
      <c r="X680" s="37"/>
      <c r="Y680" s="37"/>
      <c r="Z680" s="37"/>
    </row>
    <row r="681" spans="1:26" ht="13">
      <c r="A681" s="238"/>
      <c r="B681" s="292"/>
      <c r="C681" s="36"/>
      <c r="D681" s="290"/>
      <c r="E681" s="36"/>
      <c r="F681" s="36"/>
      <c r="G681" s="84"/>
      <c r="H681" s="36"/>
      <c r="I681" s="36"/>
      <c r="J681" s="293"/>
      <c r="K681" s="83"/>
      <c r="L681" s="293"/>
      <c r="M681" s="36"/>
      <c r="N681" s="36"/>
      <c r="O681" s="37"/>
      <c r="P681" s="37"/>
      <c r="Q681" s="237"/>
      <c r="R681" s="37"/>
      <c r="S681" s="37"/>
      <c r="T681" s="37"/>
      <c r="U681" s="37"/>
      <c r="V681" s="122"/>
      <c r="W681" s="122"/>
      <c r="X681" s="37"/>
      <c r="Y681" s="37"/>
      <c r="Z681" s="37"/>
    </row>
    <row r="682" spans="1:26" ht="13">
      <c r="A682" s="238"/>
      <c r="B682" s="292"/>
      <c r="C682" s="36"/>
      <c r="D682" s="290"/>
      <c r="E682" s="36"/>
      <c r="F682" s="36"/>
      <c r="G682" s="84"/>
      <c r="H682" s="36"/>
      <c r="I682" s="36"/>
      <c r="J682" s="293"/>
      <c r="K682" s="83"/>
      <c r="L682" s="293"/>
      <c r="M682" s="36"/>
      <c r="N682" s="36"/>
      <c r="O682" s="37"/>
      <c r="P682" s="37"/>
      <c r="Q682" s="237"/>
      <c r="R682" s="37"/>
      <c r="S682" s="37"/>
      <c r="T682" s="37"/>
      <c r="U682" s="37"/>
      <c r="V682" s="122"/>
      <c r="W682" s="122"/>
      <c r="X682" s="37"/>
      <c r="Y682" s="37"/>
      <c r="Z682" s="37"/>
    </row>
    <row r="683" spans="1:26" ht="13">
      <c r="A683" s="238"/>
      <c r="B683" s="292"/>
      <c r="C683" s="36"/>
      <c r="D683" s="290"/>
      <c r="E683" s="36"/>
      <c r="F683" s="36"/>
      <c r="G683" s="84"/>
      <c r="H683" s="36"/>
      <c r="I683" s="36"/>
      <c r="J683" s="293"/>
      <c r="K683" s="83"/>
      <c r="L683" s="293"/>
      <c r="M683" s="36"/>
      <c r="N683" s="36"/>
      <c r="O683" s="37"/>
      <c r="P683" s="37"/>
      <c r="Q683" s="237"/>
      <c r="R683" s="37"/>
      <c r="S683" s="37"/>
      <c r="T683" s="37"/>
      <c r="U683" s="37"/>
      <c r="V683" s="122"/>
      <c r="W683" s="122"/>
      <c r="X683" s="37"/>
      <c r="Y683" s="37"/>
      <c r="Z683" s="37"/>
    </row>
    <row r="684" spans="1:26" ht="13">
      <c r="A684" s="238"/>
      <c r="B684" s="292"/>
      <c r="C684" s="36"/>
      <c r="D684" s="290"/>
      <c r="E684" s="36"/>
      <c r="F684" s="36"/>
      <c r="G684" s="84"/>
      <c r="H684" s="36"/>
      <c r="I684" s="36"/>
      <c r="J684" s="293"/>
      <c r="K684" s="83"/>
      <c r="L684" s="293"/>
      <c r="M684" s="36"/>
      <c r="N684" s="36"/>
      <c r="O684" s="37"/>
      <c r="P684" s="37"/>
      <c r="Q684" s="237"/>
      <c r="R684" s="37"/>
      <c r="S684" s="37"/>
      <c r="T684" s="37"/>
      <c r="U684" s="37"/>
      <c r="V684" s="122"/>
      <c r="W684" s="122"/>
      <c r="X684" s="37"/>
      <c r="Y684" s="37"/>
      <c r="Z684" s="37"/>
    </row>
    <row r="685" spans="1:26" ht="13">
      <c r="A685" s="238"/>
      <c r="B685" s="292"/>
      <c r="C685" s="36"/>
      <c r="D685" s="290"/>
      <c r="E685" s="36"/>
      <c r="F685" s="36"/>
      <c r="G685" s="84"/>
      <c r="H685" s="36"/>
      <c r="I685" s="36"/>
      <c r="J685" s="293"/>
      <c r="K685" s="83"/>
      <c r="L685" s="293"/>
      <c r="M685" s="36"/>
      <c r="N685" s="36"/>
      <c r="O685" s="37"/>
      <c r="P685" s="37"/>
      <c r="Q685" s="237"/>
      <c r="R685" s="37"/>
      <c r="S685" s="37"/>
      <c r="T685" s="37"/>
      <c r="U685" s="37"/>
      <c r="V685" s="122"/>
      <c r="W685" s="122"/>
      <c r="X685" s="37"/>
      <c r="Y685" s="37"/>
      <c r="Z685" s="37"/>
    </row>
    <row r="686" spans="1:26" ht="13">
      <c r="A686" s="238"/>
      <c r="B686" s="292"/>
      <c r="C686" s="36"/>
      <c r="D686" s="290"/>
      <c r="E686" s="36"/>
      <c r="F686" s="36"/>
      <c r="G686" s="84"/>
      <c r="H686" s="36"/>
      <c r="I686" s="36"/>
      <c r="J686" s="293"/>
      <c r="K686" s="83"/>
      <c r="L686" s="293"/>
      <c r="M686" s="36"/>
      <c r="N686" s="36"/>
      <c r="O686" s="37"/>
      <c r="P686" s="37"/>
      <c r="Q686" s="237"/>
      <c r="R686" s="37"/>
      <c r="S686" s="37"/>
      <c r="T686" s="37"/>
      <c r="U686" s="37"/>
      <c r="V686" s="122"/>
      <c r="W686" s="122"/>
      <c r="X686" s="37"/>
      <c r="Y686" s="37"/>
      <c r="Z686" s="37"/>
    </row>
    <row r="687" spans="1:26" ht="13">
      <c r="A687" s="238"/>
      <c r="B687" s="292"/>
      <c r="C687" s="36"/>
      <c r="D687" s="290"/>
      <c r="E687" s="36"/>
      <c r="F687" s="36"/>
      <c r="G687" s="84"/>
      <c r="H687" s="36"/>
      <c r="I687" s="36"/>
      <c r="J687" s="293"/>
      <c r="K687" s="83"/>
      <c r="L687" s="293"/>
      <c r="M687" s="36"/>
      <c r="N687" s="36"/>
      <c r="O687" s="37"/>
      <c r="P687" s="37"/>
      <c r="Q687" s="237"/>
      <c r="R687" s="37"/>
      <c r="S687" s="37"/>
      <c r="T687" s="37"/>
      <c r="U687" s="37"/>
      <c r="V687" s="122"/>
      <c r="W687" s="122"/>
      <c r="X687" s="37"/>
      <c r="Y687" s="37"/>
      <c r="Z687" s="37"/>
    </row>
    <row r="688" spans="1:26" ht="13">
      <c r="A688" s="238"/>
      <c r="B688" s="292"/>
      <c r="C688" s="36"/>
      <c r="D688" s="290"/>
      <c r="E688" s="36"/>
      <c r="F688" s="36"/>
      <c r="G688" s="84"/>
      <c r="H688" s="36"/>
      <c r="I688" s="36"/>
      <c r="J688" s="293"/>
      <c r="K688" s="83"/>
      <c r="L688" s="293"/>
      <c r="M688" s="36"/>
      <c r="N688" s="36"/>
      <c r="O688" s="37"/>
      <c r="P688" s="37"/>
      <c r="Q688" s="237"/>
      <c r="R688" s="37"/>
      <c r="S688" s="37"/>
      <c r="T688" s="37"/>
      <c r="U688" s="37"/>
      <c r="V688" s="122"/>
      <c r="W688" s="122"/>
      <c r="X688" s="37"/>
      <c r="Y688" s="37"/>
      <c r="Z688" s="37"/>
    </row>
    <row r="689" spans="1:26" ht="13">
      <c r="A689" s="238"/>
      <c r="B689" s="292"/>
      <c r="C689" s="36"/>
      <c r="D689" s="290"/>
      <c r="E689" s="36"/>
      <c r="F689" s="36"/>
      <c r="G689" s="84"/>
      <c r="H689" s="36"/>
      <c r="I689" s="36"/>
      <c r="J689" s="293"/>
      <c r="K689" s="83"/>
      <c r="L689" s="293"/>
      <c r="M689" s="36"/>
      <c r="N689" s="36"/>
      <c r="O689" s="37"/>
      <c r="P689" s="37"/>
      <c r="Q689" s="237"/>
      <c r="R689" s="37"/>
      <c r="S689" s="37"/>
      <c r="T689" s="37"/>
      <c r="U689" s="37"/>
      <c r="V689" s="122"/>
      <c r="W689" s="122"/>
      <c r="X689" s="37"/>
      <c r="Y689" s="37"/>
      <c r="Z689" s="37"/>
    </row>
    <row r="690" spans="1:26" ht="13">
      <c r="A690" s="238"/>
      <c r="B690" s="292"/>
      <c r="C690" s="36"/>
      <c r="D690" s="290"/>
      <c r="E690" s="36"/>
      <c r="F690" s="36"/>
      <c r="G690" s="84"/>
      <c r="H690" s="36"/>
      <c r="I690" s="36"/>
      <c r="J690" s="293"/>
      <c r="K690" s="83"/>
      <c r="L690" s="293"/>
      <c r="M690" s="36"/>
      <c r="N690" s="36"/>
      <c r="O690" s="37"/>
      <c r="P690" s="37"/>
      <c r="Q690" s="237"/>
      <c r="R690" s="37"/>
      <c r="S690" s="37"/>
      <c r="T690" s="37"/>
      <c r="U690" s="37"/>
      <c r="V690" s="122"/>
      <c r="W690" s="122"/>
      <c r="X690" s="37"/>
      <c r="Y690" s="37"/>
      <c r="Z690" s="37"/>
    </row>
    <row r="691" spans="1:26" ht="13">
      <c r="A691" s="238"/>
      <c r="B691" s="292"/>
      <c r="C691" s="36"/>
      <c r="D691" s="290"/>
      <c r="E691" s="36"/>
      <c r="F691" s="36"/>
      <c r="G691" s="84"/>
      <c r="H691" s="36"/>
      <c r="I691" s="36"/>
      <c r="J691" s="293"/>
      <c r="K691" s="83"/>
      <c r="L691" s="293"/>
      <c r="M691" s="36"/>
      <c r="N691" s="36"/>
      <c r="O691" s="37"/>
      <c r="P691" s="37"/>
      <c r="Q691" s="237"/>
      <c r="R691" s="37"/>
      <c r="S691" s="37"/>
      <c r="T691" s="37"/>
      <c r="U691" s="37"/>
      <c r="V691" s="122"/>
      <c r="W691" s="122"/>
      <c r="X691" s="37"/>
      <c r="Y691" s="37"/>
      <c r="Z691" s="37"/>
    </row>
    <row r="692" spans="1:26" ht="13">
      <c r="A692" s="238"/>
      <c r="B692" s="292"/>
      <c r="C692" s="36"/>
      <c r="D692" s="290"/>
      <c r="E692" s="36"/>
      <c r="F692" s="36"/>
      <c r="G692" s="84"/>
      <c r="H692" s="36"/>
      <c r="I692" s="36"/>
      <c r="J692" s="293"/>
      <c r="K692" s="83"/>
      <c r="L692" s="293"/>
      <c r="M692" s="36"/>
      <c r="N692" s="36"/>
      <c r="O692" s="37"/>
      <c r="P692" s="37"/>
      <c r="Q692" s="237"/>
      <c r="R692" s="37"/>
      <c r="S692" s="37"/>
      <c r="T692" s="37"/>
      <c r="U692" s="37"/>
      <c r="V692" s="122"/>
      <c r="W692" s="122"/>
      <c r="X692" s="37"/>
      <c r="Y692" s="37"/>
      <c r="Z692" s="37"/>
    </row>
    <row r="693" spans="1:26" ht="13">
      <c r="A693" s="238"/>
      <c r="B693" s="292"/>
      <c r="C693" s="36"/>
      <c r="D693" s="290"/>
      <c r="E693" s="36"/>
      <c r="F693" s="36"/>
      <c r="G693" s="84"/>
      <c r="H693" s="36"/>
      <c r="I693" s="36"/>
      <c r="J693" s="293"/>
      <c r="K693" s="83"/>
      <c r="L693" s="293"/>
      <c r="M693" s="36"/>
      <c r="N693" s="36"/>
      <c r="O693" s="37"/>
      <c r="P693" s="37"/>
      <c r="Q693" s="237"/>
      <c r="R693" s="37"/>
      <c r="S693" s="37"/>
      <c r="T693" s="37"/>
      <c r="U693" s="37"/>
      <c r="V693" s="122"/>
      <c r="W693" s="122"/>
      <c r="X693" s="37"/>
      <c r="Y693" s="37"/>
      <c r="Z693" s="37"/>
    </row>
    <row r="694" spans="1:26" ht="13">
      <c r="A694" s="238"/>
      <c r="B694" s="292"/>
      <c r="C694" s="36"/>
      <c r="D694" s="290"/>
      <c r="E694" s="36"/>
      <c r="F694" s="36"/>
      <c r="G694" s="84"/>
      <c r="H694" s="36"/>
      <c r="I694" s="36"/>
      <c r="J694" s="293"/>
      <c r="K694" s="83"/>
      <c r="L694" s="293"/>
      <c r="M694" s="36"/>
      <c r="N694" s="36"/>
      <c r="O694" s="37"/>
      <c r="P694" s="37"/>
      <c r="Q694" s="237"/>
      <c r="R694" s="37"/>
      <c r="S694" s="37"/>
      <c r="T694" s="37"/>
      <c r="U694" s="37"/>
      <c r="V694" s="122"/>
      <c r="W694" s="122"/>
      <c r="X694" s="37"/>
      <c r="Y694" s="37"/>
      <c r="Z694" s="37"/>
    </row>
    <row r="695" spans="1:26" ht="13">
      <c r="A695" s="238"/>
      <c r="B695" s="292"/>
      <c r="C695" s="36"/>
      <c r="D695" s="290"/>
      <c r="E695" s="36"/>
      <c r="F695" s="36"/>
      <c r="G695" s="84"/>
      <c r="H695" s="36"/>
      <c r="I695" s="36"/>
      <c r="J695" s="293"/>
      <c r="K695" s="83"/>
      <c r="L695" s="293"/>
      <c r="M695" s="36"/>
      <c r="N695" s="36"/>
      <c r="O695" s="37"/>
      <c r="P695" s="37"/>
      <c r="Q695" s="237"/>
      <c r="R695" s="37"/>
      <c r="S695" s="37"/>
      <c r="T695" s="37"/>
      <c r="U695" s="37"/>
      <c r="V695" s="122"/>
      <c r="W695" s="122"/>
      <c r="X695" s="37"/>
      <c r="Y695" s="37"/>
      <c r="Z695" s="37"/>
    </row>
    <row r="696" spans="1:26" ht="13">
      <c r="A696" s="238"/>
      <c r="B696" s="292"/>
      <c r="C696" s="36"/>
      <c r="D696" s="290"/>
      <c r="E696" s="36"/>
      <c r="F696" s="36"/>
      <c r="G696" s="84"/>
      <c r="H696" s="36"/>
      <c r="I696" s="36"/>
      <c r="J696" s="293"/>
      <c r="K696" s="83"/>
      <c r="L696" s="293"/>
      <c r="M696" s="36"/>
      <c r="N696" s="36"/>
      <c r="O696" s="37"/>
      <c r="P696" s="37"/>
      <c r="Q696" s="237"/>
      <c r="R696" s="37"/>
      <c r="S696" s="37"/>
      <c r="T696" s="37"/>
      <c r="U696" s="37"/>
      <c r="V696" s="122"/>
      <c r="W696" s="122"/>
      <c r="X696" s="37"/>
      <c r="Y696" s="37"/>
      <c r="Z696" s="37"/>
    </row>
    <row r="697" spans="1:26" ht="13">
      <c r="A697" s="238"/>
      <c r="B697" s="292"/>
      <c r="C697" s="36"/>
      <c r="D697" s="290"/>
      <c r="E697" s="36"/>
      <c r="F697" s="36"/>
      <c r="G697" s="84"/>
      <c r="H697" s="36"/>
      <c r="I697" s="36"/>
      <c r="J697" s="293"/>
      <c r="K697" s="83"/>
      <c r="L697" s="293"/>
      <c r="M697" s="36"/>
      <c r="N697" s="36"/>
      <c r="O697" s="37"/>
      <c r="P697" s="37"/>
      <c r="Q697" s="237"/>
      <c r="R697" s="37"/>
      <c r="S697" s="37"/>
      <c r="T697" s="37"/>
      <c r="U697" s="37"/>
      <c r="V697" s="122"/>
      <c r="W697" s="122"/>
      <c r="X697" s="37"/>
      <c r="Y697" s="37"/>
      <c r="Z697" s="37"/>
    </row>
    <row r="698" spans="1:26" ht="13">
      <c r="A698" s="238"/>
      <c r="B698" s="292"/>
      <c r="C698" s="36"/>
      <c r="D698" s="290"/>
      <c r="E698" s="36"/>
      <c r="F698" s="36"/>
      <c r="G698" s="84"/>
      <c r="H698" s="36"/>
      <c r="I698" s="36"/>
      <c r="J698" s="293"/>
      <c r="K698" s="83"/>
      <c r="L698" s="293"/>
      <c r="M698" s="36"/>
      <c r="N698" s="36"/>
      <c r="O698" s="37"/>
      <c r="P698" s="37"/>
      <c r="Q698" s="237"/>
      <c r="R698" s="37"/>
      <c r="S698" s="37"/>
      <c r="T698" s="37"/>
      <c r="U698" s="37"/>
      <c r="V698" s="122"/>
      <c r="W698" s="122"/>
      <c r="X698" s="37"/>
      <c r="Y698" s="37"/>
      <c r="Z698" s="37"/>
    </row>
    <row r="699" spans="1:26" ht="13">
      <c r="A699" s="238"/>
      <c r="B699" s="292"/>
      <c r="C699" s="36"/>
      <c r="D699" s="290"/>
      <c r="E699" s="36"/>
      <c r="F699" s="36"/>
      <c r="G699" s="84"/>
      <c r="H699" s="36"/>
      <c r="I699" s="36"/>
      <c r="J699" s="293"/>
      <c r="K699" s="83"/>
      <c r="L699" s="293"/>
      <c r="M699" s="36"/>
      <c r="N699" s="36"/>
      <c r="O699" s="37"/>
      <c r="P699" s="37"/>
      <c r="Q699" s="237"/>
      <c r="R699" s="37"/>
      <c r="S699" s="37"/>
      <c r="T699" s="37"/>
      <c r="U699" s="37"/>
      <c r="V699" s="122"/>
      <c r="W699" s="122"/>
      <c r="X699" s="37"/>
      <c r="Y699" s="37"/>
      <c r="Z699" s="37"/>
    </row>
    <row r="700" spans="1:26" ht="13">
      <c r="A700" s="238"/>
      <c r="B700" s="292"/>
      <c r="C700" s="36"/>
      <c r="D700" s="290"/>
      <c r="E700" s="36"/>
      <c r="F700" s="36"/>
      <c r="G700" s="84"/>
      <c r="H700" s="36"/>
      <c r="I700" s="36"/>
      <c r="J700" s="293"/>
      <c r="K700" s="83"/>
      <c r="L700" s="293"/>
      <c r="M700" s="36"/>
      <c r="N700" s="36"/>
      <c r="O700" s="37"/>
      <c r="P700" s="37"/>
      <c r="Q700" s="237"/>
      <c r="R700" s="37"/>
      <c r="S700" s="37"/>
      <c r="T700" s="37"/>
      <c r="U700" s="37"/>
      <c r="V700" s="122"/>
      <c r="W700" s="122"/>
      <c r="X700" s="37"/>
      <c r="Y700" s="37"/>
      <c r="Z700" s="37"/>
    </row>
    <row r="701" spans="1:26" ht="13">
      <c r="A701" s="238"/>
      <c r="B701" s="292"/>
      <c r="C701" s="36"/>
      <c r="D701" s="290"/>
      <c r="E701" s="36"/>
      <c r="F701" s="36"/>
      <c r="G701" s="84"/>
      <c r="H701" s="36"/>
      <c r="I701" s="36"/>
      <c r="J701" s="293"/>
      <c r="K701" s="83"/>
      <c r="L701" s="293"/>
      <c r="M701" s="36"/>
      <c r="N701" s="36"/>
      <c r="O701" s="37"/>
      <c r="P701" s="37"/>
      <c r="Q701" s="237"/>
      <c r="R701" s="37"/>
      <c r="S701" s="37"/>
      <c r="T701" s="37"/>
      <c r="U701" s="37"/>
      <c r="V701" s="122"/>
      <c r="W701" s="122"/>
      <c r="X701" s="37"/>
      <c r="Y701" s="37"/>
      <c r="Z701" s="37"/>
    </row>
    <row r="702" spans="1:26" ht="13">
      <c r="A702" s="238"/>
      <c r="B702" s="292"/>
      <c r="C702" s="36"/>
      <c r="D702" s="290"/>
      <c r="E702" s="36"/>
      <c r="F702" s="36"/>
      <c r="G702" s="84"/>
      <c r="H702" s="36"/>
      <c r="I702" s="36"/>
      <c r="J702" s="293"/>
      <c r="K702" s="83"/>
      <c r="L702" s="293"/>
      <c r="M702" s="36"/>
      <c r="N702" s="36"/>
      <c r="O702" s="37"/>
      <c r="P702" s="37"/>
      <c r="Q702" s="237"/>
      <c r="R702" s="37"/>
      <c r="S702" s="37"/>
      <c r="T702" s="37"/>
      <c r="U702" s="37"/>
      <c r="V702" s="122"/>
      <c r="W702" s="122"/>
      <c r="X702" s="37"/>
      <c r="Y702" s="37"/>
      <c r="Z702" s="37"/>
    </row>
    <row r="703" spans="1:26" ht="13">
      <c r="A703" s="238"/>
      <c r="B703" s="292"/>
      <c r="C703" s="36"/>
      <c r="D703" s="290"/>
      <c r="E703" s="36"/>
      <c r="F703" s="36"/>
      <c r="G703" s="84"/>
      <c r="H703" s="36"/>
      <c r="I703" s="36"/>
      <c r="J703" s="293"/>
      <c r="K703" s="83"/>
      <c r="L703" s="293"/>
      <c r="M703" s="36"/>
      <c r="N703" s="36"/>
      <c r="O703" s="37"/>
      <c r="P703" s="37"/>
      <c r="Q703" s="237"/>
      <c r="R703" s="37"/>
      <c r="S703" s="37"/>
      <c r="T703" s="37"/>
      <c r="U703" s="37"/>
      <c r="V703" s="122"/>
      <c r="W703" s="122"/>
      <c r="X703" s="37"/>
      <c r="Y703" s="37"/>
      <c r="Z703" s="37"/>
    </row>
    <row r="704" spans="1:26" ht="13">
      <c r="A704" s="238"/>
      <c r="B704" s="292"/>
      <c r="C704" s="36"/>
      <c r="D704" s="290"/>
      <c r="E704" s="36"/>
      <c r="F704" s="36"/>
      <c r="G704" s="84"/>
      <c r="H704" s="36"/>
      <c r="I704" s="36"/>
      <c r="J704" s="293"/>
      <c r="K704" s="83"/>
      <c r="L704" s="293"/>
      <c r="M704" s="36"/>
      <c r="N704" s="36"/>
      <c r="O704" s="37"/>
      <c r="P704" s="37"/>
      <c r="Q704" s="237"/>
      <c r="R704" s="37"/>
      <c r="S704" s="37"/>
      <c r="T704" s="37"/>
      <c r="U704" s="37"/>
      <c r="V704" s="122"/>
      <c r="W704" s="122"/>
      <c r="X704" s="37"/>
      <c r="Y704" s="37"/>
      <c r="Z704" s="37"/>
    </row>
    <row r="705" spans="1:26" ht="13">
      <c r="A705" s="238"/>
      <c r="B705" s="292"/>
      <c r="C705" s="36"/>
      <c r="D705" s="290"/>
      <c r="E705" s="36"/>
      <c r="F705" s="36"/>
      <c r="G705" s="84"/>
      <c r="H705" s="36"/>
      <c r="I705" s="36"/>
      <c r="J705" s="293"/>
      <c r="K705" s="83"/>
      <c r="L705" s="293"/>
      <c r="M705" s="36"/>
      <c r="N705" s="36"/>
      <c r="O705" s="37"/>
      <c r="P705" s="37"/>
      <c r="Q705" s="237"/>
      <c r="R705" s="37"/>
      <c r="S705" s="37"/>
      <c r="T705" s="37"/>
      <c r="U705" s="37"/>
      <c r="V705" s="122"/>
      <c r="W705" s="122"/>
      <c r="X705" s="37"/>
      <c r="Y705" s="37"/>
      <c r="Z705" s="37"/>
    </row>
    <row r="706" spans="1:26" ht="13">
      <c r="A706" s="238"/>
      <c r="B706" s="292"/>
      <c r="C706" s="36"/>
      <c r="D706" s="290"/>
      <c r="E706" s="36"/>
      <c r="F706" s="36"/>
      <c r="G706" s="84"/>
      <c r="H706" s="36"/>
      <c r="I706" s="36"/>
      <c r="J706" s="293"/>
      <c r="K706" s="83"/>
      <c r="L706" s="293"/>
      <c r="M706" s="36"/>
      <c r="N706" s="36"/>
      <c r="O706" s="37"/>
      <c r="P706" s="37"/>
      <c r="Q706" s="237"/>
      <c r="R706" s="37"/>
      <c r="S706" s="37"/>
      <c r="T706" s="37"/>
      <c r="U706" s="37"/>
      <c r="V706" s="122"/>
      <c r="W706" s="122"/>
      <c r="X706" s="37"/>
      <c r="Y706" s="37"/>
      <c r="Z706" s="37"/>
    </row>
    <row r="707" spans="1:26" ht="13">
      <c r="A707" s="238"/>
      <c r="B707" s="292"/>
      <c r="C707" s="36"/>
      <c r="D707" s="290"/>
      <c r="E707" s="36"/>
      <c r="F707" s="36"/>
      <c r="G707" s="84"/>
      <c r="H707" s="36"/>
      <c r="I707" s="36"/>
      <c r="J707" s="293"/>
      <c r="K707" s="83"/>
      <c r="L707" s="293"/>
      <c r="M707" s="36"/>
      <c r="N707" s="36"/>
      <c r="O707" s="37"/>
      <c r="P707" s="37"/>
      <c r="Q707" s="237"/>
      <c r="R707" s="37"/>
      <c r="S707" s="37"/>
      <c r="T707" s="37"/>
      <c r="U707" s="37"/>
      <c r="V707" s="122"/>
      <c r="W707" s="122"/>
      <c r="X707" s="37"/>
      <c r="Y707" s="37"/>
      <c r="Z707" s="37"/>
    </row>
    <row r="708" spans="1:26" ht="13">
      <c r="A708" s="238"/>
      <c r="B708" s="292"/>
      <c r="C708" s="36"/>
      <c r="D708" s="290"/>
      <c r="E708" s="36"/>
      <c r="F708" s="36"/>
      <c r="G708" s="84"/>
      <c r="H708" s="36"/>
      <c r="I708" s="36"/>
      <c r="J708" s="293"/>
      <c r="K708" s="83"/>
      <c r="L708" s="293"/>
      <c r="M708" s="36"/>
      <c r="N708" s="36"/>
      <c r="O708" s="37"/>
      <c r="P708" s="37"/>
      <c r="Q708" s="237"/>
      <c r="R708" s="37"/>
      <c r="S708" s="37"/>
      <c r="T708" s="37"/>
      <c r="U708" s="37"/>
      <c r="V708" s="122"/>
      <c r="W708" s="122"/>
      <c r="X708" s="37"/>
      <c r="Y708" s="37"/>
      <c r="Z708" s="37"/>
    </row>
    <row r="709" spans="1:26" ht="13">
      <c r="A709" s="238"/>
      <c r="B709" s="292"/>
      <c r="C709" s="36"/>
      <c r="D709" s="290"/>
      <c r="E709" s="36"/>
      <c r="F709" s="36"/>
      <c r="G709" s="84"/>
      <c r="H709" s="36"/>
      <c r="I709" s="36"/>
      <c r="J709" s="293"/>
      <c r="K709" s="83"/>
      <c r="L709" s="293"/>
      <c r="M709" s="36"/>
      <c r="N709" s="36"/>
      <c r="O709" s="37"/>
      <c r="P709" s="37"/>
      <c r="Q709" s="237"/>
      <c r="R709" s="37"/>
      <c r="S709" s="37"/>
      <c r="T709" s="37"/>
      <c r="U709" s="37"/>
      <c r="V709" s="122"/>
      <c r="W709" s="122"/>
      <c r="X709" s="37"/>
      <c r="Y709" s="37"/>
      <c r="Z709" s="37"/>
    </row>
    <row r="710" spans="1:26" ht="13">
      <c r="A710" s="238"/>
      <c r="B710" s="292"/>
      <c r="C710" s="36"/>
      <c r="D710" s="290"/>
      <c r="E710" s="36"/>
      <c r="F710" s="36"/>
      <c r="G710" s="84"/>
      <c r="H710" s="36"/>
      <c r="I710" s="36"/>
      <c r="J710" s="293"/>
      <c r="K710" s="83"/>
      <c r="L710" s="293"/>
      <c r="M710" s="36"/>
      <c r="N710" s="36"/>
      <c r="O710" s="37"/>
      <c r="P710" s="37"/>
      <c r="Q710" s="237"/>
      <c r="R710" s="37"/>
      <c r="S710" s="37"/>
      <c r="T710" s="37"/>
      <c r="U710" s="37"/>
      <c r="V710" s="122"/>
      <c r="W710" s="122"/>
      <c r="X710" s="37"/>
      <c r="Y710" s="37"/>
      <c r="Z710" s="37"/>
    </row>
    <row r="711" spans="1:26" ht="13">
      <c r="A711" s="238"/>
      <c r="B711" s="292"/>
      <c r="C711" s="36"/>
      <c r="D711" s="290"/>
      <c r="E711" s="36"/>
      <c r="F711" s="36"/>
      <c r="G711" s="84"/>
      <c r="H711" s="36"/>
      <c r="I711" s="36"/>
      <c r="J711" s="293"/>
      <c r="K711" s="83"/>
      <c r="L711" s="293"/>
      <c r="M711" s="36"/>
      <c r="N711" s="36"/>
      <c r="O711" s="37"/>
      <c r="P711" s="37"/>
      <c r="Q711" s="237"/>
      <c r="R711" s="37"/>
      <c r="S711" s="37"/>
      <c r="T711" s="37"/>
      <c r="U711" s="37"/>
      <c r="V711" s="122"/>
      <c r="W711" s="122"/>
      <c r="X711" s="37"/>
      <c r="Y711" s="37"/>
      <c r="Z711" s="37"/>
    </row>
    <row r="712" spans="1:26" ht="13">
      <c r="A712" s="238"/>
      <c r="B712" s="292"/>
      <c r="C712" s="36"/>
      <c r="D712" s="290"/>
      <c r="E712" s="36"/>
      <c r="F712" s="36"/>
      <c r="G712" s="84"/>
      <c r="H712" s="36"/>
      <c r="I712" s="36"/>
      <c r="J712" s="293"/>
      <c r="K712" s="83"/>
      <c r="L712" s="293"/>
      <c r="M712" s="36"/>
      <c r="N712" s="36"/>
      <c r="O712" s="37"/>
      <c r="P712" s="37"/>
      <c r="Q712" s="237"/>
      <c r="R712" s="37"/>
      <c r="S712" s="37"/>
      <c r="T712" s="37"/>
      <c r="U712" s="37"/>
      <c r="V712" s="122"/>
      <c r="W712" s="122"/>
      <c r="X712" s="37"/>
      <c r="Y712" s="37"/>
      <c r="Z712" s="37"/>
    </row>
    <row r="713" spans="1:26" ht="13">
      <c r="A713" s="238"/>
      <c r="B713" s="292"/>
      <c r="C713" s="36"/>
      <c r="D713" s="290"/>
      <c r="E713" s="36"/>
      <c r="F713" s="36"/>
      <c r="G713" s="84"/>
      <c r="H713" s="36"/>
      <c r="I713" s="36"/>
      <c r="J713" s="293"/>
      <c r="K713" s="83"/>
      <c r="L713" s="293"/>
      <c r="M713" s="36"/>
      <c r="N713" s="36"/>
      <c r="O713" s="37"/>
      <c r="P713" s="37"/>
      <c r="Q713" s="237"/>
      <c r="R713" s="37"/>
      <c r="S713" s="37"/>
      <c r="T713" s="37"/>
      <c r="U713" s="37"/>
      <c r="V713" s="122"/>
      <c r="W713" s="122"/>
      <c r="X713" s="37"/>
      <c r="Y713" s="37"/>
      <c r="Z713" s="37"/>
    </row>
    <row r="714" spans="1:26" ht="13">
      <c r="A714" s="238"/>
      <c r="B714" s="292"/>
      <c r="C714" s="36"/>
      <c r="D714" s="290"/>
      <c r="E714" s="36"/>
      <c r="F714" s="36"/>
      <c r="G714" s="84"/>
      <c r="H714" s="36"/>
      <c r="I714" s="36"/>
      <c r="J714" s="293"/>
      <c r="K714" s="83"/>
      <c r="L714" s="293"/>
      <c r="M714" s="36"/>
      <c r="N714" s="36"/>
      <c r="O714" s="37"/>
      <c r="P714" s="37"/>
      <c r="Q714" s="237"/>
      <c r="R714" s="37"/>
      <c r="S714" s="37"/>
      <c r="T714" s="37"/>
      <c r="U714" s="37"/>
      <c r="V714" s="122"/>
      <c r="W714" s="122"/>
      <c r="X714" s="37"/>
      <c r="Y714" s="37"/>
      <c r="Z714" s="37"/>
    </row>
    <row r="715" spans="1:26" ht="13">
      <c r="A715" s="238"/>
      <c r="B715" s="292"/>
      <c r="C715" s="36"/>
      <c r="D715" s="290"/>
      <c r="E715" s="36"/>
      <c r="F715" s="36"/>
      <c r="G715" s="84"/>
      <c r="H715" s="36"/>
      <c r="I715" s="36"/>
      <c r="J715" s="293"/>
      <c r="K715" s="83"/>
      <c r="L715" s="293"/>
      <c r="M715" s="36"/>
      <c r="N715" s="36"/>
      <c r="O715" s="37"/>
      <c r="P715" s="37"/>
      <c r="Q715" s="237"/>
      <c r="R715" s="37"/>
      <c r="S715" s="37"/>
      <c r="T715" s="37"/>
      <c r="U715" s="37"/>
      <c r="V715" s="122"/>
      <c r="W715" s="122"/>
      <c r="X715" s="37"/>
      <c r="Y715" s="37"/>
      <c r="Z715" s="37"/>
    </row>
    <row r="716" spans="1:26" ht="13">
      <c r="A716" s="238"/>
      <c r="B716" s="292"/>
      <c r="C716" s="36"/>
      <c r="D716" s="290"/>
      <c r="E716" s="36"/>
      <c r="F716" s="36"/>
      <c r="G716" s="84"/>
      <c r="H716" s="36"/>
      <c r="I716" s="36"/>
      <c r="J716" s="293"/>
      <c r="K716" s="83"/>
      <c r="L716" s="293"/>
      <c r="M716" s="36"/>
      <c r="N716" s="36"/>
      <c r="O716" s="37"/>
      <c r="P716" s="37"/>
      <c r="Q716" s="237"/>
      <c r="R716" s="37"/>
      <c r="S716" s="37"/>
      <c r="T716" s="37"/>
      <c r="U716" s="37"/>
      <c r="V716" s="122"/>
      <c r="W716" s="122"/>
      <c r="X716" s="37"/>
      <c r="Y716" s="37"/>
      <c r="Z716" s="37"/>
    </row>
    <row r="717" spans="1:26" ht="13">
      <c r="A717" s="238"/>
      <c r="B717" s="292"/>
      <c r="C717" s="36"/>
      <c r="D717" s="290"/>
      <c r="E717" s="36"/>
      <c r="F717" s="36"/>
      <c r="G717" s="84"/>
      <c r="H717" s="36"/>
      <c r="I717" s="36"/>
      <c r="J717" s="293"/>
      <c r="K717" s="83"/>
      <c r="L717" s="293"/>
      <c r="M717" s="36"/>
      <c r="N717" s="36"/>
      <c r="O717" s="37"/>
      <c r="P717" s="37"/>
      <c r="Q717" s="237"/>
      <c r="R717" s="37"/>
      <c r="S717" s="37"/>
      <c r="T717" s="37"/>
      <c r="U717" s="37"/>
      <c r="V717" s="122"/>
      <c r="W717" s="122"/>
      <c r="X717" s="37"/>
      <c r="Y717" s="37"/>
      <c r="Z717" s="37"/>
    </row>
    <row r="718" spans="1:26" ht="13">
      <c r="A718" s="238"/>
      <c r="B718" s="292"/>
      <c r="C718" s="36"/>
      <c r="D718" s="290"/>
      <c r="E718" s="36"/>
      <c r="F718" s="36"/>
      <c r="G718" s="84"/>
      <c r="H718" s="36"/>
      <c r="I718" s="36"/>
      <c r="J718" s="293"/>
      <c r="K718" s="83"/>
      <c r="L718" s="293"/>
      <c r="M718" s="36"/>
      <c r="N718" s="36"/>
      <c r="O718" s="37"/>
      <c r="P718" s="37"/>
      <c r="Q718" s="237"/>
      <c r="R718" s="37"/>
      <c r="S718" s="37"/>
      <c r="T718" s="37"/>
      <c r="U718" s="37"/>
      <c r="V718" s="122"/>
      <c r="W718" s="122"/>
      <c r="X718" s="37"/>
      <c r="Y718" s="37"/>
      <c r="Z718" s="37"/>
    </row>
    <row r="719" spans="1:26" ht="13">
      <c r="A719" s="238"/>
      <c r="B719" s="292"/>
      <c r="C719" s="36"/>
      <c r="D719" s="290"/>
      <c r="E719" s="36"/>
      <c r="F719" s="36"/>
      <c r="G719" s="84"/>
      <c r="H719" s="36"/>
      <c r="I719" s="36"/>
      <c r="J719" s="293"/>
      <c r="K719" s="83"/>
      <c r="L719" s="293"/>
      <c r="M719" s="36"/>
      <c r="N719" s="36"/>
      <c r="O719" s="37"/>
      <c r="P719" s="37"/>
      <c r="Q719" s="237"/>
      <c r="R719" s="37"/>
      <c r="S719" s="37"/>
      <c r="T719" s="37"/>
      <c r="U719" s="37"/>
      <c r="V719" s="122"/>
      <c r="W719" s="122"/>
      <c r="X719" s="37"/>
      <c r="Y719" s="37"/>
      <c r="Z719" s="37"/>
    </row>
    <row r="720" spans="1:26" ht="13">
      <c r="A720" s="238"/>
      <c r="B720" s="292"/>
      <c r="C720" s="36"/>
      <c r="D720" s="290"/>
      <c r="E720" s="36"/>
      <c r="F720" s="36"/>
      <c r="G720" s="84"/>
      <c r="H720" s="36"/>
      <c r="I720" s="36"/>
      <c r="J720" s="293"/>
      <c r="K720" s="83"/>
      <c r="L720" s="293"/>
      <c r="M720" s="36"/>
      <c r="N720" s="36"/>
      <c r="O720" s="37"/>
      <c r="P720" s="37"/>
      <c r="Q720" s="237"/>
      <c r="R720" s="37"/>
      <c r="S720" s="37"/>
      <c r="T720" s="37"/>
      <c r="U720" s="37"/>
      <c r="V720" s="122"/>
      <c r="W720" s="122"/>
      <c r="X720" s="37"/>
      <c r="Y720" s="37"/>
      <c r="Z720" s="37"/>
    </row>
    <row r="721" spans="1:26" ht="13">
      <c r="A721" s="238"/>
      <c r="B721" s="292"/>
      <c r="C721" s="36"/>
      <c r="D721" s="290"/>
      <c r="E721" s="36"/>
      <c r="F721" s="36"/>
      <c r="G721" s="84"/>
      <c r="H721" s="36"/>
      <c r="I721" s="36"/>
      <c r="J721" s="293"/>
      <c r="K721" s="83"/>
      <c r="L721" s="293"/>
      <c r="M721" s="36"/>
      <c r="N721" s="36"/>
      <c r="O721" s="37"/>
      <c r="P721" s="37"/>
      <c r="Q721" s="237"/>
      <c r="R721" s="37"/>
      <c r="S721" s="37"/>
      <c r="T721" s="37"/>
      <c r="U721" s="37"/>
      <c r="V721" s="122"/>
      <c r="W721" s="122"/>
      <c r="X721" s="37"/>
      <c r="Y721" s="37"/>
      <c r="Z721" s="37"/>
    </row>
    <row r="722" spans="1:26" ht="13">
      <c r="A722" s="238"/>
      <c r="B722" s="292"/>
      <c r="C722" s="36"/>
      <c r="D722" s="290"/>
      <c r="E722" s="36"/>
      <c r="F722" s="36"/>
      <c r="G722" s="84"/>
      <c r="H722" s="36"/>
      <c r="I722" s="36"/>
      <c r="J722" s="293"/>
      <c r="K722" s="83"/>
      <c r="L722" s="293"/>
      <c r="M722" s="36"/>
      <c r="N722" s="36"/>
      <c r="O722" s="37"/>
      <c r="P722" s="37"/>
      <c r="Q722" s="237"/>
      <c r="R722" s="37"/>
      <c r="S722" s="37"/>
      <c r="T722" s="37"/>
      <c r="U722" s="37"/>
      <c r="V722" s="122"/>
      <c r="W722" s="122"/>
      <c r="X722" s="37"/>
      <c r="Y722" s="37"/>
      <c r="Z722" s="37"/>
    </row>
    <row r="723" spans="1:26" ht="13">
      <c r="A723" s="238"/>
      <c r="B723" s="292"/>
      <c r="C723" s="36"/>
      <c r="D723" s="290"/>
      <c r="E723" s="36"/>
      <c r="F723" s="36"/>
      <c r="G723" s="84"/>
      <c r="H723" s="36"/>
      <c r="I723" s="36"/>
      <c r="J723" s="293"/>
      <c r="K723" s="83"/>
      <c r="L723" s="293"/>
      <c r="M723" s="36"/>
      <c r="N723" s="36"/>
      <c r="O723" s="37"/>
      <c r="P723" s="37"/>
      <c r="Q723" s="237"/>
      <c r="R723" s="37"/>
      <c r="S723" s="37"/>
      <c r="T723" s="37"/>
      <c r="U723" s="37"/>
      <c r="V723" s="122"/>
      <c r="W723" s="122"/>
      <c r="X723" s="37"/>
      <c r="Y723" s="37"/>
      <c r="Z723" s="37"/>
    </row>
    <row r="724" spans="1:26" ht="13">
      <c r="A724" s="238"/>
      <c r="B724" s="292"/>
      <c r="C724" s="36"/>
      <c r="D724" s="290"/>
      <c r="E724" s="36"/>
      <c r="F724" s="36"/>
      <c r="G724" s="84"/>
      <c r="H724" s="36"/>
      <c r="I724" s="36"/>
      <c r="J724" s="293"/>
      <c r="K724" s="83"/>
      <c r="L724" s="293"/>
      <c r="M724" s="36"/>
      <c r="N724" s="36"/>
      <c r="O724" s="37"/>
      <c r="P724" s="37"/>
      <c r="Q724" s="237"/>
      <c r="R724" s="37"/>
      <c r="S724" s="37"/>
      <c r="T724" s="37"/>
      <c r="U724" s="37"/>
      <c r="V724" s="122"/>
      <c r="W724" s="122"/>
      <c r="X724" s="37"/>
      <c r="Y724" s="37"/>
      <c r="Z724" s="37"/>
    </row>
    <row r="725" spans="1:26" ht="13">
      <c r="A725" s="238"/>
      <c r="B725" s="292"/>
      <c r="C725" s="36"/>
      <c r="D725" s="290"/>
      <c r="E725" s="36"/>
      <c r="F725" s="36"/>
      <c r="G725" s="84"/>
      <c r="H725" s="36"/>
      <c r="I725" s="36"/>
      <c r="J725" s="293"/>
      <c r="K725" s="83"/>
      <c r="L725" s="293"/>
      <c r="M725" s="36"/>
      <c r="N725" s="36"/>
      <c r="O725" s="37"/>
      <c r="P725" s="37"/>
      <c r="Q725" s="237"/>
      <c r="R725" s="37"/>
      <c r="S725" s="37"/>
      <c r="T725" s="37"/>
      <c r="U725" s="37"/>
      <c r="V725" s="122"/>
      <c r="W725" s="122"/>
      <c r="X725" s="37"/>
      <c r="Y725" s="37"/>
      <c r="Z725" s="37"/>
    </row>
    <row r="726" spans="1:26" ht="13">
      <c r="A726" s="238"/>
      <c r="B726" s="292"/>
      <c r="C726" s="36"/>
      <c r="D726" s="290"/>
      <c r="E726" s="36"/>
      <c r="F726" s="36"/>
      <c r="G726" s="84"/>
      <c r="H726" s="36"/>
      <c r="I726" s="36"/>
      <c r="J726" s="293"/>
      <c r="K726" s="83"/>
      <c r="L726" s="293"/>
      <c r="M726" s="36"/>
      <c r="N726" s="36"/>
      <c r="O726" s="37"/>
      <c r="P726" s="37"/>
      <c r="Q726" s="237"/>
      <c r="R726" s="37"/>
      <c r="S726" s="37"/>
      <c r="T726" s="37"/>
      <c r="U726" s="37"/>
      <c r="V726" s="122"/>
      <c r="W726" s="122"/>
      <c r="X726" s="37"/>
      <c r="Y726" s="37"/>
      <c r="Z726" s="37"/>
    </row>
    <row r="727" spans="1:26" ht="13">
      <c r="A727" s="238"/>
      <c r="B727" s="292"/>
      <c r="C727" s="36"/>
      <c r="D727" s="290"/>
      <c r="E727" s="36"/>
      <c r="F727" s="36"/>
      <c r="G727" s="84"/>
      <c r="H727" s="36"/>
      <c r="I727" s="36"/>
      <c r="J727" s="293"/>
      <c r="K727" s="83"/>
      <c r="L727" s="293"/>
      <c r="M727" s="36"/>
      <c r="N727" s="36"/>
      <c r="O727" s="37"/>
      <c r="P727" s="37"/>
      <c r="Q727" s="237"/>
      <c r="R727" s="37"/>
      <c r="S727" s="37"/>
      <c r="T727" s="37"/>
      <c r="U727" s="37"/>
      <c r="V727" s="122"/>
      <c r="W727" s="122"/>
      <c r="X727" s="37"/>
      <c r="Y727" s="37"/>
      <c r="Z727" s="37"/>
    </row>
    <row r="728" spans="1:26" ht="13">
      <c r="A728" s="238"/>
      <c r="B728" s="292"/>
      <c r="C728" s="36"/>
      <c r="D728" s="290"/>
      <c r="E728" s="36"/>
      <c r="F728" s="36"/>
      <c r="G728" s="84"/>
      <c r="H728" s="36"/>
      <c r="I728" s="36"/>
      <c r="J728" s="293"/>
      <c r="K728" s="83"/>
      <c r="L728" s="293"/>
      <c r="M728" s="36"/>
      <c r="N728" s="36"/>
      <c r="O728" s="37"/>
      <c r="P728" s="37"/>
      <c r="Q728" s="237"/>
      <c r="R728" s="37"/>
      <c r="S728" s="37"/>
      <c r="T728" s="37"/>
      <c r="U728" s="37"/>
      <c r="V728" s="122"/>
      <c r="W728" s="122"/>
      <c r="X728" s="37"/>
      <c r="Y728" s="37"/>
      <c r="Z728" s="37"/>
    </row>
    <row r="729" spans="1:26" ht="13">
      <c r="A729" s="238"/>
      <c r="B729" s="292"/>
      <c r="C729" s="36"/>
      <c r="D729" s="290"/>
      <c r="E729" s="36"/>
      <c r="F729" s="36"/>
      <c r="G729" s="84"/>
      <c r="H729" s="36"/>
      <c r="I729" s="36"/>
      <c r="J729" s="293"/>
      <c r="K729" s="83"/>
      <c r="L729" s="293"/>
      <c r="M729" s="36"/>
      <c r="N729" s="36"/>
      <c r="O729" s="37"/>
      <c r="P729" s="37"/>
      <c r="Q729" s="237"/>
      <c r="R729" s="37"/>
      <c r="S729" s="37"/>
      <c r="T729" s="37"/>
      <c r="U729" s="37"/>
      <c r="V729" s="122"/>
      <c r="W729" s="122"/>
      <c r="X729" s="37"/>
      <c r="Y729" s="37"/>
      <c r="Z729" s="37"/>
    </row>
    <row r="730" spans="1:26" ht="13">
      <c r="A730" s="238"/>
      <c r="B730" s="292"/>
      <c r="C730" s="36"/>
      <c r="D730" s="290"/>
      <c r="E730" s="36"/>
      <c r="F730" s="36"/>
      <c r="G730" s="84"/>
      <c r="H730" s="36"/>
      <c r="I730" s="36"/>
      <c r="J730" s="293"/>
      <c r="K730" s="83"/>
      <c r="L730" s="293"/>
      <c r="M730" s="36"/>
      <c r="N730" s="36"/>
      <c r="O730" s="37"/>
      <c r="P730" s="37"/>
      <c r="Q730" s="237"/>
      <c r="R730" s="37"/>
      <c r="S730" s="37"/>
      <c r="T730" s="37"/>
      <c r="U730" s="37"/>
      <c r="V730" s="122"/>
      <c r="W730" s="122"/>
      <c r="X730" s="37"/>
      <c r="Y730" s="37"/>
      <c r="Z730" s="37"/>
    </row>
    <row r="731" spans="1:26" ht="13">
      <c r="A731" s="238"/>
      <c r="B731" s="292"/>
      <c r="C731" s="36"/>
      <c r="D731" s="290"/>
      <c r="E731" s="36"/>
      <c r="F731" s="36"/>
      <c r="G731" s="84"/>
      <c r="H731" s="36"/>
      <c r="I731" s="36"/>
      <c r="J731" s="293"/>
      <c r="K731" s="83"/>
      <c r="L731" s="293"/>
      <c r="M731" s="36"/>
      <c r="N731" s="36"/>
      <c r="O731" s="37"/>
      <c r="P731" s="37"/>
      <c r="Q731" s="237"/>
      <c r="R731" s="37"/>
      <c r="S731" s="37"/>
      <c r="T731" s="37"/>
      <c r="U731" s="37"/>
      <c r="V731" s="122"/>
      <c r="W731" s="122"/>
      <c r="X731" s="37"/>
      <c r="Y731" s="37"/>
      <c r="Z731" s="37"/>
    </row>
    <row r="732" spans="1:26" ht="13">
      <c r="A732" s="238"/>
      <c r="B732" s="292"/>
      <c r="C732" s="36"/>
      <c r="D732" s="290"/>
      <c r="E732" s="36"/>
      <c r="F732" s="36"/>
      <c r="G732" s="84"/>
      <c r="H732" s="36"/>
      <c r="I732" s="36"/>
      <c r="J732" s="293"/>
      <c r="K732" s="83"/>
      <c r="L732" s="293"/>
      <c r="M732" s="36"/>
      <c r="N732" s="36"/>
      <c r="O732" s="37"/>
      <c r="P732" s="37"/>
      <c r="Q732" s="237"/>
      <c r="R732" s="37"/>
      <c r="S732" s="37"/>
      <c r="T732" s="37"/>
      <c r="U732" s="37"/>
      <c r="V732" s="122"/>
      <c r="W732" s="122"/>
      <c r="X732" s="37"/>
      <c r="Y732" s="37"/>
      <c r="Z732" s="37"/>
    </row>
    <row r="733" spans="1:26" ht="13">
      <c r="A733" s="238"/>
      <c r="B733" s="292"/>
      <c r="C733" s="36"/>
      <c r="D733" s="290"/>
      <c r="E733" s="36"/>
      <c r="F733" s="36"/>
      <c r="G733" s="84"/>
      <c r="H733" s="36"/>
      <c r="I733" s="36"/>
      <c r="J733" s="293"/>
      <c r="K733" s="83"/>
      <c r="L733" s="293"/>
      <c r="M733" s="36"/>
      <c r="N733" s="36"/>
      <c r="O733" s="37"/>
      <c r="P733" s="37"/>
      <c r="Q733" s="237"/>
      <c r="R733" s="37"/>
      <c r="S733" s="37"/>
      <c r="T733" s="37"/>
      <c r="U733" s="37"/>
      <c r="V733" s="122"/>
      <c r="W733" s="122"/>
      <c r="X733" s="37"/>
      <c r="Y733" s="37"/>
      <c r="Z733" s="37"/>
    </row>
    <row r="734" spans="1:26" ht="13">
      <c r="A734" s="238"/>
      <c r="B734" s="292"/>
      <c r="C734" s="36"/>
      <c r="D734" s="290"/>
      <c r="E734" s="36"/>
      <c r="F734" s="36"/>
      <c r="G734" s="84"/>
      <c r="H734" s="36"/>
      <c r="I734" s="36"/>
      <c r="J734" s="293"/>
      <c r="K734" s="83"/>
      <c r="L734" s="293"/>
      <c r="M734" s="36"/>
      <c r="N734" s="36"/>
      <c r="O734" s="37"/>
      <c r="P734" s="37"/>
      <c r="Q734" s="237"/>
      <c r="R734" s="37"/>
      <c r="S734" s="37"/>
      <c r="T734" s="37"/>
      <c r="U734" s="37"/>
      <c r="V734" s="122"/>
      <c r="W734" s="122"/>
      <c r="X734" s="37"/>
      <c r="Y734" s="37"/>
      <c r="Z734" s="37"/>
    </row>
    <row r="735" spans="1:26" ht="13">
      <c r="A735" s="238"/>
      <c r="B735" s="292"/>
      <c r="C735" s="36"/>
      <c r="D735" s="290"/>
      <c r="E735" s="36"/>
      <c r="F735" s="36"/>
      <c r="G735" s="84"/>
      <c r="H735" s="36"/>
      <c r="I735" s="36"/>
      <c r="J735" s="293"/>
      <c r="K735" s="83"/>
      <c r="L735" s="293"/>
      <c r="M735" s="36"/>
      <c r="N735" s="36"/>
      <c r="O735" s="37"/>
      <c r="P735" s="37"/>
      <c r="Q735" s="237"/>
      <c r="R735" s="37"/>
      <c r="S735" s="37"/>
      <c r="T735" s="37"/>
      <c r="U735" s="37"/>
      <c r="V735" s="122"/>
      <c r="W735" s="122"/>
      <c r="X735" s="37"/>
      <c r="Y735" s="37"/>
      <c r="Z735" s="37"/>
    </row>
    <row r="736" spans="1:26" ht="13">
      <c r="A736" s="238"/>
      <c r="B736" s="292"/>
      <c r="C736" s="36"/>
      <c r="D736" s="290"/>
      <c r="E736" s="36"/>
      <c r="F736" s="36"/>
      <c r="G736" s="84"/>
      <c r="H736" s="36"/>
      <c r="I736" s="36"/>
      <c r="J736" s="293"/>
      <c r="K736" s="83"/>
      <c r="L736" s="293"/>
      <c r="M736" s="36"/>
      <c r="N736" s="36"/>
      <c r="O736" s="37"/>
      <c r="P736" s="37"/>
      <c r="Q736" s="237"/>
      <c r="R736" s="37"/>
      <c r="S736" s="37"/>
      <c r="T736" s="37"/>
      <c r="U736" s="37"/>
      <c r="V736" s="122"/>
      <c r="W736" s="122"/>
      <c r="X736" s="37"/>
      <c r="Y736" s="37"/>
      <c r="Z736" s="37"/>
    </row>
    <row r="737" spans="1:26" ht="13">
      <c r="A737" s="238"/>
      <c r="B737" s="292"/>
      <c r="C737" s="36"/>
      <c r="D737" s="290"/>
      <c r="E737" s="36"/>
      <c r="F737" s="36"/>
      <c r="G737" s="84"/>
      <c r="H737" s="36"/>
      <c r="I737" s="36"/>
      <c r="J737" s="293"/>
      <c r="K737" s="83"/>
      <c r="L737" s="293"/>
      <c r="M737" s="36"/>
      <c r="N737" s="36"/>
      <c r="O737" s="37"/>
      <c r="P737" s="37"/>
      <c r="Q737" s="237"/>
      <c r="R737" s="37"/>
      <c r="S737" s="37"/>
      <c r="T737" s="37"/>
      <c r="U737" s="37"/>
      <c r="V737" s="122"/>
      <c r="W737" s="122"/>
      <c r="X737" s="37"/>
      <c r="Y737" s="37"/>
      <c r="Z737" s="37"/>
    </row>
    <row r="738" spans="1:26" ht="13">
      <c r="A738" s="238"/>
      <c r="B738" s="292"/>
      <c r="C738" s="36"/>
      <c r="D738" s="290"/>
      <c r="E738" s="36"/>
      <c r="F738" s="36"/>
      <c r="G738" s="84"/>
      <c r="H738" s="36"/>
      <c r="I738" s="36"/>
      <c r="J738" s="293"/>
      <c r="K738" s="83"/>
      <c r="L738" s="293"/>
      <c r="M738" s="36"/>
      <c r="N738" s="36"/>
      <c r="O738" s="37"/>
      <c r="P738" s="37"/>
      <c r="Q738" s="237"/>
      <c r="R738" s="37"/>
      <c r="S738" s="37"/>
      <c r="T738" s="37"/>
      <c r="U738" s="37"/>
      <c r="V738" s="122"/>
      <c r="W738" s="122"/>
      <c r="X738" s="37"/>
      <c r="Y738" s="37"/>
      <c r="Z738" s="37"/>
    </row>
    <row r="739" spans="1:26" ht="13">
      <c r="A739" s="238"/>
      <c r="B739" s="292"/>
      <c r="C739" s="36"/>
      <c r="D739" s="290"/>
      <c r="E739" s="36"/>
      <c r="F739" s="36"/>
      <c r="G739" s="84"/>
      <c r="H739" s="36"/>
      <c r="I739" s="36"/>
      <c r="J739" s="293"/>
      <c r="K739" s="83"/>
      <c r="L739" s="293"/>
      <c r="M739" s="36"/>
      <c r="N739" s="36"/>
      <c r="O739" s="37"/>
      <c r="P739" s="37"/>
      <c r="Q739" s="237"/>
      <c r="R739" s="37"/>
      <c r="S739" s="37"/>
      <c r="T739" s="37"/>
      <c r="U739" s="37"/>
      <c r="V739" s="122"/>
      <c r="W739" s="122"/>
      <c r="X739" s="37"/>
      <c r="Y739" s="37"/>
      <c r="Z739" s="37"/>
    </row>
    <row r="740" spans="1:26" ht="13">
      <c r="A740" s="238"/>
      <c r="B740" s="292"/>
      <c r="C740" s="36"/>
      <c r="D740" s="290"/>
      <c r="E740" s="36"/>
      <c r="F740" s="36"/>
      <c r="G740" s="84"/>
      <c r="H740" s="36"/>
      <c r="I740" s="36"/>
      <c r="J740" s="293"/>
      <c r="K740" s="83"/>
      <c r="L740" s="293"/>
      <c r="M740" s="36"/>
      <c r="N740" s="36"/>
      <c r="O740" s="37"/>
      <c r="P740" s="37"/>
      <c r="Q740" s="237"/>
      <c r="R740" s="37"/>
      <c r="S740" s="37"/>
      <c r="T740" s="37"/>
      <c r="U740" s="37"/>
      <c r="V740" s="122"/>
      <c r="W740" s="122"/>
      <c r="X740" s="37"/>
      <c r="Y740" s="37"/>
      <c r="Z740" s="37"/>
    </row>
    <row r="741" spans="1:26" ht="13">
      <c r="A741" s="238"/>
      <c r="B741" s="292"/>
      <c r="C741" s="36"/>
      <c r="D741" s="290"/>
      <c r="E741" s="36"/>
      <c r="F741" s="36"/>
      <c r="G741" s="84"/>
      <c r="H741" s="36"/>
      <c r="I741" s="36"/>
      <c r="J741" s="293"/>
      <c r="K741" s="83"/>
      <c r="L741" s="293"/>
      <c r="M741" s="36"/>
      <c r="N741" s="36"/>
      <c r="O741" s="37"/>
      <c r="P741" s="37"/>
      <c r="Q741" s="237"/>
      <c r="R741" s="37"/>
      <c r="S741" s="37"/>
      <c r="T741" s="37"/>
      <c r="U741" s="37"/>
      <c r="V741" s="122"/>
      <c r="W741" s="122"/>
      <c r="X741" s="37"/>
      <c r="Y741" s="37"/>
      <c r="Z741" s="37"/>
    </row>
    <row r="742" spans="1:26" ht="13">
      <c r="A742" s="238"/>
      <c r="B742" s="292"/>
      <c r="C742" s="36"/>
      <c r="D742" s="290"/>
      <c r="E742" s="36"/>
      <c r="F742" s="36"/>
      <c r="G742" s="84"/>
      <c r="H742" s="36"/>
      <c r="I742" s="36"/>
      <c r="J742" s="293"/>
      <c r="K742" s="83"/>
      <c r="L742" s="293"/>
      <c r="M742" s="36"/>
      <c r="N742" s="36"/>
      <c r="O742" s="37"/>
      <c r="P742" s="37"/>
      <c r="Q742" s="237"/>
      <c r="R742" s="37"/>
      <c r="S742" s="37"/>
      <c r="T742" s="37"/>
      <c r="U742" s="37"/>
      <c r="V742" s="122"/>
      <c r="W742" s="122"/>
      <c r="X742" s="37"/>
      <c r="Y742" s="37"/>
      <c r="Z742" s="37"/>
    </row>
    <row r="743" spans="1:26" ht="13">
      <c r="A743" s="238"/>
      <c r="B743" s="292"/>
      <c r="C743" s="36"/>
      <c r="D743" s="290"/>
      <c r="E743" s="36"/>
      <c r="F743" s="36"/>
      <c r="G743" s="84"/>
      <c r="H743" s="36"/>
      <c r="I743" s="36"/>
      <c r="J743" s="293"/>
      <c r="K743" s="83"/>
      <c r="L743" s="293"/>
      <c r="M743" s="36"/>
      <c r="N743" s="36"/>
      <c r="O743" s="37"/>
      <c r="P743" s="37"/>
      <c r="Q743" s="237"/>
      <c r="R743" s="37"/>
      <c r="S743" s="37"/>
      <c r="T743" s="37"/>
      <c r="U743" s="37"/>
      <c r="V743" s="122"/>
      <c r="W743" s="122"/>
      <c r="X743" s="37"/>
      <c r="Y743" s="37"/>
      <c r="Z743" s="37"/>
    </row>
    <row r="744" spans="1:26" ht="13">
      <c r="A744" s="238"/>
      <c r="B744" s="292"/>
      <c r="C744" s="36"/>
      <c r="D744" s="290"/>
      <c r="E744" s="36"/>
      <c r="F744" s="36"/>
      <c r="G744" s="84"/>
      <c r="H744" s="36"/>
      <c r="I744" s="36"/>
      <c r="J744" s="293"/>
      <c r="K744" s="83"/>
      <c r="L744" s="293"/>
      <c r="M744" s="36"/>
      <c r="N744" s="36"/>
      <c r="O744" s="37"/>
      <c r="P744" s="37"/>
      <c r="Q744" s="237"/>
      <c r="R744" s="37"/>
      <c r="S744" s="37"/>
      <c r="T744" s="37"/>
      <c r="U744" s="37"/>
      <c r="V744" s="122"/>
      <c r="W744" s="122"/>
      <c r="X744" s="37"/>
      <c r="Y744" s="37"/>
      <c r="Z744" s="37"/>
    </row>
    <row r="745" spans="1:26" ht="13">
      <c r="A745" s="238"/>
      <c r="B745" s="292"/>
      <c r="C745" s="36"/>
      <c r="D745" s="290"/>
      <c r="E745" s="36"/>
      <c r="F745" s="36"/>
      <c r="G745" s="84"/>
      <c r="H745" s="36"/>
      <c r="I745" s="36"/>
      <c r="J745" s="293"/>
      <c r="K745" s="83"/>
      <c r="L745" s="293"/>
      <c r="M745" s="36"/>
      <c r="N745" s="36"/>
      <c r="O745" s="37"/>
      <c r="P745" s="37"/>
      <c r="Q745" s="237"/>
      <c r="R745" s="37"/>
      <c r="S745" s="37"/>
      <c r="T745" s="37"/>
      <c r="U745" s="37"/>
      <c r="V745" s="122"/>
      <c r="W745" s="122"/>
      <c r="X745" s="37"/>
      <c r="Y745" s="37"/>
      <c r="Z745" s="37"/>
    </row>
    <row r="746" spans="1:26" ht="13">
      <c r="A746" s="238"/>
      <c r="B746" s="292"/>
      <c r="C746" s="36"/>
      <c r="D746" s="290"/>
      <c r="E746" s="36"/>
      <c r="F746" s="36"/>
      <c r="G746" s="84"/>
      <c r="H746" s="36"/>
      <c r="I746" s="36"/>
      <c r="J746" s="293"/>
      <c r="K746" s="83"/>
      <c r="L746" s="293"/>
      <c r="M746" s="36"/>
      <c r="N746" s="36"/>
      <c r="O746" s="37"/>
      <c r="P746" s="37"/>
      <c r="Q746" s="237"/>
      <c r="R746" s="37"/>
      <c r="S746" s="37"/>
      <c r="T746" s="37"/>
      <c r="U746" s="37"/>
      <c r="V746" s="122"/>
      <c r="W746" s="122"/>
      <c r="X746" s="37"/>
      <c r="Y746" s="37"/>
      <c r="Z746" s="37"/>
    </row>
    <row r="747" spans="1:26" ht="13">
      <c r="A747" s="238"/>
      <c r="B747" s="292"/>
      <c r="C747" s="36"/>
      <c r="D747" s="290"/>
      <c r="E747" s="36"/>
      <c r="F747" s="36"/>
      <c r="G747" s="84"/>
      <c r="H747" s="36"/>
      <c r="I747" s="36"/>
      <c r="J747" s="293"/>
      <c r="K747" s="83"/>
      <c r="L747" s="293"/>
      <c r="M747" s="36"/>
      <c r="N747" s="36"/>
      <c r="O747" s="37"/>
      <c r="P747" s="37"/>
      <c r="Q747" s="237"/>
      <c r="R747" s="37"/>
      <c r="S747" s="37"/>
      <c r="T747" s="37"/>
      <c r="U747" s="37"/>
      <c r="V747" s="122"/>
      <c r="W747" s="122"/>
      <c r="X747" s="37"/>
      <c r="Y747" s="37"/>
      <c r="Z747" s="37"/>
    </row>
    <row r="748" spans="1:26" ht="13">
      <c r="A748" s="238"/>
      <c r="B748" s="292"/>
      <c r="C748" s="36"/>
      <c r="D748" s="290"/>
      <c r="E748" s="36"/>
      <c r="F748" s="36"/>
      <c r="G748" s="84"/>
      <c r="H748" s="36"/>
      <c r="I748" s="36"/>
      <c r="J748" s="293"/>
      <c r="K748" s="83"/>
      <c r="L748" s="293"/>
      <c r="M748" s="36"/>
      <c r="N748" s="36"/>
      <c r="O748" s="37"/>
      <c r="P748" s="37"/>
      <c r="Q748" s="237"/>
      <c r="R748" s="37"/>
      <c r="S748" s="37"/>
      <c r="T748" s="37"/>
      <c r="U748" s="37"/>
      <c r="V748" s="122"/>
      <c r="W748" s="122"/>
      <c r="X748" s="37"/>
      <c r="Y748" s="37"/>
      <c r="Z748" s="37"/>
    </row>
    <row r="749" spans="1:26" ht="13">
      <c r="A749" s="238"/>
      <c r="B749" s="292"/>
      <c r="C749" s="36"/>
      <c r="D749" s="290"/>
      <c r="E749" s="36"/>
      <c r="F749" s="36"/>
      <c r="G749" s="84"/>
      <c r="H749" s="36"/>
      <c r="I749" s="36"/>
      <c r="J749" s="293"/>
      <c r="K749" s="83"/>
      <c r="L749" s="293"/>
      <c r="M749" s="36"/>
      <c r="N749" s="36"/>
      <c r="O749" s="37"/>
      <c r="P749" s="37"/>
      <c r="Q749" s="237"/>
      <c r="R749" s="37"/>
      <c r="S749" s="37"/>
      <c r="T749" s="37"/>
      <c r="U749" s="37"/>
      <c r="V749" s="122"/>
      <c r="W749" s="122"/>
      <c r="X749" s="37"/>
      <c r="Y749" s="37"/>
      <c r="Z749" s="37"/>
    </row>
    <row r="750" spans="1:26" ht="13">
      <c r="A750" s="238"/>
      <c r="B750" s="292"/>
      <c r="C750" s="36"/>
      <c r="D750" s="290"/>
      <c r="E750" s="36"/>
      <c r="F750" s="36"/>
      <c r="G750" s="84"/>
      <c r="H750" s="36"/>
      <c r="I750" s="36"/>
      <c r="J750" s="293"/>
      <c r="K750" s="83"/>
      <c r="L750" s="293"/>
      <c r="M750" s="36"/>
      <c r="N750" s="36"/>
      <c r="O750" s="37"/>
      <c r="P750" s="37"/>
      <c r="Q750" s="237"/>
      <c r="R750" s="37"/>
      <c r="S750" s="37"/>
      <c r="T750" s="37"/>
      <c r="U750" s="37"/>
      <c r="V750" s="122"/>
      <c r="W750" s="122"/>
      <c r="X750" s="37"/>
      <c r="Y750" s="37"/>
      <c r="Z750" s="37"/>
    </row>
    <row r="751" spans="1:26" ht="13">
      <c r="A751" s="238"/>
      <c r="B751" s="292"/>
      <c r="C751" s="36"/>
      <c r="D751" s="290"/>
      <c r="E751" s="36"/>
      <c r="F751" s="36"/>
      <c r="G751" s="84"/>
      <c r="H751" s="36"/>
      <c r="I751" s="36"/>
      <c r="J751" s="293"/>
      <c r="K751" s="83"/>
      <c r="L751" s="293"/>
      <c r="M751" s="36"/>
      <c r="N751" s="36"/>
      <c r="O751" s="37"/>
      <c r="P751" s="37"/>
      <c r="Q751" s="237"/>
      <c r="R751" s="37"/>
      <c r="S751" s="37"/>
      <c r="T751" s="37"/>
      <c r="U751" s="37"/>
      <c r="V751" s="122"/>
      <c r="W751" s="122"/>
      <c r="X751" s="37"/>
      <c r="Y751" s="37"/>
      <c r="Z751" s="37"/>
    </row>
    <row r="752" spans="1:26" ht="13">
      <c r="A752" s="238"/>
      <c r="B752" s="292"/>
      <c r="C752" s="36"/>
      <c r="D752" s="290"/>
      <c r="E752" s="36"/>
      <c r="F752" s="36"/>
      <c r="G752" s="84"/>
      <c r="H752" s="36"/>
      <c r="I752" s="36"/>
      <c r="J752" s="293"/>
      <c r="K752" s="83"/>
      <c r="L752" s="293"/>
      <c r="M752" s="36"/>
      <c r="N752" s="36"/>
      <c r="O752" s="37"/>
      <c r="P752" s="37"/>
      <c r="Q752" s="237"/>
      <c r="R752" s="37"/>
      <c r="S752" s="37"/>
      <c r="T752" s="37"/>
      <c r="U752" s="37"/>
      <c r="V752" s="122"/>
      <c r="W752" s="122"/>
      <c r="X752" s="37"/>
      <c r="Y752" s="37"/>
      <c r="Z752" s="37"/>
    </row>
    <row r="753" spans="1:26" ht="13">
      <c r="A753" s="238"/>
      <c r="B753" s="292"/>
      <c r="C753" s="36"/>
      <c r="D753" s="290"/>
      <c r="E753" s="36"/>
      <c r="F753" s="36"/>
      <c r="G753" s="84"/>
      <c r="H753" s="36"/>
      <c r="I753" s="36"/>
      <c r="J753" s="293"/>
      <c r="K753" s="83"/>
      <c r="L753" s="293"/>
      <c r="M753" s="36"/>
      <c r="N753" s="36"/>
      <c r="O753" s="37"/>
      <c r="P753" s="37"/>
      <c r="Q753" s="237"/>
      <c r="R753" s="37"/>
      <c r="S753" s="37"/>
      <c r="T753" s="37"/>
      <c r="U753" s="37"/>
      <c r="V753" s="122"/>
      <c r="W753" s="122"/>
      <c r="X753" s="37"/>
      <c r="Y753" s="37"/>
      <c r="Z753" s="37"/>
    </row>
    <row r="754" spans="1:26" ht="13">
      <c r="A754" s="238"/>
      <c r="B754" s="292"/>
      <c r="C754" s="36"/>
      <c r="D754" s="290"/>
      <c r="E754" s="36"/>
      <c r="F754" s="36"/>
      <c r="G754" s="84"/>
      <c r="H754" s="36"/>
      <c r="I754" s="36"/>
      <c r="J754" s="293"/>
      <c r="K754" s="83"/>
      <c r="L754" s="293"/>
      <c r="M754" s="36"/>
      <c r="N754" s="36"/>
      <c r="O754" s="37"/>
      <c r="P754" s="37"/>
      <c r="Q754" s="237"/>
      <c r="R754" s="37"/>
      <c r="S754" s="37"/>
      <c r="T754" s="37"/>
      <c r="U754" s="37"/>
      <c r="V754" s="122"/>
      <c r="W754" s="122"/>
      <c r="X754" s="37"/>
      <c r="Y754" s="37"/>
      <c r="Z754" s="37"/>
    </row>
    <row r="755" spans="1:26" ht="13">
      <c r="A755" s="238"/>
      <c r="B755" s="292"/>
      <c r="C755" s="36"/>
      <c r="D755" s="290"/>
      <c r="E755" s="36"/>
      <c r="F755" s="36"/>
      <c r="G755" s="84"/>
      <c r="H755" s="36"/>
      <c r="I755" s="36"/>
      <c r="J755" s="293"/>
      <c r="K755" s="83"/>
      <c r="L755" s="293"/>
      <c r="M755" s="36"/>
      <c r="N755" s="36"/>
      <c r="O755" s="37"/>
      <c r="P755" s="37"/>
      <c r="Q755" s="237"/>
      <c r="R755" s="37"/>
      <c r="S755" s="37"/>
      <c r="T755" s="37"/>
      <c r="U755" s="37"/>
      <c r="V755" s="122"/>
      <c r="W755" s="122"/>
      <c r="X755" s="37"/>
      <c r="Y755" s="37"/>
      <c r="Z755" s="37"/>
    </row>
    <row r="756" spans="1:26" ht="13">
      <c r="A756" s="238"/>
      <c r="B756" s="292"/>
      <c r="C756" s="36"/>
      <c r="D756" s="290"/>
      <c r="E756" s="36"/>
      <c r="F756" s="36"/>
      <c r="G756" s="84"/>
      <c r="H756" s="36"/>
      <c r="I756" s="36"/>
      <c r="J756" s="293"/>
      <c r="K756" s="83"/>
      <c r="L756" s="293"/>
      <c r="M756" s="36"/>
      <c r="N756" s="36"/>
      <c r="O756" s="37"/>
      <c r="P756" s="37"/>
      <c r="Q756" s="237"/>
      <c r="R756" s="37"/>
      <c r="S756" s="37"/>
      <c r="T756" s="37"/>
      <c r="U756" s="37"/>
      <c r="V756" s="122"/>
      <c r="W756" s="122"/>
      <c r="X756" s="37"/>
      <c r="Y756" s="37"/>
      <c r="Z756" s="37"/>
    </row>
    <row r="757" spans="1:26" ht="13">
      <c r="A757" s="238"/>
      <c r="B757" s="292"/>
      <c r="C757" s="36"/>
      <c r="D757" s="290"/>
      <c r="E757" s="36"/>
      <c r="F757" s="36"/>
      <c r="G757" s="84"/>
      <c r="H757" s="36"/>
      <c r="I757" s="36"/>
      <c r="J757" s="293"/>
      <c r="K757" s="83"/>
      <c r="L757" s="293"/>
      <c r="M757" s="36"/>
      <c r="N757" s="36"/>
      <c r="O757" s="37"/>
      <c r="P757" s="37"/>
      <c r="Q757" s="237"/>
      <c r="R757" s="37"/>
      <c r="S757" s="37"/>
      <c r="T757" s="37"/>
      <c r="U757" s="37"/>
      <c r="V757" s="122"/>
      <c r="W757" s="122"/>
      <c r="X757" s="37"/>
      <c r="Y757" s="37"/>
      <c r="Z757" s="37"/>
    </row>
    <row r="758" spans="1:26" ht="13">
      <c r="A758" s="238"/>
      <c r="B758" s="292"/>
      <c r="C758" s="36"/>
      <c r="D758" s="290"/>
      <c r="E758" s="36"/>
      <c r="F758" s="36"/>
      <c r="G758" s="84"/>
      <c r="H758" s="36"/>
      <c r="I758" s="36"/>
      <c r="J758" s="293"/>
      <c r="K758" s="83"/>
      <c r="L758" s="293"/>
      <c r="M758" s="36"/>
      <c r="N758" s="36"/>
      <c r="O758" s="37"/>
      <c r="P758" s="37"/>
      <c r="Q758" s="237"/>
      <c r="R758" s="37"/>
      <c r="S758" s="37"/>
      <c r="T758" s="37"/>
      <c r="U758" s="37"/>
      <c r="V758" s="122"/>
      <c r="W758" s="122"/>
      <c r="X758" s="37"/>
      <c r="Y758" s="37"/>
      <c r="Z758" s="37"/>
    </row>
    <row r="759" spans="1:26" ht="13">
      <c r="A759" s="238"/>
      <c r="B759" s="292"/>
      <c r="C759" s="36"/>
      <c r="D759" s="290"/>
      <c r="E759" s="36"/>
      <c r="F759" s="36"/>
      <c r="G759" s="84"/>
      <c r="H759" s="36"/>
      <c r="I759" s="36"/>
      <c r="J759" s="293"/>
      <c r="K759" s="83"/>
      <c r="L759" s="293"/>
      <c r="M759" s="36"/>
      <c r="N759" s="36"/>
      <c r="O759" s="37"/>
      <c r="P759" s="37"/>
      <c r="Q759" s="237"/>
      <c r="R759" s="37"/>
      <c r="S759" s="37"/>
      <c r="T759" s="37"/>
      <c r="U759" s="37"/>
      <c r="V759" s="122"/>
      <c r="W759" s="122"/>
      <c r="X759" s="37"/>
      <c r="Y759" s="37"/>
      <c r="Z759" s="37"/>
    </row>
    <row r="760" spans="1:26" ht="13">
      <c r="A760" s="238"/>
      <c r="B760" s="292"/>
      <c r="C760" s="36"/>
      <c r="D760" s="290"/>
      <c r="E760" s="36"/>
      <c r="F760" s="36"/>
      <c r="G760" s="84"/>
      <c r="H760" s="36"/>
      <c r="I760" s="36"/>
      <c r="J760" s="293"/>
      <c r="K760" s="83"/>
      <c r="L760" s="293"/>
      <c r="M760" s="36"/>
      <c r="N760" s="36"/>
      <c r="O760" s="37"/>
      <c r="P760" s="37"/>
      <c r="Q760" s="237"/>
      <c r="R760" s="37"/>
      <c r="S760" s="37"/>
      <c r="T760" s="37"/>
      <c r="U760" s="37"/>
      <c r="V760" s="122"/>
      <c r="W760" s="122"/>
      <c r="X760" s="37"/>
      <c r="Y760" s="37"/>
      <c r="Z760" s="37"/>
    </row>
    <row r="761" spans="1:26" ht="13">
      <c r="A761" s="238"/>
      <c r="B761" s="292"/>
      <c r="C761" s="36"/>
      <c r="D761" s="290"/>
      <c r="E761" s="36"/>
      <c r="F761" s="36"/>
      <c r="G761" s="84"/>
      <c r="H761" s="36"/>
      <c r="I761" s="36"/>
      <c r="J761" s="293"/>
      <c r="K761" s="83"/>
      <c r="L761" s="293"/>
      <c r="M761" s="36"/>
      <c r="N761" s="36"/>
      <c r="O761" s="37"/>
      <c r="P761" s="37"/>
      <c r="Q761" s="237"/>
      <c r="R761" s="37"/>
      <c r="S761" s="37"/>
      <c r="T761" s="37"/>
      <c r="U761" s="37"/>
      <c r="V761" s="122"/>
      <c r="W761" s="122"/>
      <c r="X761" s="37"/>
      <c r="Y761" s="37"/>
      <c r="Z761" s="37"/>
    </row>
    <row r="762" spans="1:26" ht="13">
      <c r="A762" s="238"/>
      <c r="B762" s="292"/>
      <c r="C762" s="36"/>
      <c r="D762" s="290"/>
      <c r="E762" s="36"/>
      <c r="F762" s="36"/>
      <c r="G762" s="84"/>
      <c r="H762" s="36"/>
      <c r="I762" s="36"/>
      <c r="J762" s="293"/>
      <c r="K762" s="83"/>
      <c r="L762" s="293"/>
      <c r="M762" s="36"/>
      <c r="N762" s="36"/>
      <c r="O762" s="37"/>
      <c r="P762" s="37"/>
      <c r="Q762" s="237"/>
      <c r="R762" s="37"/>
      <c r="S762" s="37"/>
      <c r="T762" s="37"/>
      <c r="U762" s="37"/>
      <c r="V762" s="122"/>
      <c r="W762" s="122"/>
      <c r="X762" s="37"/>
      <c r="Y762" s="37"/>
      <c r="Z762" s="37"/>
    </row>
    <row r="763" spans="1:26" ht="13">
      <c r="A763" s="238"/>
      <c r="B763" s="292"/>
      <c r="C763" s="36"/>
      <c r="D763" s="290"/>
      <c r="E763" s="36"/>
      <c r="F763" s="36"/>
      <c r="G763" s="84"/>
      <c r="H763" s="36"/>
      <c r="I763" s="36"/>
      <c r="J763" s="293"/>
      <c r="K763" s="83"/>
      <c r="L763" s="293"/>
      <c r="M763" s="36"/>
      <c r="N763" s="36"/>
      <c r="O763" s="37"/>
      <c r="P763" s="37"/>
      <c r="Q763" s="237"/>
      <c r="R763" s="37"/>
      <c r="S763" s="37"/>
      <c r="T763" s="37"/>
      <c r="U763" s="37"/>
      <c r="V763" s="122"/>
      <c r="W763" s="122"/>
      <c r="X763" s="37"/>
      <c r="Y763" s="37"/>
      <c r="Z763" s="37"/>
    </row>
    <row r="764" spans="1:26" ht="13">
      <c r="A764" s="238"/>
      <c r="B764" s="292"/>
      <c r="C764" s="36"/>
      <c r="D764" s="290"/>
      <c r="E764" s="36"/>
      <c r="F764" s="36"/>
      <c r="G764" s="84"/>
      <c r="H764" s="36"/>
      <c r="I764" s="36"/>
      <c r="J764" s="293"/>
      <c r="K764" s="83"/>
      <c r="L764" s="293"/>
      <c r="M764" s="36"/>
      <c r="N764" s="36"/>
      <c r="O764" s="37"/>
      <c r="P764" s="37"/>
      <c r="Q764" s="237"/>
      <c r="R764" s="37"/>
      <c r="S764" s="37"/>
      <c r="T764" s="37"/>
      <c r="U764" s="37"/>
      <c r="V764" s="122"/>
      <c r="W764" s="122"/>
      <c r="X764" s="37"/>
      <c r="Y764" s="37"/>
      <c r="Z764" s="37"/>
    </row>
    <row r="765" spans="1:26" ht="13">
      <c r="A765" s="238"/>
      <c r="B765" s="292"/>
      <c r="C765" s="36"/>
      <c r="D765" s="290"/>
      <c r="E765" s="36"/>
      <c r="F765" s="36"/>
      <c r="G765" s="84"/>
      <c r="H765" s="36"/>
      <c r="I765" s="36"/>
      <c r="J765" s="293"/>
      <c r="K765" s="83"/>
      <c r="L765" s="293"/>
      <c r="M765" s="36"/>
      <c r="N765" s="36"/>
      <c r="O765" s="37"/>
      <c r="P765" s="37"/>
      <c r="Q765" s="237"/>
      <c r="R765" s="37"/>
      <c r="S765" s="37"/>
      <c r="T765" s="37"/>
      <c r="U765" s="37"/>
      <c r="V765" s="122"/>
      <c r="W765" s="122"/>
      <c r="X765" s="37"/>
      <c r="Y765" s="37"/>
      <c r="Z765" s="37"/>
    </row>
    <row r="766" spans="1:26" ht="13">
      <c r="A766" s="238"/>
      <c r="B766" s="292"/>
      <c r="C766" s="36"/>
      <c r="D766" s="290"/>
      <c r="E766" s="36"/>
      <c r="F766" s="36"/>
      <c r="G766" s="84"/>
      <c r="H766" s="36"/>
      <c r="I766" s="36"/>
      <c r="J766" s="293"/>
      <c r="K766" s="83"/>
      <c r="L766" s="293"/>
      <c r="M766" s="36"/>
      <c r="N766" s="36"/>
      <c r="O766" s="37"/>
      <c r="P766" s="37"/>
      <c r="Q766" s="237"/>
      <c r="R766" s="37"/>
      <c r="S766" s="37"/>
      <c r="T766" s="37"/>
      <c r="U766" s="37"/>
      <c r="V766" s="122"/>
      <c r="W766" s="122"/>
      <c r="X766" s="37"/>
      <c r="Y766" s="37"/>
      <c r="Z766" s="37"/>
    </row>
    <row r="767" spans="1:26" ht="13">
      <c r="A767" s="238"/>
      <c r="B767" s="292"/>
      <c r="C767" s="36"/>
      <c r="D767" s="290"/>
      <c r="E767" s="36"/>
      <c r="F767" s="36"/>
      <c r="G767" s="84"/>
      <c r="H767" s="36"/>
      <c r="I767" s="36"/>
      <c r="J767" s="293"/>
      <c r="K767" s="83"/>
      <c r="L767" s="293"/>
      <c r="M767" s="36"/>
      <c r="N767" s="36"/>
      <c r="O767" s="37"/>
      <c r="P767" s="37"/>
      <c r="Q767" s="237"/>
      <c r="R767" s="37"/>
      <c r="S767" s="37"/>
      <c r="T767" s="37"/>
      <c r="U767" s="37"/>
      <c r="V767" s="122"/>
      <c r="W767" s="122"/>
      <c r="X767" s="37"/>
      <c r="Y767" s="37"/>
      <c r="Z767" s="37"/>
    </row>
    <row r="768" spans="1:26" ht="13">
      <c r="A768" s="238"/>
      <c r="B768" s="292"/>
      <c r="C768" s="36"/>
      <c r="D768" s="290"/>
      <c r="E768" s="36"/>
      <c r="F768" s="36"/>
      <c r="G768" s="84"/>
      <c r="H768" s="36"/>
      <c r="I768" s="36"/>
      <c r="J768" s="293"/>
      <c r="K768" s="83"/>
      <c r="L768" s="293"/>
      <c r="M768" s="36"/>
      <c r="N768" s="36"/>
      <c r="O768" s="37"/>
      <c r="P768" s="37"/>
      <c r="Q768" s="237"/>
      <c r="R768" s="37"/>
      <c r="S768" s="37"/>
      <c r="T768" s="37"/>
      <c r="U768" s="37"/>
      <c r="V768" s="122"/>
      <c r="W768" s="122"/>
      <c r="X768" s="37"/>
      <c r="Y768" s="37"/>
      <c r="Z768" s="37"/>
    </row>
    <row r="769" spans="1:26" ht="13">
      <c r="A769" s="238"/>
      <c r="B769" s="292"/>
      <c r="C769" s="36"/>
      <c r="D769" s="290"/>
      <c r="E769" s="36"/>
      <c r="F769" s="36"/>
      <c r="G769" s="84"/>
      <c r="H769" s="36"/>
      <c r="I769" s="36"/>
      <c r="J769" s="293"/>
      <c r="K769" s="83"/>
      <c r="L769" s="293"/>
      <c r="M769" s="36"/>
      <c r="N769" s="36"/>
      <c r="O769" s="37"/>
      <c r="P769" s="37"/>
      <c r="Q769" s="237"/>
      <c r="R769" s="37"/>
      <c r="S769" s="37"/>
      <c r="T769" s="37"/>
      <c r="U769" s="37"/>
      <c r="V769" s="122"/>
      <c r="W769" s="122"/>
      <c r="X769" s="37"/>
      <c r="Y769" s="37"/>
      <c r="Z769" s="37"/>
    </row>
    <row r="770" spans="1:26" ht="13">
      <c r="A770" s="238"/>
      <c r="B770" s="292"/>
      <c r="C770" s="36"/>
      <c r="D770" s="290"/>
      <c r="E770" s="36"/>
      <c r="F770" s="36"/>
      <c r="G770" s="84"/>
      <c r="H770" s="36"/>
      <c r="I770" s="36"/>
      <c r="J770" s="293"/>
      <c r="K770" s="83"/>
      <c r="L770" s="293"/>
      <c r="M770" s="36"/>
      <c r="N770" s="36"/>
      <c r="O770" s="37"/>
      <c r="P770" s="37"/>
      <c r="Q770" s="237"/>
      <c r="R770" s="37"/>
      <c r="S770" s="37"/>
      <c r="T770" s="37"/>
      <c r="U770" s="37"/>
      <c r="V770" s="122"/>
      <c r="W770" s="122"/>
      <c r="X770" s="37"/>
      <c r="Y770" s="37"/>
      <c r="Z770" s="37"/>
    </row>
    <row r="771" spans="1:26" ht="13">
      <c r="A771" s="238"/>
      <c r="B771" s="292"/>
      <c r="C771" s="36"/>
      <c r="D771" s="290"/>
      <c r="E771" s="36"/>
      <c r="F771" s="36"/>
      <c r="G771" s="84"/>
      <c r="H771" s="36"/>
      <c r="I771" s="36"/>
      <c r="J771" s="293"/>
      <c r="K771" s="83"/>
      <c r="L771" s="293"/>
      <c r="M771" s="36"/>
      <c r="N771" s="36"/>
      <c r="O771" s="37"/>
      <c r="P771" s="37"/>
      <c r="Q771" s="237"/>
      <c r="R771" s="37"/>
      <c r="S771" s="37"/>
      <c r="T771" s="37"/>
      <c r="U771" s="37"/>
      <c r="V771" s="122"/>
      <c r="W771" s="122"/>
      <c r="X771" s="37"/>
      <c r="Y771" s="37"/>
      <c r="Z771" s="37"/>
    </row>
    <row r="772" spans="1:26" ht="13">
      <c r="A772" s="238"/>
      <c r="B772" s="292"/>
      <c r="C772" s="36"/>
      <c r="D772" s="290"/>
      <c r="E772" s="36"/>
      <c r="F772" s="36"/>
      <c r="G772" s="84"/>
      <c r="H772" s="36"/>
      <c r="I772" s="36"/>
      <c r="J772" s="293"/>
      <c r="K772" s="83"/>
      <c r="L772" s="293"/>
      <c r="M772" s="36"/>
      <c r="N772" s="36"/>
      <c r="O772" s="37"/>
      <c r="P772" s="37"/>
      <c r="Q772" s="237"/>
      <c r="R772" s="37"/>
      <c r="S772" s="37"/>
      <c r="T772" s="37"/>
      <c r="U772" s="37"/>
      <c r="V772" s="122"/>
      <c r="W772" s="122"/>
      <c r="X772" s="37"/>
      <c r="Y772" s="37"/>
      <c r="Z772" s="37"/>
    </row>
    <row r="773" spans="1:26" ht="13">
      <c r="A773" s="238"/>
      <c r="B773" s="292"/>
      <c r="C773" s="36"/>
      <c r="D773" s="290"/>
      <c r="E773" s="36"/>
      <c r="F773" s="36"/>
      <c r="G773" s="84"/>
      <c r="H773" s="36"/>
      <c r="I773" s="36"/>
      <c r="J773" s="293"/>
      <c r="K773" s="83"/>
      <c r="L773" s="293"/>
      <c r="M773" s="36"/>
      <c r="N773" s="36"/>
      <c r="O773" s="37"/>
      <c r="P773" s="37"/>
      <c r="Q773" s="237"/>
      <c r="R773" s="37"/>
      <c r="S773" s="37"/>
      <c r="T773" s="37"/>
      <c r="U773" s="37"/>
      <c r="V773" s="122"/>
      <c r="W773" s="122"/>
      <c r="X773" s="37"/>
      <c r="Y773" s="37"/>
      <c r="Z773" s="37"/>
    </row>
    <row r="774" spans="1:26" ht="13">
      <c r="A774" s="238"/>
      <c r="B774" s="292"/>
      <c r="C774" s="36"/>
      <c r="D774" s="290"/>
      <c r="E774" s="36"/>
      <c r="F774" s="36"/>
      <c r="G774" s="84"/>
      <c r="H774" s="36"/>
      <c r="I774" s="36"/>
      <c r="J774" s="293"/>
      <c r="K774" s="83"/>
      <c r="L774" s="293"/>
      <c r="M774" s="36"/>
      <c r="N774" s="36"/>
      <c r="O774" s="37"/>
      <c r="P774" s="37"/>
      <c r="Q774" s="237"/>
      <c r="R774" s="37"/>
      <c r="S774" s="37"/>
      <c r="T774" s="37"/>
      <c r="U774" s="37"/>
      <c r="V774" s="122"/>
      <c r="W774" s="122"/>
      <c r="X774" s="37"/>
      <c r="Y774" s="37"/>
      <c r="Z774" s="37"/>
    </row>
    <row r="775" spans="1:26" ht="13">
      <c r="A775" s="238"/>
      <c r="B775" s="292"/>
      <c r="C775" s="36"/>
      <c r="D775" s="290"/>
      <c r="E775" s="36"/>
      <c r="F775" s="36"/>
      <c r="G775" s="84"/>
      <c r="H775" s="36"/>
      <c r="I775" s="36"/>
      <c r="J775" s="293"/>
      <c r="K775" s="83"/>
      <c r="L775" s="293"/>
      <c r="M775" s="36"/>
      <c r="N775" s="36"/>
      <c r="O775" s="37"/>
      <c r="P775" s="37"/>
      <c r="Q775" s="237"/>
      <c r="R775" s="37"/>
      <c r="S775" s="37"/>
      <c r="T775" s="37"/>
      <c r="U775" s="37"/>
      <c r="V775" s="122"/>
      <c r="W775" s="122"/>
      <c r="X775" s="37"/>
      <c r="Y775" s="37"/>
      <c r="Z775" s="37"/>
    </row>
    <row r="776" spans="1:26" ht="13">
      <c r="A776" s="238"/>
      <c r="B776" s="292"/>
      <c r="C776" s="36"/>
      <c r="D776" s="290"/>
      <c r="E776" s="36"/>
      <c r="F776" s="36"/>
      <c r="G776" s="84"/>
      <c r="H776" s="36"/>
      <c r="I776" s="36"/>
      <c r="J776" s="293"/>
      <c r="K776" s="83"/>
      <c r="L776" s="293"/>
      <c r="M776" s="36"/>
      <c r="N776" s="36"/>
      <c r="O776" s="37"/>
      <c r="P776" s="37"/>
      <c r="Q776" s="237"/>
      <c r="R776" s="37"/>
      <c r="S776" s="37"/>
      <c r="T776" s="37"/>
      <c r="U776" s="37"/>
      <c r="V776" s="122"/>
      <c r="W776" s="122"/>
      <c r="X776" s="37"/>
      <c r="Y776" s="37"/>
      <c r="Z776" s="37"/>
    </row>
    <row r="777" spans="1:26" ht="13">
      <c r="A777" s="238"/>
      <c r="B777" s="292"/>
      <c r="C777" s="36"/>
      <c r="D777" s="290"/>
      <c r="E777" s="36"/>
      <c r="F777" s="36"/>
      <c r="G777" s="84"/>
      <c r="H777" s="36"/>
      <c r="I777" s="36"/>
      <c r="J777" s="293"/>
      <c r="K777" s="83"/>
      <c r="L777" s="293"/>
      <c r="M777" s="36"/>
      <c r="N777" s="36"/>
      <c r="O777" s="37"/>
      <c r="P777" s="37"/>
      <c r="Q777" s="237"/>
      <c r="R777" s="37"/>
      <c r="S777" s="37"/>
      <c r="T777" s="37"/>
      <c r="U777" s="37"/>
      <c r="V777" s="122"/>
      <c r="W777" s="122"/>
      <c r="X777" s="37"/>
      <c r="Y777" s="37"/>
      <c r="Z777" s="37"/>
    </row>
    <row r="778" spans="1:26" ht="13">
      <c r="A778" s="238"/>
      <c r="B778" s="292"/>
      <c r="C778" s="36"/>
      <c r="D778" s="290"/>
      <c r="E778" s="36"/>
      <c r="F778" s="36"/>
      <c r="G778" s="84"/>
      <c r="H778" s="36"/>
      <c r="I778" s="36"/>
      <c r="J778" s="293"/>
      <c r="K778" s="83"/>
      <c r="L778" s="293"/>
      <c r="M778" s="36"/>
      <c r="N778" s="36"/>
      <c r="O778" s="37"/>
      <c r="P778" s="37"/>
      <c r="Q778" s="237"/>
      <c r="R778" s="37"/>
      <c r="S778" s="37"/>
      <c r="T778" s="37"/>
      <c r="U778" s="37"/>
      <c r="V778" s="122"/>
      <c r="W778" s="122"/>
      <c r="X778" s="37"/>
      <c r="Y778" s="37"/>
      <c r="Z778" s="37"/>
    </row>
    <row r="779" spans="1:26" ht="13">
      <c r="A779" s="238"/>
      <c r="B779" s="292"/>
      <c r="C779" s="36"/>
      <c r="D779" s="290"/>
      <c r="E779" s="36"/>
      <c r="F779" s="36"/>
      <c r="G779" s="84"/>
      <c r="H779" s="36"/>
      <c r="I779" s="36"/>
      <c r="J779" s="293"/>
      <c r="K779" s="83"/>
      <c r="L779" s="293"/>
      <c r="M779" s="36"/>
      <c r="N779" s="36"/>
      <c r="O779" s="37"/>
      <c r="P779" s="37"/>
      <c r="Q779" s="237"/>
      <c r="R779" s="37"/>
      <c r="S779" s="37"/>
      <c r="T779" s="37"/>
      <c r="U779" s="37"/>
      <c r="V779" s="122"/>
      <c r="W779" s="122"/>
      <c r="X779" s="37"/>
      <c r="Y779" s="37"/>
      <c r="Z779" s="37"/>
    </row>
    <row r="780" spans="1:26" ht="13">
      <c r="A780" s="238"/>
      <c r="B780" s="292"/>
      <c r="C780" s="36"/>
      <c r="D780" s="290"/>
      <c r="E780" s="36"/>
      <c r="F780" s="36"/>
      <c r="G780" s="84"/>
      <c r="H780" s="36"/>
      <c r="I780" s="36"/>
      <c r="J780" s="293"/>
      <c r="K780" s="83"/>
      <c r="L780" s="293"/>
      <c r="M780" s="36"/>
      <c r="N780" s="36"/>
      <c r="O780" s="37"/>
      <c r="P780" s="37"/>
      <c r="Q780" s="237"/>
      <c r="R780" s="37"/>
      <c r="S780" s="37"/>
      <c r="T780" s="37"/>
      <c r="U780" s="37"/>
      <c r="V780" s="122"/>
      <c r="W780" s="122"/>
      <c r="X780" s="37"/>
      <c r="Y780" s="37"/>
      <c r="Z780" s="37"/>
    </row>
    <row r="781" spans="1:26" ht="13">
      <c r="A781" s="238"/>
      <c r="B781" s="292"/>
      <c r="C781" s="36"/>
      <c r="D781" s="290"/>
      <c r="E781" s="36"/>
      <c r="F781" s="36"/>
      <c r="G781" s="84"/>
      <c r="H781" s="36"/>
      <c r="I781" s="36"/>
      <c r="J781" s="293"/>
      <c r="K781" s="83"/>
      <c r="L781" s="293"/>
      <c r="M781" s="36"/>
      <c r="N781" s="36"/>
      <c r="O781" s="37"/>
      <c r="P781" s="37"/>
      <c r="Q781" s="237"/>
      <c r="R781" s="37"/>
      <c r="S781" s="37"/>
      <c r="T781" s="37"/>
      <c r="U781" s="37"/>
      <c r="V781" s="122"/>
      <c r="W781" s="122"/>
      <c r="X781" s="37"/>
      <c r="Y781" s="37"/>
      <c r="Z781" s="37"/>
    </row>
    <row r="782" spans="1:26" ht="13">
      <c r="A782" s="238"/>
      <c r="B782" s="292"/>
      <c r="C782" s="36"/>
      <c r="D782" s="290"/>
      <c r="E782" s="36"/>
      <c r="F782" s="36"/>
      <c r="G782" s="84"/>
      <c r="H782" s="36"/>
      <c r="I782" s="36"/>
      <c r="J782" s="293"/>
      <c r="K782" s="83"/>
      <c r="L782" s="293"/>
      <c r="M782" s="36"/>
      <c r="N782" s="36"/>
      <c r="O782" s="37"/>
      <c r="P782" s="37"/>
      <c r="Q782" s="237"/>
      <c r="R782" s="37"/>
      <c r="S782" s="37"/>
      <c r="T782" s="37"/>
      <c r="U782" s="37"/>
      <c r="V782" s="122"/>
      <c r="W782" s="122"/>
      <c r="X782" s="37"/>
      <c r="Y782" s="37"/>
      <c r="Z782" s="37"/>
    </row>
    <row r="783" spans="1:26" ht="13">
      <c r="A783" s="238"/>
      <c r="B783" s="292"/>
      <c r="C783" s="36"/>
      <c r="D783" s="290"/>
      <c r="E783" s="36"/>
      <c r="F783" s="36"/>
      <c r="G783" s="84"/>
      <c r="H783" s="36"/>
      <c r="I783" s="36"/>
      <c r="J783" s="293"/>
      <c r="K783" s="83"/>
      <c r="L783" s="293"/>
      <c r="M783" s="36"/>
      <c r="N783" s="36"/>
      <c r="O783" s="37"/>
      <c r="P783" s="37"/>
      <c r="Q783" s="237"/>
      <c r="R783" s="37"/>
      <c r="S783" s="37"/>
      <c r="T783" s="37"/>
      <c r="U783" s="37"/>
      <c r="V783" s="122"/>
      <c r="W783" s="122"/>
      <c r="X783" s="37"/>
      <c r="Y783" s="37"/>
      <c r="Z783" s="37"/>
    </row>
    <row r="784" spans="1:26" ht="13">
      <c r="A784" s="238"/>
      <c r="B784" s="292"/>
      <c r="C784" s="36"/>
      <c r="D784" s="290"/>
      <c r="E784" s="36"/>
      <c r="F784" s="36"/>
      <c r="G784" s="84"/>
      <c r="H784" s="36"/>
      <c r="I784" s="36"/>
      <c r="J784" s="293"/>
      <c r="K784" s="83"/>
      <c r="L784" s="293"/>
      <c r="M784" s="36"/>
      <c r="N784" s="36"/>
      <c r="O784" s="37"/>
      <c r="P784" s="37"/>
      <c r="Q784" s="237"/>
      <c r="R784" s="37"/>
      <c r="S784" s="37"/>
      <c r="T784" s="37"/>
      <c r="U784" s="37"/>
      <c r="V784" s="122"/>
      <c r="W784" s="122"/>
      <c r="X784" s="37"/>
      <c r="Y784" s="37"/>
      <c r="Z784" s="37"/>
    </row>
    <row r="785" spans="1:26" ht="13">
      <c r="A785" s="238"/>
      <c r="B785" s="292"/>
      <c r="C785" s="36"/>
      <c r="D785" s="290"/>
      <c r="E785" s="36"/>
      <c r="F785" s="36"/>
      <c r="G785" s="84"/>
      <c r="H785" s="36"/>
      <c r="I785" s="36"/>
      <c r="J785" s="293"/>
      <c r="K785" s="83"/>
      <c r="L785" s="293"/>
      <c r="M785" s="36"/>
      <c r="N785" s="36"/>
      <c r="O785" s="37"/>
      <c r="P785" s="37"/>
      <c r="Q785" s="237"/>
      <c r="R785" s="37"/>
      <c r="S785" s="37"/>
      <c r="T785" s="37"/>
      <c r="U785" s="37"/>
      <c r="V785" s="122"/>
      <c r="W785" s="122"/>
      <c r="X785" s="37"/>
      <c r="Y785" s="37"/>
      <c r="Z785" s="37"/>
    </row>
    <row r="786" spans="1:26" ht="13">
      <c r="A786" s="238"/>
      <c r="B786" s="292"/>
      <c r="C786" s="36"/>
      <c r="D786" s="290"/>
      <c r="E786" s="36"/>
      <c r="F786" s="36"/>
      <c r="G786" s="84"/>
      <c r="H786" s="36"/>
      <c r="I786" s="36"/>
      <c r="J786" s="293"/>
      <c r="K786" s="83"/>
      <c r="L786" s="293"/>
      <c r="M786" s="36"/>
      <c r="N786" s="36"/>
      <c r="O786" s="37"/>
      <c r="P786" s="37"/>
      <c r="Q786" s="237"/>
      <c r="R786" s="37"/>
      <c r="S786" s="37"/>
      <c r="T786" s="37"/>
      <c r="U786" s="37"/>
      <c r="V786" s="122"/>
      <c r="W786" s="122"/>
      <c r="X786" s="37"/>
      <c r="Y786" s="37"/>
      <c r="Z786" s="37"/>
    </row>
    <row r="787" spans="1:26" ht="13">
      <c r="A787" s="238"/>
      <c r="B787" s="292"/>
      <c r="C787" s="36"/>
      <c r="D787" s="290"/>
      <c r="E787" s="36"/>
      <c r="F787" s="36"/>
      <c r="G787" s="84"/>
      <c r="H787" s="36"/>
      <c r="I787" s="36"/>
      <c r="J787" s="293"/>
      <c r="K787" s="83"/>
      <c r="L787" s="293"/>
      <c r="M787" s="36"/>
      <c r="N787" s="36"/>
      <c r="O787" s="37"/>
      <c r="P787" s="37"/>
      <c r="Q787" s="237"/>
      <c r="R787" s="37"/>
      <c r="S787" s="37"/>
      <c r="T787" s="37"/>
      <c r="U787" s="37"/>
      <c r="V787" s="122"/>
      <c r="W787" s="122"/>
      <c r="X787" s="37"/>
      <c r="Y787" s="37"/>
      <c r="Z787" s="37"/>
    </row>
    <row r="788" spans="1:26" ht="13">
      <c r="A788" s="238"/>
      <c r="B788" s="292"/>
      <c r="C788" s="36"/>
      <c r="D788" s="290"/>
      <c r="E788" s="36"/>
      <c r="F788" s="36"/>
      <c r="G788" s="84"/>
      <c r="H788" s="36"/>
      <c r="I788" s="36"/>
      <c r="J788" s="293"/>
      <c r="K788" s="83"/>
      <c r="L788" s="293"/>
      <c r="M788" s="36"/>
      <c r="N788" s="36"/>
      <c r="O788" s="37"/>
      <c r="P788" s="37"/>
      <c r="Q788" s="237"/>
      <c r="R788" s="37"/>
      <c r="S788" s="37"/>
      <c r="T788" s="37"/>
      <c r="U788" s="37"/>
      <c r="V788" s="122"/>
      <c r="W788" s="122"/>
      <c r="X788" s="37"/>
      <c r="Y788" s="37"/>
      <c r="Z788" s="37"/>
    </row>
    <row r="789" spans="1:26" ht="13">
      <c r="A789" s="238"/>
      <c r="B789" s="292"/>
      <c r="C789" s="36"/>
      <c r="D789" s="290"/>
      <c r="E789" s="36"/>
      <c r="F789" s="36"/>
      <c r="G789" s="84"/>
      <c r="H789" s="36"/>
      <c r="I789" s="36"/>
      <c r="J789" s="293"/>
      <c r="K789" s="83"/>
      <c r="L789" s="293"/>
      <c r="M789" s="36"/>
      <c r="N789" s="36"/>
      <c r="O789" s="37"/>
      <c r="P789" s="37"/>
      <c r="Q789" s="237"/>
      <c r="R789" s="37"/>
      <c r="S789" s="37"/>
      <c r="T789" s="37"/>
      <c r="U789" s="37"/>
      <c r="V789" s="122"/>
      <c r="W789" s="122"/>
      <c r="X789" s="37"/>
      <c r="Y789" s="37"/>
      <c r="Z789" s="37"/>
    </row>
    <row r="790" spans="1:26" ht="13">
      <c r="A790" s="238"/>
      <c r="B790" s="292"/>
      <c r="C790" s="36"/>
      <c r="D790" s="290"/>
      <c r="E790" s="36"/>
      <c r="F790" s="36"/>
      <c r="G790" s="84"/>
      <c r="H790" s="36"/>
      <c r="I790" s="36"/>
      <c r="J790" s="293"/>
      <c r="K790" s="83"/>
      <c r="L790" s="293"/>
      <c r="M790" s="36"/>
      <c r="N790" s="36"/>
      <c r="O790" s="37"/>
      <c r="P790" s="37"/>
      <c r="Q790" s="237"/>
      <c r="R790" s="37"/>
      <c r="S790" s="37"/>
      <c r="T790" s="37"/>
      <c r="U790" s="37"/>
      <c r="V790" s="122"/>
      <c r="W790" s="122"/>
      <c r="X790" s="37"/>
      <c r="Y790" s="37"/>
      <c r="Z790" s="37"/>
    </row>
    <row r="791" spans="1:26" ht="13">
      <c r="A791" s="238"/>
      <c r="B791" s="292"/>
      <c r="C791" s="36"/>
      <c r="D791" s="290"/>
      <c r="E791" s="36"/>
      <c r="F791" s="36"/>
      <c r="G791" s="84"/>
      <c r="H791" s="36"/>
      <c r="I791" s="36"/>
      <c r="J791" s="293"/>
      <c r="K791" s="83"/>
      <c r="L791" s="293"/>
      <c r="M791" s="36"/>
      <c r="N791" s="36"/>
      <c r="O791" s="37"/>
      <c r="P791" s="37"/>
      <c r="Q791" s="237"/>
      <c r="R791" s="37"/>
      <c r="S791" s="37"/>
      <c r="T791" s="37"/>
      <c r="U791" s="37"/>
      <c r="V791" s="122"/>
      <c r="W791" s="122"/>
      <c r="X791" s="37"/>
      <c r="Y791" s="37"/>
      <c r="Z791" s="37"/>
    </row>
    <row r="792" spans="1:26" ht="13">
      <c r="A792" s="238"/>
      <c r="B792" s="292"/>
      <c r="C792" s="36"/>
      <c r="D792" s="290"/>
      <c r="E792" s="36"/>
      <c r="F792" s="36"/>
      <c r="G792" s="84"/>
      <c r="H792" s="36"/>
      <c r="I792" s="36"/>
      <c r="J792" s="293"/>
      <c r="K792" s="83"/>
      <c r="L792" s="293"/>
      <c r="M792" s="36"/>
      <c r="N792" s="36"/>
      <c r="O792" s="37"/>
      <c r="P792" s="37"/>
      <c r="Q792" s="237"/>
      <c r="R792" s="37"/>
      <c r="S792" s="37"/>
      <c r="T792" s="37"/>
      <c r="U792" s="37"/>
      <c r="V792" s="122"/>
      <c r="W792" s="122"/>
      <c r="X792" s="37"/>
      <c r="Y792" s="37"/>
      <c r="Z792" s="37"/>
    </row>
    <row r="793" spans="1:26" ht="13">
      <c r="A793" s="238"/>
      <c r="B793" s="292"/>
      <c r="C793" s="36"/>
      <c r="D793" s="290"/>
      <c r="E793" s="36"/>
      <c r="F793" s="36"/>
      <c r="G793" s="84"/>
      <c r="H793" s="36"/>
      <c r="I793" s="36"/>
      <c r="J793" s="293"/>
      <c r="K793" s="83"/>
      <c r="L793" s="293"/>
      <c r="M793" s="36"/>
      <c r="N793" s="36"/>
      <c r="O793" s="37"/>
      <c r="P793" s="37"/>
      <c r="Q793" s="237"/>
      <c r="R793" s="37"/>
      <c r="S793" s="37"/>
      <c r="T793" s="37"/>
      <c r="U793" s="37"/>
      <c r="V793" s="122"/>
      <c r="W793" s="122"/>
      <c r="X793" s="37"/>
      <c r="Y793" s="37"/>
      <c r="Z793" s="37"/>
    </row>
    <row r="794" spans="1:26" ht="13">
      <c r="A794" s="238"/>
      <c r="B794" s="292"/>
      <c r="C794" s="36"/>
      <c r="D794" s="290"/>
      <c r="E794" s="36"/>
      <c r="F794" s="36"/>
      <c r="G794" s="84"/>
      <c r="H794" s="36"/>
      <c r="I794" s="36"/>
      <c r="J794" s="293"/>
      <c r="K794" s="83"/>
      <c r="L794" s="293"/>
      <c r="M794" s="36"/>
      <c r="N794" s="36"/>
      <c r="O794" s="37"/>
      <c r="P794" s="37"/>
      <c r="Q794" s="237"/>
      <c r="R794" s="37"/>
      <c r="S794" s="37"/>
      <c r="T794" s="37"/>
      <c r="U794" s="37"/>
      <c r="V794" s="122"/>
      <c r="W794" s="122"/>
      <c r="X794" s="37"/>
      <c r="Y794" s="37"/>
      <c r="Z794" s="37"/>
    </row>
    <row r="795" spans="1:26" ht="13">
      <c r="A795" s="238"/>
      <c r="B795" s="292"/>
      <c r="C795" s="36"/>
      <c r="D795" s="290"/>
      <c r="E795" s="36"/>
      <c r="F795" s="36"/>
      <c r="G795" s="84"/>
      <c r="H795" s="36"/>
      <c r="I795" s="36"/>
      <c r="J795" s="293"/>
      <c r="K795" s="83"/>
      <c r="L795" s="293"/>
      <c r="M795" s="36"/>
      <c r="N795" s="36"/>
      <c r="O795" s="37"/>
      <c r="P795" s="37"/>
      <c r="Q795" s="237"/>
      <c r="R795" s="37"/>
      <c r="S795" s="37"/>
      <c r="T795" s="37"/>
      <c r="U795" s="37"/>
      <c r="V795" s="122"/>
      <c r="W795" s="122"/>
      <c r="X795" s="37"/>
      <c r="Y795" s="37"/>
      <c r="Z795" s="37"/>
    </row>
    <row r="796" spans="1:26" ht="13">
      <c r="A796" s="238"/>
      <c r="B796" s="292"/>
      <c r="C796" s="36"/>
      <c r="D796" s="290"/>
      <c r="E796" s="36"/>
      <c r="F796" s="36"/>
      <c r="G796" s="84"/>
      <c r="H796" s="36"/>
      <c r="I796" s="36"/>
      <c r="J796" s="293"/>
      <c r="K796" s="83"/>
      <c r="L796" s="293"/>
      <c r="M796" s="36"/>
      <c r="N796" s="36"/>
      <c r="O796" s="37"/>
      <c r="P796" s="37"/>
      <c r="Q796" s="237"/>
      <c r="R796" s="37"/>
      <c r="S796" s="37"/>
      <c r="T796" s="37"/>
      <c r="U796" s="37"/>
      <c r="V796" s="122"/>
      <c r="W796" s="122"/>
      <c r="X796" s="37"/>
      <c r="Y796" s="37"/>
      <c r="Z796" s="37"/>
    </row>
    <row r="797" spans="1:26" ht="13">
      <c r="A797" s="238"/>
      <c r="B797" s="292"/>
      <c r="C797" s="36"/>
      <c r="D797" s="290"/>
      <c r="E797" s="36"/>
      <c r="F797" s="36"/>
      <c r="G797" s="84"/>
      <c r="H797" s="36"/>
      <c r="I797" s="36"/>
      <c r="J797" s="293"/>
      <c r="K797" s="83"/>
      <c r="L797" s="293"/>
      <c r="M797" s="36"/>
      <c r="N797" s="36"/>
      <c r="O797" s="37"/>
      <c r="P797" s="37"/>
      <c r="Q797" s="237"/>
      <c r="R797" s="37"/>
      <c r="S797" s="37"/>
      <c r="T797" s="37"/>
      <c r="U797" s="37"/>
      <c r="V797" s="122"/>
      <c r="W797" s="122"/>
      <c r="X797" s="37"/>
      <c r="Y797" s="37"/>
      <c r="Z797" s="37"/>
    </row>
    <row r="798" spans="1:26" ht="13">
      <c r="A798" s="238"/>
      <c r="B798" s="292"/>
      <c r="C798" s="36"/>
      <c r="D798" s="290"/>
      <c r="E798" s="36"/>
      <c r="F798" s="36"/>
      <c r="G798" s="84"/>
      <c r="H798" s="36"/>
      <c r="I798" s="36"/>
      <c r="J798" s="293"/>
      <c r="K798" s="83"/>
      <c r="L798" s="293"/>
      <c r="M798" s="36"/>
      <c r="N798" s="36"/>
      <c r="O798" s="37"/>
      <c r="P798" s="37"/>
      <c r="Q798" s="237"/>
      <c r="R798" s="37"/>
      <c r="S798" s="37"/>
      <c r="T798" s="37"/>
      <c r="U798" s="37"/>
      <c r="V798" s="122"/>
      <c r="W798" s="122"/>
      <c r="X798" s="37"/>
      <c r="Y798" s="37"/>
      <c r="Z798" s="37"/>
    </row>
    <row r="799" spans="1:26" ht="13">
      <c r="A799" s="238"/>
      <c r="B799" s="292"/>
      <c r="C799" s="36"/>
      <c r="D799" s="290"/>
      <c r="E799" s="36"/>
      <c r="F799" s="36"/>
      <c r="G799" s="84"/>
      <c r="H799" s="36"/>
      <c r="I799" s="36"/>
      <c r="J799" s="293"/>
      <c r="K799" s="83"/>
      <c r="L799" s="293"/>
      <c r="M799" s="36"/>
      <c r="N799" s="36"/>
      <c r="O799" s="37"/>
      <c r="P799" s="37"/>
      <c r="Q799" s="237"/>
      <c r="R799" s="37"/>
      <c r="S799" s="37"/>
      <c r="T799" s="37"/>
      <c r="U799" s="37"/>
      <c r="V799" s="122"/>
      <c r="W799" s="122"/>
      <c r="X799" s="37"/>
      <c r="Y799" s="37"/>
      <c r="Z799" s="37"/>
    </row>
    <row r="800" spans="1:26" ht="13">
      <c r="A800" s="238"/>
      <c r="B800" s="292"/>
      <c r="C800" s="36"/>
      <c r="D800" s="290"/>
      <c r="E800" s="36"/>
      <c r="F800" s="36"/>
      <c r="G800" s="84"/>
      <c r="H800" s="36"/>
      <c r="I800" s="36"/>
      <c r="J800" s="293"/>
      <c r="K800" s="83"/>
      <c r="L800" s="293"/>
      <c r="M800" s="36"/>
      <c r="N800" s="36"/>
      <c r="O800" s="37"/>
      <c r="P800" s="37"/>
      <c r="Q800" s="237"/>
      <c r="R800" s="37"/>
      <c r="S800" s="37"/>
      <c r="T800" s="37"/>
      <c r="U800" s="37"/>
      <c r="V800" s="122"/>
      <c r="W800" s="122"/>
      <c r="X800" s="37"/>
      <c r="Y800" s="37"/>
      <c r="Z800" s="37"/>
    </row>
    <row r="801" spans="1:26" ht="13">
      <c r="A801" s="238"/>
      <c r="B801" s="292"/>
      <c r="C801" s="36"/>
      <c r="D801" s="290"/>
      <c r="E801" s="36"/>
      <c r="F801" s="36"/>
      <c r="G801" s="84"/>
      <c r="H801" s="36"/>
      <c r="I801" s="36"/>
      <c r="J801" s="293"/>
      <c r="K801" s="83"/>
      <c r="L801" s="293"/>
      <c r="M801" s="36"/>
      <c r="N801" s="36"/>
      <c r="O801" s="37"/>
      <c r="P801" s="37"/>
      <c r="Q801" s="237"/>
      <c r="R801" s="37"/>
      <c r="S801" s="37"/>
      <c r="T801" s="37"/>
      <c r="U801" s="37"/>
      <c r="V801" s="122"/>
      <c r="W801" s="122"/>
      <c r="X801" s="37"/>
      <c r="Y801" s="37"/>
      <c r="Z801" s="37"/>
    </row>
    <row r="802" spans="1:26" ht="13">
      <c r="A802" s="238"/>
      <c r="B802" s="292"/>
      <c r="C802" s="36"/>
      <c r="D802" s="290"/>
      <c r="E802" s="36"/>
      <c r="F802" s="36"/>
      <c r="G802" s="84"/>
      <c r="H802" s="36"/>
      <c r="I802" s="36"/>
      <c r="J802" s="293"/>
      <c r="K802" s="83"/>
      <c r="L802" s="293"/>
      <c r="M802" s="36"/>
      <c r="N802" s="36"/>
      <c r="O802" s="37"/>
      <c r="P802" s="37"/>
      <c r="Q802" s="237"/>
      <c r="R802" s="37"/>
      <c r="S802" s="37"/>
      <c r="T802" s="37"/>
      <c r="U802" s="37"/>
      <c r="V802" s="122"/>
      <c r="W802" s="122"/>
      <c r="X802" s="37"/>
      <c r="Y802" s="37"/>
      <c r="Z802" s="37"/>
    </row>
    <row r="803" spans="1:26" ht="13">
      <c r="A803" s="238"/>
      <c r="B803" s="292"/>
      <c r="C803" s="36"/>
      <c r="D803" s="290"/>
      <c r="E803" s="36"/>
      <c r="F803" s="36"/>
      <c r="G803" s="84"/>
      <c r="H803" s="36"/>
      <c r="I803" s="36"/>
      <c r="J803" s="293"/>
      <c r="K803" s="83"/>
      <c r="L803" s="293"/>
      <c r="M803" s="36"/>
      <c r="N803" s="36"/>
      <c r="O803" s="37"/>
      <c r="P803" s="37"/>
      <c r="Q803" s="237"/>
      <c r="R803" s="37"/>
      <c r="S803" s="37"/>
      <c r="T803" s="37"/>
      <c r="U803" s="37"/>
      <c r="V803" s="122"/>
      <c r="W803" s="122"/>
      <c r="X803" s="37"/>
      <c r="Y803" s="37"/>
      <c r="Z803" s="37"/>
    </row>
    <row r="804" spans="1:26" ht="13">
      <c r="A804" s="238"/>
      <c r="B804" s="292"/>
      <c r="C804" s="36"/>
      <c r="D804" s="290"/>
      <c r="E804" s="36"/>
      <c r="F804" s="36"/>
      <c r="G804" s="84"/>
      <c r="H804" s="36"/>
      <c r="I804" s="36"/>
      <c r="J804" s="293"/>
      <c r="K804" s="83"/>
      <c r="L804" s="293"/>
      <c r="M804" s="36"/>
      <c r="N804" s="36"/>
      <c r="O804" s="37"/>
      <c r="P804" s="37"/>
      <c r="Q804" s="237"/>
      <c r="R804" s="37"/>
      <c r="S804" s="37"/>
      <c r="T804" s="37"/>
      <c r="U804" s="37"/>
      <c r="V804" s="122"/>
      <c r="W804" s="122"/>
      <c r="X804" s="37"/>
      <c r="Y804" s="37"/>
      <c r="Z804" s="37"/>
    </row>
    <row r="805" spans="1:26" ht="13">
      <c r="A805" s="238"/>
      <c r="B805" s="292"/>
      <c r="C805" s="36"/>
      <c r="D805" s="290"/>
      <c r="E805" s="36"/>
      <c r="F805" s="36"/>
      <c r="G805" s="84"/>
      <c r="H805" s="36"/>
      <c r="I805" s="36"/>
      <c r="J805" s="293"/>
      <c r="K805" s="83"/>
      <c r="L805" s="293"/>
      <c r="M805" s="36"/>
      <c r="N805" s="36"/>
      <c r="O805" s="37"/>
      <c r="P805" s="37"/>
      <c r="Q805" s="237"/>
      <c r="R805" s="37"/>
      <c r="S805" s="37"/>
      <c r="T805" s="37"/>
      <c r="U805" s="37"/>
      <c r="V805" s="122"/>
      <c r="W805" s="122"/>
      <c r="X805" s="37"/>
      <c r="Y805" s="37"/>
      <c r="Z805" s="37"/>
    </row>
    <row r="806" spans="1:26" ht="13">
      <c r="A806" s="238"/>
      <c r="B806" s="292"/>
      <c r="C806" s="36"/>
      <c r="D806" s="290"/>
      <c r="E806" s="36"/>
      <c r="F806" s="36"/>
      <c r="G806" s="84"/>
      <c r="H806" s="36"/>
      <c r="I806" s="36"/>
      <c r="J806" s="293"/>
      <c r="K806" s="83"/>
      <c r="L806" s="293"/>
      <c r="M806" s="36"/>
      <c r="N806" s="36"/>
      <c r="O806" s="37"/>
      <c r="P806" s="37"/>
      <c r="Q806" s="237"/>
      <c r="R806" s="37"/>
      <c r="S806" s="37"/>
      <c r="T806" s="37"/>
      <c r="U806" s="37"/>
      <c r="V806" s="122"/>
      <c r="W806" s="122"/>
      <c r="X806" s="37"/>
      <c r="Y806" s="37"/>
      <c r="Z806" s="37"/>
    </row>
    <row r="807" spans="1:26" ht="13">
      <c r="A807" s="238"/>
      <c r="B807" s="292"/>
      <c r="C807" s="36"/>
      <c r="D807" s="290"/>
      <c r="E807" s="36"/>
      <c r="F807" s="36"/>
      <c r="G807" s="84"/>
      <c r="H807" s="36"/>
      <c r="I807" s="36"/>
      <c r="J807" s="293"/>
      <c r="K807" s="83"/>
      <c r="L807" s="293"/>
      <c r="M807" s="36"/>
      <c r="N807" s="36"/>
      <c r="O807" s="37"/>
      <c r="P807" s="37"/>
      <c r="Q807" s="237"/>
      <c r="R807" s="37"/>
      <c r="S807" s="37"/>
      <c r="T807" s="37"/>
      <c r="U807" s="37"/>
      <c r="V807" s="122"/>
      <c r="W807" s="122"/>
      <c r="X807" s="37"/>
      <c r="Y807" s="37"/>
      <c r="Z807" s="37"/>
    </row>
    <row r="808" spans="1:26" ht="13">
      <c r="A808" s="238"/>
      <c r="B808" s="292"/>
      <c r="C808" s="36"/>
      <c r="D808" s="290"/>
      <c r="E808" s="36"/>
      <c r="F808" s="36"/>
      <c r="G808" s="84"/>
      <c r="H808" s="36"/>
      <c r="I808" s="36"/>
      <c r="J808" s="293"/>
      <c r="K808" s="83"/>
      <c r="L808" s="293"/>
      <c r="M808" s="36"/>
      <c r="N808" s="36"/>
      <c r="O808" s="37"/>
      <c r="P808" s="37"/>
      <c r="Q808" s="237"/>
      <c r="R808" s="37"/>
      <c r="S808" s="37"/>
      <c r="T808" s="37"/>
      <c r="U808" s="37"/>
      <c r="V808" s="122"/>
      <c r="W808" s="122"/>
      <c r="X808" s="37"/>
      <c r="Y808" s="37"/>
      <c r="Z808" s="37"/>
    </row>
    <row r="809" spans="1:26" ht="13">
      <c r="A809" s="238"/>
      <c r="B809" s="292"/>
      <c r="C809" s="36"/>
      <c r="D809" s="290"/>
      <c r="E809" s="36"/>
      <c r="F809" s="36"/>
      <c r="G809" s="84"/>
      <c r="H809" s="36"/>
      <c r="I809" s="36"/>
      <c r="J809" s="293"/>
      <c r="K809" s="83"/>
      <c r="L809" s="293"/>
      <c r="M809" s="36"/>
      <c r="N809" s="36"/>
      <c r="O809" s="37"/>
      <c r="P809" s="37"/>
      <c r="Q809" s="237"/>
      <c r="R809" s="37"/>
      <c r="S809" s="37"/>
      <c r="T809" s="37"/>
      <c r="U809" s="37"/>
      <c r="V809" s="122"/>
      <c r="W809" s="122"/>
      <c r="X809" s="37"/>
      <c r="Y809" s="37"/>
      <c r="Z809" s="37"/>
    </row>
    <row r="810" spans="1:26" ht="13">
      <c r="A810" s="238"/>
      <c r="B810" s="292"/>
      <c r="C810" s="36"/>
      <c r="D810" s="290"/>
      <c r="E810" s="36"/>
      <c r="F810" s="36"/>
      <c r="G810" s="84"/>
      <c r="H810" s="36"/>
      <c r="I810" s="36"/>
      <c r="J810" s="293"/>
      <c r="K810" s="83"/>
      <c r="L810" s="293"/>
      <c r="M810" s="36"/>
      <c r="N810" s="36"/>
      <c r="O810" s="37"/>
      <c r="P810" s="37"/>
      <c r="Q810" s="237"/>
      <c r="R810" s="37"/>
      <c r="S810" s="37"/>
      <c r="T810" s="37"/>
      <c r="U810" s="37"/>
      <c r="V810" s="122"/>
      <c r="W810" s="122"/>
      <c r="X810" s="37"/>
      <c r="Y810" s="37"/>
      <c r="Z810" s="37"/>
    </row>
    <row r="811" spans="1:26" ht="13">
      <c r="A811" s="238"/>
      <c r="B811" s="292"/>
      <c r="C811" s="36"/>
      <c r="D811" s="290"/>
      <c r="E811" s="36"/>
      <c r="F811" s="36"/>
      <c r="G811" s="84"/>
      <c r="H811" s="36"/>
      <c r="I811" s="36"/>
      <c r="J811" s="293"/>
      <c r="K811" s="83"/>
      <c r="L811" s="293"/>
      <c r="M811" s="36"/>
      <c r="N811" s="36"/>
      <c r="O811" s="37"/>
      <c r="P811" s="37"/>
      <c r="Q811" s="237"/>
      <c r="R811" s="37"/>
      <c r="S811" s="37"/>
      <c r="T811" s="37"/>
      <c r="U811" s="37"/>
      <c r="V811" s="122"/>
      <c r="W811" s="122"/>
      <c r="X811" s="37"/>
      <c r="Y811" s="37"/>
      <c r="Z811" s="37"/>
    </row>
    <row r="812" spans="1:26" ht="13">
      <c r="A812" s="238"/>
      <c r="B812" s="292"/>
      <c r="C812" s="36"/>
      <c r="D812" s="290"/>
      <c r="E812" s="36"/>
      <c r="F812" s="36"/>
      <c r="G812" s="84"/>
      <c r="H812" s="36"/>
      <c r="I812" s="36"/>
      <c r="J812" s="293"/>
      <c r="K812" s="83"/>
      <c r="L812" s="293"/>
      <c r="M812" s="36"/>
      <c r="N812" s="36"/>
      <c r="O812" s="37"/>
      <c r="P812" s="37"/>
      <c r="Q812" s="237"/>
      <c r="R812" s="37"/>
      <c r="S812" s="37"/>
      <c r="T812" s="37"/>
      <c r="U812" s="37"/>
      <c r="V812" s="122"/>
      <c r="W812" s="122"/>
      <c r="X812" s="37"/>
      <c r="Y812" s="37"/>
      <c r="Z812" s="37"/>
    </row>
    <row r="813" spans="1:26" ht="13">
      <c r="A813" s="238"/>
      <c r="B813" s="292"/>
      <c r="C813" s="36"/>
      <c r="D813" s="290"/>
      <c r="E813" s="36"/>
      <c r="F813" s="36"/>
      <c r="G813" s="84"/>
      <c r="H813" s="36"/>
      <c r="I813" s="36"/>
      <c r="J813" s="293"/>
      <c r="K813" s="83"/>
      <c r="L813" s="293"/>
      <c r="M813" s="36"/>
      <c r="N813" s="36"/>
      <c r="O813" s="37"/>
      <c r="P813" s="37"/>
      <c r="Q813" s="237"/>
      <c r="R813" s="37"/>
      <c r="S813" s="37"/>
      <c r="T813" s="37"/>
      <c r="U813" s="37"/>
      <c r="V813" s="122"/>
      <c r="W813" s="122"/>
      <c r="X813" s="37"/>
      <c r="Y813" s="37"/>
      <c r="Z813" s="37"/>
    </row>
    <row r="814" spans="1:26" ht="13">
      <c r="A814" s="238"/>
      <c r="B814" s="292"/>
      <c r="C814" s="36"/>
      <c r="D814" s="290"/>
      <c r="E814" s="36"/>
      <c r="F814" s="36"/>
      <c r="G814" s="84"/>
      <c r="H814" s="36"/>
      <c r="I814" s="36"/>
      <c r="J814" s="293"/>
      <c r="K814" s="83"/>
      <c r="L814" s="293"/>
      <c r="M814" s="36"/>
      <c r="N814" s="36"/>
      <c r="O814" s="37"/>
      <c r="P814" s="37"/>
      <c r="Q814" s="237"/>
      <c r="R814" s="37"/>
      <c r="S814" s="37"/>
      <c r="T814" s="37"/>
      <c r="U814" s="37"/>
      <c r="V814" s="122"/>
      <c r="W814" s="122"/>
      <c r="X814" s="37"/>
      <c r="Y814" s="37"/>
      <c r="Z814" s="37"/>
    </row>
    <row r="815" spans="1:26" ht="13">
      <c r="A815" s="238"/>
      <c r="B815" s="292"/>
      <c r="C815" s="36"/>
      <c r="D815" s="290"/>
      <c r="E815" s="36"/>
      <c r="F815" s="36"/>
      <c r="G815" s="84"/>
      <c r="H815" s="36"/>
      <c r="I815" s="36"/>
      <c r="J815" s="293"/>
      <c r="K815" s="83"/>
      <c r="L815" s="293"/>
      <c r="M815" s="36"/>
      <c r="N815" s="36"/>
      <c r="O815" s="37"/>
      <c r="P815" s="37"/>
      <c r="Q815" s="237"/>
      <c r="R815" s="37"/>
      <c r="S815" s="37"/>
      <c r="T815" s="37"/>
      <c r="U815" s="37"/>
      <c r="V815" s="122"/>
      <c r="W815" s="122"/>
      <c r="X815" s="37"/>
      <c r="Y815" s="37"/>
      <c r="Z815" s="37"/>
    </row>
    <row r="816" spans="1:26" ht="13">
      <c r="A816" s="238"/>
      <c r="B816" s="292"/>
      <c r="C816" s="36"/>
      <c r="D816" s="290"/>
      <c r="E816" s="36"/>
      <c r="F816" s="36"/>
      <c r="G816" s="84"/>
      <c r="H816" s="36"/>
      <c r="I816" s="36"/>
      <c r="J816" s="293"/>
      <c r="K816" s="83"/>
      <c r="L816" s="293"/>
      <c r="M816" s="36"/>
      <c r="N816" s="36"/>
      <c r="O816" s="37"/>
      <c r="P816" s="37"/>
      <c r="Q816" s="237"/>
      <c r="R816" s="37"/>
      <c r="S816" s="37"/>
      <c r="T816" s="37"/>
      <c r="U816" s="37"/>
      <c r="V816" s="122"/>
      <c r="W816" s="122"/>
      <c r="X816" s="37"/>
      <c r="Y816" s="37"/>
      <c r="Z816" s="37"/>
    </row>
    <row r="817" spans="1:26" ht="13">
      <c r="A817" s="238"/>
      <c r="B817" s="292"/>
      <c r="C817" s="36"/>
      <c r="D817" s="290"/>
      <c r="E817" s="36"/>
      <c r="F817" s="36"/>
      <c r="G817" s="84"/>
      <c r="H817" s="36"/>
      <c r="I817" s="36"/>
      <c r="J817" s="293"/>
      <c r="K817" s="83"/>
      <c r="L817" s="293"/>
      <c r="M817" s="36"/>
      <c r="N817" s="36"/>
      <c r="O817" s="37"/>
      <c r="P817" s="37"/>
      <c r="Q817" s="237"/>
      <c r="R817" s="37"/>
      <c r="S817" s="37"/>
      <c r="T817" s="37"/>
      <c r="U817" s="37"/>
      <c r="V817" s="122"/>
      <c r="W817" s="122"/>
      <c r="X817" s="37"/>
      <c r="Y817" s="37"/>
      <c r="Z817" s="37"/>
    </row>
    <row r="818" spans="1:26" ht="13">
      <c r="A818" s="238"/>
      <c r="B818" s="292"/>
      <c r="C818" s="36"/>
      <c r="D818" s="290"/>
      <c r="E818" s="36"/>
      <c r="F818" s="36"/>
      <c r="G818" s="84"/>
      <c r="H818" s="36"/>
      <c r="I818" s="36"/>
      <c r="J818" s="293"/>
      <c r="K818" s="83"/>
      <c r="L818" s="293"/>
      <c r="M818" s="36"/>
      <c r="N818" s="36"/>
      <c r="O818" s="37"/>
      <c r="P818" s="37"/>
      <c r="Q818" s="237"/>
      <c r="R818" s="37"/>
      <c r="S818" s="37"/>
      <c r="T818" s="37"/>
      <c r="U818" s="37"/>
      <c r="V818" s="122"/>
      <c r="W818" s="122"/>
      <c r="X818" s="37"/>
      <c r="Y818" s="37"/>
      <c r="Z818" s="37"/>
    </row>
    <row r="819" spans="1:26" ht="13">
      <c r="A819" s="238"/>
      <c r="B819" s="292"/>
      <c r="C819" s="36"/>
      <c r="D819" s="290"/>
      <c r="E819" s="36"/>
      <c r="F819" s="36"/>
      <c r="G819" s="84"/>
      <c r="H819" s="36"/>
      <c r="I819" s="36"/>
      <c r="J819" s="293"/>
      <c r="K819" s="83"/>
      <c r="L819" s="293"/>
      <c r="M819" s="36"/>
      <c r="N819" s="36"/>
      <c r="O819" s="37"/>
      <c r="P819" s="37"/>
      <c r="Q819" s="237"/>
      <c r="R819" s="37"/>
      <c r="S819" s="37"/>
      <c r="T819" s="37"/>
      <c r="U819" s="37"/>
      <c r="V819" s="122"/>
      <c r="W819" s="122"/>
      <c r="X819" s="37"/>
      <c r="Y819" s="37"/>
      <c r="Z819" s="37"/>
    </row>
    <row r="820" spans="1:26" ht="13">
      <c r="A820" s="238"/>
      <c r="B820" s="292"/>
      <c r="C820" s="36"/>
      <c r="D820" s="290"/>
      <c r="E820" s="36"/>
      <c r="F820" s="36"/>
      <c r="G820" s="84"/>
      <c r="H820" s="36"/>
      <c r="I820" s="36"/>
      <c r="J820" s="293"/>
      <c r="K820" s="83"/>
      <c r="L820" s="293"/>
      <c r="M820" s="36"/>
      <c r="N820" s="36"/>
      <c r="O820" s="37"/>
      <c r="P820" s="37"/>
      <c r="Q820" s="237"/>
      <c r="R820" s="37"/>
      <c r="S820" s="37"/>
      <c r="T820" s="37"/>
      <c r="U820" s="37"/>
      <c r="V820" s="122"/>
      <c r="W820" s="122"/>
      <c r="X820" s="37"/>
      <c r="Y820" s="37"/>
      <c r="Z820" s="37"/>
    </row>
    <row r="821" spans="1:26" ht="13">
      <c r="A821" s="238"/>
      <c r="B821" s="292"/>
      <c r="C821" s="36"/>
      <c r="D821" s="290"/>
      <c r="E821" s="36"/>
      <c r="F821" s="36"/>
      <c r="G821" s="84"/>
      <c r="H821" s="36"/>
      <c r="I821" s="36"/>
      <c r="J821" s="293"/>
      <c r="K821" s="83"/>
      <c r="L821" s="293"/>
      <c r="M821" s="36"/>
      <c r="N821" s="36"/>
      <c r="O821" s="37"/>
      <c r="P821" s="37"/>
      <c r="Q821" s="237"/>
      <c r="R821" s="37"/>
      <c r="S821" s="37"/>
      <c r="T821" s="37"/>
      <c r="U821" s="37"/>
      <c r="V821" s="122"/>
      <c r="W821" s="122"/>
      <c r="X821" s="37"/>
      <c r="Y821" s="37"/>
      <c r="Z821" s="37"/>
    </row>
    <row r="822" spans="1:26" ht="13">
      <c r="A822" s="238"/>
      <c r="B822" s="292"/>
      <c r="C822" s="36"/>
      <c r="D822" s="290"/>
      <c r="E822" s="36"/>
      <c r="F822" s="36"/>
      <c r="G822" s="84"/>
      <c r="H822" s="36"/>
      <c r="I822" s="36"/>
      <c r="J822" s="293"/>
      <c r="K822" s="83"/>
      <c r="L822" s="293"/>
      <c r="M822" s="36"/>
      <c r="N822" s="36"/>
      <c r="O822" s="37"/>
      <c r="P822" s="37"/>
      <c r="Q822" s="237"/>
      <c r="R822" s="37"/>
      <c r="S822" s="37"/>
      <c r="T822" s="37"/>
      <c r="U822" s="37"/>
      <c r="V822" s="122"/>
      <c r="W822" s="122"/>
      <c r="X822" s="37"/>
      <c r="Y822" s="37"/>
      <c r="Z822" s="37"/>
    </row>
    <row r="823" spans="1:26" ht="13">
      <c r="A823" s="238"/>
      <c r="B823" s="292"/>
      <c r="C823" s="36"/>
      <c r="D823" s="290"/>
      <c r="E823" s="36"/>
      <c r="F823" s="36"/>
      <c r="G823" s="84"/>
      <c r="H823" s="36"/>
      <c r="I823" s="36"/>
      <c r="J823" s="293"/>
      <c r="K823" s="83"/>
      <c r="L823" s="293"/>
      <c r="M823" s="36"/>
      <c r="N823" s="36"/>
      <c r="O823" s="37"/>
      <c r="P823" s="37"/>
      <c r="Q823" s="237"/>
      <c r="R823" s="37"/>
      <c r="S823" s="37"/>
      <c r="T823" s="37"/>
      <c r="U823" s="37"/>
      <c r="V823" s="122"/>
      <c r="W823" s="122"/>
      <c r="X823" s="37"/>
      <c r="Y823" s="37"/>
      <c r="Z823" s="37"/>
    </row>
    <row r="824" spans="1:26" ht="13">
      <c r="A824" s="238"/>
      <c r="B824" s="292"/>
      <c r="C824" s="36"/>
      <c r="D824" s="290"/>
      <c r="E824" s="36"/>
      <c r="F824" s="36"/>
      <c r="G824" s="84"/>
      <c r="H824" s="36"/>
      <c r="I824" s="36"/>
      <c r="J824" s="293"/>
      <c r="K824" s="83"/>
      <c r="L824" s="293"/>
      <c r="M824" s="36"/>
      <c r="N824" s="36"/>
      <c r="O824" s="37"/>
      <c r="P824" s="37"/>
      <c r="Q824" s="237"/>
      <c r="R824" s="37"/>
      <c r="S824" s="37"/>
      <c r="T824" s="37"/>
      <c r="U824" s="37"/>
      <c r="V824" s="122"/>
      <c r="W824" s="122"/>
      <c r="X824" s="37"/>
      <c r="Y824" s="37"/>
      <c r="Z824" s="37"/>
    </row>
    <row r="825" spans="1:26" ht="13">
      <c r="A825" s="238"/>
      <c r="B825" s="292"/>
      <c r="C825" s="36"/>
      <c r="D825" s="290"/>
      <c r="E825" s="36"/>
      <c r="F825" s="36"/>
      <c r="G825" s="84"/>
      <c r="H825" s="36"/>
      <c r="I825" s="36"/>
      <c r="J825" s="293"/>
      <c r="K825" s="83"/>
      <c r="L825" s="293"/>
      <c r="M825" s="36"/>
      <c r="N825" s="36"/>
      <c r="O825" s="37"/>
      <c r="P825" s="37"/>
      <c r="Q825" s="237"/>
      <c r="R825" s="37"/>
      <c r="S825" s="37"/>
      <c r="T825" s="37"/>
      <c r="U825" s="37"/>
      <c r="V825" s="122"/>
      <c r="W825" s="122"/>
      <c r="X825" s="37"/>
      <c r="Y825" s="37"/>
      <c r="Z825" s="37"/>
    </row>
    <row r="826" spans="1:26" ht="13">
      <c r="A826" s="238"/>
      <c r="B826" s="292"/>
      <c r="C826" s="36"/>
      <c r="D826" s="290"/>
      <c r="E826" s="36"/>
      <c r="F826" s="36"/>
      <c r="G826" s="84"/>
      <c r="H826" s="36"/>
      <c r="I826" s="36"/>
      <c r="J826" s="293"/>
      <c r="K826" s="83"/>
      <c r="L826" s="293"/>
      <c r="M826" s="36"/>
      <c r="N826" s="36"/>
      <c r="O826" s="37"/>
      <c r="P826" s="37"/>
      <c r="Q826" s="237"/>
      <c r="R826" s="37"/>
      <c r="S826" s="37"/>
      <c r="T826" s="37"/>
      <c r="U826" s="37"/>
      <c r="V826" s="122"/>
      <c r="W826" s="122"/>
      <c r="X826" s="37"/>
      <c r="Y826" s="37"/>
      <c r="Z826" s="37"/>
    </row>
    <row r="827" spans="1:26" ht="13">
      <c r="A827" s="238"/>
      <c r="B827" s="292"/>
      <c r="C827" s="36"/>
      <c r="D827" s="290"/>
      <c r="E827" s="36"/>
      <c r="F827" s="36"/>
      <c r="G827" s="84"/>
      <c r="H827" s="36"/>
      <c r="I827" s="36"/>
      <c r="J827" s="293"/>
      <c r="K827" s="83"/>
      <c r="L827" s="293"/>
      <c r="M827" s="36"/>
      <c r="N827" s="36"/>
      <c r="O827" s="37"/>
      <c r="P827" s="37"/>
      <c r="Q827" s="237"/>
      <c r="R827" s="37"/>
      <c r="S827" s="37"/>
      <c r="T827" s="37"/>
      <c r="U827" s="37"/>
      <c r="V827" s="122"/>
      <c r="W827" s="122"/>
      <c r="X827" s="37"/>
      <c r="Y827" s="37"/>
      <c r="Z827" s="37"/>
    </row>
    <row r="828" spans="1:26" ht="13">
      <c r="A828" s="238"/>
      <c r="B828" s="292"/>
      <c r="C828" s="36"/>
      <c r="D828" s="290"/>
      <c r="E828" s="36"/>
      <c r="F828" s="36"/>
      <c r="G828" s="84"/>
      <c r="H828" s="36"/>
      <c r="I828" s="36"/>
      <c r="J828" s="293"/>
      <c r="K828" s="83"/>
      <c r="L828" s="293"/>
      <c r="M828" s="36"/>
      <c r="N828" s="36"/>
      <c r="O828" s="37"/>
      <c r="P828" s="37"/>
      <c r="Q828" s="237"/>
      <c r="R828" s="37"/>
      <c r="S828" s="37"/>
      <c r="T828" s="37"/>
      <c r="U828" s="37"/>
      <c r="V828" s="122"/>
      <c r="W828" s="122"/>
      <c r="X828" s="37"/>
      <c r="Y828" s="37"/>
      <c r="Z828" s="37"/>
    </row>
    <row r="829" spans="1:26" ht="13">
      <c r="A829" s="238"/>
      <c r="B829" s="292"/>
      <c r="C829" s="36"/>
      <c r="D829" s="290"/>
      <c r="E829" s="36"/>
      <c r="F829" s="36"/>
      <c r="G829" s="84"/>
      <c r="H829" s="36"/>
      <c r="I829" s="36"/>
      <c r="J829" s="293"/>
      <c r="K829" s="83"/>
      <c r="L829" s="293"/>
      <c r="M829" s="36"/>
      <c r="N829" s="36"/>
      <c r="O829" s="37"/>
      <c r="P829" s="37"/>
      <c r="Q829" s="237"/>
      <c r="R829" s="37"/>
      <c r="S829" s="37"/>
      <c r="T829" s="37"/>
      <c r="U829" s="37"/>
      <c r="V829" s="122"/>
      <c r="W829" s="122"/>
      <c r="X829" s="37"/>
      <c r="Y829" s="37"/>
      <c r="Z829" s="37"/>
    </row>
    <row r="830" spans="1:26" ht="13">
      <c r="A830" s="238"/>
      <c r="B830" s="292"/>
      <c r="C830" s="36"/>
      <c r="D830" s="290"/>
      <c r="E830" s="36"/>
      <c r="F830" s="36"/>
      <c r="G830" s="84"/>
      <c r="H830" s="36"/>
      <c r="I830" s="36"/>
      <c r="J830" s="293"/>
      <c r="K830" s="83"/>
      <c r="L830" s="293"/>
      <c r="M830" s="36"/>
      <c r="N830" s="36"/>
      <c r="O830" s="37"/>
      <c r="P830" s="37"/>
      <c r="Q830" s="237"/>
      <c r="R830" s="37"/>
      <c r="S830" s="37"/>
      <c r="T830" s="37"/>
      <c r="U830" s="37"/>
      <c r="V830" s="122"/>
      <c r="W830" s="122"/>
      <c r="X830" s="37"/>
      <c r="Y830" s="37"/>
      <c r="Z830" s="37"/>
    </row>
    <row r="831" spans="1:26" ht="13">
      <c r="A831" s="238"/>
      <c r="B831" s="292"/>
      <c r="C831" s="36"/>
      <c r="D831" s="290"/>
      <c r="E831" s="36"/>
      <c r="F831" s="36"/>
      <c r="G831" s="84"/>
      <c r="H831" s="36"/>
      <c r="I831" s="36"/>
      <c r="J831" s="293"/>
      <c r="K831" s="83"/>
      <c r="L831" s="293"/>
      <c r="M831" s="36"/>
      <c r="N831" s="36"/>
      <c r="O831" s="37"/>
      <c r="P831" s="37"/>
      <c r="Q831" s="237"/>
      <c r="R831" s="37"/>
      <c r="S831" s="37"/>
      <c r="T831" s="37"/>
      <c r="U831" s="37"/>
      <c r="V831" s="122"/>
      <c r="W831" s="122"/>
      <c r="X831" s="37"/>
      <c r="Y831" s="37"/>
      <c r="Z831" s="37"/>
    </row>
    <row r="832" spans="1:26" ht="13">
      <c r="A832" s="238"/>
      <c r="B832" s="292"/>
      <c r="C832" s="36"/>
      <c r="D832" s="290"/>
      <c r="E832" s="36"/>
      <c r="F832" s="36"/>
      <c r="G832" s="84"/>
      <c r="H832" s="36"/>
      <c r="I832" s="36"/>
      <c r="J832" s="293"/>
      <c r="K832" s="83"/>
      <c r="L832" s="293"/>
      <c r="M832" s="36"/>
      <c r="N832" s="36"/>
      <c r="O832" s="37"/>
      <c r="P832" s="37"/>
      <c r="Q832" s="237"/>
      <c r="R832" s="37"/>
      <c r="S832" s="37"/>
      <c r="T832" s="37"/>
      <c r="U832" s="37"/>
      <c r="V832" s="122"/>
      <c r="W832" s="122"/>
      <c r="X832" s="37"/>
      <c r="Y832" s="37"/>
      <c r="Z832" s="37"/>
    </row>
    <row r="833" spans="1:26" ht="13">
      <c r="A833" s="238"/>
      <c r="B833" s="292"/>
      <c r="C833" s="36"/>
      <c r="D833" s="290"/>
      <c r="E833" s="36"/>
      <c r="F833" s="36"/>
      <c r="G833" s="84"/>
      <c r="H833" s="36"/>
      <c r="I833" s="36"/>
      <c r="J833" s="293"/>
      <c r="K833" s="83"/>
      <c r="L833" s="293"/>
      <c r="M833" s="36"/>
      <c r="N833" s="36"/>
      <c r="O833" s="37"/>
      <c r="P833" s="37"/>
      <c r="Q833" s="237"/>
      <c r="R833" s="37"/>
      <c r="S833" s="37"/>
      <c r="T833" s="37"/>
      <c r="U833" s="37"/>
      <c r="V833" s="122"/>
      <c r="W833" s="122"/>
      <c r="X833" s="37"/>
      <c r="Y833" s="37"/>
      <c r="Z833" s="37"/>
    </row>
    <row r="834" spans="1:26" ht="13">
      <c r="A834" s="238"/>
      <c r="B834" s="292"/>
      <c r="C834" s="36"/>
      <c r="D834" s="290"/>
      <c r="E834" s="36"/>
      <c r="F834" s="36"/>
      <c r="G834" s="84"/>
      <c r="H834" s="36"/>
      <c r="I834" s="36"/>
      <c r="J834" s="293"/>
      <c r="K834" s="83"/>
      <c r="L834" s="293"/>
      <c r="M834" s="36"/>
      <c r="N834" s="36"/>
      <c r="O834" s="37"/>
      <c r="P834" s="37"/>
      <c r="Q834" s="237"/>
      <c r="R834" s="37"/>
      <c r="S834" s="37"/>
      <c r="T834" s="37"/>
      <c r="U834" s="37"/>
      <c r="V834" s="122"/>
      <c r="W834" s="122"/>
      <c r="X834" s="37"/>
      <c r="Y834" s="37"/>
      <c r="Z834" s="37"/>
    </row>
    <row r="835" spans="1:26" ht="13">
      <c r="A835" s="238"/>
      <c r="B835" s="292"/>
      <c r="C835" s="36"/>
      <c r="D835" s="290"/>
      <c r="E835" s="36"/>
      <c r="F835" s="36"/>
      <c r="G835" s="84"/>
      <c r="H835" s="36"/>
      <c r="I835" s="36"/>
      <c r="J835" s="293"/>
      <c r="K835" s="83"/>
      <c r="L835" s="293"/>
      <c r="M835" s="36"/>
      <c r="N835" s="36"/>
      <c r="O835" s="37"/>
      <c r="P835" s="37"/>
      <c r="Q835" s="237"/>
      <c r="R835" s="37"/>
      <c r="S835" s="37"/>
      <c r="T835" s="37"/>
      <c r="U835" s="37"/>
      <c r="V835" s="122"/>
      <c r="W835" s="122"/>
      <c r="X835" s="37"/>
      <c r="Y835" s="37"/>
      <c r="Z835" s="37"/>
    </row>
    <row r="836" spans="1:26" ht="13">
      <c r="A836" s="238"/>
      <c r="B836" s="292"/>
      <c r="C836" s="36"/>
      <c r="D836" s="290"/>
      <c r="E836" s="36"/>
      <c r="F836" s="36"/>
      <c r="G836" s="84"/>
      <c r="H836" s="36"/>
      <c r="I836" s="36"/>
      <c r="J836" s="293"/>
      <c r="K836" s="83"/>
      <c r="L836" s="293"/>
      <c r="M836" s="36"/>
      <c r="N836" s="36"/>
      <c r="O836" s="37"/>
      <c r="P836" s="37"/>
      <c r="Q836" s="237"/>
      <c r="R836" s="37"/>
      <c r="S836" s="37"/>
      <c r="T836" s="37"/>
      <c r="U836" s="37"/>
      <c r="V836" s="122"/>
      <c r="W836" s="122"/>
      <c r="X836" s="37"/>
      <c r="Y836" s="37"/>
      <c r="Z836" s="37"/>
    </row>
    <row r="837" spans="1:26" ht="13">
      <c r="A837" s="238"/>
      <c r="B837" s="292"/>
      <c r="C837" s="36"/>
      <c r="D837" s="290"/>
      <c r="E837" s="36"/>
      <c r="F837" s="36"/>
      <c r="G837" s="84"/>
      <c r="H837" s="36"/>
      <c r="I837" s="36"/>
      <c r="J837" s="293"/>
      <c r="K837" s="83"/>
      <c r="L837" s="293"/>
      <c r="M837" s="36"/>
      <c r="N837" s="36"/>
      <c r="O837" s="37"/>
      <c r="P837" s="37"/>
      <c r="Q837" s="237"/>
      <c r="R837" s="37"/>
      <c r="S837" s="37"/>
      <c r="T837" s="37"/>
      <c r="U837" s="37"/>
      <c r="V837" s="122"/>
      <c r="W837" s="122"/>
      <c r="X837" s="37"/>
      <c r="Y837" s="37"/>
      <c r="Z837" s="37"/>
    </row>
    <row r="838" spans="1:26" ht="13">
      <c r="A838" s="238"/>
      <c r="B838" s="292"/>
      <c r="C838" s="36"/>
      <c r="D838" s="290"/>
      <c r="E838" s="36"/>
      <c r="F838" s="36"/>
      <c r="G838" s="84"/>
      <c r="H838" s="36"/>
      <c r="I838" s="36"/>
      <c r="J838" s="293"/>
      <c r="K838" s="83"/>
      <c r="L838" s="293"/>
      <c r="M838" s="36"/>
      <c r="N838" s="36"/>
      <c r="O838" s="37"/>
      <c r="P838" s="37"/>
      <c r="Q838" s="237"/>
      <c r="R838" s="37"/>
      <c r="S838" s="37"/>
      <c r="T838" s="37"/>
      <c r="U838" s="37"/>
      <c r="V838" s="122"/>
      <c r="W838" s="122"/>
      <c r="X838" s="37"/>
      <c r="Y838" s="37"/>
      <c r="Z838" s="37"/>
    </row>
    <row r="839" spans="1:26" ht="13">
      <c r="A839" s="238"/>
      <c r="B839" s="292"/>
      <c r="C839" s="36"/>
      <c r="D839" s="290"/>
      <c r="E839" s="36"/>
      <c r="F839" s="36"/>
      <c r="G839" s="84"/>
      <c r="H839" s="36"/>
      <c r="I839" s="36"/>
      <c r="J839" s="293"/>
      <c r="K839" s="83"/>
      <c r="L839" s="293"/>
      <c r="M839" s="36"/>
      <c r="N839" s="36"/>
      <c r="O839" s="37"/>
      <c r="P839" s="37"/>
      <c r="Q839" s="237"/>
      <c r="R839" s="37"/>
      <c r="S839" s="37"/>
      <c r="T839" s="37"/>
      <c r="U839" s="37"/>
      <c r="V839" s="122"/>
      <c r="W839" s="122"/>
      <c r="X839" s="37"/>
      <c r="Y839" s="37"/>
      <c r="Z839" s="37"/>
    </row>
    <row r="840" spans="1:26" ht="13">
      <c r="A840" s="238"/>
      <c r="B840" s="292"/>
      <c r="C840" s="36"/>
      <c r="D840" s="290"/>
      <c r="E840" s="36"/>
      <c r="F840" s="36"/>
      <c r="G840" s="84"/>
      <c r="H840" s="36"/>
      <c r="I840" s="36"/>
      <c r="J840" s="293"/>
      <c r="K840" s="83"/>
      <c r="L840" s="293"/>
      <c r="M840" s="36"/>
      <c r="N840" s="36"/>
      <c r="O840" s="37"/>
      <c r="P840" s="37"/>
      <c r="Q840" s="237"/>
      <c r="R840" s="37"/>
      <c r="S840" s="37"/>
      <c r="T840" s="37"/>
      <c r="U840" s="37"/>
      <c r="V840" s="122"/>
      <c r="W840" s="122"/>
      <c r="X840" s="37"/>
      <c r="Y840" s="37"/>
      <c r="Z840" s="37"/>
    </row>
    <row r="841" spans="1:26" ht="13">
      <c r="A841" s="238"/>
      <c r="B841" s="292"/>
      <c r="C841" s="36"/>
      <c r="D841" s="290"/>
      <c r="E841" s="36"/>
      <c r="F841" s="36"/>
      <c r="G841" s="84"/>
      <c r="H841" s="36"/>
      <c r="I841" s="36"/>
      <c r="J841" s="293"/>
      <c r="K841" s="83"/>
      <c r="L841" s="293"/>
      <c r="M841" s="36"/>
      <c r="N841" s="36"/>
      <c r="O841" s="37"/>
      <c r="P841" s="37"/>
      <c r="Q841" s="237"/>
      <c r="R841" s="37"/>
      <c r="S841" s="37"/>
      <c r="T841" s="37"/>
      <c r="U841" s="37"/>
      <c r="V841" s="122"/>
      <c r="W841" s="122"/>
      <c r="X841" s="37"/>
      <c r="Y841" s="37"/>
      <c r="Z841" s="37"/>
    </row>
    <row r="842" spans="1:26" ht="13">
      <c r="A842" s="238"/>
      <c r="B842" s="292"/>
      <c r="C842" s="36"/>
      <c r="D842" s="290"/>
      <c r="E842" s="36"/>
      <c r="F842" s="36"/>
      <c r="G842" s="84"/>
      <c r="H842" s="36"/>
      <c r="I842" s="36"/>
      <c r="J842" s="293"/>
      <c r="K842" s="83"/>
      <c r="L842" s="293"/>
      <c r="M842" s="36"/>
      <c r="N842" s="36"/>
      <c r="O842" s="37"/>
      <c r="P842" s="37"/>
      <c r="Q842" s="237"/>
      <c r="R842" s="37"/>
      <c r="S842" s="37"/>
      <c r="T842" s="37"/>
      <c r="U842" s="37"/>
      <c r="V842" s="122"/>
      <c r="W842" s="122"/>
      <c r="X842" s="37"/>
      <c r="Y842" s="37"/>
      <c r="Z842" s="37"/>
    </row>
    <row r="843" spans="1:26" ht="13">
      <c r="A843" s="238"/>
      <c r="B843" s="292"/>
      <c r="C843" s="36"/>
      <c r="D843" s="290"/>
      <c r="E843" s="36"/>
      <c r="F843" s="36"/>
      <c r="G843" s="84"/>
      <c r="H843" s="36"/>
      <c r="I843" s="36"/>
      <c r="J843" s="293"/>
      <c r="K843" s="83"/>
      <c r="L843" s="293"/>
      <c r="M843" s="36"/>
      <c r="N843" s="36"/>
      <c r="O843" s="37"/>
      <c r="P843" s="37"/>
      <c r="Q843" s="237"/>
      <c r="R843" s="37"/>
      <c r="S843" s="37"/>
      <c r="T843" s="37"/>
      <c r="U843" s="37"/>
      <c r="V843" s="122"/>
      <c r="W843" s="122"/>
      <c r="X843" s="37"/>
      <c r="Y843" s="37"/>
      <c r="Z843" s="37"/>
    </row>
    <row r="844" spans="1:26" ht="13">
      <c r="A844" s="238"/>
      <c r="B844" s="292"/>
      <c r="C844" s="36"/>
      <c r="D844" s="290"/>
      <c r="E844" s="36"/>
      <c r="F844" s="36"/>
      <c r="G844" s="84"/>
      <c r="H844" s="36"/>
      <c r="I844" s="36"/>
      <c r="J844" s="293"/>
      <c r="K844" s="83"/>
      <c r="L844" s="293"/>
      <c r="M844" s="36"/>
      <c r="N844" s="36"/>
      <c r="O844" s="37"/>
      <c r="P844" s="37"/>
      <c r="Q844" s="237"/>
      <c r="R844" s="37"/>
      <c r="S844" s="37"/>
      <c r="T844" s="37"/>
      <c r="U844" s="37"/>
      <c r="V844" s="122"/>
      <c r="W844" s="122"/>
      <c r="X844" s="37"/>
      <c r="Y844" s="37"/>
      <c r="Z844" s="37"/>
    </row>
    <row r="845" spans="1:26" ht="13">
      <c r="A845" s="238"/>
      <c r="B845" s="292"/>
      <c r="C845" s="36"/>
      <c r="D845" s="290"/>
      <c r="E845" s="36"/>
      <c r="F845" s="36"/>
      <c r="G845" s="84"/>
      <c r="H845" s="36"/>
      <c r="I845" s="36"/>
      <c r="J845" s="293"/>
      <c r="K845" s="83"/>
      <c r="L845" s="293"/>
      <c r="M845" s="36"/>
      <c r="N845" s="36"/>
      <c r="O845" s="37"/>
      <c r="P845" s="37"/>
      <c r="Q845" s="237"/>
      <c r="R845" s="37"/>
      <c r="S845" s="37"/>
      <c r="T845" s="37"/>
      <c r="U845" s="37"/>
      <c r="V845" s="122"/>
      <c r="W845" s="122"/>
      <c r="X845" s="37"/>
      <c r="Y845" s="37"/>
      <c r="Z845" s="37"/>
    </row>
    <row r="846" spans="1:26" ht="13">
      <c r="A846" s="238"/>
      <c r="B846" s="292"/>
      <c r="C846" s="36"/>
      <c r="D846" s="290"/>
      <c r="E846" s="36"/>
      <c r="F846" s="36"/>
      <c r="G846" s="84"/>
      <c r="H846" s="36"/>
      <c r="I846" s="36"/>
      <c r="J846" s="293"/>
      <c r="K846" s="83"/>
      <c r="L846" s="293"/>
      <c r="M846" s="36"/>
      <c r="N846" s="36"/>
      <c r="O846" s="37"/>
      <c r="P846" s="37"/>
      <c r="Q846" s="237"/>
      <c r="R846" s="37"/>
      <c r="S846" s="37"/>
      <c r="T846" s="37"/>
      <c r="U846" s="37"/>
      <c r="V846" s="122"/>
      <c r="W846" s="122"/>
      <c r="X846" s="37"/>
      <c r="Y846" s="37"/>
      <c r="Z846" s="37"/>
    </row>
    <row r="847" spans="1:26" ht="13">
      <c r="A847" s="238"/>
      <c r="B847" s="292"/>
      <c r="C847" s="36"/>
      <c r="D847" s="290"/>
      <c r="E847" s="36"/>
      <c r="F847" s="36"/>
      <c r="G847" s="84"/>
      <c r="H847" s="36"/>
      <c r="I847" s="36"/>
      <c r="J847" s="293"/>
      <c r="K847" s="83"/>
      <c r="L847" s="293"/>
      <c r="M847" s="36"/>
      <c r="N847" s="36"/>
      <c r="O847" s="37"/>
      <c r="P847" s="37"/>
      <c r="Q847" s="237"/>
      <c r="R847" s="37"/>
      <c r="S847" s="37"/>
      <c r="T847" s="37"/>
      <c r="U847" s="37"/>
      <c r="V847" s="122"/>
      <c r="W847" s="122"/>
      <c r="X847" s="37"/>
      <c r="Y847" s="37"/>
      <c r="Z847" s="37"/>
    </row>
    <row r="848" spans="1:26" ht="13">
      <c r="A848" s="238"/>
      <c r="B848" s="292"/>
      <c r="C848" s="36"/>
      <c r="D848" s="290"/>
      <c r="E848" s="36"/>
      <c r="F848" s="36"/>
      <c r="G848" s="84"/>
      <c r="H848" s="36"/>
      <c r="I848" s="36"/>
      <c r="J848" s="293"/>
      <c r="K848" s="83"/>
      <c r="L848" s="293"/>
      <c r="M848" s="36"/>
      <c r="N848" s="36"/>
      <c r="O848" s="37"/>
      <c r="P848" s="37"/>
      <c r="Q848" s="237"/>
      <c r="R848" s="37"/>
      <c r="S848" s="37"/>
      <c r="T848" s="37"/>
      <c r="U848" s="37"/>
      <c r="V848" s="122"/>
      <c r="W848" s="122"/>
      <c r="X848" s="37"/>
      <c r="Y848" s="37"/>
      <c r="Z848" s="37"/>
    </row>
    <row r="849" spans="1:26" ht="13">
      <c r="A849" s="238"/>
      <c r="B849" s="292"/>
      <c r="C849" s="36"/>
      <c r="D849" s="290"/>
      <c r="E849" s="36"/>
      <c r="F849" s="36"/>
      <c r="G849" s="84"/>
      <c r="H849" s="36"/>
      <c r="I849" s="36"/>
      <c r="J849" s="293"/>
      <c r="K849" s="83"/>
      <c r="L849" s="293"/>
      <c r="M849" s="36"/>
      <c r="N849" s="36"/>
      <c r="O849" s="37"/>
      <c r="P849" s="37"/>
      <c r="Q849" s="237"/>
      <c r="R849" s="37"/>
      <c r="S849" s="37"/>
      <c r="T849" s="37"/>
      <c r="U849" s="37"/>
      <c r="V849" s="122"/>
      <c r="W849" s="122"/>
      <c r="X849" s="37"/>
      <c r="Y849" s="37"/>
      <c r="Z849" s="37"/>
    </row>
    <row r="850" spans="1:26" ht="13">
      <c r="A850" s="238"/>
      <c r="B850" s="292"/>
      <c r="C850" s="36"/>
      <c r="D850" s="290"/>
      <c r="E850" s="36"/>
      <c r="F850" s="36"/>
      <c r="G850" s="84"/>
      <c r="H850" s="36"/>
      <c r="I850" s="36"/>
      <c r="J850" s="293"/>
      <c r="K850" s="83"/>
      <c r="L850" s="293"/>
      <c r="M850" s="36"/>
      <c r="N850" s="36"/>
      <c r="O850" s="37"/>
      <c r="P850" s="37"/>
      <c r="Q850" s="237"/>
      <c r="R850" s="37"/>
      <c r="S850" s="37"/>
      <c r="T850" s="37"/>
      <c r="U850" s="37"/>
      <c r="V850" s="122"/>
      <c r="W850" s="122"/>
      <c r="X850" s="37"/>
      <c r="Y850" s="37"/>
      <c r="Z850" s="37"/>
    </row>
    <row r="851" spans="1:26" ht="13">
      <c r="A851" s="238"/>
      <c r="B851" s="292"/>
      <c r="C851" s="36"/>
      <c r="D851" s="290"/>
      <c r="E851" s="36"/>
      <c r="F851" s="36"/>
      <c r="G851" s="84"/>
      <c r="H851" s="36"/>
      <c r="I851" s="36"/>
      <c r="J851" s="293"/>
      <c r="K851" s="83"/>
      <c r="L851" s="293"/>
      <c r="M851" s="36"/>
      <c r="N851" s="36"/>
      <c r="O851" s="37"/>
      <c r="P851" s="37"/>
      <c r="Q851" s="237"/>
      <c r="R851" s="37"/>
      <c r="S851" s="37"/>
      <c r="T851" s="37"/>
      <c r="U851" s="37"/>
      <c r="V851" s="122"/>
      <c r="W851" s="122"/>
      <c r="X851" s="37"/>
      <c r="Y851" s="37"/>
      <c r="Z851" s="37"/>
    </row>
    <row r="852" spans="1:26" ht="13">
      <c r="A852" s="238"/>
      <c r="B852" s="292"/>
      <c r="C852" s="36"/>
      <c r="D852" s="290"/>
      <c r="E852" s="36"/>
      <c r="F852" s="36"/>
      <c r="G852" s="84"/>
      <c r="H852" s="36"/>
      <c r="I852" s="36"/>
      <c r="J852" s="293"/>
      <c r="K852" s="83"/>
      <c r="L852" s="293"/>
      <c r="M852" s="36"/>
      <c r="N852" s="36"/>
      <c r="O852" s="37"/>
      <c r="P852" s="37"/>
      <c r="Q852" s="237"/>
      <c r="R852" s="37"/>
      <c r="S852" s="37"/>
      <c r="T852" s="37"/>
      <c r="U852" s="37"/>
      <c r="V852" s="122"/>
      <c r="W852" s="122"/>
      <c r="X852" s="37"/>
      <c r="Y852" s="37"/>
      <c r="Z852" s="37"/>
    </row>
    <row r="853" spans="1:26" ht="13">
      <c r="A853" s="238"/>
      <c r="B853" s="292"/>
      <c r="C853" s="36"/>
      <c r="D853" s="290"/>
      <c r="E853" s="36"/>
      <c r="F853" s="36"/>
      <c r="G853" s="84"/>
      <c r="H853" s="36"/>
      <c r="I853" s="36"/>
      <c r="J853" s="293"/>
      <c r="K853" s="83"/>
      <c r="L853" s="293"/>
      <c r="M853" s="36"/>
      <c r="N853" s="36"/>
      <c r="O853" s="37"/>
      <c r="P853" s="37"/>
      <c r="Q853" s="237"/>
      <c r="R853" s="37"/>
      <c r="S853" s="37"/>
      <c r="T853" s="37"/>
      <c r="U853" s="37"/>
      <c r="V853" s="122"/>
      <c r="W853" s="122"/>
      <c r="X853" s="37"/>
      <c r="Y853" s="37"/>
      <c r="Z853" s="37"/>
    </row>
    <row r="854" spans="1:26" ht="13">
      <c r="A854" s="238"/>
      <c r="B854" s="292"/>
      <c r="C854" s="36"/>
      <c r="D854" s="290"/>
      <c r="E854" s="36"/>
      <c r="F854" s="36"/>
      <c r="G854" s="84"/>
      <c r="H854" s="36"/>
      <c r="I854" s="36"/>
      <c r="J854" s="293"/>
      <c r="K854" s="83"/>
      <c r="L854" s="293"/>
      <c r="M854" s="36"/>
      <c r="N854" s="36"/>
      <c r="O854" s="37"/>
      <c r="P854" s="37"/>
      <c r="Q854" s="237"/>
      <c r="R854" s="37"/>
      <c r="S854" s="37"/>
      <c r="T854" s="37"/>
      <c r="U854" s="37"/>
      <c r="V854" s="122"/>
      <c r="W854" s="122"/>
      <c r="X854" s="37"/>
      <c r="Y854" s="37"/>
      <c r="Z854" s="37"/>
    </row>
    <row r="855" spans="1:26" ht="13">
      <c r="A855" s="238"/>
      <c r="B855" s="292"/>
      <c r="C855" s="36"/>
      <c r="D855" s="290"/>
      <c r="E855" s="36"/>
      <c r="F855" s="36"/>
      <c r="G855" s="84"/>
      <c r="H855" s="36"/>
      <c r="I855" s="36"/>
      <c r="J855" s="293"/>
      <c r="K855" s="83"/>
      <c r="L855" s="293"/>
      <c r="M855" s="36"/>
      <c r="N855" s="36"/>
      <c r="O855" s="37"/>
      <c r="P855" s="37"/>
      <c r="Q855" s="237"/>
      <c r="R855" s="37"/>
      <c r="S855" s="37"/>
      <c r="T855" s="37"/>
      <c r="U855" s="37"/>
      <c r="V855" s="122"/>
      <c r="W855" s="122"/>
      <c r="X855" s="37"/>
      <c r="Y855" s="37"/>
      <c r="Z855" s="37"/>
    </row>
    <row r="856" spans="1:26" ht="13">
      <c r="A856" s="238"/>
      <c r="B856" s="292"/>
      <c r="C856" s="36"/>
      <c r="D856" s="290"/>
      <c r="E856" s="36"/>
      <c r="F856" s="36"/>
      <c r="G856" s="84"/>
      <c r="H856" s="36"/>
      <c r="I856" s="36"/>
      <c r="J856" s="293"/>
      <c r="K856" s="83"/>
      <c r="L856" s="293"/>
      <c r="M856" s="36"/>
      <c r="N856" s="36"/>
      <c r="O856" s="37"/>
      <c r="P856" s="37"/>
      <c r="Q856" s="237"/>
      <c r="R856" s="37"/>
      <c r="S856" s="37"/>
      <c r="T856" s="37"/>
      <c r="U856" s="37"/>
      <c r="V856" s="122"/>
      <c r="W856" s="122"/>
      <c r="X856" s="37"/>
      <c r="Y856" s="37"/>
      <c r="Z856" s="37"/>
    </row>
    <row r="857" spans="1:26" ht="13">
      <c r="A857" s="238"/>
      <c r="B857" s="292"/>
      <c r="C857" s="36"/>
      <c r="D857" s="290"/>
      <c r="E857" s="36"/>
      <c r="F857" s="36"/>
      <c r="G857" s="84"/>
      <c r="H857" s="36"/>
      <c r="I857" s="36"/>
      <c r="J857" s="293"/>
      <c r="K857" s="83"/>
      <c r="L857" s="293"/>
      <c r="M857" s="36"/>
      <c r="N857" s="36"/>
      <c r="O857" s="37"/>
      <c r="P857" s="37"/>
      <c r="Q857" s="237"/>
      <c r="R857" s="37"/>
      <c r="S857" s="37"/>
      <c r="T857" s="37"/>
      <c r="U857" s="37"/>
      <c r="V857" s="122"/>
      <c r="W857" s="122"/>
      <c r="X857" s="37"/>
      <c r="Y857" s="37"/>
      <c r="Z857" s="37"/>
    </row>
    <row r="858" spans="1:26" ht="13">
      <c r="A858" s="238"/>
      <c r="B858" s="292"/>
      <c r="C858" s="36"/>
      <c r="D858" s="290"/>
      <c r="E858" s="36"/>
      <c r="F858" s="36"/>
      <c r="G858" s="84"/>
      <c r="H858" s="36"/>
      <c r="I858" s="36"/>
      <c r="J858" s="293"/>
      <c r="K858" s="83"/>
      <c r="L858" s="293"/>
      <c r="M858" s="36"/>
      <c r="N858" s="36"/>
      <c r="O858" s="37"/>
      <c r="P858" s="37"/>
      <c r="Q858" s="237"/>
      <c r="R858" s="37"/>
      <c r="S858" s="37"/>
      <c r="T858" s="37"/>
      <c r="U858" s="37"/>
      <c r="V858" s="122"/>
      <c r="W858" s="122"/>
      <c r="X858" s="37"/>
      <c r="Y858" s="37"/>
      <c r="Z858" s="37"/>
    </row>
    <row r="859" spans="1:26" ht="13">
      <c r="A859" s="238"/>
      <c r="B859" s="292"/>
      <c r="C859" s="36"/>
      <c r="D859" s="290"/>
      <c r="E859" s="36"/>
      <c r="F859" s="36"/>
      <c r="G859" s="84"/>
      <c r="H859" s="36"/>
      <c r="I859" s="36"/>
      <c r="J859" s="293"/>
      <c r="K859" s="83"/>
      <c r="L859" s="293"/>
      <c r="M859" s="36"/>
      <c r="N859" s="36"/>
      <c r="O859" s="37"/>
      <c r="P859" s="37"/>
      <c r="Q859" s="237"/>
      <c r="R859" s="37"/>
      <c r="S859" s="37"/>
      <c r="T859" s="37"/>
      <c r="U859" s="37"/>
      <c r="V859" s="122"/>
      <c r="W859" s="122"/>
      <c r="X859" s="37"/>
      <c r="Y859" s="37"/>
      <c r="Z859" s="37"/>
    </row>
    <row r="860" spans="1:26" ht="13">
      <c r="A860" s="238"/>
      <c r="B860" s="292"/>
      <c r="C860" s="36"/>
      <c r="D860" s="290"/>
      <c r="E860" s="36"/>
      <c r="F860" s="36"/>
      <c r="G860" s="84"/>
      <c r="H860" s="36"/>
      <c r="I860" s="36"/>
      <c r="J860" s="293"/>
      <c r="K860" s="83"/>
      <c r="L860" s="293"/>
      <c r="M860" s="36"/>
      <c r="N860" s="36"/>
      <c r="O860" s="37"/>
      <c r="P860" s="37"/>
      <c r="Q860" s="237"/>
      <c r="R860" s="37"/>
      <c r="S860" s="37"/>
      <c r="T860" s="37"/>
      <c r="U860" s="37"/>
      <c r="V860" s="122"/>
      <c r="W860" s="122"/>
      <c r="X860" s="37"/>
      <c r="Y860" s="37"/>
      <c r="Z860" s="37"/>
    </row>
    <row r="861" spans="1:26" ht="13">
      <c r="A861" s="238"/>
      <c r="B861" s="292"/>
      <c r="C861" s="36"/>
      <c r="D861" s="290"/>
      <c r="E861" s="36"/>
      <c r="F861" s="36"/>
      <c r="G861" s="84"/>
      <c r="H861" s="36"/>
      <c r="I861" s="36"/>
      <c r="J861" s="293"/>
      <c r="K861" s="83"/>
      <c r="L861" s="293"/>
      <c r="M861" s="36"/>
      <c r="N861" s="36"/>
      <c r="O861" s="37"/>
      <c r="P861" s="37"/>
      <c r="Q861" s="237"/>
      <c r="R861" s="37"/>
      <c r="S861" s="37"/>
      <c r="T861" s="37"/>
      <c r="U861" s="37"/>
      <c r="V861" s="122"/>
      <c r="W861" s="122"/>
      <c r="X861" s="37"/>
      <c r="Y861" s="37"/>
      <c r="Z861" s="37"/>
    </row>
    <row r="862" spans="1:26" ht="13">
      <c r="A862" s="238"/>
      <c r="B862" s="292"/>
      <c r="C862" s="36"/>
      <c r="D862" s="290"/>
      <c r="E862" s="36"/>
      <c r="F862" s="36"/>
      <c r="G862" s="84"/>
      <c r="H862" s="36"/>
      <c r="I862" s="36"/>
      <c r="J862" s="293"/>
      <c r="K862" s="83"/>
      <c r="L862" s="293"/>
      <c r="M862" s="36"/>
      <c r="N862" s="36"/>
      <c r="O862" s="37"/>
      <c r="P862" s="37"/>
      <c r="Q862" s="237"/>
      <c r="R862" s="37"/>
      <c r="S862" s="37"/>
      <c r="T862" s="37"/>
      <c r="U862" s="37"/>
      <c r="V862" s="122"/>
      <c r="W862" s="122"/>
      <c r="X862" s="37"/>
      <c r="Y862" s="37"/>
      <c r="Z862" s="37"/>
    </row>
    <row r="863" spans="1:26" ht="13">
      <c r="A863" s="238"/>
      <c r="B863" s="292"/>
      <c r="C863" s="36"/>
      <c r="D863" s="290"/>
      <c r="E863" s="36"/>
      <c r="F863" s="36"/>
      <c r="G863" s="84"/>
      <c r="H863" s="36"/>
      <c r="I863" s="36"/>
      <c r="J863" s="293"/>
      <c r="K863" s="83"/>
      <c r="L863" s="293"/>
      <c r="M863" s="36"/>
      <c r="N863" s="36"/>
      <c r="O863" s="37"/>
      <c r="P863" s="37"/>
      <c r="Q863" s="237"/>
      <c r="R863" s="37"/>
      <c r="S863" s="37"/>
      <c r="T863" s="37"/>
      <c r="U863" s="37"/>
      <c r="V863" s="122"/>
      <c r="W863" s="122"/>
      <c r="X863" s="37"/>
      <c r="Y863" s="37"/>
      <c r="Z863" s="37"/>
    </row>
    <row r="864" spans="1:26" ht="13">
      <c r="A864" s="238"/>
      <c r="B864" s="292"/>
      <c r="C864" s="36"/>
      <c r="D864" s="290"/>
      <c r="E864" s="36"/>
      <c r="F864" s="36"/>
      <c r="G864" s="84"/>
      <c r="H864" s="36"/>
      <c r="I864" s="36"/>
      <c r="J864" s="293"/>
      <c r="K864" s="83"/>
      <c r="L864" s="293"/>
      <c r="M864" s="36"/>
      <c r="N864" s="36"/>
      <c r="O864" s="37"/>
      <c r="P864" s="37"/>
      <c r="Q864" s="237"/>
      <c r="R864" s="37"/>
      <c r="S864" s="37"/>
      <c r="T864" s="37"/>
      <c r="U864" s="37"/>
      <c r="V864" s="122"/>
      <c r="W864" s="122"/>
      <c r="X864" s="37"/>
      <c r="Y864" s="37"/>
      <c r="Z864" s="37"/>
    </row>
    <row r="865" spans="1:26" ht="13">
      <c r="A865" s="238"/>
      <c r="B865" s="292"/>
      <c r="C865" s="36"/>
      <c r="D865" s="290"/>
      <c r="E865" s="36"/>
      <c r="F865" s="36"/>
      <c r="G865" s="84"/>
      <c r="H865" s="36"/>
      <c r="I865" s="36"/>
      <c r="J865" s="293"/>
      <c r="K865" s="83"/>
      <c r="L865" s="293"/>
      <c r="M865" s="36"/>
      <c r="N865" s="36"/>
      <c r="O865" s="37"/>
      <c r="P865" s="37"/>
      <c r="Q865" s="237"/>
      <c r="R865" s="37"/>
      <c r="S865" s="37"/>
      <c r="T865" s="37"/>
      <c r="U865" s="37"/>
      <c r="V865" s="122"/>
      <c r="W865" s="122"/>
      <c r="X865" s="37"/>
      <c r="Y865" s="37"/>
      <c r="Z865" s="37"/>
    </row>
    <row r="866" spans="1:26" ht="13">
      <c r="A866" s="238"/>
      <c r="B866" s="292"/>
      <c r="C866" s="36"/>
      <c r="D866" s="290"/>
      <c r="E866" s="36"/>
      <c r="F866" s="36"/>
      <c r="G866" s="84"/>
      <c r="H866" s="36"/>
      <c r="I866" s="36"/>
      <c r="J866" s="293"/>
      <c r="K866" s="83"/>
      <c r="L866" s="293"/>
      <c r="M866" s="36"/>
      <c r="N866" s="36"/>
      <c r="O866" s="37"/>
      <c r="P866" s="37"/>
      <c r="Q866" s="237"/>
      <c r="R866" s="37"/>
      <c r="S866" s="37"/>
      <c r="T866" s="37"/>
      <c r="U866" s="37"/>
      <c r="V866" s="122"/>
      <c r="W866" s="122"/>
      <c r="X866" s="37"/>
      <c r="Y866" s="37"/>
      <c r="Z866" s="37"/>
    </row>
    <row r="867" spans="1:26" ht="13">
      <c r="A867" s="238"/>
      <c r="B867" s="292"/>
      <c r="C867" s="36"/>
      <c r="D867" s="290"/>
      <c r="E867" s="36"/>
      <c r="F867" s="36"/>
      <c r="G867" s="84"/>
      <c r="H867" s="36"/>
      <c r="I867" s="36"/>
      <c r="J867" s="293"/>
      <c r="K867" s="83"/>
      <c r="L867" s="293"/>
      <c r="M867" s="36"/>
      <c r="N867" s="36"/>
      <c r="O867" s="37"/>
      <c r="P867" s="37"/>
      <c r="Q867" s="237"/>
      <c r="R867" s="37"/>
      <c r="S867" s="37"/>
      <c r="T867" s="37"/>
      <c r="U867" s="37"/>
      <c r="V867" s="122"/>
      <c r="W867" s="122"/>
      <c r="X867" s="37"/>
      <c r="Y867" s="37"/>
      <c r="Z867" s="37"/>
    </row>
    <row r="868" spans="1:26" ht="13">
      <c r="A868" s="238"/>
      <c r="B868" s="292"/>
      <c r="C868" s="36"/>
      <c r="D868" s="290"/>
      <c r="E868" s="36"/>
      <c r="F868" s="36"/>
      <c r="G868" s="84"/>
      <c r="H868" s="36"/>
      <c r="I868" s="36"/>
      <c r="J868" s="293"/>
      <c r="K868" s="83"/>
      <c r="L868" s="293"/>
      <c r="M868" s="36"/>
      <c r="N868" s="36"/>
      <c r="O868" s="37"/>
      <c r="P868" s="37"/>
      <c r="Q868" s="237"/>
      <c r="R868" s="37"/>
      <c r="S868" s="37"/>
      <c r="T868" s="37"/>
      <c r="U868" s="37"/>
      <c r="V868" s="122"/>
      <c r="W868" s="122"/>
      <c r="X868" s="37"/>
      <c r="Y868" s="37"/>
      <c r="Z868" s="37"/>
    </row>
    <row r="869" spans="1:26" ht="13">
      <c r="A869" s="238"/>
      <c r="B869" s="292"/>
      <c r="C869" s="36"/>
      <c r="D869" s="290"/>
      <c r="E869" s="36"/>
      <c r="F869" s="36"/>
      <c r="G869" s="84"/>
      <c r="H869" s="36"/>
      <c r="I869" s="36"/>
      <c r="J869" s="293"/>
      <c r="K869" s="83"/>
      <c r="L869" s="293"/>
      <c r="M869" s="36"/>
      <c r="N869" s="36"/>
      <c r="O869" s="37"/>
      <c r="P869" s="37"/>
      <c r="Q869" s="237"/>
      <c r="R869" s="37"/>
      <c r="S869" s="37"/>
      <c r="T869" s="37"/>
      <c r="U869" s="37"/>
      <c r="V869" s="122"/>
      <c r="W869" s="122"/>
      <c r="X869" s="37"/>
      <c r="Y869" s="37"/>
      <c r="Z869" s="37"/>
    </row>
    <row r="870" spans="1:26" ht="13">
      <c r="A870" s="238"/>
      <c r="B870" s="292"/>
      <c r="C870" s="36"/>
      <c r="D870" s="290"/>
      <c r="E870" s="36"/>
      <c r="F870" s="36"/>
      <c r="G870" s="84"/>
      <c r="H870" s="36"/>
      <c r="I870" s="36"/>
      <c r="J870" s="293"/>
      <c r="K870" s="83"/>
      <c r="L870" s="293"/>
      <c r="M870" s="36"/>
      <c r="N870" s="36"/>
      <c r="O870" s="37"/>
      <c r="P870" s="37"/>
      <c r="Q870" s="237"/>
      <c r="R870" s="37"/>
      <c r="S870" s="37"/>
      <c r="T870" s="37"/>
      <c r="U870" s="37"/>
      <c r="V870" s="122"/>
      <c r="W870" s="122"/>
      <c r="X870" s="37"/>
      <c r="Y870" s="37"/>
      <c r="Z870" s="37"/>
    </row>
    <row r="871" spans="1:26" ht="13">
      <c r="A871" s="238"/>
      <c r="B871" s="292"/>
      <c r="C871" s="36"/>
      <c r="D871" s="290"/>
      <c r="E871" s="36"/>
      <c r="F871" s="36"/>
      <c r="G871" s="84"/>
      <c r="H871" s="36"/>
      <c r="I871" s="36"/>
      <c r="J871" s="293"/>
      <c r="K871" s="83"/>
      <c r="L871" s="293"/>
      <c r="M871" s="36"/>
      <c r="N871" s="36"/>
      <c r="O871" s="37"/>
      <c r="P871" s="37"/>
      <c r="Q871" s="237"/>
      <c r="R871" s="37"/>
      <c r="S871" s="37"/>
      <c r="T871" s="37"/>
      <c r="U871" s="37"/>
      <c r="V871" s="122"/>
      <c r="W871" s="122"/>
      <c r="X871" s="37"/>
      <c r="Y871" s="37"/>
      <c r="Z871" s="37"/>
    </row>
    <row r="872" spans="1:26" ht="13">
      <c r="A872" s="238"/>
      <c r="B872" s="292"/>
      <c r="C872" s="36"/>
      <c r="D872" s="290"/>
      <c r="E872" s="36"/>
      <c r="F872" s="36"/>
      <c r="G872" s="84"/>
      <c r="H872" s="36"/>
      <c r="I872" s="36"/>
      <c r="J872" s="293"/>
      <c r="K872" s="83"/>
      <c r="L872" s="293"/>
      <c r="M872" s="36"/>
      <c r="N872" s="36"/>
      <c r="O872" s="37"/>
      <c r="P872" s="37"/>
      <c r="Q872" s="237"/>
      <c r="R872" s="37"/>
      <c r="S872" s="37"/>
      <c r="T872" s="37"/>
      <c r="U872" s="37"/>
      <c r="V872" s="122"/>
      <c r="W872" s="122"/>
      <c r="X872" s="37"/>
      <c r="Y872" s="37"/>
      <c r="Z872" s="37"/>
    </row>
    <row r="873" spans="1:26" ht="13">
      <c r="A873" s="238"/>
      <c r="B873" s="292"/>
      <c r="C873" s="36"/>
      <c r="D873" s="290"/>
      <c r="E873" s="36"/>
      <c r="F873" s="36"/>
      <c r="G873" s="84"/>
      <c r="H873" s="36"/>
      <c r="I873" s="36"/>
      <c r="J873" s="293"/>
      <c r="K873" s="83"/>
      <c r="L873" s="293"/>
      <c r="M873" s="36"/>
      <c r="N873" s="36"/>
      <c r="O873" s="37"/>
      <c r="P873" s="37"/>
      <c r="Q873" s="237"/>
      <c r="R873" s="37"/>
      <c r="S873" s="37"/>
      <c r="T873" s="37"/>
      <c r="U873" s="37"/>
      <c r="V873" s="122"/>
      <c r="W873" s="122"/>
      <c r="X873" s="37"/>
      <c r="Y873" s="37"/>
      <c r="Z873" s="37"/>
    </row>
    <row r="874" spans="1:26" ht="13">
      <c r="A874" s="238"/>
      <c r="B874" s="292"/>
      <c r="C874" s="36"/>
      <c r="D874" s="290"/>
      <c r="E874" s="36"/>
      <c r="F874" s="36"/>
      <c r="G874" s="84"/>
      <c r="H874" s="36"/>
      <c r="I874" s="36"/>
      <c r="J874" s="293"/>
      <c r="K874" s="83"/>
      <c r="L874" s="293"/>
      <c r="M874" s="36"/>
      <c r="N874" s="36"/>
      <c r="O874" s="37"/>
      <c r="P874" s="37"/>
      <c r="Q874" s="237"/>
      <c r="R874" s="37"/>
      <c r="S874" s="37"/>
      <c r="T874" s="37"/>
      <c r="U874" s="37"/>
      <c r="V874" s="122"/>
      <c r="W874" s="122"/>
      <c r="X874" s="37"/>
      <c r="Y874" s="37"/>
      <c r="Z874" s="37"/>
    </row>
    <row r="875" spans="1:26" ht="13">
      <c r="A875" s="238"/>
      <c r="B875" s="292"/>
      <c r="C875" s="36"/>
      <c r="D875" s="290"/>
      <c r="E875" s="36"/>
      <c r="F875" s="36"/>
      <c r="G875" s="84"/>
      <c r="H875" s="36"/>
      <c r="I875" s="36"/>
      <c r="J875" s="293"/>
      <c r="K875" s="83"/>
      <c r="L875" s="293"/>
      <c r="M875" s="36"/>
      <c r="N875" s="36"/>
      <c r="O875" s="37"/>
      <c r="P875" s="37"/>
      <c r="Q875" s="237"/>
      <c r="R875" s="37"/>
      <c r="S875" s="37"/>
      <c r="T875" s="37"/>
      <c r="U875" s="37"/>
      <c r="V875" s="122"/>
      <c r="W875" s="122"/>
      <c r="X875" s="37"/>
      <c r="Y875" s="37"/>
      <c r="Z875" s="37"/>
    </row>
    <row r="876" spans="1:26" ht="13">
      <c r="A876" s="238"/>
      <c r="B876" s="292"/>
      <c r="C876" s="36"/>
      <c r="D876" s="290"/>
      <c r="E876" s="36"/>
      <c r="F876" s="36"/>
      <c r="G876" s="84"/>
      <c r="H876" s="36"/>
      <c r="I876" s="36"/>
      <c r="J876" s="293"/>
      <c r="K876" s="83"/>
      <c r="L876" s="293"/>
      <c r="M876" s="36"/>
      <c r="N876" s="36"/>
      <c r="O876" s="37"/>
      <c r="P876" s="37"/>
      <c r="Q876" s="237"/>
      <c r="R876" s="37"/>
      <c r="S876" s="37"/>
      <c r="T876" s="37"/>
      <c r="U876" s="37"/>
      <c r="V876" s="122"/>
      <c r="W876" s="122"/>
      <c r="X876" s="37"/>
      <c r="Y876" s="37"/>
      <c r="Z876" s="37"/>
    </row>
    <row r="877" spans="1:26" ht="13">
      <c r="A877" s="238"/>
      <c r="B877" s="292"/>
      <c r="C877" s="36"/>
      <c r="D877" s="290"/>
      <c r="E877" s="36"/>
      <c r="F877" s="36"/>
      <c r="G877" s="84"/>
      <c r="H877" s="36"/>
      <c r="I877" s="36"/>
      <c r="J877" s="293"/>
      <c r="K877" s="83"/>
      <c r="L877" s="293"/>
      <c r="M877" s="36"/>
      <c r="N877" s="36"/>
      <c r="O877" s="37"/>
      <c r="P877" s="37"/>
      <c r="Q877" s="237"/>
      <c r="R877" s="37"/>
      <c r="S877" s="37"/>
      <c r="T877" s="37"/>
      <c r="U877" s="37"/>
      <c r="V877" s="122"/>
      <c r="W877" s="122"/>
      <c r="X877" s="37"/>
      <c r="Y877" s="37"/>
      <c r="Z877" s="37"/>
    </row>
    <row r="878" spans="1:26" ht="13">
      <c r="A878" s="238"/>
      <c r="B878" s="292"/>
      <c r="C878" s="36"/>
      <c r="D878" s="290"/>
      <c r="E878" s="36"/>
      <c r="F878" s="36"/>
      <c r="G878" s="84"/>
      <c r="H878" s="36"/>
      <c r="I878" s="36"/>
      <c r="J878" s="293"/>
      <c r="K878" s="83"/>
      <c r="L878" s="293"/>
      <c r="M878" s="36"/>
      <c r="N878" s="36"/>
      <c r="O878" s="37"/>
      <c r="P878" s="37"/>
      <c r="Q878" s="237"/>
      <c r="R878" s="37"/>
      <c r="S878" s="37"/>
      <c r="T878" s="37"/>
      <c r="U878" s="37"/>
      <c r="V878" s="122"/>
      <c r="W878" s="122"/>
      <c r="X878" s="37"/>
      <c r="Y878" s="37"/>
      <c r="Z878" s="37"/>
    </row>
    <row r="879" spans="1:26" ht="13">
      <c r="A879" s="238"/>
      <c r="B879" s="292"/>
      <c r="C879" s="36"/>
      <c r="D879" s="290"/>
      <c r="E879" s="36"/>
      <c r="F879" s="36"/>
      <c r="G879" s="84"/>
      <c r="H879" s="36"/>
      <c r="I879" s="36"/>
      <c r="J879" s="293"/>
      <c r="K879" s="83"/>
      <c r="L879" s="293"/>
      <c r="M879" s="36"/>
      <c r="N879" s="36"/>
      <c r="O879" s="37"/>
      <c r="P879" s="37"/>
      <c r="Q879" s="237"/>
      <c r="R879" s="37"/>
      <c r="S879" s="37"/>
      <c r="T879" s="37"/>
      <c r="U879" s="37"/>
      <c r="V879" s="122"/>
      <c r="W879" s="122"/>
      <c r="X879" s="37"/>
      <c r="Y879" s="37"/>
      <c r="Z879" s="37"/>
    </row>
    <row r="880" spans="1:26" ht="13">
      <c r="A880" s="238"/>
      <c r="B880" s="292"/>
      <c r="C880" s="36"/>
      <c r="D880" s="290"/>
      <c r="E880" s="36"/>
      <c r="F880" s="36"/>
      <c r="G880" s="84"/>
      <c r="H880" s="36"/>
      <c r="I880" s="36"/>
      <c r="J880" s="293"/>
      <c r="K880" s="83"/>
      <c r="L880" s="293"/>
      <c r="M880" s="36"/>
      <c r="N880" s="36"/>
      <c r="O880" s="37"/>
      <c r="P880" s="37"/>
      <c r="Q880" s="237"/>
      <c r="R880" s="37"/>
      <c r="S880" s="37"/>
      <c r="T880" s="37"/>
      <c r="U880" s="37"/>
      <c r="V880" s="122"/>
      <c r="W880" s="122"/>
      <c r="X880" s="37"/>
      <c r="Y880" s="37"/>
      <c r="Z880" s="37"/>
    </row>
    <row r="881" spans="1:26" ht="13">
      <c r="A881" s="238"/>
      <c r="B881" s="292"/>
      <c r="C881" s="36"/>
      <c r="D881" s="290"/>
      <c r="E881" s="36"/>
      <c r="F881" s="36"/>
      <c r="G881" s="84"/>
      <c r="H881" s="36"/>
      <c r="I881" s="36"/>
      <c r="J881" s="293"/>
      <c r="K881" s="83"/>
      <c r="L881" s="293"/>
      <c r="M881" s="36"/>
      <c r="N881" s="36"/>
      <c r="O881" s="37"/>
      <c r="P881" s="37"/>
      <c r="Q881" s="237"/>
      <c r="R881" s="37"/>
      <c r="S881" s="37"/>
      <c r="T881" s="37"/>
      <c r="U881" s="37"/>
      <c r="V881" s="122"/>
      <c r="W881" s="122"/>
      <c r="X881" s="37"/>
      <c r="Y881" s="37"/>
      <c r="Z881" s="37"/>
    </row>
    <row r="882" spans="1:26" ht="13">
      <c r="A882" s="238"/>
      <c r="B882" s="292"/>
      <c r="C882" s="36"/>
      <c r="D882" s="290"/>
      <c r="E882" s="36"/>
      <c r="F882" s="36"/>
      <c r="G882" s="84"/>
      <c r="H882" s="36"/>
      <c r="I882" s="36"/>
      <c r="J882" s="293"/>
      <c r="K882" s="83"/>
      <c r="L882" s="293"/>
      <c r="M882" s="36"/>
      <c r="N882" s="36"/>
      <c r="O882" s="37"/>
      <c r="P882" s="37"/>
      <c r="Q882" s="237"/>
      <c r="R882" s="37"/>
      <c r="S882" s="37"/>
      <c r="T882" s="37"/>
      <c r="U882" s="37"/>
      <c r="V882" s="122"/>
      <c r="W882" s="122"/>
      <c r="X882" s="37"/>
      <c r="Y882" s="37"/>
      <c r="Z882" s="37"/>
    </row>
    <row r="883" spans="1:26" ht="13">
      <c r="A883" s="238"/>
      <c r="B883" s="292"/>
      <c r="C883" s="36"/>
      <c r="D883" s="290"/>
      <c r="E883" s="36"/>
      <c r="F883" s="36"/>
      <c r="G883" s="84"/>
      <c r="H883" s="36"/>
      <c r="I883" s="36"/>
      <c r="J883" s="293"/>
      <c r="K883" s="83"/>
      <c r="L883" s="293"/>
      <c r="M883" s="36"/>
      <c r="N883" s="36"/>
      <c r="O883" s="37"/>
      <c r="P883" s="37"/>
      <c r="Q883" s="237"/>
      <c r="R883" s="37"/>
      <c r="S883" s="37"/>
      <c r="T883" s="37"/>
      <c r="U883" s="37"/>
      <c r="V883" s="122"/>
      <c r="W883" s="122"/>
      <c r="X883" s="37"/>
      <c r="Y883" s="37"/>
      <c r="Z883" s="37"/>
    </row>
    <row r="884" spans="1:26" ht="13">
      <c r="A884" s="238"/>
      <c r="B884" s="292"/>
      <c r="C884" s="36"/>
      <c r="D884" s="290"/>
      <c r="E884" s="36"/>
      <c r="F884" s="36"/>
      <c r="G884" s="84"/>
      <c r="H884" s="36"/>
      <c r="I884" s="36"/>
      <c r="J884" s="293"/>
      <c r="K884" s="83"/>
      <c r="L884" s="293"/>
      <c r="M884" s="36"/>
      <c r="N884" s="36"/>
      <c r="O884" s="37"/>
      <c r="P884" s="37"/>
      <c r="Q884" s="237"/>
      <c r="R884" s="37"/>
      <c r="S884" s="37"/>
      <c r="T884" s="37"/>
      <c r="U884" s="37"/>
      <c r="V884" s="122"/>
      <c r="W884" s="122"/>
      <c r="X884" s="37"/>
      <c r="Y884" s="37"/>
      <c r="Z884" s="37"/>
    </row>
    <row r="885" spans="1:26" ht="13">
      <c r="A885" s="238"/>
      <c r="B885" s="292"/>
      <c r="C885" s="36"/>
      <c r="D885" s="290"/>
      <c r="E885" s="36"/>
      <c r="F885" s="36"/>
      <c r="G885" s="84"/>
      <c r="H885" s="36"/>
      <c r="I885" s="36"/>
      <c r="J885" s="293"/>
      <c r="K885" s="83"/>
      <c r="L885" s="293"/>
      <c r="M885" s="36"/>
      <c r="N885" s="36"/>
      <c r="O885" s="37"/>
      <c r="P885" s="37"/>
      <c r="Q885" s="237"/>
      <c r="R885" s="37"/>
      <c r="S885" s="37"/>
      <c r="T885" s="37"/>
      <c r="U885" s="37"/>
      <c r="V885" s="122"/>
      <c r="W885" s="122"/>
      <c r="X885" s="37"/>
      <c r="Y885" s="37"/>
      <c r="Z885" s="37"/>
    </row>
    <row r="886" spans="1:26" ht="13">
      <c r="A886" s="238"/>
      <c r="B886" s="292"/>
      <c r="C886" s="36"/>
      <c r="D886" s="290"/>
      <c r="E886" s="36"/>
      <c r="F886" s="36"/>
      <c r="G886" s="84"/>
      <c r="H886" s="36"/>
      <c r="I886" s="36"/>
      <c r="J886" s="293"/>
      <c r="K886" s="83"/>
      <c r="L886" s="293"/>
      <c r="M886" s="36"/>
      <c r="N886" s="36"/>
      <c r="O886" s="37"/>
      <c r="P886" s="37"/>
      <c r="Q886" s="237"/>
      <c r="R886" s="37"/>
      <c r="S886" s="37"/>
      <c r="T886" s="37"/>
      <c r="U886" s="37"/>
      <c r="V886" s="122"/>
      <c r="W886" s="122"/>
      <c r="X886" s="37"/>
      <c r="Y886" s="37"/>
      <c r="Z886" s="37"/>
    </row>
    <row r="887" spans="1:26" ht="13">
      <c r="A887" s="238"/>
      <c r="B887" s="292"/>
      <c r="C887" s="36"/>
      <c r="D887" s="290"/>
      <c r="E887" s="36"/>
      <c r="F887" s="36"/>
      <c r="G887" s="84"/>
      <c r="H887" s="36"/>
      <c r="I887" s="36"/>
      <c r="J887" s="293"/>
      <c r="K887" s="83"/>
      <c r="L887" s="293"/>
      <c r="M887" s="36"/>
      <c r="N887" s="36"/>
      <c r="O887" s="37"/>
      <c r="P887" s="37"/>
      <c r="Q887" s="237"/>
      <c r="R887" s="37"/>
      <c r="S887" s="37"/>
      <c r="T887" s="37"/>
      <c r="U887" s="37"/>
      <c r="V887" s="122"/>
      <c r="W887" s="122"/>
      <c r="X887" s="37"/>
      <c r="Y887" s="37"/>
      <c r="Z887" s="37"/>
    </row>
    <row r="888" spans="1:26" ht="13">
      <c r="A888" s="238"/>
      <c r="B888" s="292"/>
      <c r="C888" s="36"/>
      <c r="D888" s="290"/>
      <c r="E888" s="36"/>
      <c r="F888" s="36"/>
      <c r="G888" s="84"/>
      <c r="H888" s="36"/>
      <c r="I888" s="36"/>
      <c r="J888" s="293"/>
      <c r="K888" s="83"/>
      <c r="L888" s="293"/>
      <c r="M888" s="36"/>
      <c r="N888" s="36"/>
      <c r="O888" s="37"/>
      <c r="P888" s="37"/>
      <c r="Q888" s="237"/>
      <c r="R888" s="37"/>
      <c r="S888" s="37"/>
      <c r="T888" s="37"/>
      <c r="U888" s="37"/>
      <c r="V888" s="122"/>
      <c r="W888" s="122"/>
      <c r="X888" s="37"/>
      <c r="Y888" s="37"/>
      <c r="Z888" s="37"/>
    </row>
    <row r="889" spans="1:26" ht="13">
      <c r="A889" s="238"/>
      <c r="B889" s="292"/>
      <c r="C889" s="36"/>
      <c r="D889" s="290"/>
      <c r="E889" s="36"/>
      <c r="F889" s="36"/>
      <c r="G889" s="84"/>
      <c r="H889" s="36"/>
      <c r="I889" s="36"/>
      <c r="J889" s="293"/>
      <c r="K889" s="83"/>
      <c r="L889" s="293"/>
      <c r="M889" s="36"/>
      <c r="N889" s="36"/>
      <c r="O889" s="37"/>
      <c r="P889" s="37"/>
      <c r="Q889" s="237"/>
      <c r="R889" s="37"/>
      <c r="S889" s="37"/>
      <c r="T889" s="37"/>
      <c r="U889" s="37"/>
      <c r="V889" s="122"/>
      <c r="W889" s="122"/>
      <c r="X889" s="37"/>
      <c r="Y889" s="37"/>
      <c r="Z889" s="37"/>
    </row>
    <row r="890" spans="1:26" ht="13">
      <c r="A890" s="238"/>
      <c r="B890" s="292"/>
      <c r="C890" s="36"/>
      <c r="D890" s="290"/>
      <c r="E890" s="36"/>
      <c r="F890" s="36"/>
      <c r="G890" s="84"/>
      <c r="H890" s="36"/>
      <c r="I890" s="36"/>
      <c r="J890" s="293"/>
      <c r="K890" s="83"/>
      <c r="L890" s="293"/>
      <c r="M890" s="36"/>
      <c r="N890" s="36"/>
      <c r="O890" s="37"/>
      <c r="P890" s="37"/>
      <c r="Q890" s="237"/>
      <c r="R890" s="37"/>
      <c r="S890" s="37"/>
      <c r="T890" s="37"/>
      <c r="U890" s="37"/>
      <c r="V890" s="122"/>
      <c r="W890" s="122"/>
      <c r="X890" s="37"/>
      <c r="Y890" s="37"/>
      <c r="Z890" s="37"/>
    </row>
    <row r="891" spans="1:26" ht="13">
      <c r="A891" s="238"/>
      <c r="B891" s="292"/>
      <c r="C891" s="36"/>
      <c r="D891" s="290"/>
      <c r="E891" s="36"/>
      <c r="F891" s="36"/>
      <c r="G891" s="84"/>
      <c r="H891" s="36"/>
      <c r="I891" s="36"/>
      <c r="J891" s="293"/>
      <c r="K891" s="83"/>
      <c r="L891" s="293"/>
      <c r="M891" s="36"/>
      <c r="N891" s="36"/>
      <c r="O891" s="37"/>
      <c r="P891" s="37"/>
      <c r="Q891" s="237"/>
      <c r="R891" s="37"/>
      <c r="S891" s="37"/>
      <c r="T891" s="37"/>
      <c r="U891" s="37"/>
      <c r="V891" s="122"/>
      <c r="W891" s="122"/>
      <c r="X891" s="37"/>
      <c r="Y891" s="37"/>
      <c r="Z891" s="37"/>
    </row>
    <row r="892" spans="1:26" ht="13">
      <c r="A892" s="238"/>
      <c r="B892" s="292"/>
      <c r="C892" s="36"/>
      <c r="D892" s="290"/>
      <c r="E892" s="36"/>
      <c r="F892" s="36"/>
      <c r="G892" s="84"/>
      <c r="H892" s="36"/>
      <c r="I892" s="36"/>
      <c r="J892" s="293"/>
      <c r="K892" s="83"/>
      <c r="L892" s="293"/>
      <c r="M892" s="36"/>
      <c r="N892" s="36"/>
      <c r="O892" s="37"/>
      <c r="P892" s="37"/>
      <c r="Q892" s="237"/>
      <c r="R892" s="37"/>
      <c r="S892" s="37"/>
      <c r="T892" s="37"/>
      <c r="U892" s="37"/>
      <c r="V892" s="122"/>
      <c r="W892" s="122"/>
      <c r="X892" s="37"/>
      <c r="Y892" s="37"/>
      <c r="Z892" s="37"/>
    </row>
    <row r="893" spans="1:26" ht="13">
      <c r="A893" s="238"/>
      <c r="B893" s="292"/>
      <c r="C893" s="36"/>
      <c r="D893" s="290"/>
      <c r="E893" s="36"/>
      <c r="F893" s="36"/>
      <c r="G893" s="84"/>
      <c r="H893" s="36"/>
      <c r="I893" s="36"/>
      <c r="J893" s="293"/>
      <c r="K893" s="83"/>
      <c r="L893" s="293"/>
      <c r="M893" s="36"/>
      <c r="N893" s="36"/>
      <c r="O893" s="37"/>
      <c r="P893" s="37"/>
      <c r="Q893" s="237"/>
      <c r="R893" s="37"/>
      <c r="S893" s="37"/>
      <c r="T893" s="37"/>
      <c r="U893" s="37"/>
      <c r="V893" s="122"/>
      <c r="W893" s="122"/>
      <c r="X893" s="37"/>
      <c r="Y893" s="37"/>
      <c r="Z893" s="37"/>
    </row>
    <row r="894" spans="1:26" ht="13">
      <c r="A894" s="238"/>
      <c r="B894" s="292"/>
      <c r="C894" s="36"/>
      <c r="D894" s="290"/>
      <c r="E894" s="36"/>
      <c r="F894" s="36"/>
      <c r="G894" s="84"/>
      <c r="H894" s="36"/>
      <c r="I894" s="36"/>
      <c r="J894" s="293"/>
      <c r="K894" s="83"/>
      <c r="L894" s="293"/>
      <c r="M894" s="36"/>
      <c r="N894" s="36"/>
      <c r="O894" s="37"/>
      <c r="P894" s="37"/>
      <c r="Q894" s="237"/>
      <c r="R894" s="37"/>
      <c r="S894" s="37"/>
      <c r="T894" s="37"/>
      <c r="U894" s="37"/>
      <c r="V894" s="122"/>
      <c r="W894" s="122"/>
      <c r="X894" s="37"/>
      <c r="Y894" s="37"/>
      <c r="Z894" s="37"/>
    </row>
    <row r="895" spans="1:26" ht="13">
      <c r="A895" s="238"/>
      <c r="B895" s="292"/>
      <c r="C895" s="36"/>
      <c r="D895" s="290"/>
      <c r="E895" s="36"/>
      <c r="F895" s="36"/>
      <c r="G895" s="84"/>
      <c r="H895" s="36"/>
      <c r="I895" s="36"/>
      <c r="J895" s="293"/>
      <c r="K895" s="83"/>
      <c r="L895" s="293"/>
      <c r="M895" s="36"/>
      <c r="N895" s="36"/>
      <c r="O895" s="37"/>
      <c r="P895" s="37"/>
      <c r="Q895" s="237"/>
      <c r="R895" s="37"/>
      <c r="S895" s="37"/>
      <c r="T895" s="37"/>
      <c r="U895" s="37"/>
      <c r="V895" s="122"/>
      <c r="W895" s="122"/>
      <c r="X895" s="37"/>
      <c r="Y895" s="37"/>
      <c r="Z895" s="37"/>
    </row>
    <row r="896" spans="1:26" ht="13">
      <c r="A896" s="238"/>
      <c r="B896" s="292"/>
      <c r="C896" s="36"/>
      <c r="D896" s="290"/>
      <c r="E896" s="36"/>
      <c r="F896" s="36"/>
      <c r="G896" s="84"/>
      <c r="H896" s="36"/>
      <c r="I896" s="36"/>
      <c r="J896" s="293"/>
      <c r="K896" s="83"/>
      <c r="L896" s="293"/>
      <c r="M896" s="36"/>
      <c r="N896" s="36"/>
      <c r="O896" s="37"/>
      <c r="P896" s="37"/>
      <c r="Q896" s="237"/>
      <c r="R896" s="37"/>
      <c r="S896" s="37"/>
      <c r="T896" s="37"/>
      <c r="U896" s="37"/>
      <c r="V896" s="122"/>
      <c r="W896" s="122"/>
      <c r="X896" s="37"/>
      <c r="Y896" s="37"/>
      <c r="Z896" s="37"/>
    </row>
    <row r="897" spans="1:26" ht="13">
      <c r="A897" s="238"/>
      <c r="B897" s="292"/>
      <c r="C897" s="36"/>
      <c r="D897" s="290"/>
      <c r="E897" s="36"/>
      <c r="F897" s="36"/>
      <c r="G897" s="84"/>
      <c r="H897" s="36"/>
      <c r="I897" s="36"/>
      <c r="J897" s="293"/>
      <c r="K897" s="83"/>
      <c r="L897" s="293"/>
      <c r="M897" s="36"/>
      <c r="N897" s="36"/>
      <c r="O897" s="37"/>
      <c r="P897" s="37"/>
      <c r="Q897" s="237"/>
      <c r="R897" s="37"/>
      <c r="S897" s="37"/>
      <c r="T897" s="37"/>
      <c r="U897" s="37"/>
      <c r="V897" s="122"/>
      <c r="W897" s="122"/>
      <c r="X897" s="37"/>
      <c r="Y897" s="37"/>
      <c r="Z897" s="37"/>
    </row>
    <row r="898" spans="1:26" ht="13">
      <c r="A898" s="238"/>
      <c r="B898" s="292"/>
      <c r="C898" s="36"/>
      <c r="D898" s="290"/>
      <c r="E898" s="36"/>
      <c r="F898" s="36"/>
      <c r="G898" s="84"/>
      <c r="H898" s="36"/>
      <c r="I898" s="36"/>
      <c r="J898" s="293"/>
      <c r="K898" s="83"/>
      <c r="L898" s="293"/>
      <c r="M898" s="36"/>
      <c r="N898" s="36"/>
      <c r="O898" s="37"/>
      <c r="P898" s="37"/>
      <c r="Q898" s="237"/>
      <c r="R898" s="37"/>
      <c r="S898" s="37"/>
      <c r="T898" s="37"/>
      <c r="U898" s="37"/>
      <c r="V898" s="122"/>
      <c r="W898" s="122"/>
      <c r="X898" s="37"/>
      <c r="Y898" s="37"/>
      <c r="Z898" s="37"/>
    </row>
    <row r="899" spans="1:26" ht="13">
      <c r="A899" s="238"/>
      <c r="B899" s="292"/>
      <c r="C899" s="36"/>
      <c r="D899" s="290"/>
      <c r="E899" s="36"/>
      <c r="F899" s="36"/>
      <c r="G899" s="84"/>
      <c r="H899" s="36"/>
      <c r="I899" s="36"/>
      <c r="J899" s="293"/>
      <c r="K899" s="83"/>
      <c r="L899" s="293"/>
      <c r="M899" s="36"/>
      <c r="N899" s="36"/>
      <c r="O899" s="37"/>
      <c r="P899" s="37"/>
      <c r="Q899" s="237"/>
      <c r="R899" s="37"/>
      <c r="S899" s="37"/>
      <c r="T899" s="37"/>
      <c r="U899" s="37"/>
      <c r="V899" s="122"/>
      <c r="W899" s="122"/>
      <c r="X899" s="37"/>
      <c r="Y899" s="37"/>
      <c r="Z899" s="37"/>
    </row>
    <row r="900" spans="1:26" ht="13">
      <c r="A900" s="238"/>
      <c r="B900" s="292"/>
      <c r="C900" s="36"/>
      <c r="D900" s="290"/>
      <c r="E900" s="36"/>
      <c r="F900" s="36"/>
      <c r="G900" s="84"/>
      <c r="H900" s="36"/>
      <c r="I900" s="36"/>
      <c r="J900" s="293"/>
      <c r="K900" s="83"/>
      <c r="L900" s="293"/>
      <c r="M900" s="36"/>
      <c r="N900" s="36"/>
      <c r="O900" s="37"/>
      <c r="P900" s="37"/>
      <c r="Q900" s="237"/>
      <c r="R900" s="37"/>
      <c r="S900" s="37"/>
      <c r="T900" s="37"/>
      <c r="U900" s="37"/>
      <c r="V900" s="122"/>
      <c r="W900" s="122"/>
      <c r="X900" s="37"/>
      <c r="Y900" s="37"/>
      <c r="Z900" s="37"/>
    </row>
    <row r="901" spans="1:26" ht="13">
      <c r="A901" s="238"/>
      <c r="B901" s="292"/>
      <c r="C901" s="36"/>
      <c r="D901" s="290"/>
      <c r="E901" s="36"/>
      <c r="F901" s="36"/>
      <c r="G901" s="84"/>
      <c r="H901" s="36"/>
      <c r="I901" s="36"/>
      <c r="J901" s="293"/>
      <c r="K901" s="83"/>
      <c r="L901" s="293"/>
      <c r="M901" s="36"/>
      <c r="N901" s="36"/>
      <c r="O901" s="37"/>
      <c r="P901" s="37"/>
      <c r="Q901" s="237"/>
      <c r="R901" s="37"/>
      <c r="S901" s="37"/>
      <c r="T901" s="37"/>
      <c r="U901" s="37"/>
      <c r="V901" s="122"/>
      <c r="W901" s="122"/>
      <c r="X901" s="37"/>
      <c r="Y901" s="37"/>
      <c r="Z901" s="37"/>
    </row>
    <row r="902" spans="1:26" ht="13">
      <c r="A902" s="238"/>
      <c r="B902" s="292"/>
      <c r="C902" s="36"/>
      <c r="D902" s="290"/>
      <c r="E902" s="36"/>
      <c r="F902" s="36"/>
      <c r="G902" s="84"/>
      <c r="H902" s="36"/>
      <c r="I902" s="36"/>
      <c r="J902" s="293"/>
      <c r="K902" s="83"/>
      <c r="L902" s="293"/>
      <c r="M902" s="36"/>
      <c r="N902" s="36"/>
      <c r="O902" s="37"/>
      <c r="P902" s="37"/>
      <c r="Q902" s="237"/>
      <c r="R902" s="37"/>
      <c r="S902" s="37"/>
      <c r="T902" s="37"/>
      <c r="U902" s="37"/>
      <c r="V902" s="122"/>
      <c r="W902" s="122"/>
      <c r="X902" s="37"/>
      <c r="Y902" s="37"/>
      <c r="Z902" s="37"/>
    </row>
    <row r="903" spans="1:26" ht="13">
      <c r="A903" s="238"/>
      <c r="B903" s="292"/>
      <c r="C903" s="36"/>
      <c r="D903" s="290"/>
      <c r="E903" s="36"/>
      <c r="F903" s="36"/>
      <c r="G903" s="84"/>
      <c r="H903" s="36"/>
      <c r="I903" s="36"/>
      <c r="J903" s="293"/>
      <c r="K903" s="83"/>
      <c r="L903" s="293"/>
      <c r="M903" s="36"/>
      <c r="N903" s="36"/>
      <c r="O903" s="37"/>
      <c r="P903" s="37"/>
      <c r="Q903" s="237"/>
      <c r="R903" s="37"/>
      <c r="S903" s="37"/>
      <c r="T903" s="37"/>
      <c r="U903" s="37"/>
      <c r="V903" s="122"/>
      <c r="W903" s="122"/>
      <c r="X903" s="37"/>
      <c r="Y903" s="37"/>
      <c r="Z903" s="37"/>
    </row>
    <row r="904" spans="1:26" ht="13">
      <c r="A904" s="238"/>
      <c r="B904" s="292"/>
      <c r="C904" s="36"/>
      <c r="D904" s="290"/>
      <c r="E904" s="36"/>
      <c r="F904" s="36"/>
      <c r="G904" s="84"/>
      <c r="H904" s="36"/>
      <c r="I904" s="36"/>
      <c r="J904" s="293"/>
      <c r="K904" s="83"/>
      <c r="L904" s="293"/>
      <c r="M904" s="36"/>
      <c r="N904" s="36"/>
      <c r="O904" s="37"/>
      <c r="P904" s="37"/>
      <c r="Q904" s="237"/>
      <c r="R904" s="37"/>
      <c r="S904" s="37"/>
      <c r="T904" s="37"/>
      <c r="U904" s="37"/>
      <c r="V904" s="122"/>
      <c r="W904" s="122"/>
      <c r="X904" s="37"/>
      <c r="Y904" s="37"/>
      <c r="Z904" s="37"/>
    </row>
    <row r="905" spans="1:26" ht="13">
      <c r="A905" s="238"/>
      <c r="B905" s="292"/>
      <c r="C905" s="36"/>
      <c r="D905" s="290"/>
      <c r="E905" s="36"/>
      <c r="F905" s="36"/>
      <c r="G905" s="84"/>
      <c r="H905" s="36"/>
      <c r="I905" s="36"/>
      <c r="J905" s="293"/>
      <c r="K905" s="83"/>
      <c r="L905" s="293"/>
      <c r="M905" s="36"/>
      <c r="N905" s="36"/>
      <c r="O905" s="37"/>
      <c r="P905" s="37"/>
      <c r="Q905" s="237"/>
      <c r="R905" s="37"/>
      <c r="S905" s="37"/>
      <c r="T905" s="37"/>
      <c r="U905" s="37"/>
      <c r="V905" s="122"/>
      <c r="W905" s="122"/>
      <c r="X905" s="37"/>
      <c r="Y905" s="37"/>
      <c r="Z905" s="37"/>
    </row>
    <row r="906" spans="1:26" ht="13">
      <c r="A906" s="238"/>
      <c r="B906" s="292"/>
      <c r="C906" s="36"/>
      <c r="D906" s="290"/>
      <c r="E906" s="36"/>
      <c r="F906" s="36"/>
      <c r="G906" s="84"/>
      <c r="H906" s="36"/>
      <c r="I906" s="36"/>
      <c r="J906" s="293"/>
      <c r="K906" s="83"/>
      <c r="L906" s="293"/>
      <c r="M906" s="36"/>
      <c r="N906" s="36"/>
      <c r="O906" s="37"/>
      <c r="P906" s="37"/>
      <c r="Q906" s="237"/>
      <c r="R906" s="37"/>
      <c r="S906" s="37"/>
      <c r="T906" s="37"/>
      <c r="U906" s="37"/>
      <c r="V906" s="122"/>
      <c r="W906" s="122"/>
      <c r="X906" s="37"/>
      <c r="Y906" s="37"/>
      <c r="Z906" s="37"/>
    </row>
    <row r="907" spans="1:26" ht="13">
      <c r="A907" s="238"/>
      <c r="B907" s="292"/>
      <c r="C907" s="36"/>
      <c r="D907" s="290"/>
      <c r="E907" s="36"/>
      <c r="F907" s="36"/>
      <c r="G907" s="84"/>
      <c r="H907" s="36"/>
      <c r="I907" s="36"/>
      <c r="J907" s="293"/>
      <c r="K907" s="83"/>
      <c r="L907" s="293"/>
      <c r="M907" s="36"/>
      <c r="N907" s="36"/>
      <c r="O907" s="37"/>
      <c r="P907" s="37"/>
      <c r="Q907" s="237"/>
      <c r="R907" s="37"/>
      <c r="S907" s="37"/>
      <c r="T907" s="37"/>
      <c r="U907" s="37"/>
      <c r="V907" s="122"/>
      <c r="W907" s="122"/>
      <c r="X907" s="37"/>
      <c r="Y907" s="37"/>
      <c r="Z907" s="37"/>
    </row>
    <row r="908" spans="1:26" ht="13">
      <c r="A908" s="238"/>
      <c r="B908" s="292"/>
      <c r="C908" s="36"/>
      <c r="D908" s="290"/>
      <c r="E908" s="36"/>
      <c r="F908" s="36"/>
      <c r="G908" s="84"/>
      <c r="H908" s="36"/>
      <c r="I908" s="36"/>
      <c r="J908" s="293"/>
      <c r="K908" s="83"/>
      <c r="L908" s="293"/>
      <c r="M908" s="36"/>
      <c r="N908" s="36"/>
      <c r="O908" s="37"/>
      <c r="P908" s="37"/>
      <c r="Q908" s="237"/>
      <c r="R908" s="37"/>
      <c r="S908" s="37"/>
      <c r="T908" s="37"/>
      <c r="U908" s="37"/>
      <c r="V908" s="122"/>
      <c r="W908" s="122"/>
      <c r="X908" s="37"/>
      <c r="Y908" s="37"/>
      <c r="Z908" s="37"/>
    </row>
    <row r="909" spans="1:26" ht="13">
      <c r="A909" s="238"/>
      <c r="B909" s="292"/>
      <c r="C909" s="36"/>
      <c r="D909" s="290"/>
      <c r="E909" s="36"/>
      <c r="F909" s="36"/>
      <c r="G909" s="84"/>
      <c r="H909" s="36"/>
      <c r="I909" s="36"/>
      <c r="J909" s="293"/>
      <c r="K909" s="83"/>
      <c r="L909" s="293"/>
      <c r="M909" s="36"/>
      <c r="N909" s="36"/>
      <c r="O909" s="37"/>
      <c r="P909" s="37"/>
      <c r="Q909" s="237"/>
      <c r="R909" s="37"/>
      <c r="S909" s="37"/>
      <c r="T909" s="37"/>
      <c r="U909" s="37"/>
      <c r="V909" s="122"/>
      <c r="W909" s="122"/>
      <c r="X909" s="37"/>
      <c r="Y909" s="37"/>
      <c r="Z909" s="37"/>
    </row>
    <row r="910" spans="1:26" ht="13">
      <c r="A910" s="238"/>
      <c r="B910" s="292"/>
      <c r="C910" s="36"/>
      <c r="D910" s="290"/>
      <c r="E910" s="36"/>
      <c r="F910" s="36"/>
      <c r="G910" s="84"/>
      <c r="H910" s="36"/>
      <c r="I910" s="36"/>
      <c r="J910" s="293"/>
      <c r="K910" s="83"/>
      <c r="L910" s="293"/>
      <c r="M910" s="36"/>
      <c r="N910" s="36"/>
      <c r="O910" s="37"/>
      <c r="P910" s="37"/>
      <c r="Q910" s="237"/>
      <c r="R910" s="37"/>
      <c r="S910" s="37"/>
      <c r="T910" s="37"/>
      <c r="U910" s="37"/>
      <c r="V910" s="122"/>
      <c r="W910" s="122"/>
      <c r="X910" s="37"/>
      <c r="Y910" s="37"/>
      <c r="Z910" s="37"/>
    </row>
    <row r="911" spans="1:26" ht="13">
      <c r="A911" s="238"/>
      <c r="B911" s="292"/>
      <c r="C911" s="36"/>
      <c r="D911" s="290"/>
      <c r="E911" s="36"/>
      <c r="F911" s="36"/>
      <c r="G911" s="84"/>
      <c r="H911" s="36"/>
      <c r="I911" s="36"/>
      <c r="J911" s="293"/>
      <c r="K911" s="83"/>
      <c r="L911" s="293"/>
      <c r="M911" s="36"/>
      <c r="N911" s="36"/>
      <c r="O911" s="37"/>
      <c r="P911" s="37"/>
      <c r="Q911" s="237"/>
      <c r="R911" s="37"/>
      <c r="S911" s="37"/>
      <c r="T911" s="37"/>
      <c r="U911" s="37"/>
      <c r="V911" s="122"/>
      <c r="W911" s="122"/>
      <c r="X911" s="37"/>
      <c r="Y911" s="37"/>
      <c r="Z911" s="37"/>
    </row>
    <row r="912" spans="1:26" ht="13">
      <c r="A912" s="238"/>
      <c r="B912" s="292"/>
      <c r="C912" s="36"/>
      <c r="D912" s="290"/>
      <c r="E912" s="36"/>
      <c r="F912" s="36"/>
      <c r="G912" s="84"/>
      <c r="H912" s="36"/>
      <c r="I912" s="36"/>
      <c r="J912" s="293"/>
      <c r="K912" s="83"/>
      <c r="L912" s="293"/>
      <c r="M912" s="36"/>
      <c r="N912" s="36"/>
      <c r="O912" s="37"/>
      <c r="P912" s="37"/>
      <c r="Q912" s="237"/>
      <c r="R912" s="37"/>
      <c r="S912" s="37"/>
      <c r="T912" s="37"/>
      <c r="U912" s="37"/>
      <c r="V912" s="122"/>
      <c r="W912" s="122"/>
      <c r="X912" s="37"/>
      <c r="Y912" s="37"/>
      <c r="Z912" s="37"/>
    </row>
    <row r="913" spans="1:26" ht="13">
      <c r="A913" s="238"/>
      <c r="B913" s="292"/>
      <c r="C913" s="36"/>
      <c r="D913" s="290"/>
      <c r="E913" s="36"/>
      <c r="F913" s="36"/>
      <c r="G913" s="84"/>
      <c r="H913" s="36"/>
      <c r="I913" s="36"/>
      <c r="J913" s="293"/>
      <c r="K913" s="83"/>
      <c r="L913" s="293"/>
      <c r="M913" s="36"/>
      <c r="N913" s="36"/>
      <c r="O913" s="37"/>
      <c r="P913" s="37"/>
      <c r="Q913" s="237"/>
      <c r="R913" s="37"/>
      <c r="S913" s="37"/>
      <c r="T913" s="37"/>
      <c r="U913" s="37"/>
      <c r="V913" s="122"/>
      <c r="W913" s="122"/>
      <c r="X913" s="37"/>
      <c r="Y913" s="37"/>
      <c r="Z913" s="37"/>
    </row>
    <row r="914" spans="1:26" ht="13">
      <c r="A914" s="238"/>
      <c r="B914" s="292"/>
      <c r="C914" s="36"/>
      <c r="D914" s="290"/>
      <c r="E914" s="36"/>
      <c r="F914" s="36"/>
      <c r="G914" s="84"/>
      <c r="H914" s="36"/>
      <c r="I914" s="36"/>
      <c r="J914" s="293"/>
      <c r="K914" s="83"/>
      <c r="L914" s="293"/>
      <c r="M914" s="36"/>
      <c r="N914" s="36"/>
      <c r="O914" s="37"/>
      <c r="P914" s="37"/>
      <c r="Q914" s="237"/>
      <c r="R914" s="37"/>
      <c r="S914" s="37"/>
      <c r="T914" s="37"/>
      <c r="U914" s="37"/>
      <c r="V914" s="122"/>
      <c r="W914" s="122"/>
      <c r="X914" s="37"/>
      <c r="Y914" s="37"/>
      <c r="Z914" s="37"/>
    </row>
    <row r="915" spans="1:26" ht="13">
      <c r="A915" s="238"/>
      <c r="B915" s="292"/>
      <c r="C915" s="36"/>
      <c r="D915" s="290"/>
      <c r="E915" s="36"/>
      <c r="F915" s="36"/>
      <c r="G915" s="84"/>
      <c r="H915" s="36"/>
      <c r="I915" s="36"/>
      <c r="J915" s="293"/>
      <c r="K915" s="83"/>
      <c r="L915" s="293"/>
      <c r="M915" s="36"/>
      <c r="N915" s="36"/>
      <c r="O915" s="37"/>
      <c r="P915" s="37"/>
      <c r="Q915" s="237"/>
      <c r="R915" s="37"/>
      <c r="S915" s="37"/>
      <c r="T915" s="37"/>
      <c r="U915" s="37"/>
      <c r="V915" s="122"/>
      <c r="W915" s="122"/>
      <c r="X915" s="37"/>
      <c r="Y915" s="37"/>
      <c r="Z915" s="37"/>
    </row>
    <row r="916" spans="1:26" ht="13">
      <c r="A916" s="238"/>
      <c r="B916" s="292"/>
      <c r="C916" s="36"/>
      <c r="D916" s="290"/>
      <c r="E916" s="36"/>
      <c r="F916" s="36"/>
      <c r="G916" s="84"/>
      <c r="H916" s="36"/>
      <c r="I916" s="36"/>
      <c r="J916" s="293"/>
      <c r="K916" s="83"/>
      <c r="L916" s="293"/>
      <c r="M916" s="36"/>
      <c r="N916" s="36"/>
      <c r="O916" s="37"/>
      <c r="P916" s="37"/>
      <c r="Q916" s="237"/>
      <c r="R916" s="37"/>
      <c r="S916" s="37"/>
      <c r="T916" s="37"/>
      <c r="U916" s="37"/>
      <c r="V916" s="122"/>
      <c r="W916" s="122"/>
      <c r="X916" s="37"/>
      <c r="Y916" s="37"/>
      <c r="Z916" s="37"/>
    </row>
    <row r="917" spans="1:26" ht="13">
      <c r="A917" s="238"/>
      <c r="B917" s="292"/>
      <c r="C917" s="36"/>
      <c r="D917" s="290"/>
      <c r="E917" s="36"/>
      <c r="F917" s="36"/>
      <c r="G917" s="84"/>
      <c r="H917" s="36"/>
      <c r="I917" s="36"/>
      <c r="J917" s="293"/>
      <c r="K917" s="83"/>
      <c r="L917" s="293"/>
      <c r="M917" s="36"/>
      <c r="N917" s="36"/>
      <c r="O917" s="37"/>
      <c r="P917" s="37"/>
      <c r="Q917" s="237"/>
      <c r="R917" s="37"/>
      <c r="S917" s="37"/>
      <c r="T917" s="37"/>
      <c r="U917" s="37"/>
      <c r="V917" s="122"/>
      <c r="W917" s="122"/>
      <c r="X917" s="37"/>
      <c r="Y917" s="37"/>
      <c r="Z917" s="37"/>
    </row>
    <row r="918" spans="1:26" ht="13">
      <c r="A918" s="238"/>
      <c r="B918" s="292"/>
      <c r="C918" s="36"/>
      <c r="D918" s="290"/>
      <c r="E918" s="36"/>
      <c r="F918" s="36"/>
      <c r="G918" s="84"/>
      <c r="H918" s="36"/>
      <c r="I918" s="36"/>
      <c r="J918" s="293"/>
      <c r="K918" s="83"/>
      <c r="L918" s="293"/>
      <c r="M918" s="36"/>
      <c r="N918" s="36"/>
      <c r="O918" s="37"/>
      <c r="P918" s="37"/>
      <c r="Q918" s="237"/>
      <c r="R918" s="37"/>
      <c r="S918" s="37"/>
      <c r="T918" s="37"/>
      <c r="U918" s="37"/>
      <c r="V918" s="122"/>
      <c r="W918" s="122"/>
      <c r="X918" s="37"/>
      <c r="Y918" s="37"/>
      <c r="Z918" s="37"/>
    </row>
    <row r="919" spans="1:26" ht="13">
      <c r="A919" s="238"/>
      <c r="B919" s="292"/>
      <c r="C919" s="36"/>
      <c r="D919" s="290"/>
      <c r="E919" s="36"/>
      <c r="F919" s="36"/>
      <c r="G919" s="84"/>
      <c r="H919" s="36"/>
      <c r="I919" s="36"/>
      <c r="J919" s="293"/>
      <c r="K919" s="83"/>
      <c r="L919" s="293"/>
      <c r="M919" s="36"/>
      <c r="N919" s="36"/>
      <c r="O919" s="37"/>
      <c r="P919" s="37"/>
      <c r="Q919" s="237"/>
      <c r="R919" s="37"/>
      <c r="S919" s="37"/>
      <c r="T919" s="37"/>
      <c r="U919" s="37"/>
      <c r="V919" s="122"/>
      <c r="W919" s="122"/>
      <c r="X919" s="37"/>
      <c r="Y919" s="37"/>
      <c r="Z919" s="37"/>
    </row>
    <row r="920" spans="1:26" ht="13">
      <c r="A920" s="238"/>
      <c r="B920" s="292"/>
      <c r="C920" s="36"/>
      <c r="D920" s="290"/>
      <c r="E920" s="36"/>
      <c r="F920" s="36"/>
      <c r="G920" s="84"/>
      <c r="H920" s="36"/>
      <c r="I920" s="36"/>
      <c r="J920" s="293"/>
      <c r="K920" s="83"/>
      <c r="L920" s="293"/>
      <c r="M920" s="36"/>
      <c r="N920" s="36"/>
      <c r="O920" s="37"/>
      <c r="P920" s="37"/>
      <c r="Q920" s="237"/>
      <c r="R920" s="37"/>
      <c r="S920" s="37"/>
      <c r="T920" s="37"/>
      <c r="U920" s="37"/>
      <c r="V920" s="122"/>
      <c r="W920" s="122"/>
      <c r="X920" s="37"/>
      <c r="Y920" s="37"/>
      <c r="Z920" s="37"/>
    </row>
    <row r="921" spans="1:26" ht="13">
      <c r="A921" s="238"/>
      <c r="B921" s="292"/>
      <c r="C921" s="36"/>
      <c r="D921" s="290"/>
      <c r="E921" s="36"/>
      <c r="F921" s="36"/>
      <c r="G921" s="84"/>
      <c r="H921" s="36"/>
      <c r="I921" s="36"/>
      <c r="J921" s="293"/>
      <c r="K921" s="83"/>
      <c r="L921" s="293"/>
      <c r="M921" s="36"/>
      <c r="N921" s="36"/>
      <c r="O921" s="37"/>
      <c r="P921" s="37"/>
      <c r="Q921" s="237"/>
      <c r="R921" s="37"/>
      <c r="S921" s="37"/>
      <c r="T921" s="37"/>
      <c r="U921" s="37"/>
      <c r="V921" s="122"/>
      <c r="W921" s="122"/>
      <c r="X921" s="37"/>
      <c r="Y921" s="37"/>
      <c r="Z921" s="37"/>
    </row>
    <row r="922" spans="1:26" ht="13">
      <c r="A922" s="238"/>
      <c r="B922" s="292"/>
      <c r="C922" s="36"/>
      <c r="D922" s="290"/>
      <c r="E922" s="36"/>
      <c r="F922" s="36"/>
      <c r="G922" s="84"/>
      <c r="H922" s="36"/>
      <c r="I922" s="36"/>
      <c r="J922" s="293"/>
      <c r="K922" s="83"/>
      <c r="L922" s="293"/>
      <c r="M922" s="36"/>
      <c r="N922" s="36"/>
      <c r="O922" s="37"/>
      <c r="P922" s="37"/>
      <c r="Q922" s="237"/>
      <c r="R922" s="37"/>
      <c r="S922" s="37"/>
      <c r="T922" s="37"/>
      <c r="U922" s="37"/>
      <c r="V922" s="122"/>
      <c r="W922" s="122"/>
      <c r="X922" s="37"/>
      <c r="Y922" s="37"/>
      <c r="Z922" s="37"/>
    </row>
    <row r="923" spans="1:26" ht="13">
      <c r="A923" s="238"/>
      <c r="B923" s="292"/>
      <c r="C923" s="36"/>
      <c r="D923" s="290"/>
      <c r="E923" s="36"/>
      <c r="F923" s="36"/>
      <c r="G923" s="84"/>
      <c r="H923" s="36"/>
      <c r="I923" s="36"/>
      <c r="J923" s="293"/>
      <c r="K923" s="83"/>
      <c r="L923" s="293"/>
      <c r="M923" s="36"/>
      <c r="N923" s="36"/>
      <c r="O923" s="37"/>
      <c r="P923" s="37"/>
      <c r="Q923" s="237"/>
      <c r="R923" s="37"/>
      <c r="S923" s="37"/>
      <c r="T923" s="37"/>
      <c r="U923" s="37"/>
      <c r="V923" s="122"/>
      <c r="W923" s="122"/>
      <c r="X923" s="37"/>
      <c r="Y923" s="37"/>
      <c r="Z923" s="37"/>
    </row>
    <row r="924" spans="1:26" ht="13">
      <c r="A924" s="238"/>
      <c r="B924" s="292"/>
      <c r="C924" s="36"/>
      <c r="D924" s="290"/>
      <c r="E924" s="36"/>
      <c r="F924" s="36"/>
      <c r="G924" s="84"/>
      <c r="H924" s="36"/>
      <c r="I924" s="36"/>
      <c r="J924" s="293"/>
      <c r="K924" s="83"/>
      <c r="L924" s="293"/>
      <c r="M924" s="36"/>
      <c r="N924" s="36"/>
      <c r="O924" s="37"/>
      <c r="P924" s="37"/>
      <c r="Q924" s="237"/>
      <c r="R924" s="37"/>
      <c r="S924" s="37"/>
      <c r="T924" s="37"/>
      <c r="U924" s="37"/>
      <c r="V924" s="122"/>
      <c r="W924" s="122"/>
      <c r="X924" s="37"/>
      <c r="Y924" s="37"/>
      <c r="Z924" s="37"/>
    </row>
    <row r="925" spans="1:26" ht="13">
      <c r="A925" s="238"/>
      <c r="B925" s="292"/>
      <c r="C925" s="36"/>
      <c r="D925" s="290"/>
      <c r="E925" s="36"/>
      <c r="F925" s="36"/>
      <c r="G925" s="84"/>
      <c r="H925" s="36"/>
      <c r="I925" s="36"/>
      <c r="J925" s="293"/>
      <c r="K925" s="83"/>
      <c r="L925" s="293"/>
      <c r="M925" s="36"/>
      <c r="N925" s="36"/>
      <c r="O925" s="37"/>
      <c r="P925" s="37"/>
      <c r="Q925" s="237"/>
      <c r="R925" s="37"/>
      <c r="S925" s="37"/>
      <c r="T925" s="37"/>
      <c r="U925" s="37"/>
      <c r="V925" s="122"/>
      <c r="W925" s="122"/>
      <c r="X925" s="37"/>
      <c r="Y925" s="37"/>
      <c r="Z925" s="37"/>
    </row>
    <row r="926" spans="1:26" ht="13">
      <c r="A926" s="238"/>
      <c r="B926" s="292"/>
      <c r="C926" s="36"/>
      <c r="D926" s="290"/>
      <c r="E926" s="36"/>
      <c r="F926" s="36"/>
      <c r="G926" s="84"/>
      <c r="H926" s="36"/>
      <c r="I926" s="36"/>
      <c r="J926" s="293"/>
      <c r="K926" s="83"/>
      <c r="L926" s="293"/>
      <c r="M926" s="36"/>
      <c r="N926" s="36"/>
      <c r="O926" s="37"/>
      <c r="P926" s="37"/>
      <c r="Q926" s="237"/>
      <c r="R926" s="37"/>
      <c r="S926" s="37"/>
      <c r="T926" s="37"/>
      <c r="U926" s="37"/>
      <c r="V926" s="122"/>
      <c r="W926" s="122"/>
      <c r="X926" s="37"/>
      <c r="Y926" s="37"/>
      <c r="Z926" s="37"/>
    </row>
    <row r="927" spans="1:26" ht="13">
      <c r="A927" s="238"/>
      <c r="B927" s="292"/>
      <c r="C927" s="36"/>
      <c r="D927" s="290"/>
      <c r="E927" s="36"/>
      <c r="F927" s="36"/>
      <c r="G927" s="84"/>
      <c r="H927" s="36"/>
      <c r="I927" s="36"/>
      <c r="J927" s="293"/>
      <c r="K927" s="83"/>
      <c r="L927" s="293"/>
      <c r="M927" s="36"/>
      <c r="N927" s="36"/>
      <c r="O927" s="37"/>
      <c r="P927" s="37"/>
      <c r="Q927" s="237"/>
      <c r="R927" s="37"/>
      <c r="S927" s="37"/>
      <c r="T927" s="37"/>
      <c r="U927" s="37"/>
      <c r="V927" s="122"/>
      <c r="W927" s="122"/>
      <c r="X927" s="37"/>
      <c r="Y927" s="37"/>
      <c r="Z927" s="37"/>
    </row>
    <row r="928" spans="1:26" ht="13">
      <c r="A928" s="238"/>
      <c r="B928" s="292"/>
      <c r="C928" s="36"/>
      <c r="D928" s="290"/>
      <c r="E928" s="36"/>
      <c r="F928" s="36"/>
      <c r="G928" s="84"/>
      <c r="H928" s="36"/>
      <c r="I928" s="36"/>
      <c r="J928" s="293"/>
      <c r="K928" s="83"/>
      <c r="L928" s="293"/>
      <c r="M928" s="36"/>
      <c r="N928" s="36"/>
      <c r="O928" s="37"/>
      <c r="P928" s="37"/>
      <c r="Q928" s="237"/>
      <c r="R928" s="37"/>
      <c r="S928" s="37"/>
      <c r="T928" s="37"/>
      <c r="U928" s="37"/>
      <c r="V928" s="122"/>
      <c r="W928" s="122"/>
      <c r="X928" s="37"/>
      <c r="Y928" s="37"/>
      <c r="Z928" s="37"/>
    </row>
    <row r="929" spans="1:26" ht="13">
      <c r="A929" s="238"/>
      <c r="B929" s="292"/>
      <c r="C929" s="36"/>
      <c r="D929" s="290"/>
      <c r="E929" s="36"/>
      <c r="F929" s="36"/>
      <c r="G929" s="84"/>
      <c r="H929" s="36"/>
      <c r="I929" s="36"/>
      <c r="J929" s="293"/>
      <c r="K929" s="83"/>
      <c r="L929" s="293"/>
      <c r="M929" s="36"/>
      <c r="N929" s="36"/>
      <c r="O929" s="37"/>
      <c r="P929" s="37"/>
      <c r="Q929" s="237"/>
      <c r="R929" s="37"/>
      <c r="S929" s="37"/>
      <c r="T929" s="37"/>
      <c r="U929" s="37"/>
      <c r="V929" s="122"/>
      <c r="W929" s="122"/>
      <c r="X929" s="37"/>
      <c r="Y929" s="37"/>
      <c r="Z929" s="37"/>
    </row>
    <row r="930" spans="1:26" ht="13">
      <c r="A930" s="238"/>
      <c r="B930" s="292"/>
      <c r="C930" s="36"/>
      <c r="D930" s="290"/>
      <c r="E930" s="36"/>
      <c r="F930" s="36"/>
      <c r="G930" s="84"/>
      <c r="H930" s="36"/>
      <c r="I930" s="36"/>
      <c r="J930" s="293"/>
      <c r="K930" s="83"/>
      <c r="L930" s="293"/>
      <c r="M930" s="36"/>
      <c r="N930" s="36"/>
      <c r="O930" s="37"/>
      <c r="P930" s="37"/>
      <c r="Q930" s="237"/>
      <c r="R930" s="37"/>
      <c r="S930" s="37"/>
      <c r="T930" s="37"/>
      <c r="U930" s="37"/>
      <c r="V930" s="122"/>
      <c r="W930" s="122"/>
      <c r="X930" s="37"/>
      <c r="Y930" s="37"/>
      <c r="Z930" s="37"/>
    </row>
    <row r="931" spans="1:26" ht="13">
      <c r="A931" s="238"/>
      <c r="B931" s="292"/>
      <c r="C931" s="36"/>
      <c r="D931" s="290"/>
      <c r="E931" s="36"/>
      <c r="F931" s="36"/>
      <c r="G931" s="84"/>
      <c r="H931" s="36"/>
      <c r="I931" s="36"/>
      <c r="J931" s="293"/>
      <c r="K931" s="83"/>
      <c r="L931" s="293"/>
      <c r="M931" s="36"/>
      <c r="N931" s="36"/>
      <c r="O931" s="37"/>
      <c r="P931" s="37"/>
      <c r="Q931" s="237"/>
      <c r="R931" s="37"/>
      <c r="S931" s="37"/>
      <c r="T931" s="37"/>
      <c r="U931" s="37"/>
      <c r="V931" s="122"/>
      <c r="W931" s="122"/>
      <c r="X931" s="37"/>
      <c r="Y931" s="37"/>
      <c r="Z931" s="37"/>
    </row>
    <row r="932" spans="1:26" ht="13">
      <c r="A932" s="238"/>
      <c r="B932" s="292"/>
      <c r="C932" s="36"/>
      <c r="D932" s="290"/>
      <c r="E932" s="36"/>
      <c r="F932" s="36"/>
      <c r="G932" s="84"/>
      <c r="H932" s="36"/>
      <c r="I932" s="36"/>
      <c r="J932" s="293"/>
      <c r="K932" s="83"/>
      <c r="L932" s="293"/>
      <c r="M932" s="36"/>
      <c r="N932" s="36"/>
      <c r="O932" s="37"/>
      <c r="P932" s="37"/>
      <c r="Q932" s="237"/>
      <c r="R932" s="37"/>
      <c r="S932" s="37"/>
      <c r="T932" s="37"/>
      <c r="U932" s="37"/>
      <c r="V932" s="122"/>
      <c r="W932" s="122"/>
      <c r="X932" s="37"/>
      <c r="Y932" s="37"/>
      <c r="Z932" s="37"/>
    </row>
    <row r="933" spans="1:26" ht="13">
      <c r="A933" s="238"/>
      <c r="B933" s="292"/>
      <c r="C933" s="36"/>
      <c r="D933" s="290"/>
      <c r="E933" s="36"/>
      <c r="F933" s="36"/>
      <c r="G933" s="84"/>
      <c r="H933" s="36"/>
      <c r="I933" s="36"/>
      <c r="J933" s="293"/>
      <c r="K933" s="83"/>
      <c r="L933" s="293"/>
      <c r="M933" s="36"/>
      <c r="N933" s="36"/>
      <c r="O933" s="37"/>
      <c r="P933" s="37"/>
      <c r="Q933" s="237"/>
      <c r="R933" s="37"/>
      <c r="S933" s="37"/>
      <c r="T933" s="37"/>
      <c r="U933" s="37"/>
      <c r="V933" s="122"/>
      <c r="W933" s="122"/>
      <c r="X933" s="37"/>
      <c r="Y933" s="37"/>
      <c r="Z933" s="37"/>
    </row>
    <row r="934" spans="1:26" ht="13">
      <c r="A934" s="238"/>
      <c r="B934" s="292"/>
      <c r="C934" s="36"/>
      <c r="D934" s="290"/>
      <c r="E934" s="36"/>
      <c r="F934" s="36"/>
      <c r="G934" s="84"/>
      <c r="H934" s="36"/>
      <c r="I934" s="36"/>
      <c r="J934" s="293"/>
      <c r="K934" s="83"/>
      <c r="L934" s="293"/>
      <c r="M934" s="36"/>
      <c r="N934" s="36"/>
      <c r="O934" s="37"/>
      <c r="P934" s="37"/>
      <c r="Q934" s="237"/>
      <c r="R934" s="37"/>
      <c r="S934" s="37"/>
      <c r="T934" s="37"/>
      <c r="U934" s="37"/>
      <c r="V934" s="122"/>
      <c r="W934" s="122"/>
      <c r="X934" s="37"/>
      <c r="Y934" s="37"/>
      <c r="Z934" s="37"/>
    </row>
    <row r="935" spans="1:26" ht="13">
      <c r="A935" s="238"/>
      <c r="B935" s="292"/>
      <c r="C935" s="36"/>
      <c r="D935" s="290"/>
      <c r="E935" s="36"/>
      <c r="F935" s="36"/>
      <c r="G935" s="84"/>
      <c r="H935" s="36"/>
      <c r="I935" s="36"/>
      <c r="J935" s="293"/>
      <c r="K935" s="83"/>
      <c r="L935" s="293"/>
      <c r="M935" s="36"/>
      <c r="N935" s="36"/>
      <c r="O935" s="37"/>
      <c r="P935" s="37"/>
      <c r="Q935" s="237"/>
      <c r="R935" s="37"/>
      <c r="S935" s="37"/>
      <c r="T935" s="37"/>
      <c r="U935" s="37"/>
      <c r="V935" s="122"/>
      <c r="W935" s="122"/>
      <c r="X935" s="37"/>
      <c r="Y935" s="37"/>
      <c r="Z935" s="37"/>
    </row>
    <row r="936" spans="1:26" ht="13">
      <c r="A936" s="238"/>
      <c r="B936" s="292"/>
      <c r="C936" s="36"/>
      <c r="D936" s="290"/>
      <c r="E936" s="36"/>
      <c r="F936" s="36"/>
      <c r="G936" s="84"/>
      <c r="H936" s="36"/>
      <c r="I936" s="36"/>
      <c r="J936" s="293"/>
      <c r="K936" s="83"/>
      <c r="L936" s="293"/>
      <c r="M936" s="36"/>
      <c r="N936" s="36"/>
      <c r="O936" s="37"/>
      <c r="P936" s="37"/>
      <c r="Q936" s="237"/>
      <c r="R936" s="37"/>
      <c r="S936" s="37"/>
      <c r="T936" s="37"/>
      <c r="U936" s="37"/>
      <c r="V936" s="122"/>
      <c r="W936" s="122"/>
      <c r="X936" s="37"/>
      <c r="Y936" s="37"/>
      <c r="Z936" s="37"/>
    </row>
    <row r="937" spans="1:26" ht="13">
      <c r="A937" s="238"/>
      <c r="B937" s="292"/>
      <c r="C937" s="36"/>
      <c r="D937" s="290"/>
      <c r="E937" s="36"/>
      <c r="F937" s="36"/>
      <c r="G937" s="84"/>
      <c r="H937" s="36"/>
      <c r="I937" s="36"/>
      <c r="J937" s="293"/>
      <c r="K937" s="83"/>
      <c r="L937" s="293"/>
      <c r="M937" s="36"/>
      <c r="N937" s="36"/>
      <c r="O937" s="37"/>
      <c r="P937" s="37"/>
      <c r="Q937" s="237"/>
      <c r="R937" s="37"/>
      <c r="S937" s="37"/>
      <c r="T937" s="37"/>
      <c r="U937" s="37"/>
      <c r="V937" s="122"/>
      <c r="W937" s="122"/>
      <c r="X937" s="37"/>
      <c r="Y937" s="37"/>
      <c r="Z937" s="37"/>
    </row>
    <row r="938" spans="1:26" ht="13">
      <c r="A938" s="238"/>
      <c r="B938" s="292"/>
      <c r="C938" s="36"/>
      <c r="D938" s="290"/>
      <c r="E938" s="36"/>
      <c r="F938" s="36"/>
      <c r="G938" s="84"/>
      <c r="H938" s="36"/>
      <c r="I938" s="36"/>
      <c r="J938" s="293"/>
      <c r="K938" s="83"/>
      <c r="L938" s="293"/>
      <c r="M938" s="36"/>
      <c r="N938" s="36"/>
      <c r="O938" s="37"/>
      <c r="P938" s="37"/>
      <c r="Q938" s="237"/>
      <c r="R938" s="37"/>
      <c r="S938" s="37"/>
      <c r="T938" s="37"/>
      <c r="U938" s="37"/>
      <c r="V938" s="122"/>
      <c r="W938" s="122"/>
      <c r="X938" s="37"/>
      <c r="Y938" s="37"/>
      <c r="Z938" s="37"/>
    </row>
    <row r="939" spans="1:26" ht="13">
      <c r="A939" s="238"/>
      <c r="B939" s="292"/>
      <c r="C939" s="36"/>
      <c r="D939" s="290"/>
      <c r="E939" s="36"/>
      <c r="F939" s="36"/>
      <c r="G939" s="84"/>
      <c r="H939" s="36"/>
      <c r="I939" s="36"/>
      <c r="J939" s="293"/>
      <c r="K939" s="83"/>
      <c r="L939" s="293"/>
      <c r="M939" s="36"/>
      <c r="N939" s="36"/>
      <c r="O939" s="37"/>
      <c r="P939" s="37"/>
      <c r="Q939" s="237"/>
      <c r="R939" s="37"/>
      <c r="S939" s="37"/>
      <c r="T939" s="37"/>
      <c r="U939" s="37"/>
      <c r="V939" s="122"/>
      <c r="W939" s="122"/>
      <c r="X939" s="37"/>
      <c r="Y939" s="37"/>
      <c r="Z939" s="37"/>
    </row>
    <row r="940" spans="1:26" ht="13">
      <c r="A940" s="238"/>
      <c r="B940" s="292"/>
      <c r="C940" s="36"/>
      <c r="D940" s="290"/>
      <c r="E940" s="36"/>
      <c r="F940" s="36"/>
      <c r="G940" s="84"/>
      <c r="H940" s="36"/>
      <c r="I940" s="36"/>
      <c r="J940" s="293"/>
      <c r="K940" s="83"/>
      <c r="L940" s="293"/>
      <c r="M940" s="36"/>
      <c r="N940" s="36"/>
      <c r="O940" s="37"/>
      <c r="P940" s="37"/>
      <c r="Q940" s="237"/>
      <c r="R940" s="37"/>
      <c r="S940" s="37"/>
      <c r="T940" s="37"/>
      <c r="U940" s="37"/>
      <c r="V940" s="122"/>
      <c r="W940" s="122"/>
      <c r="X940" s="37"/>
      <c r="Y940" s="37"/>
      <c r="Z940" s="37"/>
    </row>
    <row r="941" spans="1:26" ht="13">
      <c r="A941" s="238"/>
      <c r="B941" s="292"/>
      <c r="C941" s="36"/>
      <c r="D941" s="290"/>
      <c r="E941" s="36"/>
      <c r="F941" s="36"/>
      <c r="G941" s="84"/>
      <c r="H941" s="36"/>
      <c r="I941" s="36"/>
      <c r="J941" s="293"/>
      <c r="K941" s="83"/>
      <c r="L941" s="293"/>
      <c r="M941" s="36"/>
      <c r="N941" s="36"/>
      <c r="O941" s="37"/>
      <c r="P941" s="37"/>
      <c r="Q941" s="237"/>
      <c r="R941" s="37"/>
      <c r="S941" s="37"/>
      <c r="T941" s="37"/>
      <c r="U941" s="37"/>
      <c r="V941" s="122"/>
      <c r="W941" s="122"/>
      <c r="X941" s="37"/>
      <c r="Y941" s="37"/>
      <c r="Z941" s="37"/>
    </row>
    <row r="942" spans="1:26" ht="13">
      <c r="A942" s="238"/>
      <c r="B942" s="292"/>
      <c r="C942" s="36"/>
      <c r="D942" s="290"/>
      <c r="E942" s="36"/>
      <c r="F942" s="36"/>
      <c r="G942" s="84"/>
      <c r="H942" s="36"/>
      <c r="I942" s="36"/>
      <c r="J942" s="293"/>
      <c r="K942" s="83"/>
      <c r="L942" s="293"/>
      <c r="M942" s="36"/>
      <c r="N942" s="36"/>
      <c r="O942" s="37"/>
      <c r="P942" s="37"/>
      <c r="Q942" s="237"/>
      <c r="R942" s="37"/>
      <c r="S942" s="37"/>
      <c r="T942" s="37"/>
      <c r="U942" s="37"/>
      <c r="V942" s="122"/>
      <c r="W942" s="122"/>
      <c r="X942" s="37"/>
      <c r="Y942" s="37"/>
      <c r="Z942" s="37"/>
    </row>
    <row r="943" spans="1:26" ht="13">
      <c r="A943" s="238"/>
      <c r="B943" s="292"/>
      <c r="C943" s="36"/>
      <c r="D943" s="290"/>
      <c r="E943" s="36"/>
      <c r="F943" s="36"/>
      <c r="G943" s="84"/>
      <c r="H943" s="36"/>
      <c r="I943" s="36"/>
      <c r="J943" s="293"/>
      <c r="K943" s="83"/>
      <c r="L943" s="293"/>
      <c r="M943" s="36"/>
      <c r="N943" s="36"/>
      <c r="O943" s="37"/>
      <c r="P943" s="37"/>
      <c r="Q943" s="237"/>
      <c r="R943" s="37"/>
      <c r="S943" s="37"/>
      <c r="T943" s="37"/>
      <c r="U943" s="37"/>
      <c r="V943" s="122"/>
      <c r="W943" s="122"/>
      <c r="X943" s="37"/>
      <c r="Y943" s="37"/>
      <c r="Z943" s="37"/>
    </row>
    <row r="944" spans="1:26" ht="13">
      <c r="A944" s="238"/>
      <c r="B944" s="292"/>
      <c r="C944" s="36"/>
      <c r="D944" s="290"/>
      <c r="E944" s="36"/>
      <c r="F944" s="36"/>
      <c r="G944" s="84"/>
      <c r="H944" s="36"/>
      <c r="I944" s="36"/>
      <c r="J944" s="293"/>
      <c r="K944" s="83"/>
      <c r="L944" s="293"/>
      <c r="M944" s="36"/>
      <c r="N944" s="36"/>
      <c r="O944" s="37"/>
      <c r="P944" s="37"/>
      <c r="Q944" s="237"/>
      <c r="R944" s="37"/>
      <c r="S944" s="37"/>
      <c r="T944" s="37"/>
      <c r="U944" s="37"/>
      <c r="V944" s="122"/>
      <c r="W944" s="122"/>
      <c r="X944" s="37"/>
      <c r="Y944" s="37"/>
      <c r="Z944" s="37"/>
    </row>
    <row r="945" spans="1:26" ht="13">
      <c r="A945" s="238"/>
      <c r="B945" s="292"/>
      <c r="C945" s="36"/>
      <c r="D945" s="290"/>
      <c r="E945" s="36"/>
      <c r="F945" s="36"/>
      <c r="G945" s="84"/>
      <c r="H945" s="36"/>
      <c r="I945" s="36"/>
      <c r="J945" s="293"/>
      <c r="K945" s="83"/>
      <c r="L945" s="293"/>
      <c r="M945" s="36"/>
      <c r="N945" s="36"/>
      <c r="O945" s="37"/>
      <c r="P945" s="37"/>
      <c r="Q945" s="237"/>
      <c r="R945" s="37"/>
      <c r="S945" s="37"/>
      <c r="T945" s="37"/>
      <c r="U945" s="37"/>
      <c r="V945" s="122"/>
      <c r="W945" s="122"/>
      <c r="X945" s="37"/>
      <c r="Y945" s="37"/>
      <c r="Z945" s="37"/>
    </row>
    <row r="946" spans="1:26" ht="13">
      <c r="A946" s="238"/>
      <c r="B946" s="292"/>
      <c r="C946" s="36"/>
      <c r="D946" s="290"/>
      <c r="E946" s="36"/>
      <c r="F946" s="36"/>
      <c r="G946" s="84"/>
      <c r="H946" s="36"/>
      <c r="I946" s="36"/>
      <c r="J946" s="293"/>
      <c r="K946" s="83"/>
      <c r="L946" s="293"/>
      <c r="M946" s="36"/>
      <c r="N946" s="36"/>
      <c r="O946" s="37"/>
      <c r="P946" s="37"/>
      <c r="Q946" s="237"/>
      <c r="R946" s="37"/>
      <c r="S946" s="37"/>
      <c r="T946" s="37"/>
      <c r="U946" s="37"/>
      <c r="V946" s="122"/>
      <c r="W946" s="122"/>
      <c r="X946" s="37"/>
      <c r="Y946" s="37"/>
      <c r="Z946" s="37"/>
    </row>
    <row r="947" spans="1:26" ht="13">
      <c r="A947" s="238"/>
      <c r="B947" s="292"/>
      <c r="C947" s="36"/>
      <c r="D947" s="290"/>
      <c r="E947" s="36"/>
      <c r="F947" s="36"/>
      <c r="G947" s="84"/>
      <c r="H947" s="36"/>
      <c r="I947" s="36"/>
      <c r="J947" s="293"/>
      <c r="K947" s="83"/>
      <c r="L947" s="293"/>
      <c r="M947" s="36"/>
      <c r="N947" s="36"/>
      <c r="O947" s="37"/>
      <c r="P947" s="37"/>
      <c r="Q947" s="237"/>
      <c r="R947" s="37"/>
      <c r="S947" s="37"/>
      <c r="T947" s="37"/>
      <c r="U947" s="37"/>
      <c r="V947" s="122"/>
      <c r="W947" s="122"/>
      <c r="X947" s="37"/>
      <c r="Y947" s="37"/>
      <c r="Z947" s="37"/>
    </row>
    <row r="948" spans="1:26" ht="13">
      <c r="A948" s="238"/>
      <c r="B948" s="292"/>
      <c r="C948" s="36"/>
      <c r="D948" s="290"/>
      <c r="E948" s="36"/>
      <c r="F948" s="36"/>
      <c r="G948" s="84"/>
      <c r="H948" s="36"/>
      <c r="I948" s="36"/>
      <c r="J948" s="293"/>
      <c r="K948" s="83"/>
      <c r="L948" s="293"/>
      <c r="M948" s="36"/>
      <c r="N948" s="36"/>
      <c r="O948" s="37"/>
      <c r="P948" s="37"/>
      <c r="Q948" s="237"/>
      <c r="R948" s="37"/>
      <c r="S948" s="37"/>
      <c r="T948" s="37"/>
      <c r="U948" s="37"/>
      <c r="V948" s="122"/>
      <c r="W948" s="122"/>
      <c r="X948" s="37"/>
      <c r="Y948" s="37"/>
      <c r="Z948" s="37"/>
    </row>
    <row r="949" spans="1:26" ht="13">
      <c r="A949" s="238"/>
      <c r="B949" s="292"/>
      <c r="C949" s="36"/>
      <c r="D949" s="290"/>
      <c r="E949" s="36"/>
      <c r="F949" s="36"/>
      <c r="G949" s="84"/>
      <c r="H949" s="36"/>
      <c r="I949" s="36"/>
      <c r="J949" s="293"/>
      <c r="K949" s="83"/>
      <c r="L949" s="293"/>
      <c r="M949" s="36"/>
      <c r="N949" s="36"/>
      <c r="O949" s="37"/>
      <c r="P949" s="37"/>
      <c r="Q949" s="237"/>
      <c r="R949" s="37"/>
      <c r="S949" s="37"/>
      <c r="T949" s="37"/>
      <c r="U949" s="37"/>
      <c r="V949" s="122"/>
      <c r="W949" s="122"/>
      <c r="X949" s="37"/>
      <c r="Y949" s="37"/>
      <c r="Z949" s="37"/>
    </row>
    <row r="950" spans="1:26" ht="13">
      <c r="A950" s="238"/>
      <c r="B950" s="292"/>
      <c r="C950" s="36"/>
      <c r="D950" s="290"/>
      <c r="E950" s="36"/>
      <c r="F950" s="36"/>
      <c r="G950" s="84"/>
      <c r="H950" s="36"/>
      <c r="I950" s="36"/>
      <c r="J950" s="293"/>
      <c r="K950" s="83"/>
      <c r="L950" s="293"/>
      <c r="M950" s="36"/>
      <c r="N950" s="36"/>
      <c r="O950" s="37"/>
      <c r="P950" s="37"/>
      <c r="Q950" s="237"/>
      <c r="R950" s="37"/>
      <c r="S950" s="37"/>
      <c r="T950" s="37"/>
      <c r="U950" s="37"/>
      <c r="V950" s="122"/>
      <c r="W950" s="122"/>
      <c r="X950" s="37"/>
      <c r="Y950" s="37"/>
      <c r="Z950" s="37"/>
    </row>
    <row r="951" spans="1:26" ht="13">
      <c r="A951" s="238"/>
      <c r="B951" s="292"/>
      <c r="C951" s="36"/>
      <c r="D951" s="290"/>
      <c r="E951" s="36"/>
      <c r="F951" s="36"/>
      <c r="G951" s="84"/>
      <c r="H951" s="36"/>
      <c r="I951" s="36"/>
      <c r="J951" s="293"/>
      <c r="K951" s="83"/>
      <c r="L951" s="293"/>
      <c r="M951" s="36"/>
      <c r="N951" s="36"/>
      <c r="O951" s="37"/>
      <c r="P951" s="37"/>
      <c r="Q951" s="237"/>
      <c r="R951" s="37"/>
      <c r="S951" s="37"/>
      <c r="T951" s="37"/>
      <c r="U951" s="37"/>
      <c r="V951" s="122"/>
      <c r="W951" s="122"/>
      <c r="X951" s="37"/>
      <c r="Y951" s="37"/>
      <c r="Z951" s="37"/>
    </row>
    <row r="952" spans="1:26" ht="13">
      <c r="A952" s="238"/>
      <c r="B952" s="292"/>
      <c r="C952" s="36"/>
      <c r="D952" s="290"/>
      <c r="E952" s="36"/>
      <c r="F952" s="36"/>
      <c r="G952" s="84"/>
      <c r="H952" s="36"/>
      <c r="I952" s="36"/>
      <c r="J952" s="293"/>
      <c r="K952" s="83"/>
      <c r="L952" s="293"/>
      <c r="M952" s="36"/>
      <c r="N952" s="36"/>
      <c r="O952" s="37"/>
      <c r="P952" s="37"/>
      <c r="Q952" s="237"/>
      <c r="R952" s="37"/>
      <c r="S952" s="37"/>
      <c r="T952" s="37"/>
      <c r="U952" s="37"/>
      <c r="V952" s="122"/>
      <c r="W952" s="122"/>
      <c r="X952" s="37"/>
      <c r="Y952" s="37"/>
      <c r="Z952" s="37"/>
    </row>
    <row r="953" spans="1:26" ht="13">
      <c r="A953" s="238"/>
      <c r="B953" s="292"/>
      <c r="C953" s="36"/>
      <c r="D953" s="290"/>
      <c r="E953" s="36"/>
      <c r="F953" s="36"/>
      <c r="G953" s="84"/>
      <c r="H953" s="36"/>
      <c r="I953" s="36"/>
      <c r="J953" s="293"/>
      <c r="K953" s="83"/>
      <c r="L953" s="293"/>
      <c r="M953" s="36"/>
      <c r="N953" s="36"/>
      <c r="O953" s="37"/>
      <c r="P953" s="37"/>
      <c r="Q953" s="237"/>
      <c r="R953" s="37"/>
      <c r="S953" s="37"/>
      <c r="T953" s="37"/>
      <c r="U953" s="37"/>
      <c r="V953" s="122"/>
      <c r="W953" s="122"/>
      <c r="X953" s="37"/>
      <c r="Y953" s="37"/>
      <c r="Z953" s="37"/>
    </row>
    <row r="954" spans="1:26" ht="13">
      <c r="A954" s="238"/>
      <c r="B954" s="292"/>
      <c r="C954" s="36"/>
      <c r="D954" s="290"/>
      <c r="E954" s="36"/>
      <c r="F954" s="36"/>
      <c r="G954" s="84"/>
      <c r="H954" s="36"/>
      <c r="I954" s="36"/>
      <c r="J954" s="293"/>
      <c r="K954" s="83"/>
      <c r="L954" s="293"/>
      <c r="M954" s="36"/>
      <c r="N954" s="36"/>
      <c r="O954" s="37"/>
      <c r="P954" s="37"/>
      <c r="Q954" s="237"/>
      <c r="R954" s="37"/>
      <c r="S954" s="37"/>
      <c r="T954" s="37"/>
      <c r="U954" s="37"/>
      <c r="V954" s="122"/>
      <c r="W954" s="122"/>
      <c r="X954" s="37"/>
      <c r="Y954" s="37"/>
      <c r="Z954" s="37"/>
    </row>
    <row r="955" spans="1:26" ht="13">
      <c r="A955" s="238"/>
      <c r="B955" s="292"/>
      <c r="C955" s="36"/>
      <c r="D955" s="290"/>
      <c r="E955" s="36"/>
      <c r="F955" s="36"/>
      <c r="G955" s="84"/>
      <c r="H955" s="36"/>
      <c r="I955" s="36"/>
      <c r="J955" s="293"/>
      <c r="K955" s="83"/>
      <c r="L955" s="293"/>
      <c r="M955" s="36"/>
      <c r="N955" s="36"/>
      <c r="O955" s="37"/>
      <c r="P955" s="37"/>
      <c r="Q955" s="237"/>
      <c r="R955" s="37"/>
      <c r="S955" s="37"/>
      <c r="T955" s="37"/>
      <c r="U955" s="37"/>
      <c r="V955" s="122"/>
      <c r="W955" s="122"/>
      <c r="X955" s="37"/>
      <c r="Y955" s="37"/>
      <c r="Z955" s="37"/>
    </row>
    <row r="956" spans="1:26" ht="13">
      <c r="A956" s="238"/>
      <c r="B956" s="292"/>
      <c r="C956" s="36"/>
      <c r="D956" s="290"/>
      <c r="E956" s="36"/>
      <c r="F956" s="36"/>
      <c r="G956" s="84"/>
      <c r="H956" s="36"/>
      <c r="I956" s="36"/>
      <c r="J956" s="293"/>
      <c r="K956" s="83"/>
      <c r="L956" s="293"/>
      <c r="M956" s="36"/>
      <c r="N956" s="36"/>
      <c r="O956" s="37"/>
      <c r="P956" s="37"/>
      <c r="Q956" s="237"/>
      <c r="R956" s="37"/>
      <c r="S956" s="37"/>
      <c r="T956" s="37"/>
      <c r="U956" s="37"/>
      <c r="V956" s="122"/>
      <c r="W956" s="122"/>
      <c r="X956" s="37"/>
      <c r="Y956" s="37"/>
      <c r="Z956" s="37"/>
    </row>
    <row r="957" spans="1:26" ht="13">
      <c r="A957" s="238"/>
      <c r="B957" s="292"/>
      <c r="C957" s="36"/>
      <c r="D957" s="290"/>
      <c r="E957" s="36"/>
      <c r="F957" s="36"/>
      <c r="G957" s="84"/>
      <c r="H957" s="36"/>
      <c r="I957" s="36"/>
      <c r="J957" s="293"/>
      <c r="K957" s="83"/>
      <c r="L957" s="293"/>
      <c r="M957" s="36"/>
      <c r="N957" s="36"/>
      <c r="O957" s="37"/>
      <c r="P957" s="37"/>
      <c r="Q957" s="237"/>
      <c r="R957" s="37"/>
      <c r="S957" s="37"/>
      <c r="T957" s="37"/>
      <c r="U957" s="37"/>
      <c r="V957" s="122"/>
      <c r="W957" s="122"/>
      <c r="X957" s="37"/>
      <c r="Y957" s="37"/>
      <c r="Z957" s="37"/>
    </row>
    <row r="958" spans="1:26" ht="13">
      <c r="A958" s="238"/>
      <c r="B958" s="292"/>
      <c r="C958" s="36"/>
      <c r="D958" s="290"/>
      <c r="E958" s="36"/>
      <c r="F958" s="36"/>
      <c r="G958" s="84"/>
      <c r="H958" s="36"/>
      <c r="I958" s="36"/>
      <c r="J958" s="293"/>
      <c r="K958" s="83"/>
      <c r="L958" s="293"/>
      <c r="M958" s="36"/>
      <c r="N958" s="36"/>
      <c r="O958" s="37"/>
      <c r="P958" s="37"/>
      <c r="Q958" s="237"/>
      <c r="R958" s="37"/>
      <c r="S958" s="37"/>
      <c r="T958" s="37"/>
      <c r="U958" s="37"/>
      <c r="V958" s="122"/>
      <c r="W958" s="122"/>
      <c r="X958" s="37"/>
      <c r="Y958" s="37"/>
      <c r="Z958" s="37"/>
    </row>
    <row r="959" spans="1:26" ht="13">
      <c r="A959" s="238"/>
      <c r="B959" s="292"/>
      <c r="C959" s="36"/>
      <c r="D959" s="290"/>
      <c r="E959" s="36"/>
      <c r="F959" s="36"/>
      <c r="G959" s="84"/>
      <c r="H959" s="36"/>
      <c r="I959" s="36"/>
      <c r="J959" s="293"/>
      <c r="K959" s="83"/>
      <c r="L959" s="293"/>
      <c r="M959" s="36"/>
      <c r="N959" s="36"/>
      <c r="O959" s="37"/>
      <c r="P959" s="37"/>
      <c r="Q959" s="237"/>
      <c r="R959" s="37"/>
      <c r="S959" s="37"/>
      <c r="T959" s="37"/>
      <c r="U959" s="37"/>
      <c r="V959" s="122"/>
      <c r="W959" s="122"/>
      <c r="X959" s="37"/>
      <c r="Y959" s="37"/>
      <c r="Z959" s="37"/>
    </row>
    <row r="960" spans="1:26" ht="13">
      <c r="A960" s="238"/>
      <c r="B960" s="292"/>
      <c r="C960" s="36"/>
      <c r="D960" s="290"/>
      <c r="E960" s="36"/>
      <c r="F960" s="36"/>
      <c r="G960" s="84"/>
      <c r="H960" s="36"/>
      <c r="I960" s="36"/>
      <c r="J960" s="293"/>
      <c r="K960" s="83"/>
      <c r="L960" s="293"/>
      <c r="M960" s="36"/>
      <c r="N960" s="36"/>
      <c r="O960" s="37"/>
      <c r="P960" s="37"/>
      <c r="Q960" s="237"/>
      <c r="R960" s="37"/>
      <c r="S960" s="37"/>
      <c r="T960" s="37"/>
      <c r="U960" s="37"/>
      <c r="V960" s="122"/>
      <c r="W960" s="122"/>
      <c r="X960" s="37"/>
      <c r="Y960" s="37"/>
      <c r="Z960" s="37"/>
    </row>
    <row r="961" spans="1:26" ht="13">
      <c r="A961" s="238"/>
      <c r="B961" s="292"/>
      <c r="C961" s="36"/>
      <c r="D961" s="290"/>
      <c r="E961" s="36"/>
      <c r="F961" s="36"/>
      <c r="G961" s="84"/>
      <c r="H961" s="36"/>
      <c r="I961" s="36"/>
      <c r="J961" s="293"/>
      <c r="K961" s="83"/>
      <c r="L961" s="293"/>
      <c r="M961" s="36"/>
      <c r="N961" s="36"/>
      <c r="O961" s="37"/>
      <c r="P961" s="37"/>
      <c r="Q961" s="237"/>
      <c r="R961" s="37"/>
      <c r="S961" s="37"/>
      <c r="T961" s="37"/>
      <c r="U961" s="37"/>
      <c r="V961" s="122"/>
      <c r="W961" s="122"/>
      <c r="X961" s="37"/>
      <c r="Y961" s="37"/>
      <c r="Z961" s="37"/>
    </row>
    <row r="962" spans="1:26" ht="13">
      <c r="A962" s="238"/>
      <c r="B962" s="292"/>
      <c r="C962" s="36"/>
      <c r="D962" s="290"/>
      <c r="E962" s="36"/>
      <c r="F962" s="36"/>
      <c r="G962" s="84"/>
      <c r="H962" s="36"/>
      <c r="I962" s="36"/>
      <c r="J962" s="293"/>
      <c r="K962" s="83"/>
      <c r="L962" s="293"/>
      <c r="M962" s="36"/>
      <c r="N962" s="36"/>
      <c r="O962" s="37"/>
      <c r="P962" s="37"/>
      <c r="Q962" s="237"/>
      <c r="R962" s="37"/>
      <c r="S962" s="37"/>
      <c r="T962" s="37"/>
      <c r="U962" s="37"/>
      <c r="V962" s="122"/>
      <c r="W962" s="122"/>
      <c r="X962" s="37"/>
      <c r="Y962" s="37"/>
      <c r="Z962" s="37"/>
    </row>
    <row r="963" spans="1:26" ht="13">
      <c r="A963" s="238"/>
      <c r="B963" s="292"/>
      <c r="C963" s="36"/>
      <c r="D963" s="290"/>
      <c r="E963" s="36"/>
      <c r="F963" s="36"/>
      <c r="G963" s="84"/>
      <c r="H963" s="36"/>
      <c r="I963" s="36"/>
      <c r="J963" s="293"/>
      <c r="K963" s="83"/>
      <c r="L963" s="293"/>
      <c r="M963" s="36"/>
      <c r="N963" s="36"/>
      <c r="O963" s="37"/>
      <c r="P963" s="37"/>
      <c r="Q963" s="237"/>
      <c r="R963" s="37"/>
      <c r="S963" s="37"/>
      <c r="T963" s="37"/>
      <c r="U963" s="37"/>
      <c r="V963" s="122"/>
      <c r="W963" s="122"/>
      <c r="X963" s="37"/>
      <c r="Y963" s="37"/>
      <c r="Z963" s="37"/>
    </row>
    <row r="964" spans="1:26" ht="13">
      <c r="A964" s="238"/>
      <c r="B964" s="292"/>
      <c r="C964" s="36"/>
      <c r="D964" s="290"/>
      <c r="E964" s="36"/>
      <c r="F964" s="36"/>
      <c r="G964" s="84"/>
      <c r="H964" s="36"/>
      <c r="I964" s="36"/>
      <c r="J964" s="293"/>
      <c r="K964" s="83"/>
      <c r="L964" s="293"/>
      <c r="M964" s="36"/>
      <c r="N964" s="36"/>
      <c r="O964" s="37"/>
      <c r="P964" s="37"/>
      <c r="Q964" s="237"/>
      <c r="R964" s="37"/>
      <c r="S964" s="37"/>
      <c r="T964" s="37"/>
      <c r="U964" s="37"/>
      <c r="V964" s="122"/>
      <c r="W964" s="122"/>
      <c r="X964" s="37"/>
      <c r="Y964" s="37"/>
      <c r="Z964" s="37"/>
    </row>
    <row r="965" spans="1:26" ht="13">
      <c r="A965" s="238"/>
      <c r="B965" s="292"/>
      <c r="C965" s="36"/>
      <c r="D965" s="290"/>
      <c r="E965" s="36"/>
      <c r="F965" s="36"/>
      <c r="G965" s="84"/>
      <c r="H965" s="36"/>
      <c r="I965" s="36"/>
      <c r="J965" s="293"/>
      <c r="K965" s="83"/>
      <c r="L965" s="293"/>
      <c r="M965" s="36"/>
      <c r="N965" s="36"/>
      <c r="O965" s="37"/>
      <c r="P965" s="37"/>
      <c r="Q965" s="237"/>
      <c r="R965" s="37"/>
      <c r="S965" s="37"/>
      <c r="T965" s="37"/>
      <c r="U965" s="37"/>
      <c r="V965" s="122"/>
      <c r="W965" s="122"/>
      <c r="X965" s="37"/>
      <c r="Y965" s="37"/>
      <c r="Z965" s="37"/>
    </row>
    <row r="966" spans="1:26" ht="13">
      <c r="A966" s="238"/>
      <c r="B966" s="292"/>
      <c r="C966" s="36"/>
      <c r="D966" s="290"/>
      <c r="E966" s="36"/>
      <c r="F966" s="36"/>
      <c r="G966" s="84"/>
      <c r="H966" s="36"/>
      <c r="I966" s="36"/>
      <c r="J966" s="293"/>
      <c r="K966" s="83"/>
      <c r="L966" s="293"/>
      <c r="M966" s="36"/>
      <c r="N966" s="36"/>
      <c r="O966" s="37"/>
      <c r="P966" s="37"/>
      <c r="Q966" s="237"/>
      <c r="R966" s="37"/>
      <c r="S966" s="37"/>
      <c r="T966" s="37"/>
      <c r="U966" s="37"/>
      <c r="V966" s="122"/>
      <c r="W966" s="122"/>
      <c r="X966" s="37"/>
      <c r="Y966" s="37"/>
      <c r="Z966" s="37"/>
    </row>
    <row r="967" spans="1:26" ht="13">
      <c r="A967" s="238"/>
      <c r="B967" s="292"/>
      <c r="C967" s="36"/>
      <c r="D967" s="290"/>
      <c r="E967" s="36"/>
      <c r="F967" s="36"/>
      <c r="G967" s="84"/>
      <c r="H967" s="36"/>
      <c r="I967" s="36"/>
      <c r="J967" s="293"/>
      <c r="K967" s="83"/>
      <c r="L967" s="293"/>
      <c r="M967" s="36"/>
      <c r="N967" s="36"/>
      <c r="O967" s="37"/>
      <c r="P967" s="37"/>
      <c r="Q967" s="237"/>
      <c r="R967" s="37"/>
      <c r="S967" s="37"/>
      <c r="T967" s="37"/>
      <c r="U967" s="37"/>
      <c r="V967" s="122"/>
      <c r="W967" s="122"/>
      <c r="X967" s="37"/>
      <c r="Y967" s="37"/>
      <c r="Z967" s="37"/>
    </row>
    <row r="968" spans="1:26" ht="13">
      <c r="A968" s="238"/>
      <c r="B968" s="292"/>
      <c r="C968" s="36"/>
      <c r="D968" s="290"/>
      <c r="E968" s="36"/>
      <c r="F968" s="36"/>
      <c r="G968" s="84"/>
      <c r="H968" s="36"/>
      <c r="I968" s="36"/>
      <c r="J968" s="293"/>
      <c r="K968" s="83"/>
      <c r="L968" s="293"/>
      <c r="M968" s="36"/>
      <c r="N968" s="36"/>
      <c r="O968" s="37"/>
      <c r="P968" s="37"/>
      <c r="Q968" s="237"/>
      <c r="R968" s="37"/>
      <c r="S968" s="37"/>
      <c r="T968" s="37"/>
      <c r="U968" s="37"/>
      <c r="V968" s="122"/>
      <c r="W968" s="122"/>
      <c r="X968" s="37"/>
      <c r="Y968" s="37"/>
      <c r="Z968" s="37"/>
    </row>
    <row r="969" spans="1:26" ht="13">
      <c r="A969" s="238"/>
      <c r="B969" s="292"/>
      <c r="C969" s="36"/>
      <c r="D969" s="290"/>
      <c r="E969" s="36"/>
      <c r="F969" s="36"/>
      <c r="G969" s="84"/>
      <c r="H969" s="36"/>
      <c r="I969" s="36"/>
      <c r="J969" s="293"/>
      <c r="K969" s="83"/>
      <c r="L969" s="293"/>
      <c r="M969" s="36"/>
      <c r="N969" s="36"/>
      <c r="O969" s="37"/>
      <c r="P969" s="37"/>
      <c r="Q969" s="237"/>
      <c r="R969" s="37"/>
      <c r="S969" s="37"/>
      <c r="T969" s="37"/>
      <c r="U969" s="37"/>
      <c r="V969" s="122"/>
      <c r="W969" s="122"/>
      <c r="X969" s="37"/>
      <c r="Y969" s="37"/>
      <c r="Z969" s="37"/>
    </row>
    <row r="970" spans="1:26" ht="13">
      <c r="A970" s="238"/>
      <c r="B970" s="292"/>
      <c r="C970" s="36"/>
      <c r="D970" s="290"/>
      <c r="E970" s="36"/>
      <c r="F970" s="36"/>
      <c r="G970" s="84"/>
      <c r="H970" s="36"/>
      <c r="I970" s="36"/>
      <c r="J970" s="293"/>
      <c r="K970" s="83"/>
      <c r="L970" s="293"/>
      <c r="M970" s="36"/>
      <c r="N970" s="36"/>
      <c r="O970" s="37"/>
      <c r="P970" s="37"/>
      <c r="Q970" s="237"/>
      <c r="R970" s="37"/>
      <c r="S970" s="37"/>
      <c r="T970" s="37"/>
      <c r="U970" s="37"/>
      <c r="V970" s="122"/>
      <c r="W970" s="122"/>
      <c r="X970" s="37"/>
      <c r="Y970" s="37"/>
      <c r="Z970" s="37"/>
    </row>
    <row r="971" spans="1:26" ht="13">
      <c r="A971" s="238"/>
      <c r="B971" s="292"/>
      <c r="C971" s="36"/>
      <c r="D971" s="290"/>
      <c r="E971" s="36"/>
      <c r="F971" s="36"/>
      <c r="G971" s="84"/>
      <c r="H971" s="36"/>
      <c r="I971" s="36"/>
      <c r="J971" s="293"/>
      <c r="K971" s="83"/>
      <c r="L971" s="293"/>
      <c r="M971" s="36"/>
      <c r="N971" s="36"/>
      <c r="O971" s="37"/>
      <c r="P971" s="37"/>
      <c r="Q971" s="237"/>
      <c r="R971" s="37"/>
      <c r="S971" s="37"/>
      <c r="T971" s="37"/>
      <c r="U971" s="37"/>
      <c r="V971" s="122"/>
      <c r="W971" s="122"/>
      <c r="X971" s="37"/>
      <c r="Y971" s="37"/>
      <c r="Z971" s="37"/>
    </row>
    <row r="972" spans="1:26" ht="13">
      <c r="A972" s="238"/>
      <c r="B972" s="292"/>
      <c r="C972" s="36"/>
      <c r="D972" s="290"/>
      <c r="E972" s="36"/>
      <c r="F972" s="36"/>
      <c r="G972" s="84"/>
      <c r="H972" s="36"/>
      <c r="I972" s="36"/>
      <c r="J972" s="293"/>
      <c r="K972" s="83"/>
      <c r="L972" s="293"/>
      <c r="M972" s="36"/>
      <c r="N972" s="36"/>
      <c r="O972" s="37"/>
      <c r="P972" s="37"/>
      <c r="Q972" s="237"/>
      <c r="R972" s="37"/>
      <c r="S972" s="37"/>
      <c r="T972" s="37"/>
      <c r="U972" s="37"/>
      <c r="V972" s="122"/>
      <c r="W972" s="122"/>
      <c r="X972" s="37"/>
      <c r="Y972" s="37"/>
      <c r="Z972" s="37"/>
    </row>
    <row r="973" spans="1:26" ht="13">
      <c r="A973" s="238"/>
      <c r="B973" s="292"/>
      <c r="C973" s="36"/>
      <c r="D973" s="290"/>
      <c r="E973" s="36"/>
      <c r="F973" s="36"/>
      <c r="G973" s="84"/>
      <c r="H973" s="36"/>
      <c r="I973" s="36"/>
      <c r="J973" s="293"/>
      <c r="K973" s="83"/>
      <c r="L973" s="293"/>
      <c r="M973" s="36"/>
      <c r="N973" s="36"/>
      <c r="O973" s="37"/>
      <c r="P973" s="37"/>
      <c r="Q973" s="237"/>
      <c r="R973" s="37"/>
      <c r="S973" s="37"/>
      <c r="T973" s="37"/>
      <c r="U973" s="37"/>
      <c r="V973" s="122"/>
      <c r="W973" s="122"/>
      <c r="X973" s="37"/>
      <c r="Y973" s="37"/>
      <c r="Z973" s="37"/>
    </row>
    <row r="974" spans="1:26" ht="13">
      <c r="A974" s="238"/>
      <c r="B974" s="292"/>
      <c r="C974" s="36"/>
      <c r="D974" s="290"/>
      <c r="E974" s="36"/>
      <c r="F974" s="36"/>
      <c r="G974" s="84"/>
      <c r="H974" s="36"/>
      <c r="I974" s="36"/>
      <c r="J974" s="293"/>
      <c r="K974" s="83"/>
      <c r="L974" s="293"/>
      <c r="M974" s="36"/>
      <c r="N974" s="36"/>
      <c r="O974" s="37"/>
      <c r="P974" s="37"/>
      <c r="Q974" s="237"/>
      <c r="R974" s="37"/>
      <c r="S974" s="37"/>
      <c r="T974" s="37"/>
      <c r="U974" s="37"/>
      <c r="V974" s="122"/>
      <c r="W974" s="122"/>
      <c r="X974" s="37"/>
      <c r="Y974" s="37"/>
      <c r="Z974" s="37"/>
    </row>
    <row r="975" spans="1:26" ht="13">
      <c r="A975" s="238"/>
      <c r="B975" s="292"/>
      <c r="C975" s="36"/>
      <c r="D975" s="290"/>
      <c r="E975" s="36"/>
      <c r="F975" s="36"/>
      <c r="G975" s="84"/>
      <c r="H975" s="36"/>
      <c r="I975" s="36"/>
      <c r="J975" s="293"/>
      <c r="K975" s="83"/>
      <c r="L975" s="293"/>
      <c r="M975" s="36"/>
      <c r="N975" s="36"/>
      <c r="O975" s="37"/>
      <c r="P975" s="37"/>
      <c r="Q975" s="237"/>
      <c r="R975" s="37"/>
      <c r="S975" s="37"/>
      <c r="T975" s="37"/>
      <c r="U975" s="37"/>
      <c r="V975" s="122"/>
      <c r="W975" s="122"/>
      <c r="X975" s="37"/>
      <c r="Y975" s="37"/>
      <c r="Z975" s="37"/>
    </row>
    <row r="976" spans="1:26" ht="13">
      <c r="A976" s="238"/>
      <c r="B976" s="292"/>
      <c r="C976" s="36"/>
      <c r="D976" s="290"/>
      <c r="E976" s="36"/>
      <c r="F976" s="36"/>
      <c r="G976" s="84"/>
      <c r="H976" s="36"/>
      <c r="I976" s="36"/>
      <c r="J976" s="293"/>
      <c r="K976" s="83"/>
      <c r="L976" s="293"/>
      <c r="M976" s="36"/>
      <c r="N976" s="36"/>
      <c r="O976" s="37"/>
      <c r="P976" s="37"/>
      <c r="Q976" s="237"/>
      <c r="R976" s="37"/>
      <c r="S976" s="37"/>
      <c r="T976" s="37"/>
      <c r="U976" s="37"/>
      <c r="V976" s="122"/>
      <c r="W976" s="122"/>
      <c r="X976" s="37"/>
      <c r="Y976" s="37"/>
      <c r="Z976" s="37"/>
    </row>
    <row r="977" spans="1:26" ht="13">
      <c r="A977" s="238"/>
      <c r="B977" s="292"/>
      <c r="C977" s="36"/>
      <c r="D977" s="290"/>
      <c r="E977" s="36"/>
      <c r="F977" s="36"/>
      <c r="G977" s="84"/>
      <c r="H977" s="36"/>
      <c r="I977" s="36"/>
      <c r="J977" s="293"/>
      <c r="K977" s="83"/>
      <c r="L977" s="293"/>
      <c r="M977" s="36"/>
      <c r="N977" s="36"/>
      <c r="O977" s="37"/>
      <c r="P977" s="37"/>
      <c r="Q977" s="237"/>
      <c r="R977" s="37"/>
      <c r="S977" s="37"/>
      <c r="T977" s="37"/>
      <c r="U977" s="37"/>
      <c r="V977" s="122"/>
      <c r="W977" s="122"/>
      <c r="X977" s="37"/>
      <c r="Y977" s="37"/>
      <c r="Z977" s="37"/>
    </row>
    <row r="978" spans="1:26" ht="13">
      <c r="A978" s="238"/>
      <c r="B978" s="292"/>
      <c r="C978" s="36"/>
      <c r="D978" s="290"/>
      <c r="E978" s="36"/>
      <c r="F978" s="36"/>
      <c r="G978" s="84"/>
      <c r="H978" s="36"/>
      <c r="I978" s="36"/>
      <c r="J978" s="293"/>
      <c r="K978" s="83"/>
      <c r="L978" s="293"/>
      <c r="M978" s="36"/>
      <c r="N978" s="36"/>
      <c r="O978" s="37"/>
      <c r="P978" s="37"/>
      <c r="Q978" s="237"/>
      <c r="R978" s="37"/>
      <c r="S978" s="37"/>
      <c r="T978" s="37"/>
      <c r="U978" s="37"/>
      <c r="V978" s="122"/>
      <c r="W978" s="122"/>
      <c r="X978" s="37"/>
      <c r="Y978" s="37"/>
      <c r="Z978" s="37"/>
    </row>
    <row r="979" spans="1:26" ht="13">
      <c r="A979" s="238"/>
      <c r="B979" s="292"/>
      <c r="C979" s="36"/>
      <c r="D979" s="290"/>
      <c r="E979" s="36"/>
      <c r="F979" s="36"/>
      <c r="G979" s="84"/>
      <c r="H979" s="36"/>
      <c r="I979" s="36"/>
      <c r="J979" s="293"/>
      <c r="K979" s="83"/>
      <c r="L979" s="293"/>
      <c r="M979" s="36"/>
      <c r="N979" s="36"/>
      <c r="O979" s="37"/>
      <c r="P979" s="37"/>
      <c r="Q979" s="237"/>
      <c r="R979" s="37"/>
      <c r="S979" s="37"/>
      <c r="T979" s="37"/>
      <c r="U979" s="37"/>
      <c r="V979" s="122"/>
      <c r="W979" s="122"/>
      <c r="X979" s="37"/>
      <c r="Y979" s="37"/>
      <c r="Z979" s="37"/>
    </row>
    <row r="980" spans="1:26" ht="13">
      <c r="A980" s="238"/>
      <c r="B980" s="292"/>
      <c r="C980" s="36"/>
      <c r="D980" s="290"/>
      <c r="E980" s="36"/>
      <c r="F980" s="36"/>
      <c r="G980" s="84"/>
      <c r="H980" s="36"/>
      <c r="I980" s="36"/>
      <c r="J980" s="293"/>
      <c r="K980" s="83"/>
      <c r="L980" s="293"/>
      <c r="M980" s="36"/>
      <c r="N980" s="36"/>
      <c r="O980" s="37"/>
      <c r="P980" s="37"/>
      <c r="Q980" s="237"/>
      <c r="R980" s="37"/>
      <c r="S980" s="37"/>
      <c r="T980" s="37"/>
      <c r="U980" s="37"/>
      <c r="V980" s="122"/>
      <c r="W980" s="122"/>
      <c r="X980" s="37"/>
      <c r="Y980" s="37"/>
      <c r="Z980" s="37"/>
    </row>
    <row r="981" spans="1:26" ht="13">
      <c r="A981" s="238"/>
      <c r="B981" s="292"/>
      <c r="C981" s="36"/>
      <c r="D981" s="290"/>
      <c r="E981" s="36"/>
      <c r="F981" s="36"/>
      <c r="G981" s="84"/>
      <c r="H981" s="36"/>
      <c r="I981" s="36"/>
      <c r="J981" s="293"/>
      <c r="K981" s="83"/>
      <c r="L981" s="293"/>
      <c r="M981" s="36"/>
      <c r="N981" s="36"/>
      <c r="O981" s="37"/>
      <c r="P981" s="37"/>
      <c r="Q981" s="237"/>
      <c r="R981" s="37"/>
      <c r="S981" s="37"/>
      <c r="T981" s="37"/>
      <c r="U981" s="37"/>
      <c r="V981" s="122"/>
      <c r="W981" s="122"/>
      <c r="X981" s="37"/>
      <c r="Y981" s="37"/>
      <c r="Z981" s="37"/>
    </row>
    <row r="982" spans="1:26" ht="13">
      <c r="A982" s="238"/>
      <c r="B982" s="292"/>
      <c r="C982" s="36"/>
      <c r="D982" s="290"/>
      <c r="E982" s="36"/>
      <c r="F982" s="36"/>
      <c r="G982" s="84"/>
      <c r="H982" s="36"/>
      <c r="I982" s="36"/>
      <c r="J982" s="293"/>
      <c r="K982" s="83"/>
      <c r="L982" s="293"/>
      <c r="M982" s="36"/>
      <c r="N982" s="36"/>
      <c r="O982" s="37"/>
      <c r="P982" s="37"/>
      <c r="Q982" s="237"/>
      <c r="R982" s="37"/>
      <c r="S982" s="37"/>
      <c r="T982" s="37"/>
      <c r="U982" s="37"/>
      <c r="V982" s="122"/>
      <c r="W982" s="122"/>
      <c r="X982" s="37"/>
      <c r="Y982" s="37"/>
      <c r="Z982" s="37"/>
    </row>
    <row r="983" spans="1:26" ht="13">
      <c r="A983" s="238"/>
      <c r="B983" s="292"/>
      <c r="C983" s="36"/>
      <c r="D983" s="290"/>
      <c r="E983" s="36"/>
      <c r="F983" s="36"/>
      <c r="G983" s="84"/>
      <c r="H983" s="36"/>
      <c r="I983" s="36"/>
      <c r="J983" s="293"/>
      <c r="K983" s="83"/>
      <c r="L983" s="293"/>
      <c r="M983" s="36"/>
      <c r="N983" s="36"/>
      <c r="O983" s="37"/>
      <c r="P983" s="37"/>
      <c r="Q983" s="237"/>
      <c r="R983" s="37"/>
      <c r="S983" s="37"/>
      <c r="T983" s="37"/>
      <c r="U983" s="37"/>
      <c r="V983" s="122"/>
      <c r="W983" s="122"/>
      <c r="X983" s="37"/>
      <c r="Y983" s="37"/>
      <c r="Z983" s="37"/>
    </row>
    <row r="984" spans="1:26" ht="13">
      <c r="A984" s="238"/>
      <c r="B984" s="292"/>
      <c r="C984" s="36"/>
      <c r="D984" s="290"/>
      <c r="E984" s="36"/>
      <c r="F984" s="36"/>
      <c r="G984" s="84"/>
      <c r="H984" s="36"/>
      <c r="I984" s="36"/>
      <c r="J984" s="293"/>
      <c r="K984" s="83"/>
      <c r="L984" s="293"/>
      <c r="M984" s="36"/>
      <c r="N984" s="36"/>
      <c r="O984" s="37"/>
      <c r="P984" s="37"/>
      <c r="Q984" s="237"/>
      <c r="R984" s="37"/>
      <c r="S984" s="37"/>
      <c r="T984" s="37"/>
      <c r="U984" s="37"/>
      <c r="V984" s="122"/>
      <c r="W984" s="122"/>
      <c r="X984" s="37"/>
      <c r="Y984" s="37"/>
      <c r="Z984" s="37"/>
    </row>
    <row r="985" spans="1:26" ht="13">
      <c r="A985" s="238"/>
      <c r="B985" s="292"/>
      <c r="C985" s="36"/>
      <c r="D985" s="290"/>
      <c r="E985" s="36"/>
      <c r="F985" s="36"/>
      <c r="G985" s="84"/>
      <c r="H985" s="36"/>
      <c r="I985" s="36"/>
      <c r="J985" s="293"/>
      <c r="K985" s="83"/>
      <c r="L985" s="293"/>
      <c r="M985" s="36"/>
      <c r="N985" s="36"/>
      <c r="O985" s="37"/>
      <c r="P985" s="37"/>
      <c r="Q985" s="237"/>
      <c r="R985" s="37"/>
      <c r="S985" s="37"/>
      <c r="T985" s="37"/>
      <c r="U985" s="37"/>
      <c r="V985" s="122"/>
      <c r="W985" s="122"/>
      <c r="X985" s="37"/>
      <c r="Y985" s="37"/>
      <c r="Z985" s="37"/>
    </row>
    <row r="986" spans="1:26" ht="13">
      <c r="A986" s="238"/>
      <c r="B986" s="292"/>
      <c r="C986" s="36"/>
      <c r="D986" s="290"/>
      <c r="E986" s="36"/>
      <c r="F986" s="36"/>
      <c r="G986" s="84"/>
      <c r="H986" s="36"/>
      <c r="I986" s="36"/>
      <c r="J986" s="293"/>
      <c r="K986" s="83"/>
      <c r="L986" s="293"/>
      <c r="M986" s="36"/>
      <c r="N986" s="36"/>
      <c r="O986" s="37"/>
      <c r="P986" s="37"/>
      <c r="Q986" s="237"/>
      <c r="R986" s="37"/>
      <c r="S986" s="37"/>
      <c r="T986" s="37"/>
      <c r="U986" s="37"/>
      <c r="V986" s="122"/>
      <c r="W986" s="122"/>
      <c r="X986" s="37"/>
      <c r="Y986" s="37"/>
      <c r="Z986" s="37"/>
    </row>
    <row r="987" spans="1:26" ht="13">
      <c r="A987" s="238"/>
      <c r="B987" s="292"/>
      <c r="C987" s="36"/>
      <c r="D987" s="290"/>
      <c r="E987" s="36"/>
      <c r="F987" s="36"/>
      <c r="G987" s="84"/>
      <c r="H987" s="36"/>
      <c r="I987" s="36"/>
      <c r="J987" s="293"/>
      <c r="K987" s="83"/>
      <c r="L987" s="293"/>
      <c r="M987" s="36"/>
      <c r="N987" s="36"/>
      <c r="O987" s="37"/>
      <c r="P987" s="37"/>
      <c r="Q987" s="237"/>
      <c r="R987" s="37"/>
      <c r="S987" s="37"/>
      <c r="T987" s="37"/>
      <c r="U987" s="37"/>
      <c r="V987" s="122"/>
      <c r="W987" s="122"/>
      <c r="X987" s="37"/>
      <c r="Y987" s="37"/>
      <c r="Z987" s="37"/>
    </row>
    <row r="988" spans="1:26" ht="13">
      <c r="A988" s="238"/>
      <c r="B988" s="292"/>
      <c r="C988" s="36"/>
      <c r="D988" s="290"/>
      <c r="E988" s="36"/>
      <c r="F988" s="36"/>
      <c r="G988" s="84"/>
      <c r="H988" s="36"/>
      <c r="I988" s="36"/>
      <c r="J988" s="293"/>
      <c r="K988" s="83"/>
      <c r="L988" s="293"/>
      <c r="M988" s="36"/>
      <c r="N988" s="36"/>
      <c r="O988" s="37"/>
      <c r="P988" s="37"/>
      <c r="Q988" s="237"/>
      <c r="R988" s="37"/>
      <c r="S988" s="37"/>
      <c r="T988" s="37"/>
      <c r="U988" s="37"/>
      <c r="V988" s="122"/>
      <c r="W988" s="122"/>
      <c r="X988" s="37"/>
      <c r="Y988" s="37"/>
      <c r="Z988" s="37"/>
    </row>
    <row r="989" spans="1:26" ht="13">
      <c r="A989" s="238"/>
      <c r="B989" s="292"/>
      <c r="C989" s="36"/>
      <c r="D989" s="290"/>
      <c r="E989" s="36"/>
      <c r="F989" s="36"/>
      <c r="G989" s="84"/>
      <c r="H989" s="36"/>
      <c r="I989" s="36"/>
      <c r="J989" s="293"/>
      <c r="K989" s="83"/>
      <c r="L989" s="293"/>
      <c r="M989" s="36"/>
      <c r="N989" s="36"/>
      <c r="O989" s="37"/>
      <c r="P989" s="37"/>
      <c r="Q989" s="237"/>
      <c r="R989" s="37"/>
      <c r="S989" s="37"/>
      <c r="T989" s="37"/>
      <c r="U989" s="37"/>
      <c r="V989" s="122"/>
      <c r="W989" s="122"/>
      <c r="X989" s="37"/>
      <c r="Y989" s="37"/>
      <c r="Z989" s="37"/>
    </row>
    <row r="990" spans="1:26" ht="13">
      <c r="A990" s="238"/>
      <c r="B990" s="292"/>
      <c r="C990" s="36"/>
      <c r="D990" s="290"/>
      <c r="E990" s="36"/>
      <c r="F990" s="36"/>
      <c r="G990" s="84"/>
      <c r="H990" s="36"/>
      <c r="I990" s="36"/>
      <c r="J990" s="293"/>
      <c r="K990" s="83"/>
      <c r="L990" s="293"/>
      <c r="M990" s="36"/>
      <c r="N990" s="36"/>
      <c r="O990" s="37"/>
      <c r="P990" s="37"/>
      <c r="Q990" s="237"/>
      <c r="R990" s="37"/>
      <c r="S990" s="37"/>
      <c r="T990" s="37"/>
      <c r="U990" s="37"/>
      <c r="V990" s="122"/>
      <c r="W990" s="122"/>
      <c r="X990" s="37"/>
      <c r="Y990" s="37"/>
      <c r="Z990" s="37"/>
    </row>
    <row r="991" spans="1:26" ht="13">
      <c r="A991" s="238"/>
      <c r="B991" s="292"/>
      <c r="C991" s="36"/>
      <c r="D991" s="290"/>
      <c r="E991" s="36"/>
      <c r="F991" s="36"/>
      <c r="G991" s="84"/>
      <c r="H991" s="36"/>
      <c r="I991" s="36"/>
      <c r="J991" s="293"/>
      <c r="K991" s="83"/>
      <c r="L991" s="293"/>
      <c r="M991" s="36"/>
      <c r="N991" s="36"/>
      <c r="O991" s="37"/>
      <c r="P991" s="37"/>
      <c r="Q991" s="237"/>
      <c r="R991" s="37"/>
      <c r="S991" s="37"/>
      <c r="T991" s="37"/>
      <c r="U991" s="37"/>
      <c r="V991" s="122"/>
      <c r="W991" s="122"/>
      <c r="X991" s="37"/>
      <c r="Y991" s="37"/>
      <c r="Z991" s="37"/>
    </row>
    <row r="992" spans="1:26" ht="13">
      <c r="A992" s="238"/>
      <c r="B992" s="292"/>
      <c r="C992" s="36"/>
      <c r="D992" s="290"/>
      <c r="E992" s="36"/>
      <c r="F992" s="36"/>
      <c r="G992" s="84"/>
      <c r="H992" s="36"/>
      <c r="I992" s="36"/>
      <c r="J992" s="293"/>
      <c r="K992" s="83"/>
      <c r="L992" s="293"/>
      <c r="M992" s="36"/>
      <c r="N992" s="36"/>
      <c r="O992" s="37"/>
      <c r="P992" s="37"/>
      <c r="Q992" s="237"/>
      <c r="R992" s="37"/>
      <c r="S992" s="37"/>
      <c r="T992" s="37"/>
      <c r="U992" s="37"/>
      <c r="V992" s="122"/>
      <c r="W992" s="122"/>
      <c r="X992" s="37"/>
      <c r="Y992" s="37"/>
      <c r="Z992" s="37"/>
    </row>
    <row r="993" spans="1:26" ht="13">
      <c r="A993" s="238"/>
      <c r="B993" s="292"/>
      <c r="C993" s="36"/>
      <c r="D993" s="290"/>
      <c r="E993" s="36"/>
      <c r="F993" s="36"/>
      <c r="G993" s="84"/>
      <c r="H993" s="36"/>
      <c r="I993" s="36"/>
      <c r="J993" s="293"/>
      <c r="K993" s="83"/>
      <c r="L993" s="293"/>
      <c r="M993" s="36"/>
      <c r="N993" s="36"/>
      <c r="O993" s="37"/>
      <c r="P993" s="37"/>
      <c r="Q993" s="237"/>
      <c r="R993" s="37"/>
      <c r="S993" s="37"/>
      <c r="T993" s="37"/>
      <c r="U993" s="37"/>
      <c r="V993" s="122"/>
      <c r="W993" s="122"/>
      <c r="X993" s="37"/>
      <c r="Y993" s="37"/>
      <c r="Z993" s="37"/>
    </row>
    <row r="994" spans="1:26" ht="13">
      <c r="A994" s="238"/>
      <c r="B994" s="292"/>
      <c r="C994" s="36"/>
      <c r="D994" s="290"/>
      <c r="E994" s="36"/>
      <c r="F994" s="36"/>
      <c r="G994" s="84"/>
      <c r="H994" s="36"/>
      <c r="I994" s="36"/>
      <c r="J994" s="293"/>
      <c r="K994" s="83"/>
      <c r="L994" s="293"/>
      <c r="M994" s="36"/>
      <c r="N994" s="36"/>
      <c r="O994" s="37"/>
      <c r="P994" s="37"/>
      <c r="Q994" s="237"/>
      <c r="R994" s="37"/>
      <c r="S994" s="37"/>
      <c r="T994" s="37"/>
      <c r="U994" s="37"/>
      <c r="V994" s="122"/>
      <c r="W994" s="122"/>
      <c r="X994" s="37"/>
      <c r="Y994" s="37"/>
      <c r="Z994" s="37"/>
    </row>
    <row r="995" spans="1:26" ht="13">
      <c r="A995" s="238"/>
      <c r="B995" s="292"/>
      <c r="C995" s="36"/>
      <c r="D995" s="290"/>
      <c r="E995" s="36"/>
      <c r="F995" s="36"/>
      <c r="G995" s="84"/>
      <c r="H995" s="36"/>
      <c r="I995" s="36"/>
      <c r="J995" s="293"/>
      <c r="K995" s="83"/>
      <c r="L995" s="293"/>
      <c r="M995" s="36"/>
      <c r="N995" s="36"/>
      <c r="O995" s="37"/>
      <c r="P995" s="37"/>
      <c r="Q995" s="237"/>
      <c r="R995" s="37"/>
      <c r="S995" s="37"/>
      <c r="T995" s="37"/>
      <c r="U995" s="37"/>
      <c r="V995" s="122"/>
      <c r="W995" s="122"/>
      <c r="X995" s="37"/>
      <c r="Y995" s="37"/>
      <c r="Z995" s="37"/>
    </row>
    <row r="996" spans="1:26" ht="13">
      <c r="A996" s="238"/>
      <c r="B996" s="292"/>
      <c r="C996" s="36"/>
      <c r="D996" s="290"/>
      <c r="E996" s="36"/>
      <c r="F996" s="36"/>
      <c r="G996" s="84"/>
      <c r="H996" s="36"/>
      <c r="I996" s="36"/>
      <c r="J996" s="293"/>
      <c r="K996" s="83"/>
      <c r="L996" s="293"/>
      <c r="M996" s="36"/>
      <c r="N996" s="36"/>
      <c r="O996" s="37"/>
      <c r="P996" s="37"/>
      <c r="Q996" s="237"/>
      <c r="R996" s="37"/>
      <c r="S996" s="37"/>
      <c r="T996" s="37"/>
      <c r="U996" s="37"/>
      <c r="V996" s="122"/>
      <c r="W996" s="122"/>
      <c r="X996" s="37"/>
      <c r="Y996" s="37"/>
      <c r="Z996" s="37"/>
    </row>
    <row r="997" spans="1:26" ht="13">
      <c r="A997" s="238"/>
      <c r="B997" s="292"/>
      <c r="C997" s="36"/>
      <c r="D997" s="290"/>
      <c r="E997" s="36"/>
      <c r="F997" s="36"/>
      <c r="G997" s="84"/>
      <c r="H997" s="36"/>
      <c r="I997" s="36"/>
      <c r="J997" s="293"/>
      <c r="K997" s="83"/>
      <c r="L997" s="293"/>
      <c r="M997" s="36"/>
      <c r="N997" s="36"/>
      <c r="O997" s="37"/>
      <c r="P997" s="37"/>
      <c r="Q997" s="237"/>
      <c r="R997" s="37"/>
      <c r="S997" s="37"/>
      <c r="T997" s="37"/>
      <c r="U997" s="37"/>
      <c r="V997" s="122"/>
      <c r="W997" s="122"/>
      <c r="X997" s="37"/>
      <c r="Y997" s="37"/>
      <c r="Z997" s="37"/>
    </row>
    <row r="998" spans="1:26" ht="13">
      <c r="A998" s="238"/>
      <c r="B998" s="292"/>
      <c r="C998" s="36"/>
      <c r="D998" s="290"/>
      <c r="E998" s="36"/>
      <c r="F998" s="36"/>
      <c r="G998" s="84"/>
      <c r="H998" s="36"/>
      <c r="I998" s="36"/>
      <c r="J998" s="293"/>
      <c r="K998" s="83"/>
      <c r="L998" s="293"/>
      <c r="M998" s="36"/>
      <c r="N998" s="36"/>
      <c r="O998" s="37"/>
      <c r="P998" s="37"/>
      <c r="Q998" s="237"/>
      <c r="R998" s="37"/>
      <c r="S998" s="37"/>
      <c r="T998" s="37"/>
      <c r="U998" s="37"/>
      <c r="V998" s="122"/>
      <c r="W998" s="122"/>
      <c r="X998" s="37"/>
      <c r="Y998" s="37"/>
      <c r="Z998" s="37"/>
    </row>
    <row r="999" spans="1:26" ht="13">
      <c r="A999" s="238"/>
      <c r="B999" s="292"/>
      <c r="C999" s="36"/>
      <c r="D999" s="290"/>
      <c r="E999" s="36"/>
      <c r="F999" s="36"/>
      <c r="G999" s="84"/>
      <c r="H999" s="36"/>
      <c r="I999" s="36"/>
      <c r="J999" s="293"/>
      <c r="K999" s="83"/>
      <c r="L999" s="293"/>
      <c r="M999" s="36"/>
      <c r="N999" s="36"/>
      <c r="O999" s="37"/>
      <c r="P999" s="37"/>
      <c r="Q999" s="237"/>
      <c r="R999" s="37"/>
      <c r="S999" s="37"/>
      <c r="T999" s="37"/>
      <c r="U999" s="37"/>
      <c r="V999" s="122"/>
      <c r="W999" s="122"/>
      <c r="X999" s="37"/>
      <c r="Y999" s="37"/>
      <c r="Z999" s="37"/>
    </row>
    <row r="1000" spans="1:26" ht="13">
      <c r="A1000" s="238"/>
      <c r="B1000" s="292"/>
      <c r="C1000" s="36"/>
      <c r="D1000" s="290"/>
      <c r="E1000" s="36"/>
      <c r="F1000" s="36"/>
      <c r="G1000" s="84"/>
      <c r="H1000" s="36"/>
      <c r="I1000" s="36"/>
      <c r="J1000" s="293"/>
      <c r="K1000" s="83"/>
      <c r="L1000" s="293"/>
      <c r="M1000" s="36"/>
      <c r="N1000" s="36"/>
      <c r="O1000" s="37"/>
      <c r="P1000" s="37"/>
      <c r="Q1000" s="237"/>
      <c r="R1000" s="37"/>
      <c r="S1000" s="37"/>
      <c r="T1000" s="37"/>
      <c r="U1000" s="37"/>
      <c r="V1000" s="122"/>
      <c r="W1000" s="122"/>
      <c r="X1000" s="37"/>
      <c r="Y1000" s="37"/>
      <c r="Z1000" s="37"/>
    </row>
  </sheetData>
  <hyperlinks>
    <hyperlink ref="G15" r:id="rId1" xr:uid="{00000000-0004-0000-0E00-000000000000}"/>
    <hyperlink ref="G17" r:id="rId2" xr:uid="{00000000-0004-0000-0E00-000001000000}"/>
    <hyperlink ref="G22" r:id="rId3" xr:uid="{00000000-0004-0000-0E00-000002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17"/>
  <sheetViews>
    <sheetView workbookViewId="0">
      <pane ySplit="1" topLeftCell="A2" activePane="bottomLeft" state="frozen"/>
      <selection pane="bottomLeft" activeCell="B2" sqref="B2"/>
    </sheetView>
  </sheetViews>
  <sheetFormatPr baseColWidth="10" defaultColWidth="12.6328125" defaultRowHeight="15.75" customHeight="1"/>
  <cols>
    <col min="1" max="1" width="22.6328125" customWidth="1"/>
    <col min="3" max="3" width="29.36328125" customWidth="1"/>
    <col min="4" max="4" width="71.7265625" customWidth="1"/>
    <col min="5" max="5" width="31.08984375" customWidth="1"/>
    <col min="10" max="10" width="15.36328125" customWidth="1"/>
    <col min="11" max="11" width="145.08984375" customWidth="1"/>
    <col min="13" max="13" width="25.90625" customWidth="1"/>
    <col min="15" max="15" width="44.26953125" customWidth="1"/>
    <col min="20" max="20" width="16" customWidth="1"/>
    <col min="22" max="23" width="12.6328125" style="368"/>
  </cols>
  <sheetData>
    <row r="1" spans="1:26" ht="45.75" customHeight="1">
      <c r="A1" s="231">
        <v>27</v>
      </c>
      <c r="B1" s="232" t="s">
        <v>531</v>
      </c>
      <c r="C1" s="233" t="s">
        <v>538</v>
      </c>
      <c r="D1" s="233" t="s">
        <v>2</v>
      </c>
      <c r="E1" s="233" t="s">
        <v>3</v>
      </c>
      <c r="F1" s="233" t="s">
        <v>4</v>
      </c>
      <c r="G1" s="233" t="s">
        <v>721</v>
      </c>
      <c r="H1" s="233" t="s">
        <v>5</v>
      </c>
      <c r="I1" s="233" t="s">
        <v>655</v>
      </c>
      <c r="J1" s="233" t="s">
        <v>532</v>
      </c>
      <c r="K1" s="235" t="s">
        <v>7</v>
      </c>
      <c r="L1" s="233" t="s">
        <v>893</v>
      </c>
      <c r="M1" s="233" t="s">
        <v>10</v>
      </c>
      <c r="N1" s="233" t="s">
        <v>12</v>
      </c>
      <c r="O1" s="233" t="s">
        <v>1190</v>
      </c>
      <c r="P1" s="233" t="s">
        <v>14</v>
      </c>
      <c r="Q1" s="233" t="s">
        <v>656</v>
      </c>
      <c r="R1" s="233" t="s">
        <v>658</v>
      </c>
      <c r="S1" s="233" t="s">
        <v>659</v>
      </c>
      <c r="T1" s="233" t="s">
        <v>803</v>
      </c>
      <c r="U1" s="240"/>
      <c r="V1" s="373" t="s">
        <v>2583</v>
      </c>
      <c r="W1" s="373" t="s">
        <v>2670</v>
      </c>
      <c r="X1" s="238"/>
      <c r="Y1" s="238"/>
      <c r="Z1" s="238"/>
    </row>
    <row r="2" spans="1:26" ht="65.25" customHeight="1">
      <c r="A2" s="294" t="s">
        <v>1191</v>
      </c>
      <c r="B2" s="252">
        <v>335457</v>
      </c>
      <c r="C2" s="238" t="s">
        <v>604</v>
      </c>
      <c r="D2" s="295" t="s">
        <v>1192</v>
      </c>
      <c r="E2" s="296" t="s">
        <v>1193</v>
      </c>
      <c r="F2" s="238">
        <v>3124314603</v>
      </c>
      <c r="G2" s="238" t="s">
        <v>1194</v>
      </c>
      <c r="H2" s="251" t="s">
        <v>540</v>
      </c>
      <c r="I2" s="238" t="s">
        <v>1195</v>
      </c>
      <c r="J2" s="248" t="s">
        <v>1196</v>
      </c>
      <c r="K2" s="372" t="s">
        <v>1197</v>
      </c>
      <c r="L2" s="249" t="s">
        <v>1198</v>
      </c>
      <c r="M2" s="238" t="s">
        <v>1199</v>
      </c>
      <c r="N2" s="238" t="s">
        <v>809</v>
      </c>
      <c r="O2" s="238"/>
      <c r="P2" s="238"/>
      <c r="Q2" s="238" t="s">
        <v>1200</v>
      </c>
      <c r="R2" s="238"/>
      <c r="S2" s="238"/>
      <c r="T2" s="240" t="s">
        <v>813</v>
      </c>
      <c r="U2" s="298" t="s">
        <v>1201</v>
      </c>
      <c r="V2" s="240" t="s">
        <v>2594</v>
      </c>
      <c r="W2" s="240" t="s">
        <v>2594</v>
      </c>
      <c r="X2" s="238"/>
      <c r="Y2" s="238"/>
      <c r="Z2" s="238"/>
    </row>
    <row r="3" spans="1:26" ht="87.5">
      <c r="A3" s="299" t="s">
        <v>1202</v>
      </c>
      <c r="B3" s="252">
        <v>92932</v>
      </c>
      <c r="C3" s="238" t="s">
        <v>591</v>
      </c>
      <c r="D3" s="300" t="s">
        <v>1203</v>
      </c>
      <c r="E3" s="296" t="s">
        <v>1204</v>
      </c>
      <c r="F3" s="251">
        <v>2609211</v>
      </c>
      <c r="G3" s="251" t="s">
        <v>1205</v>
      </c>
      <c r="H3" s="251" t="s">
        <v>540</v>
      </c>
      <c r="I3" s="238" t="s">
        <v>1206</v>
      </c>
      <c r="J3" s="248" t="s">
        <v>1207</v>
      </c>
      <c r="K3" s="369" t="s">
        <v>1208</v>
      </c>
      <c r="L3" s="249" t="s">
        <v>1179</v>
      </c>
      <c r="M3" s="238" t="s">
        <v>1160</v>
      </c>
      <c r="N3" s="238" t="s">
        <v>809</v>
      </c>
      <c r="O3" s="238"/>
      <c r="P3" s="238"/>
      <c r="Q3" s="238" t="s">
        <v>1209</v>
      </c>
      <c r="R3" s="238"/>
      <c r="S3" s="238"/>
      <c r="T3" s="240" t="s">
        <v>813</v>
      </c>
      <c r="U3" s="298" t="s">
        <v>1201</v>
      </c>
      <c r="V3" s="240" t="s">
        <v>2584</v>
      </c>
      <c r="W3" s="240" t="s">
        <v>2654</v>
      </c>
      <c r="X3" s="238"/>
      <c r="Y3" s="238"/>
      <c r="Z3" s="238"/>
    </row>
    <row r="4" spans="1:26" ht="59.25" customHeight="1">
      <c r="A4" s="299" t="s">
        <v>1210</v>
      </c>
      <c r="B4" s="252">
        <v>360000</v>
      </c>
      <c r="C4" s="238" t="s">
        <v>1211</v>
      </c>
      <c r="D4" s="300" t="s">
        <v>1212</v>
      </c>
      <c r="E4" s="296" t="s">
        <v>1213</v>
      </c>
      <c r="F4" s="251" t="s">
        <v>1214</v>
      </c>
      <c r="G4" s="251" t="s">
        <v>1215</v>
      </c>
      <c r="H4" s="251" t="s">
        <v>1015</v>
      </c>
      <c r="I4" s="238" t="s">
        <v>1216</v>
      </c>
      <c r="J4" s="248" t="s">
        <v>1217</v>
      </c>
      <c r="K4" s="369" t="s">
        <v>1218</v>
      </c>
      <c r="L4" s="249" t="s">
        <v>1219</v>
      </c>
      <c r="M4" s="238" t="s">
        <v>1160</v>
      </c>
      <c r="N4" s="238" t="s">
        <v>809</v>
      </c>
      <c r="O4" s="238"/>
      <c r="P4" s="238"/>
      <c r="Q4" s="238" t="s">
        <v>1220</v>
      </c>
      <c r="R4" s="238"/>
      <c r="S4" s="238"/>
      <c r="T4" s="240" t="s">
        <v>813</v>
      </c>
      <c r="U4" s="298" t="s">
        <v>1201</v>
      </c>
      <c r="V4" s="240" t="s">
        <v>2592</v>
      </c>
      <c r="W4" s="240" t="s">
        <v>2573</v>
      </c>
      <c r="X4" s="238"/>
      <c r="Y4" s="238"/>
      <c r="Z4" s="238"/>
    </row>
    <row r="5" spans="1:26" ht="65.25" customHeight="1">
      <c r="A5" s="299" t="s">
        <v>1221</v>
      </c>
      <c r="B5" s="252">
        <v>360000</v>
      </c>
      <c r="C5" s="238" t="s">
        <v>1211</v>
      </c>
      <c r="D5" s="300" t="s">
        <v>1222</v>
      </c>
      <c r="E5" s="296" t="s">
        <v>1213</v>
      </c>
      <c r="F5" s="251" t="s">
        <v>1214</v>
      </c>
      <c r="G5" s="251" t="s">
        <v>1215</v>
      </c>
      <c r="H5" s="251" t="s">
        <v>1015</v>
      </c>
      <c r="I5" s="238" t="s">
        <v>1216</v>
      </c>
      <c r="J5" s="248" t="s">
        <v>1223</v>
      </c>
      <c r="K5" s="369" t="s">
        <v>1224</v>
      </c>
      <c r="L5" s="249" t="s">
        <v>1179</v>
      </c>
      <c r="M5" s="238" t="s">
        <v>1160</v>
      </c>
      <c r="N5" s="238" t="s">
        <v>809</v>
      </c>
      <c r="O5" s="238"/>
      <c r="P5" s="238"/>
      <c r="Q5" s="238" t="s">
        <v>1220</v>
      </c>
      <c r="R5" s="238"/>
      <c r="S5" s="238"/>
      <c r="T5" s="240" t="s">
        <v>813</v>
      </c>
      <c r="U5" s="298" t="s">
        <v>1201</v>
      </c>
      <c r="V5" s="240" t="s">
        <v>2592</v>
      </c>
      <c r="W5" s="240" t="s">
        <v>2573</v>
      </c>
      <c r="X5" s="238"/>
      <c r="Y5" s="238"/>
      <c r="Z5" s="238"/>
    </row>
    <row r="6" spans="1:26" ht="51.75" customHeight="1">
      <c r="A6" s="299" t="s">
        <v>1225</v>
      </c>
      <c r="B6" s="252">
        <v>470400</v>
      </c>
      <c r="C6" s="238" t="s">
        <v>944</v>
      </c>
      <c r="D6" s="300" t="s">
        <v>1226</v>
      </c>
      <c r="E6" s="296" t="s">
        <v>1227</v>
      </c>
      <c r="F6" s="251">
        <v>3108248076</v>
      </c>
      <c r="G6" s="251" t="s">
        <v>1228</v>
      </c>
      <c r="H6" s="251" t="s">
        <v>1015</v>
      </c>
      <c r="I6" s="238" t="s">
        <v>1229</v>
      </c>
      <c r="J6" s="248" t="s">
        <v>1230</v>
      </c>
      <c r="K6" s="376" t="s">
        <v>1231</v>
      </c>
      <c r="L6" s="249" t="s">
        <v>1232</v>
      </c>
      <c r="M6" s="238" t="s">
        <v>1233</v>
      </c>
      <c r="N6" s="238" t="s">
        <v>809</v>
      </c>
      <c r="O6" s="238"/>
      <c r="P6" s="238"/>
      <c r="Q6" s="238" t="s">
        <v>1234</v>
      </c>
      <c r="R6" s="238"/>
      <c r="S6" s="238"/>
      <c r="T6" s="240" t="s">
        <v>813</v>
      </c>
      <c r="U6" s="298" t="s">
        <v>1201</v>
      </c>
      <c r="V6" s="240" t="s">
        <v>2593</v>
      </c>
      <c r="W6" s="240" t="s">
        <v>2686</v>
      </c>
      <c r="X6" s="238"/>
      <c r="Y6" s="238"/>
      <c r="Z6" s="238"/>
    </row>
    <row r="7" spans="1:26" ht="51.75" customHeight="1">
      <c r="A7" s="299" t="s">
        <v>1235</v>
      </c>
      <c r="B7" s="252">
        <v>274400</v>
      </c>
      <c r="C7" s="238" t="s">
        <v>1236</v>
      </c>
      <c r="D7" s="300" t="s">
        <v>1237</v>
      </c>
      <c r="E7" s="296" t="s">
        <v>1238</v>
      </c>
      <c r="F7" s="251">
        <v>3125125211</v>
      </c>
      <c r="G7" s="251" t="s">
        <v>1239</v>
      </c>
      <c r="H7" s="251" t="s">
        <v>1015</v>
      </c>
      <c r="I7" s="238" t="s">
        <v>1240</v>
      </c>
      <c r="J7" s="248" t="s">
        <v>1241</v>
      </c>
      <c r="K7" s="369" t="s">
        <v>1242</v>
      </c>
      <c r="L7" s="249" t="s">
        <v>1243</v>
      </c>
      <c r="M7" s="238" t="s">
        <v>1244</v>
      </c>
      <c r="N7" s="238" t="s">
        <v>809</v>
      </c>
      <c r="O7" s="238"/>
      <c r="P7" s="238"/>
      <c r="Q7" s="238" t="s">
        <v>1200</v>
      </c>
      <c r="R7" s="238"/>
      <c r="S7" s="238"/>
      <c r="T7" s="240" t="s">
        <v>813</v>
      </c>
      <c r="U7" s="298" t="s">
        <v>1201</v>
      </c>
      <c r="V7" s="373" t="s">
        <v>2595</v>
      </c>
      <c r="W7" s="240" t="s">
        <v>2637</v>
      </c>
      <c r="X7" s="238"/>
      <c r="Y7" s="238"/>
      <c r="Z7" s="238"/>
    </row>
    <row r="8" spans="1:26" ht="48.75" customHeight="1">
      <c r="A8" s="256" t="s">
        <v>1245</v>
      </c>
      <c r="B8" s="301">
        <v>2824906</v>
      </c>
      <c r="C8" s="258" t="s">
        <v>1246</v>
      </c>
      <c r="D8" s="295" t="s">
        <v>1247</v>
      </c>
      <c r="E8" s="302" t="s">
        <v>1248</v>
      </c>
      <c r="F8" s="256">
        <v>2683002</v>
      </c>
      <c r="G8" s="256" t="s">
        <v>1249</v>
      </c>
      <c r="H8" s="258" t="s">
        <v>1015</v>
      </c>
      <c r="I8" s="258" t="s">
        <v>1250</v>
      </c>
      <c r="J8" s="303" t="s">
        <v>1251</v>
      </c>
      <c r="K8" s="265" t="s">
        <v>1252</v>
      </c>
      <c r="L8" s="304" t="s">
        <v>1243</v>
      </c>
      <c r="M8" s="258" t="s">
        <v>1253</v>
      </c>
      <c r="N8" s="258" t="s">
        <v>809</v>
      </c>
      <c r="O8" s="258"/>
      <c r="P8" s="258"/>
      <c r="Q8" s="258" t="s">
        <v>1254</v>
      </c>
      <c r="R8" s="258"/>
      <c r="S8" s="258"/>
      <c r="T8" s="240" t="s">
        <v>813</v>
      </c>
      <c r="U8" s="298" t="s">
        <v>1201</v>
      </c>
      <c r="V8" s="264" t="s">
        <v>2576</v>
      </c>
      <c r="W8" s="264" t="s">
        <v>2637</v>
      </c>
      <c r="X8" s="258"/>
      <c r="Y8" s="258"/>
      <c r="Z8" s="258"/>
    </row>
    <row r="9" spans="1:26" ht="42" customHeight="1">
      <c r="A9" s="251" t="s">
        <v>1255</v>
      </c>
      <c r="B9" s="301">
        <v>2824906</v>
      </c>
      <c r="C9" s="258" t="s">
        <v>1246</v>
      </c>
      <c r="D9" s="295" t="s">
        <v>1256</v>
      </c>
      <c r="E9" s="302" t="s">
        <v>1257</v>
      </c>
      <c r="F9" s="256">
        <v>4482396</v>
      </c>
      <c r="G9" s="256" t="s">
        <v>1258</v>
      </c>
      <c r="H9" s="258" t="s">
        <v>1015</v>
      </c>
      <c r="I9" s="258" t="s">
        <v>1250</v>
      </c>
      <c r="J9" s="303" t="s">
        <v>1259</v>
      </c>
      <c r="K9" s="265" t="s">
        <v>1252</v>
      </c>
      <c r="L9" s="304" t="s">
        <v>1260</v>
      </c>
      <c r="M9" s="258" t="s">
        <v>1253</v>
      </c>
      <c r="N9" s="258" t="s">
        <v>809</v>
      </c>
      <c r="O9" s="258"/>
      <c r="P9" s="258"/>
      <c r="Q9" s="258" t="s">
        <v>1254</v>
      </c>
      <c r="R9" s="258"/>
      <c r="S9" s="258"/>
      <c r="T9" s="240" t="s">
        <v>813</v>
      </c>
      <c r="U9" s="298" t="s">
        <v>1201</v>
      </c>
      <c r="V9" s="264" t="s">
        <v>2576</v>
      </c>
      <c r="W9" s="264" t="s">
        <v>2637</v>
      </c>
      <c r="X9" s="258"/>
      <c r="Y9" s="258"/>
      <c r="Z9" s="258"/>
    </row>
    <row r="10" spans="1:26" ht="48" customHeight="1">
      <c r="A10" s="256" t="s">
        <v>1261</v>
      </c>
      <c r="B10" s="301">
        <v>2824906</v>
      </c>
      <c r="C10" s="258" t="s">
        <v>1246</v>
      </c>
      <c r="D10" s="295" t="s">
        <v>1262</v>
      </c>
      <c r="E10" s="302" t="s">
        <v>1263</v>
      </c>
      <c r="F10" s="256">
        <v>3114208</v>
      </c>
      <c r="G10" s="256" t="s">
        <v>1264</v>
      </c>
      <c r="H10" s="258" t="s">
        <v>1015</v>
      </c>
      <c r="I10" s="258" t="s">
        <v>1250</v>
      </c>
      <c r="J10" s="303" t="s">
        <v>1265</v>
      </c>
      <c r="K10" s="265" t="s">
        <v>1252</v>
      </c>
      <c r="L10" s="304" t="s">
        <v>1266</v>
      </c>
      <c r="M10" s="258" t="s">
        <v>1253</v>
      </c>
      <c r="N10" s="258" t="s">
        <v>809</v>
      </c>
      <c r="O10" s="258"/>
      <c r="P10" s="258"/>
      <c r="Q10" s="258" t="s">
        <v>1254</v>
      </c>
      <c r="R10" s="258"/>
      <c r="S10" s="258"/>
      <c r="T10" s="240" t="s">
        <v>813</v>
      </c>
      <c r="U10" s="298" t="s">
        <v>1201</v>
      </c>
      <c r="V10" s="264" t="s">
        <v>2576</v>
      </c>
      <c r="W10" s="264" t="s">
        <v>2637</v>
      </c>
      <c r="X10" s="258"/>
      <c r="Y10" s="258"/>
      <c r="Z10" s="258"/>
    </row>
    <row r="11" spans="1:26" ht="42" customHeight="1">
      <c r="A11" s="256" t="s">
        <v>1267</v>
      </c>
      <c r="B11" s="301">
        <v>2868964</v>
      </c>
      <c r="C11" s="258" t="s">
        <v>1246</v>
      </c>
      <c r="D11" s="295" t="s">
        <v>1268</v>
      </c>
      <c r="E11" s="296" t="s">
        <v>1269</v>
      </c>
      <c r="F11" s="258">
        <v>3012461079</v>
      </c>
      <c r="G11" s="258" t="s">
        <v>1270</v>
      </c>
      <c r="H11" s="258" t="s">
        <v>1015</v>
      </c>
      <c r="I11" s="258" t="s">
        <v>1271</v>
      </c>
      <c r="J11" s="303" t="s">
        <v>1272</v>
      </c>
      <c r="K11" s="265" t="s">
        <v>1252</v>
      </c>
      <c r="L11" s="304" t="s">
        <v>1273</v>
      </c>
      <c r="M11" s="258" t="s">
        <v>1253</v>
      </c>
      <c r="N11" s="258" t="s">
        <v>809</v>
      </c>
      <c r="O11" s="258"/>
      <c r="P11" s="258"/>
      <c r="Q11" s="258" t="s">
        <v>1274</v>
      </c>
      <c r="R11" s="258"/>
      <c r="S11" s="258"/>
      <c r="T11" s="240" t="s">
        <v>813</v>
      </c>
      <c r="U11" s="298" t="s">
        <v>1201</v>
      </c>
      <c r="V11" s="264" t="s">
        <v>2576</v>
      </c>
      <c r="W11" s="264" t="s">
        <v>2637</v>
      </c>
      <c r="X11" s="258"/>
      <c r="Y11" s="258"/>
      <c r="Z11" s="258"/>
    </row>
    <row r="12" spans="1:26" ht="42" customHeight="1">
      <c r="A12" s="294" t="s">
        <v>1275</v>
      </c>
      <c r="B12" s="305">
        <v>90321</v>
      </c>
      <c r="C12" s="258" t="s">
        <v>637</v>
      </c>
      <c r="D12" s="300" t="s">
        <v>1276</v>
      </c>
      <c r="E12" s="296" t="s">
        <v>1277</v>
      </c>
      <c r="F12" s="238">
        <v>3147229486</v>
      </c>
      <c r="G12" s="238" t="s">
        <v>1278</v>
      </c>
      <c r="H12" s="238" t="s">
        <v>1015</v>
      </c>
      <c r="I12" s="238" t="s">
        <v>1279</v>
      </c>
      <c r="J12" s="303" t="s">
        <v>1259</v>
      </c>
      <c r="K12" s="377" t="s">
        <v>1280</v>
      </c>
      <c r="L12" s="304" t="s">
        <v>1260</v>
      </c>
      <c r="M12" s="238" t="s">
        <v>1281</v>
      </c>
      <c r="N12" s="238" t="s">
        <v>809</v>
      </c>
      <c r="O12" s="238"/>
      <c r="P12" s="238"/>
      <c r="Q12" s="258" t="s">
        <v>1274</v>
      </c>
      <c r="R12" s="238"/>
      <c r="S12" s="238"/>
      <c r="T12" s="240" t="s">
        <v>813</v>
      </c>
      <c r="U12" s="298" t="s">
        <v>1201</v>
      </c>
      <c r="V12" s="240" t="s">
        <v>2599</v>
      </c>
      <c r="W12" s="373" t="s">
        <v>2654</v>
      </c>
      <c r="X12" s="238"/>
      <c r="Y12" s="238"/>
      <c r="Z12" s="238"/>
    </row>
    <row r="13" spans="1:26" ht="39" customHeight="1">
      <c r="A13" s="294" t="s">
        <v>1282</v>
      </c>
      <c r="B13" s="257">
        <v>201274</v>
      </c>
      <c r="C13" s="258" t="s">
        <v>591</v>
      </c>
      <c r="D13" s="295" t="s">
        <v>1283</v>
      </c>
      <c r="E13" s="302" t="s">
        <v>1283</v>
      </c>
      <c r="F13" s="256">
        <v>3206627862</v>
      </c>
      <c r="G13" s="256" t="s">
        <v>1284</v>
      </c>
      <c r="H13" s="258" t="s">
        <v>1015</v>
      </c>
      <c r="I13" s="258" t="s">
        <v>1285</v>
      </c>
      <c r="J13" s="303" t="s">
        <v>1265</v>
      </c>
      <c r="K13" s="265" t="s">
        <v>1286</v>
      </c>
      <c r="L13" s="304" t="s">
        <v>1266</v>
      </c>
      <c r="M13" s="258" t="s">
        <v>1253</v>
      </c>
      <c r="N13" s="258" t="s">
        <v>809</v>
      </c>
      <c r="O13" s="258"/>
      <c r="P13" s="258"/>
      <c r="Q13" s="258" t="s">
        <v>1287</v>
      </c>
      <c r="R13" s="258"/>
      <c r="S13" s="258"/>
      <c r="T13" s="240" t="s">
        <v>813</v>
      </c>
      <c r="U13" s="298" t="s">
        <v>1201</v>
      </c>
      <c r="V13" s="264" t="s">
        <v>2575</v>
      </c>
      <c r="W13" s="264" t="s">
        <v>2672</v>
      </c>
      <c r="X13" s="258"/>
      <c r="Y13" s="258"/>
      <c r="Z13" s="258"/>
    </row>
    <row r="14" spans="1:26" ht="39" customHeight="1">
      <c r="A14" s="294" t="s">
        <v>1288</v>
      </c>
      <c r="B14" s="306">
        <v>350000</v>
      </c>
      <c r="C14" s="258" t="s">
        <v>944</v>
      </c>
      <c r="D14" s="295" t="s">
        <v>1289</v>
      </c>
      <c r="E14" s="302" t="s">
        <v>1130</v>
      </c>
      <c r="F14" s="256">
        <v>3127676748</v>
      </c>
      <c r="G14" s="256" t="s">
        <v>1290</v>
      </c>
      <c r="H14" s="258" t="s">
        <v>1015</v>
      </c>
      <c r="I14" s="258" t="s">
        <v>1291</v>
      </c>
      <c r="J14" s="303" t="s">
        <v>1272</v>
      </c>
      <c r="K14" s="378" t="s">
        <v>1292</v>
      </c>
      <c r="L14" s="304" t="s">
        <v>1293</v>
      </c>
      <c r="M14" s="258" t="s">
        <v>1281</v>
      </c>
      <c r="N14" s="258" t="s">
        <v>809</v>
      </c>
      <c r="O14" s="258"/>
      <c r="P14" s="258"/>
      <c r="Q14" s="258" t="s">
        <v>1127</v>
      </c>
      <c r="R14" s="258"/>
      <c r="S14" s="258"/>
      <c r="T14" s="240" t="s">
        <v>813</v>
      </c>
      <c r="U14" s="298" t="s">
        <v>1201</v>
      </c>
      <c r="V14" s="264" t="s">
        <v>2590</v>
      </c>
      <c r="W14" s="264" t="s">
        <v>2679</v>
      </c>
      <c r="X14" s="258"/>
      <c r="Y14" s="258"/>
      <c r="Z14" s="258"/>
    </row>
    <row r="15" spans="1:26" ht="39" customHeight="1">
      <c r="A15" s="256" t="s">
        <v>1294</v>
      </c>
      <c r="B15" s="306">
        <v>392000</v>
      </c>
      <c r="C15" s="258" t="s">
        <v>914</v>
      </c>
      <c r="D15" s="295" t="s">
        <v>1295</v>
      </c>
      <c r="E15" s="302" t="s">
        <v>1296</v>
      </c>
      <c r="F15" s="256">
        <v>31082154871</v>
      </c>
      <c r="G15" s="256" t="s">
        <v>1297</v>
      </c>
      <c r="H15" s="258" t="s">
        <v>1015</v>
      </c>
      <c r="I15" s="258" t="s">
        <v>1298</v>
      </c>
      <c r="J15" s="303" t="s">
        <v>1299</v>
      </c>
      <c r="K15" s="377" t="s">
        <v>1300</v>
      </c>
      <c r="L15" s="304" t="s">
        <v>1301</v>
      </c>
      <c r="M15" s="258" t="s">
        <v>1302</v>
      </c>
      <c r="N15" s="258" t="s">
        <v>809</v>
      </c>
      <c r="O15" s="258"/>
      <c r="P15" s="258"/>
      <c r="Q15" s="264" t="s">
        <v>1303</v>
      </c>
      <c r="R15" s="258"/>
      <c r="S15" s="258"/>
      <c r="T15" s="264" t="s">
        <v>813</v>
      </c>
      <c r="U15" s="298" t="s">
        <v>1201</v>
      </c>
      <c r="V15" s="264" t="s">
        <v>2576</v>
      </c>
      <c r="W15" s="379" t="s">
        <v>2637</v>
      </c>
      <c r="X15" s="258"/>
      <c r="Y15" s="258"/>
      <c r="Z15" s="258"/>
    </row>
    <row r="16" spans="1:26" ht="39" customHeight="1">
      <c r="A16" s="294">
        <v>8110014482</v>
      </c>
      <c r="B16" s="257">
        <v>541117</v>
      </c>
      <c r="C16" s="258" t="s">
        <v>572</v>
      </c>
      <c r="D16" s="295" t="s">
        <v>1304</v>
      </c>
      <c r="E16" s="302" t="s">
        <v>1305</v>
      </c>
      <c r="F16" s="256">
        <v>3148770786</v>
      </c>
      <c r="G16" s="256" t="s">
        <v>1306</v>
      </c>
      <c r="H16" s="258" t="s">
        <v>1015</v>
      </c>
      <c r="I16" s="258" t="s">
        <v>1307</v>
      </c>
      <c r="J16" s="303" t="s">
        <v>1299</v>
      </c>
      <c r="K16" s="377" t="s">
        <v>1308</v>
      </c>
      <c r="L16" s="304" t="s">
        <v>1309</v>
      </c>
      <c r="M16" s="258" t="s">
        <v>1310</v>
      </c>
      <c r="N16" s="258" t="s">
        <v>809</v>
      </c>
      <c r="O16" s="258"/>
      <c r="P16" s="258"/>
      <c r="Q16" s="264" t="s">
        <v>1303</v>
      </c>
      <c r="R16" s="258"/>
      <c r="S16" s="258"/>
      <c r="T16" s="264" t="s">
        <v>813</v>
      </c>
      <c r="U16" s="298" t="s">
        <v>1201</v>
      </c>
      <c r="V16" s="264" t="s">
        <v>2575</v>
      </c>
      <c r="W16" s="379" t="s">
        <v>2672</v>
      </c>
      <c r="X16" s="258"/>
      <c r="Y16" s="258"/>
      <c r="Z16" s="258"/>
    </row>
    <row r="17" spans="1:26" ht="39" customHeight="1">
      <c r="A17" s="294" t="s">
        <v>1311</v>
      </c>
      <c r="B17" s="306">
        <v>250000</v>
      </c>
      <c r="C17" s="258" t="s">
        <v>1312</v>
      </c>
      <c r="D17" s="295" t="s">
        <v>1313</v>
      </c>
      <c r="E17" s="302" t="s">
        <v>1314</v>
      </c>
      <c r="F17" s="256" t="s">
        <v>1315</v>
      </c>
      <c r="G17" s="256" t="s">
        <v>1316</v>
      </c>
      <c r="H17" s="258" t="s">
        <v>1015</v>
      </c>
      <c r="I17" s="258" t="s">
        <v>1317</v>
      </c>
      <c r="J17" s="303" t="s">
        <v>1318</v>
      </c>
      <c r="K17" s="377" t="s">
        <v>1319</v>
      </c>
      <c r="L17" s="304" t="s">
        <v>1320</v>
      </c>
      <c r="M17" s="258" t="s">
        <v>1253</v>
      </c>
      <c r="N17" s="258" t="s">
        <v>809</v>
      </c>
      <c r="O17" s="258"/>
      <c r="P17" s="258"/>
      <c r="Q17" s="258" t="s">
        <v>1127</v>
      </c>
      <c r="R17" s="258"/>
      <c r="S17" s="258"/>
      <c r="T17" s="264" t="s">
        <v>813</v>
      </c>
      <c r="U17" s="298" t="s">
        <v>1201</v>
      </c>
      <c r="V17" s="379" t="s">
        <v>2593</v>
      </c>
      <c r="W17" s="264" t="s">
        <v>2686</v>
      </c>
      <c r="X17" s="258"/>
      <c r="Y17" s="258"/>
      <c r="Z17" s="258"/>
    </row>
    <row r="18" spans="1:26" ht="39" customHeight="1">
      <c r="A18" s="294" t="s">
        <v>1321</v>
      </c>
      <c r="B18" s="306">
        <v>350000</v>
      </c>
      <c r="C18" s="258" t="s">
        <v>1312</v>
      </c>
      <c r="D18" s="295" t="s">
        <v>1322</v>
      </c>
      <c r="E18" s="302" t="s">
        <v>1323</v>
      </c>
      <c r="F18" s="256">
        <v>3202616039</v>
      </c>
      <c r="G18" s="256" t="s">
        <v>1324</v>
      </c>
      <c r="H18" s="258" t="s">
        <v>1015</v>
      </c>
      <c r="I18" s="258" t="s">
        <v>1325</v>
      </c>
      <c r="J18" s="303" t="s">
        <v>1326</v>
      </c>
      <c r="K18" s="377" t="s">
        <v>1327</v>
      </c>
      <c r="L18" s="304" t="s">
        <v>1328</v>
      </c>
      <c r="M18" s="258" t="s">
        <v>1253</v>
      </c>
      <c r="N18" s="258" t="s">
        <v>809</v>
      </c>
      <c r="O18" s="258"/>
      <c r="P18" s="258"/>
      <c r="Q18" s="258" t="s">
        <v>1220</v>
      </c>
      <c r="R18" s="258"/>
      <c r="S18" s="258"/>
      <c r="T18" s="264" t="s">
        <v>813</v>
      </c>
      <c r="U18" s="298" t="s">
        <v>1201</v>
      </c>
      <c r="V18" s="379" t="s">
        <v>2598</v>
      </c>
      <c r="W18" s="379" t="s">
        <v>2573</v>
      </c>
      <c r="X18" s="258"/>
      <c r="Y18" s="258"/>
      <c r="Z18" s="258"/>
    </row>
    <row r="19" spans="1:26" ht="45.75" customHeight="1">
      <c r="A19" s="238" t="s">
        <v>1329</v>
      </c>
      <c r="B19" s="246">
        <v>560000</v>
      </c>
      <c r="C19" s="238" t="s">
        <v>611</v>
      </c>
      <c r="D19" s="295" t="s">
        <v>1330</v>
      </c>
      <c r="E19" s="296" t="s">
        <v>1331</v>
      </c>
      <c r="F19" s="238">
        <v>3168163636</v>
      </c>
      <c r="G19" s="238" t="s">
        <v>1332</v>
      </c>
      <c r="H19" s="242" t="s">
        <v>1015</v>
      </c>
      <c r="I19" s="251" t="s">
        <v>1298</v>
      </c>
      <c r="J19" s="307" t="s">
        <v>1333</v>
      </c>
      <c r="K19" s="83" t="s">
        <v>1334</v>
      </c>
      <c r="L19" s="249" t="s">
        <v>1335</v>
      </c>
      <c r="M19" s="240" t="s">
        <v>1302</v>
      </c>
      <c r="N19" s="258" t="s">
        <v>809</v>
      </c>
      <c r="O19" s="238"/>
      <c r="P19" s="240"/>
      <c r="Q19" s="240" t="s">
        <v>1303</v>
      </c>
      <c r="R19" s="238"/>
      <c r="S19" s="238"/>
      <c r="T19" s="240" t="s">
        <v>813</v>
      </c>
      <c r="U19" s="298" t="s">
        <v>1201</v>
      </c>
      <c r="V19" s="373" t="s">
        <v>2599</v>
      </c>
      <c r="W19" s="373" t="s">
        <v>2654</v>
      </c>
      <c r="X19" s="238"/>
      <c r="Y19" s="238"/>
      <c r="Z19" s="238"/>
    </row>
    <row r="20" spans="1:26" ht="39" customHeight="1">
      <c r="A20" s="256">
        <v>138016763</v>
      </c>
      <c r="B20" s="308">
        <v>300000</v>
      </c>
      <c r="C20" s="256" t="s">
        <v>1211</v>
      </c>
      <c r="D20" s="295" t="s">
        <v>1336</v>
      </c>
      <c r="E20" s="302" t="s">
        <v>1337</v>
      </c>
      <c r="F20" s="256">
        <v>3112489840</v>
      </c>
      <c r="G20" s="256" t="s">
        <v>1338</v>
      </c>
      <c r="H20" s="256" t="s">
        <v>1015</v>
      </c>
      <c r="I20" s="256" t="s">
        <v>1339</v>
      </c>
      <c r="J20" s="303" t="s">
        <v>1340</v>
      </c>
      <c r="K20" s="380" t="s">
        <v>1341</v>
      </c>
      <c r="L20" s="304" t="s">
        <v>1342</v>
      </c>
      <c r="M20" s="256" t="s">
        <v>1253</v>
      </c>
      <c r="N20" s="256" t="s">
        <v>809</v>
      </c>
      <c r="O20" s="256"/>
      <c r="P20" s="256"/>
      <c r="Q20" s="240" t="s">
        <v>1303</v>
      </c>
      <c r="R20" s="256"/>
      <c r="S20" s="256"/>
      <c r="T20" s="240" t="s">
        <v>813</v>
      </c>
      <c r="U20" s="298" t="s">
        <v>1201</v>
      </c>
      <c r="V20" s="381" t="s">
        <v>2600</v>
      </c>
      <c r="W20" s="381" t="s">
        <v>2573</v>
      </c>
      <c r="X20" s="256"/>
      <c r="Y20" s="256"/>
      <c r="Z20" s="256"/>
    </row>
    <row r="21" spans="1:26" ht="39" customHeight="1">
      <c r="A21" s="294" t="s">
        <v>1343</v>
      </c>
      <c r="B21" s="308">
        <v>336000</v>
      </c>
      <c r="C21" s="256" t="s">
        <v>1344</v>
      </c>
      <c r="D21" s="295" t="s">
        <v>1345</v>
      </c>
      <c r="E21" s="302" t="s">
        <v>1346</v>
      </c>
      <c r="F21" s="256">
        <v>3187177313</v>
      </c>
      <c r="G21" s="256" t="s">
        <v>1347</v>
      </c>
      <c r="H21" s="256" t="s">
        <v>1015</v>
      </c>
      <c r="I21" s="256" t="s">
        <v>1348</v>
      </c>
      <c r="J21" s="303" t="s">
        <v>1340</v>
      </c>
      <c r="K21" s="372" t="s">
        <v>1349</v>
      </c>
      <c r="L21" s="304" t="s">
        <v>1350</v>
      </c>
      <c r="M21" s="256" t="s">
        <v>1310</v>
      </c>
      <c r="N21" s="256" t="s">
        <v>809</v>
      </c>
      <c r="O21" s="256"/>
      <c r="P21" s="256"/>
      <c r="Q21" s="264" t="s">
        <v>1303</v>
      </c>
      <c r="R21" s="256"/>
      <c r="S21" s="256"/>
      <c r="T21" s="240" t="s">
        <v>813</v>
      </c>
      <c r="U21" s="298" t="s">
        <v>1201</v>
      </c>
      <c r="V21" s="374" t="s">
        <v>2601</v>
      </c>
      <c r="W21" s="374" t="s">
        <v>2678</v>
      </c>
      <c r="X21" s="256"/>
      <c r="Y21" s="256"/>
      <c r="Z21" s="256"/>
    </row>
    <row r="22" spans="1:26" ht="39" customHeight="1">
      <c r="A22" s="309" t="s">
        <v>1351</v>
      </c>
      <c r="B22" s="308">
        <v>392000</v>
      </c>
      <c r="C22" s="256" t="s">
        <v>1352</v>
      </c>
      <c r="D22" s="295" t="s">
        <v>1353</v>
      </c>
      <c r="E22" s="302" t="s">
        <v>1354</v>
      </c>
      <c r="F22" s="256">
        <v>3103892962</v>
      </c>
      <c r="G22" s="256" t="s">
        <v>1355</v>
      </c>
      <c r="H22" s="256" t="s">
        <v>1015</v>
      </c>
      <c r="I22" s="256" t="s">
        <v>1356</v>
      </c>
      <c r="J22" s="303" t="s">
        <v>1357</v>
      </c>
      <c r="K22" s="297" t="s">
        <v>1358</v>
      </c>
      <c r="L22" s="304" t="s">
        <v>1359</v>
      </c>
      <c r="M22" s="256" t="s">
        <v>1253</v>
      </c>
      <c r="N22" s="256" t="s">
        <v>809</v>
      </c>
      <c r="O22" s="256"/>
      <c r="P22" s="256"/>
      <c r="Q22" s="264" t="s">
        <v>1360</v>
      </c>
      <c r="R22" s="256"/>
      <c r="S22" s="256"/>
      <c r="T22" s="264" t="s">
        <v>813</v>
      </c>
      <c r="U22" s="298" t="s">
        <v>1201</v>
      </c>
      <c r="V22" s="374" t="s">
        <v>2578</v>
      </c>
      <c r="W22" s="374" t="s">
        <v>2673</v>
      </c>
      <c r="X22" s="256"/>
      <c r="Y22" s="256"/>
      <c r="Z22" s="256"/>
    </row>
    <row r="23" spans="1:26" ht="24" customHeight="1">
      <c r="A23" s="309" t="s">
        <v>1361</v>
      </c>
      <c r="B23" s="310">
        <v>300000</v>
      </c>
      <c r="C23" s="256"/>
      <c r="D23" s="295" t="s">
        <v>1362</v>
      </c>
      <c r="E23" s="311" t="s">
        <v>1363</v>
      </c>
      <c r="F23" s="312">
        <v>3208549366</v>
      </c>
      <c r="G23" s="312" t="s">
        <v>1364</v>
      </c>
      <c r="H23" s="256" t="s">
        <v>1015</v>
      </c>
      <c r="I23" s="256" t="s">
        <v>1365</v>
      </c>
      <c r="J23" s="303" t="s">
        <v>1310</v>
      </c>
      <c r="K23" s="372" t="s">
        <v>1366</v>
      </c>
      <c r="L23" s="304" t="s">
        <v>1367</v>
      </c>
      <c r="M23" s="256" t="s">
        <v>1299</v>
      </c>
      <c r="N23" s="256" t="s">
        <v>809</v>
      </c>
      <c r="O23" s="256"/>
      <c r="P23" s="256"/>
      <c r="Q23" s="264" t="s">
        <v>1127</v>
      </c>
      <c r="R23" s="256"/>
      <c r="S23" s="256"/>
      <c r="T23" s="264" t="s">
        <v>813</v>
      </c>
      <c r="U23" s="298" t="s">
        <v>1201</v>
      </c>
      <c r="V23" s="374" t="s">
        <v>2593</v>
      </c>
      <c r="W23" s="374" t="s">
        <v>2686</v>
      </c>
      <c r="X23" s="256"/>
      <c r="Y23" s="256"/>
      <c r="Z23" s="256"/>
    </row>
    <row r="24" spans="1:26" ht="33.75" customHeight="1">
      <c r="A24" s="309">
        <v>890900267</v>
      </c>
      <c r="B24" s="310">
        <v>1546048</v>
      </c>
      <c r="C24" s="256" t="s">
        <v>1368</v>
      </c>
      <c r="D24" s="295" t="s">
        <v>1369</v>
      </c>
      <c r="E24" s="302" t="s">
        <v>1370</v>
      </c>
      <c r="F24" s="256">
        <v>3147907010</v>
      </c>
      <c r="G24" s="256" t="s">
        <v>1371</v>
      </c>
      <c r="H24" s="256" t="s">
        <v>1015</v>
      </c>
      <c r="I24" s="256" t="s">
        <v>1372</v>
      </c>
      <c r="J24" s="303" t="s">
        <v>1373</v>
      </c>
      <c r="K24" s="297" t="s">
        <v>1374</v>
      </c>
      <c r="L24" s="304" t="s">
        <v>1375</v>
      </c>
      <c r="M24" s="256" t="s">
        <v>1302</v>
      </c>
      <c r="N24" s="256" t="s">
        <v>809</v>
      </c>
      <c r="O24" s="256"/>
      <c r="P24" s="256"/>
      <c r="Q24" s="264" t="s">
        <v>1376</v>
      </c>
      <c r="R24" s="256"/>
      <c r="S24" s="256"/>
      <c r="T24" s="264"/>
      <c r="U24" s="313"/>
      <c r="V24" s="374" t="s">
        <v>2576</v>
      </c>
      <c r="W24" s="374" t="s">
        <v>2637</v>
      </c>
      <c r="X24" s="256"/>
      <c r="Y24" s="256"/>
      <c r="Z24" s="256"/>
    </row>
    <row r="25" spans="1:26" ht="24.75" customHeight="1">
      <c r="A25" s="309">
        <v>901689043</v>
      </c>
      <c r="B25" s="310">
        <v>280316</v>
      </c>
      <c r="C25" s="256" t="s">
        <v>1377</v>
      </c>
      <c r="D25" s="295" t="s">
        <v>1378</v>
      </c>
      <c r="E25" s="311" t="s">
        <v>1379</v>
      </c>
      <c r="F25" s="312">
        <v>3106306355</v>
      </c>
      <c r="G25" s="312" t="s">
        <v>1380</v>
      </c>
      <c r="H25" s="256" t="s">
        <v>1015</v>
      </c>
      <c r="I25" s="256" t="s">
        <v>1381</v>
      </c>
      <c r="J25" s="303" t="s">
        <v>1373</v>
      </c>
      <c r="K25" s="297" t="s">
        <v>1382</v>
      </c>
      <c r="L25" s="304" t="s">
        <v>1375</v>
      </c>
      <c r="M25" s="256" t="s">
        <v>1259</v>
      </c>
      <c r="N25" s="256" t="s">
        <v>809</v>
      </c>
      <c r="O25" s="256"/>
      <c r="P25" s="256"/>
      <c r="Q25" s="264" t="s">
        <v>1220</v>
      </c>
      <c r="R25" s="256"/>
      <c r="S25" s="256"/>
      <c r="T25" s="264"/>
      <c r="U25" s="313"/>
      <c r="V25" s="374" t="s">
        <v>2602</v>
      </c>
      <c r="W25" s="374" t="s">
        <v>2654</v>
      </c>
      <c r="X25" s="256"/>
      <c r="Y25" s="256"/>
      <c r="Z25" s="256"/>
    </row>
    <row r="26" spans="1:26" ht="78.75" customHeight="1">
      <c r="A26" s="309" t="s">
        <v>1383</v>
      </c>
      <c r="B26" s="310">
        <v>259840</v>
      </c>
      <c r="C26" s="256"/>
      <c r="D26" s="295" t="s">
        <v>1384</v>
      </c>
      <c r="E26" s="311" t="s">
        <v>1384</v>
      </c>
      <c r="F26" s="312">
        <v>3175152066</v>
      </c>
      <c r="G26" s="312" t="s">
        <v>1385</v>
      </c>
      <c r="H26" s="256" t="s">
        <v>1015</v>
      </c>
      <c r="I26" s="256" t="s">
        <v>1386</v>
      </c>
      <c r="J26" s="303" t="s">
        <v>1373</v>
      </c>
      <c r="K26" s="372" t="s">
        <v>1387</v>
      </c>
      <c r="L26" s="304" t="s">
        <v>1388</v>
      </c>
      <c r="M26" s="256" t="s">
        <v>1302</v>
      </c>
      <c r="N26" s="256" t="s">
        <v>809</v>
      </c>
      <c r="O26" s="256"/>
      <c r="P26" s="256"/>
      <c r="Q26" s="264" t="s">
        <v>1303</v>
      </c>
      <c r="R26" s="256"/>
      <c r="S26" s="256"/>
      <c r="T26" s="264" t="s">
        <v>813</v>
      </c>
      <c r="U26" s="298" t="s">
        <v>1201</v>
      </c>
      <c r="V26" s="374" t="s">
        <v>2575</v>
      </c>
      <c r="W26" s="374" t="s">
        <v>2672</v>
      </c>
      <c r="X26" s="256"/>
      <c r="Y26" s="256"/>
      <c r="Z26" s="256"/>
    </row>
    <row r="27" spans="1:26" ht="75" customHeight="1">
      <c r="A27" s="309" t="s">
        <v>1389</v>
      </c>
      <c r="B27" s="310">
        <v>201274</v>
      </c>
      <c r="C27" s="256"/>
      <c r="D27" s="295" t="s">
        <v>1390</v>
      </c>
      <c r="E27" s="311" t="s">
        <v>1391</v>
      </c>
      <c r="F27" s="312">
        <v>3152391179</v>
      </c>
      <c r="G27" s="312" t="s">
        <v>1392</v>
      </c>
      <c r="H27" s="256" t="s">
        <v>1015</v>
      </c>
      <c r="I27" s="256" t="s">
        <v>1393</v>
      </c>
      <c r="J27" s="303" t="s">
        <v>1373</v>
      </c>
      <c r="K27" s="372" t="s">
        <v>1394</v>
      </c>
      <c r="L27" s="304" t="s">
        <v>1395</v>
      </c>
      <c r="M27" s="256" t="s">
        <v>1310</v>
      </c>
      <c r="N27" s="256" t="s">
        <v>809</v>
      </c>
      <c r="O27" s="256"/>
      <c r="P27" s="256"/>
      <c r="Q27" s="264" t="s">
        <v>1376</v>
      </c>
      <c r="R27" s="256"/>
      <c r="S27" s="256"/>
      <c r="T27" s="264" t="s">
        <v>813</v>
      </c>
      <c r="U27" s="298" t="s">
        <v>1201</v>
      </c>
      <c r="V27" s="374" t="s">
        <v>2597</v>
      </c>
      <c r="W27" s="374" t="s">
        <v>2683</v>
      </c>
      <c r="X27" s="256"/>
      <c r="Y27" s="256"/>
      <c r="Z27" s="256"/>
    </row>
    <row r="28" spans="1:26" ht="78" customHeight="1">
      <c r="A28" s="309">
        <v>9013178812</v>
      </c>
      <c r="B28" s="310">
        <v>324800</v>
      </c>
      <c r="D28" s="295" t="s">
        <v>1396</v>
      </c>
      <c r="E28" s="311" t="s">
        <v>1397</v>
      </c>
      <c r="F28" s="312">
        <v>3127649461</v>
      </c>
      <c r="G28" s="312" t="s">
        <v>1398</v>
      </c>
      <c r="H28" s="256" t="s">
        <v>1015</v>
      </c>
      <c r="I28" s="256" t="s">
        <v>1307</v>
      </c>
      <c r="J28" s="303" t="s">
        <v>1399</v>
      </c>
      <c r="K28" s="372" t="s">
        <v>1400</v>
      </c>
      <c r="L28" s="304" t="s">
        <v>1395</v>
      </c>
      <c r="M28" s="256" t="s">
        <v>1310</v>
      </c>
      <c r="N28" s="256" t="s">
        <v>809</v>
      </c>
      <c r="O28" s="256" t="s">
        <v>1401</v>
      </c>
      <c r="P28" s="256"/>
      <c r="Q28" s="264" t="s">
        <v>1303</v>
      </c>
      <c r="R28" s="256"/>
      <c r="S28" s="256"/>
      <c r="T28" s="264" t="s">
        <v>813</v>
      </c>
      <c r="U28" s="298" t="s">
        <v>1201</v>
      </c>
      <c r="V28" s="381" t="s">
        <v>2573</v>
      </c>
      <c r="W28" s="381" t="s">
        <v>2573</v>
      </c>
      <c r="X28" s="256"/>
      <c r="Y28" s="256"/>
      <c r="Z28" s="256"/>
    </row>
    <row r="29" spans="1:26" ht="12.5">
      <c r="A29" s="314" t="s">
        <v>1189</v>
      </c>
      <c r="B29" s="315">
        <f>SUM(B2:B28)</f>
        <v>19911861</v>
      </c>
      <c r="C29" s="316"/>
      <c r="D29" s="317"/>
      <c r="E29" s="316"/>
      <c r="F29" s="316"/>
      <c r="G29" s="316"/>
      <c r="H29" s="316"/>
      <c r="I29" s="316"/>
      <c r="J29" s="316"/>
      <c r="K29" s="318"/>
      <c r="L29" s="316"/>
      <c r="M29" s="316"/>
      <c r="N29" s="316"/>
      <c r="O29" s="316"/>
      <c r="P29" s="316"/>
      <c r="Q29" s="316"/>
      <c r="R29" s="316"/>
      <c r="S29" s="316"/>
      <c r="T29" s="316"/>
      <c r="U29" s="316"/>
      <c r="V29" s="375"/>
      <c r="W29" s="375"/>
      <c r="X29" s="316"/>
      <c r="Y29" s="316"/>
      <c r="Z29" s="316"/>
    </row>
    <row r="30" spans="1:26" ht="12.5">
      <c r="A30" s="36"/>
      <c r="B30" s="36"/>
      <c r="D30" s="36"/>
      <c r="E30" s="36"/>
      <c r="F30" s="36"/>
      <c r="G30" s="36"/>
      <c r="H30" s="36"/>
      <c r="I30" s="36"/>
      <c r="J30" s="36"/>
      <c r="K30" s="84"/>
      <c r="L30" s="36"/>
      <c r="M30" s="36"/>
      <c r="N30" s="36"/>
      <c r="O30" s="36"/>
      <c r="P30" s="36"/>
      <c r="Q30" s="36"/>
      <c r="R30" s="36"/>
      <c r="S30" s="36"/>
      <c r="T30" s="36"/>
      <c r="U30" s="36"/>
      <c r="V30" s="139"/>
      <c r="W30" s="139"/>
      <c r="X30" s="36"/>
      <c r="Y30" s="36"/>
      <c r="Z30" s="36"/>
    </row>
    <row r="31" spans="1:26" ht="34.5" customHeight="1">
      <c r="A31" s="238"/>
      <c r="B31" s="238"/>
      <c r="C31" s="36"/>
      <c r="D31" s="36"/>
      <c r="E31" s="238"/>
      <c r="F31" s="238"/>
      <c r="G31" s="238"/>
      <c r="H31" s="238"/>
      <c r="I31" s="238"/>
      <c r="J31" s="238"/>
      <c r="K31" s="237"/>
      <c r="L31" s="238"/>
      <c r="M31" s="238"/>
      <c r="N31" s="238"/>
      <c r="O31" s="238"/>
      <c r="P31" s="238"/>
      <c r="Q31" s="238"/>
      <c r="R31" s="238"/>
      <c r="S31" s="238"/>
      <c r="T31" s="238"/>
      <c r="U31" s="238"/>
      <c r="V31" s="240"/>
      <c r="W31" s="240"/>
      <c r="X31" s="238"/>
      <c r="Y31" s="238"/>
      <c r="Z31" s="238"/>
    </row>
    <row r="32" spans="1:26" ht="12.5">
      <c r="A32" s="238"/>
      <c r="B32" s="238"/>
      <c r="C32" s="238"/>
      <c r="D32" s="36"/>
      <c r="E32" s="238"/>
      <c r="F32" s="238"/>
      <c r="G32" s="238"/>
      <c r="H32" s="238"/>
      <c r="I32" s="238"/>
      <c r="J32" s="238"/>
      <c r="K32" s="237"/>
      <c r="L32" s="238"/>
      <c r="M32" s="238"/>
      <c r="N32" s="238"/>
      <c r="O32" s="238"/>
      <c r="P32" s="238"/>
      <c r="Q32" s="238"/>
      <c r="R32" s="238"/>
      <c r="S32" s="238"/>
      <c r="T32" s="238"/>
      <c r="U32" s="238"/>
      <c r="V32" s="240"/>
      <c r="W32" s="240"/>
      <c r="X32" s="238"/>
      <c r="Y32" s="238"/>
      <c r="Z32" s="238"/>
    </row>
    <row r="33" spans="1:26" ht="12.5">
      <c r="A33" s="238"/>
      <c r="B33" s="238"/>
      <c r="C33" s="238"/>
      <c r="D33" s="238"/>
      <c r="E33" s="238"/>
      <c r="F33" s="238"/>
      <c r="G33" s="238"/>
      <c r="H33" s="238"/>
      <c r="I33" s="238"/>
      <c r="J33" s="238"/>
      <c r="K33" s="237"/>
      <c r="L33" s="238"/>
      <c r="M33" s="238"/>
      <c r="N33" s="238"/>
      <c r="O33" s="238"/>
      <c r="P33" s="238"/>
      <c r="Q33" s="238"/>
      <c r="R33" s="238"/>
      <c r="S33" s="238"/>
      <c r="T33" s="238"/>
      <c r="U33" s="238"/>
      <c r="V33" s="240"/>
      <c r="W33" s="240"/>
      <c r="X33" s="238"/>
      <c r="Y33" s="238"/>
      <c r="Z33" s="238"/>
    </row>
    <row r="34" spans="1:26" ht="12.5">
      <c r="A34" s="238"/>
      <c r="B34" s="238"/>
      <c r="C34" s="238"/>
      <c r="D34" s="238"/>
      <c r="E34" s="238"/>
      <c r="F34" s="238"/>
      <c r="G34" s="238"/>
      <c r="H34" s="238"/>
      <c r="I34" s="238"/>
      <c r="J34" s="238"/>
      <c r="K34" s="237"/>
      <c r="L34" s="238"/>
      <c r="M34" s="238"/>
      <c r="N34" s="238"/>
      <c r="O34" s="238"/>
      <c r="P34" s="238"/>
      <c r="Q34" s="238"/>
      <c r="R34" s="238"/>
      <c r="S34" s="238"/>
      <c r="T34" s="238"/>
      <c r="U34" s="238"/>
      <c r="V34" s="240"/>
      <c r="W34" s="240"/>
      <c r="X34" s="238"/>
      <c r="Y34" s="238"/>
      <c r="Z34" s="238"/>
    </row>
    <row r="35" spans="1:26" ht="12.5">
      <c r="A35" s="238"/>
      <c r="B35" s="238"/>
      <c r="C35" s="238"/>
      <c r="D35" s="238"/>
      <c r="E35" s="238"/>
      <c r="F35" s="238"/>
      <c r="G35" s="238"/>
      <c r="H35" s="238"/>
      <c r="I35" s="238"/>
      <c r="J35" s="238"/>
      <c r="K35" s="237"/>
      <c r="L35" s="238"/>
      <c r="M35" s="238"/>
      <c r="N35" s="238"/>
      <c r="O35" s="238"/>
      <c r="P35" s="238"/>
      <c r="Q35" s="238"/>
      <c r="R35" s="238"/>
      <c r="S35" s="238"/>
      <c r="T35" s="238"/>
      <c r="U35" s="238"/>
      <c r="V35" s="240"/>
      <c r="W35" s="240"/>
      <c r="X35" s="238"/>
      <c r="Y35" s="238"/>
      <c r="Z35" s="238"/>
    </row>
    <row r="36" spans="1:26" ht="12.5">
      <c r="A36" s="238"/>
      <c r="B36" s="238"/>
      <c r="C36" s="238"/>
      <c r="D36" s="238"/>
      <c r="E36" s="238"/>
      <c r="F36" s="238"/>
      <c r="G36" s="238"/>
      <c r="H36" s="238"/>
      <c r="I36" s="238"/>
      <c r="J36" s="238"/>
      <c r="K36" s="237"/>
      <c r="L36" s="238"/>
      <c r="M36" s="238"/>
      <c r="N36" s="238"/>
      <c r="O36" s="238"/>
      <c r="P36" s="238"/>
      <c r="Q36" s="238"/>
      <c r="R36" s="238"/>
      <c r="S36" s="238"/>
      <c r="T36" s="238"/>
      <c r="U36" s="238"/>
      <c r="V36" s="240"/>
      <c r="W36" s="240"/>
      <c r="X36" s="238"/>
      <c r="Y36" s="238"/>
      <c r="Z36" s="238"/>
    </row>
    <row r="37" spans="1:26" ht="12.5">
      <c r="A37" s="238"/>
      <c r="B37" s="238"/>
      <c r="C37" s="238"/>
      <c r="D37" s="238"/>
      <c r="E37" s="238"/>
      <c r="F37" s="238"/>
      <c r="G37" s="238"/>
      <c r="H37" s="238"/>
      <c r="I37" s="238"/>
      <c r="J37" s="238"/>
      <c r="K37" s="237"/>
      <c r="L37" s="238"/>
      <c r="M37" s="238"/>
      <c r="N37" s="238"/>
      <c r="O37" s="238"/>
      <c r="P37" s="238"/>
      <c r="Q37" s="238"/>
      <c r="R37" s="238"/>
      <c r="S37" s="238"/>
      <c r="T37" s="238"/>
      <c r="U37" s="238"/>
      <c r="V37" s="240"/>
      <c r="W37" s="240"/>
      <c r="X37" s="238"/>
      <c r="Y37" s="238"/>
      <c r="Z37" s="238"/>
    </row>
    <row r="38" spans="1:26" ht="12.5">
      <c r="A38" s="238"/>
      <c r="B38" s="238"/>
      <c r="C38" s="238"/>
      <c r="D38" s="238"/>
      <c r="E38" s="238"/>
      <c r="F38" s="238"/>
      <c r="G38" s="238"/>
      <c r="H38" s="238"/>
      <c r="I38" s="238"/>
      <c r="J38" s="238"/>
      <c r="K38" s="237"/>
      <c r="L38" s="238"/>
      <c r="M38" s="238"/>
      <c r="N38" s="238"/>
      <c r="O38" s="238"/>
      <c r="P38" s="238"/>
      <c r="Q38" s="238"/>
      <c r="R38" s="238"/>
      <c r="S38" s="238"/>
      <c r="T38" s="238"/>
      <c r="U38" s="238"/>
      <c r="V38" s="240"/>
      <c r="W38" s="240"/>
      <c r="X38" s="238"/>
      <c r="Y38" s="238"/>
      <c r="Z38" s="238"/>
    </row>
    <row r="39" spans="1:26" ht="12.5">
      <c r="A39" s="238"/>
      <c r="B39" s="238"/>
      <c r="C39" s="238"/>
      <c r="D39" s="238"/>
      <c r="E39" s="238"/>
      <c r="F39" s="238"/>
      <c r="G39" s="238"/>
      <c r="H39" s="238"/>
      <c r="I39" s="238"/>
      <c r="J39" s="238"/>
      <c r="K39" s="237"/>
      <c r="L39" s="238"/>
      <c r="M39" s="238"/>
      <c r="N39" s="238"/>
      <c r="O39" s="238"/>
      <c r="P39" s="238"/>
      <c r="Q39" s="238"/>
      <c r="R39" s="238"/>
      <c r="S39" s="238"/>
      <c r="T39" s="238"/>
      <c r="U39" s="238"/>
      <c r="V39" s="240"/>
      <c r="W39" s="240"/>
      <c r="X39" s="238"/>
      <c r="Y39" s="238"/>
      <c r="Z39" s="238"/>
    </row>
    <row r="40" spans="1:26" ht="12.5">
      <c r="A40" s="238"/>
      <c r="B40" s="238"/>
      <c r="C40" s="238"/>
      <c r="D40" s="238"/>
      <c r="E40" s="238"/>
      <c r="F40" s="238"/>
      <c r="G40" s="238"/>
      <c r="H40" s="238"/>
      <c r="I40" s="238"/>
      <c r="J40" s="238"/>
      <c r="K40" s="237"/>
      <c r="L40" s="238"/>
      <c r="M40" s="238"/>
      <c r="N40" s="238"/>
      <c r="O40" s="238"/>
      <c r="P40" s="238"/>
      <c r="Q40" s="238"/>
      <c r="R40" s="238"/>
      <c r="S40" s="238"/>
      <c r="T40" s="238"/>
      <c r="U40" s="238"/>
      <c r="V40" s="240"/>
      <c r="W40" s="240"/>
      <c r="X40" s="238"/>
      <c r="Y40" s="238"/>
      <c r="Z40" s="238"/>
    </row>
    <row r="41" spans="1:26" ht="12.5">
      <c r="A41" s="238"/>
      <c r="B41" s="238"/>
      <c r="C41" s="238"/>
      <c r="D41" s="238"/>
      <c r="E41" s="238"/>
      <c r="F41" s="238"/>
      <c r="G41" s="238"/>
      <c r="H41" s="238"/>
      <c r="I41" s="238"/>
      <c r="J41" s="238"/>
      <c r="K41" s="237"/>
      <c r="L41" s="238"/>
      <c r="M41" s="238"/>
      <c r="N41" s="238"/>
      <c r="O41" s="238"/>
      <c r="P41" s="238"/>
      <c r="Q41" s="238"/>
      <c r="R41" s="238"/>
      <c r="S41" s="238"/>
      <c r="T41" s="238"/>
      <c r="U41" s="238"/>
      <c r="V41" s="240"/>
      <c r="W41" s="240"/>
      <c r="X41" s="238"/>
      <c r="Y41" s="238"/>
      <c r="Z41" s="238"/>
    </row>
    <row r="42" spans="1:26" ht="12.5">
      <c r="A42" s="238"/>
      <c r="B42" s="238"/>
      <c r="C42" s="238"/>
      <c r="D42" s="238"/>
      <c r="E42" s="238"/>
      <c r="F42" s="238"/>
      <c r="G42" s="238"/>
      <c r="H42" s="238"/>
      <c r="I42" s="238"/>
      <c r="J42" s="238"/>
      <c r="K42" s="237"/>
      <c r="L42" s="238"/>
      <c r="M42" s="238"/>
      <c r="N42" s="238"/>
      <c r="O42" s="238"/>
      <c r="P42" s="238"/>
      <c r="Q42" s="238"/>
      <c r="R42" s="238"/>
      <c r="S42" s="238"/>
      <c r="T42" s="238"/>
      <c r="U42" s="238"/>
      <c r="V42" s="240"/>
      <c r="W42" s="240"/>
      <c r="X42" s="238"/>
      <c r="Y42" s="238"/>
      <c r="Z42" s="238"/>
    </row>
    <row r="43" spans="1:26" ht="12.5">
      <c r="A43" s="238"/>
      <c r="B43" s="238"/>
      <c r="C43" s="238"/>
      <c r="D43" s="238"/>
      <c r="E43" s="238"/>
      <c r="F43" s="238"/>
      <c r="G43" s="238"/>
      <c r="H43" s="238"/>
      <c r="I43" s="238"/>
      <c r="J43" s="238"/>
      <c r="K43" s="237"/>
      <c r="L43" s="238"/>
      <c r="M43" s="238"/>
      <c r="N43" s="238"/>
      <c r="O43" s="238"/>
      <c r="P43" s="238"/>
      <c r="Q43" s="238"/>
      <c r="R43" s="238"/>
      <c r="S43" s="238"/>
      <c r="T43" s="238"/>
      <c r="U43" s="238"/>
      <c r="V43" s="240"/>
      <c r="W43" s="240"/>
      <c r="X43" s="238"/>
      <c r="Y43" s="238"/>
      <c r="Z43" s="238"/>
    </row>
    <row r="44" spans="1:26" ht="12.5">
      <c r="A44" s="238"/>
      <c r="B44" s="238"/>
      <c r="C44" s="238"/>
      <c r="D44" s="238"/>
      <c r="E44" s="238"/>
      <c r="F44" s="238"/>
      <c r="G44" s="238"/>
      <c r="H44" s="238"/>
      <c r="I44" s="238"/>
      <c r="J44" s="238"/>
      <c r="K44" s="237"/>
      <c r="L44" s="238"/>
      <c r="M44" s="238"/>
      <c r="N44" s="238"/>
      <c r="O44" s="238"/>
      <c r="P44" s="238"/>
      <c r="Q44" s="238"/>
      <c r="R44" s="238"/>
      <c r="S44" s="238"/>
      <c r="T44" s="238"/>
      <c r="U44" s="238"/>
      <c r="V44" s="240"/>
      <c r="W44" s="240"/>
      <c r="X44" s="238"/>
      <c r="Y44" s="238"/>
      <c r="Z44" s="238"/>
    </row>
    <row r="45" spans="1:26" ht="12.5">
      <c r="A45" s="238"/>
      <c r="B45" s="238"/>
      <c r="C45" s="238"/>
      <c r="D45" s="238"/>
      <c r="E45" s="238"/>
      <c r="F45" s="238"/>
      <c r="G45" s="238"/>
      <c r="H45" s="238"/>
      <c r="I45" s="238"/>
      <c r="J45" s="238"/>
      <c r="K45" s="237"/>
      <c r="L45" s="238"/>
      <c r="M45" s="238"/>
      <c r="N45" s="238"/>
      <c r="O45" s="238"/>
      <c r="P45" s="238"/>
      <c r="Q45" s="238"/>
      <c r="R45" s="238"/>
      <c r="S45" s="238"/>
      <c r="T45" s="238"/>
      <c r="U45" s="238"/>
      <c r="V45" s="240"/>
      <c r="W45" s="240"/>
      <c r="X45" s="238"/>
      <c r="Y45" s="238"/>
      <c r="Z45" s="238"/>
    </row>
    <row r="46" spans="1:26" ht="12.5">
      <c r="A46" s="238"/>
      <c r="B46" s="238"/>
      <c r="C46" s="238"/>
      <c r="D46" s="238"/>
      <c r="E46" s="238"/>
      <c r="F46" s="238"/>
      <c r="G46" s="238"/>
      <c r="H46" s="238"/>
      <c r="I46" s="238"/>
      <c r="J46" s="238"/>
      <c r="K46" s="237"/>
      <c r="L46" s="238"/>
      <c r="M46" s="238"/>
      <c r="N46" s="238"/>
      <c r="O46" s="238"/>
      <c r="P46" s="238"/>
      <c r="Q46" s="238"/>
      <c r="R46" s="238"/>
      <c r="S46" s="238"/>
      <c r="T46" s="238"/>
      <c r="U46" s="238"/>
      <c r="V46" s="240"/>
      <c r="W46" s="240"/>
      <c r="X46" s="238"/>
      <c r="Y46" s="238"/>
      <c r="Z46" s="238"/>
    </row>
    <row r="47" spans="1:26" ht="12.5">
      <c r="A47" s="238"/>
      <c r="B47" s="238"/>
      <c r="C47" s="238"/>
      <c r="D47" s="238"/>
      <c r="E47" s="238"/>
      <c r="F47" s="238"/>
      <c r="G47" s="238"/>
      <c r="H47" s="238"/>
      <c r="I47" s="238"/>
      <c r="J47" s="238"/>
      <c r="K47" s="237"/>
      <c r="L47" s="238"/>
      <c r="M47" s="238"/>
      <c r="N47" s="238"/>
      <c r="O47" s="238"/>
      <c r="P47" s="238"/>
      <c r="Q47" s="238"/>
      <c r="R47" s="238"/>
      <c r="S47" s="238"/>
      <c r="T47" s="238"/>
      <c r="U47" s="238"/>
      <c r="V47" s="240"/>
      <c r="W47" s="240"/>
      <c r="X47" s="238"/>
      <c r="Y47" s="238"/>
      <c r="Z47" s="238"/>
    </row>
    <row r="48" spans="1:26" ht="12.5">
      <c r="A48" s="238"/>
      <c r="B48" s="238"/>
      <c r="C48" s="238"/>
      <c r="D48" s="238"/>
      <c r="E48" s="238"/>
      <c r="F48" s="238"/>
      <c r="G48" s="238"/>
      <c r="H48" s="238"/>
      <c r="I48" s="238"/>
      <c r="J48" s="238"/>
      <c r="K48" s="237"/>
      <c r="L48" s="238"/>
      <c r="M48" s="238"/>
      <c r="N48" s="238"/>
      <c r="O48" s="238"/>
      <c r="P48" s="238"/>
      <c r="Q48" s="238"/>
      <c r="R48" s="238"/>
      <c r="S48" s="238"/>
      <c r="T48" s="238"/>
      <c r="U48" s="238"/>
      <c r="V48" s="240"/>
      <c r="W48" s="240"/>
      <c r="X48" s="238"/>
      <c r="Y48" s="238"/>
      <c r="Z48" s="238"/>
    </row>
    <row r="49" spans="1:26" ht="12.5">
      <c r="A49" s="238"/>
      <c r="B49" s="238"/>
      <c r="C49" s="238"/>
      <c r="D49" s="238"/>
      <c r="E49" s="238"/>
      <c r="F49" s="238"/>
      <c r="G49" s="238"/>
      <c r="H49" s="238"/>
      <c r="I49" s="238"/>
      <c r="J49" s="238"/>
      <c r="K49" s="237"/>
      <c r="L49" s="238"/>
      <c r="M49" s="238"/>
      <c r="N49" s="238"/>
      <c r="O49" s="238"/>
      <c r="P49" s="238"/>
      <c r="Q49" s="238"/>
      <c r="R49" s="238"/>
      <c r="S49" s="238"/>
      <c r="T49" s="238"/>
      <c r="U49" s="238"/>
      <c r="V49" s="240"/>
      <c r="W49" s="240"/>
      <c r="X49" s="238"/>
      <c r="Y49" s="238"/>
      <c r="Z49" s="238"/>
    </row>
    <row r="50" spans="1:26" ht="12.5">
      <c r="A50" s="238"/>
      <c r="B50" s="238"/>
      <c r="C50" s="238"/>
      <c r="D50" s="238"/>
      <c r="E50" s="238"/>
      <c r="F50" s="238"/>
      <c r="G50" s="238"/>
      <c r="H50" s="238"/>
      <c r="I50" s="238"/>
      <c r="J50" s="238"/>
      <c r="K50" s="237"/>
      <c r="L50" s="238"/>
      <c r="M50" s="238"/>
      <c r="N50" s="238"/>
      <c r="O50" s="238"/>
      <c r="P50" s="238"/>
      <c r="Q50" s="238"/>
      <c r="R50" s="238"/>
      <c r="S50" s="238"/>
      <c r="T50" s="238"/>
      <c r="U50" s="238"/>
      <c r="V50" s="240"/>
      <c r="W50" s="240"/>
      <c r="X50" s="238"/>
      <c r="Y50" s="238"/>
      <c r="Z50" s="238"/>
    </row>
    <row r="51" spans="1:26" ht="12.5">
      <c r="A51" s="238"/>
      <c r="B51" s="238"/>
      <c r="C51" s="238"/>
      <c r="D51" s="238"/>
      <c r="E51" s="238"/>
      <c r="F51" s="238"/>
      <c r="G51" s="238"/>
      <c r="H51" s="238"/>
      <c r="I51" s="238"/>
      <c r="J51" s="238"/>
      <c r="K51" s="237"/>
      <c r="L51" s="238"/>
      <c r="M51" s="238"/>
      <c r="N51" s="238"/>
      <c r="O51" s="238"/>
      <c r="P51" s="238"/>
      <c r="Q51" s="238"/>
      <c r="R51" s="238"/>
      <c r="S51" s="238"/>
      <c r="T51" s="238"/>
      <c r="U51" s="238"/>
      <c r="V51" s="240"/>
      <c r="W51" s="240"/>
      <c r="X51" s="238"/>
      <c r="Y51" s="238"/>
      <c r="Z51" s="238"/>
    </row>
    <row r="52" spans="1:26" ht="12.5">
      <c r="A52" s="238"/>
      <c r="B52" s="238"/>
      <c r="C52" s="238"/>
      <c r="D52" s="238"/>
      <c r="E52" s="238"/>
      <c r="F52" s="238"/>
      <c r="G52" s="238"/>
      <c r="H52" s="238"/>
      <c r="I52" s="238"/>
      <c r="J52" s="238"/>
      <c r="K52" s="237"/>
      <c r="L52" s="238"/>
      <c r="M52" s="238"/>
      <c r="N52" s="238"/>
      <c r="O52" s="238"/>
      <c r="P52" s="238"/>
      <c r="Q52" s="238"/>
      <c r="R52" s="238"/>
      <c r="S52" s="238"/>
      <c r="T52" s="238"/>
      <c r="U52" s="238"/>
      <c r="V52" s="240"/>
      <c r="W52" s="240"/>
      <c r="X52" s="238"/>
      <c r="Y52" s="238"/>
      <c r="Z52" s="238"/>
    </row>
    <row r="53" spans="1:26" ht="12.5">
      <c r="A53" s="238"/>
      <c r="B53" s="238"/>
      <c r="C53" s="238"/>
      <c r="D53" s="238"/>
      <c r="E53" s="238"/>
      <c r="F53" s="238"/>
      <c r="G53" s="238"/>
      <c r="H53" s="238"/>
      <c r="I53" s="238"/>
      <c r="J53" s="238"/>
      <c r="K53" s="237"/>
      <c r="L53" s="238"/>
      <c r="M53" s="238"/>
      <c r="N53" s="238"/>
      <c r="O53" s="238"/>
      <c r="P53" s="238"/>
      <c r="Q53" s="238"/>
      <c r="R53" s="238"/>
      <c r="S53" s="238"/>
      <c r="T53" s="238"/>
      <c r="U53" s="238"/>
      <c r="V53" s="240"/>
      <c r="W53" s="240"/>
      <c r="X53" s="238"/>
      <c r="Y53" s="238"/>
      <c r="Z53" s="238"/>
    </row>
    <row r="54" spans="1:26" ht="12.5">
      <c r="A54" s="238"/>
      <c r="B54" s="238"/>
      <c r="C54" s="238"/>
      <c r="D54" s="238"/>
      <c r="E54" s="238"/>
      <c r="F54" s="238"/>
      <c r="G54" s="238"/>
      <c r="H54" s="238"/>
      <c r="I54" s="238"/>
      <c r="J54" s="238"/>
      <c r="K54" s="237"/>
      <c r="L54" s="238"/>
      <c r="M54" s="238"/>
      <c r="N54" s="238"/>
      <c r="O54" s="238"/>
      <c r="P54" s="238"/>
      <c r="Q54" s="238"/>
      <c r="R54" s="238"/>
      <c r="S54" s="238"/>
      <c r="T54" s="238"/>
      <c r="U54" s="238"/>
      <c r="V54" s="240"/>
      <c r="W54" s="240"/>
      <c r="X54" s="238"/>
      <c r="Y54" s="238"/>
      <c r="Z54" s="238"/>
    </row>
    <row r="55" spans="1:26" ht="12.5">
      <c r="A55" s="238"/>
      <c r="B55" s="238"/>
      <c r="C55" s="238"/>
      <c r="D55" s="238"/>
      <c r="E55" s="238"/>
      <c r="F55" s="238"/>
      <c r="G55" s="238"/>
      <c r="H55" s="238"/>
      <c r="I55" s="238"/>
      <c r="J55" s="238"/>
      <c r="K55" s="237"/>
      <c r="L55" s="238"/>
      <c r="M55" s="238"/>
      <c r="N55" s="238"/>
      <c r="O55" s="238"/>
      <c r="P55" s="238"/>
      <c r="Q55" s="238"/>
      <c r="R55" s="238"/>
      <c r="S55" s="238"/>
      <c r="T55" s="238"/>
      <c r="U55" s="238"/>
      <c r="V55" s="240"/>
      <c r="W55" s="240"/>
      <c r="X55" s="238"/>
      <c r="Y55" s="238"/>
      <c r="Z55" s="238"/>
    </row>
    <row r="56" spans="1:26" ht="12.5">
      <c r="A56" s="238"/>
      <c r="B56" s="238"/>
      <c r="C56" s="238"/>
      <c r="D56" s="238"/>
      <c r="E56" s="238"/>
      <c r="F56" s="238"/>
      <c r="G56" s="238"/>
      <c r="H56" s="238"/>
      <c r="I56" s="238"/>
      <c r="J56" s="238"/>
      <c r="K56" s="237"/>
      <c r="L56" s="238"/>
      <c r="M56" s="238"/>
      <c r="N56" s="238"/>
      <c r="O56" s="238"/>
      <c r="P56" s="238"/>
      <c r="Q56" s="238"/>
      <c r="R56" s="238"/>
      <c r="S56" s="238"/>
      <c r="T56" s="238"/>
      <c r="U56" s="238"/>
      <c r="V56" s="240"/>
      <c r="W56" s="240"/>
      <c r="X56" s="238"/>
      <c r="Y56" s="238"/>
      <c r="Z56" s="238"/>
    </row>
    <row r="57" spans="1:26" ht="12.5">
      <c r="A57" s="238"/>
      <c r="B57" s="238"/>
      <c r="C57" s="238"/>
      <c r="D57" s="238"/>
      <c r="E57" s="238"/>
      <c r="F57" s="238"/>
      <c r="G57" s="238"/>
      <c r="H57" s="238"/>
      <c r="I57" s="238"/>
      <c r="J57" s="238"/>
      <c r="K57" s="237"/>
      <c r="L57" s="238"/>
      <c r="M57" s="238"/>
      <c r="N57" s="238"/>
      <c r="O57" s="238"/>
      <c r="P57" s="238"/>
      <c r="Q57" s="238"/>
      <c r="R57" s="238"/>
      <c r="S57" s="238"/>
      <c r="T57" s="238"/>
      <c r="U57" s="238"/>
      <c r="V57" s="240"/>
      <c r="W57" s="240"/>
      <c r="X57" s="238"/>
      <c r="Y57" s="238"/>
      <c r="Z57" s="238"/>
    </row>
    <row r="58" spans="1:26" ht="12.5">
      <c r="A58" s="238"/>
      <c r="B58" s="238"/>
      <c r="C58" s="238"/>
      <c r="D58" s="238"/>
      <c r="E58" s="238"/>
      <c r="F58" s="238"/>
      <c r="G58" s="238"/>
      <c r="H58" s="238"/>
      <c r="I58" s="238"/>
      <c r="J58" s="238"/>
      <c r="K58" s="237"/>
      <c r="L58" s="238"/>
      <c r="M58" s="238"/>
      <c r="N58" s="238"/>
      <c r="O58" s="238"/>
      <c r="P58" s="238"/>
      <c r="Q58" s="238"/>
      <c r="R58" s="238"/>
      <c r="S58" s="238"/>
      <c r="T58" s="238"/>
      <c r="U58" s="238"/>
      <c r="V58" s="240"/>
      <c r="W58" s="240"/>
      <c r="X58" s="238"/>
      <c r="Y58" s="238"/>
      <c r="Z58" s="238"/>
    </row>
    <row r="59" spans="1:26" ht="12.5">
      <c r="A59" s="238"/>
      <c r="B59" s="238"/>
      <c r="C59" s="238"/>
      <c r="D59" s="238"/>
      <c r="E59" s="238"/>
      <c r="F59" s="238"/>
      <c r="G59" s="238"/>
      <c r="H59" s="238"/>
      <c r="I59" s="238"/>
      <c r="J59" s="238"/>
      <c r="K59" s="237"/>
      <c r="L59" s="238"/>
      <c r="M59" s="238"/>
      <c r="N59" s="238"/>
      <c r="O59" s="238"/>
      <c r="P59" s="238"/>
      <c r="Q59" s="238"/>
      <c r="R59" s="238"/>
      <c r="S59" s="238"/>
      <c r="T59" s="238"/>
      <c r="U59" s="238"/>
      <c r="V59" s="240"/>
      <c r="W59" s="240"/>
      <c r="X59" s="238"/>
      <c r="Y59" s="238"/>
      <c r="Z59" s="238"/>
    </row>
    <row r="60" spans="1:26" ht="12.5">
      <c r="A60" s="238"/>
      <c r="B60" s="238"/>
      <c r="C60" s="238"/>
      <c r="D60" s="238"/>
      <c r="E60" s="238"/>
      <c r="F60" s="238"/>
      <c r="G60" s="238"/>
      <c r="H60" s="238"/>
      <c r="I60" s="238"/>
      <c r="J60" s="238"/>
      <c r="K60" s="237"/>
      <c r="L60" s="238"/>
      <c r="M60" s="238"/>
      <c r="N60" s="238"/>
      <c r="O60" s="238"/>
      <c r="P60" s="238"/>
      <c r="Q60" s="238"/>
      <c r="R60" s="238"/>
      <c r="S60" s="238"/>
      <c r="T60" s="238"/>
      <c r="U60" s="238"/>
      <c r="V60" s="240"/>
      <c r="W60" s="240"/>
      <c r="X60" s="238"/>
      <c r="Y60" s="238"/>
      <c r="Z60" s="238"/>
    </row>
    <row r="61" spans="1:26" ht="12.5">
      <c r="A61" s="238"/>
      <c r="B61" s="238"/>
      <c r="C61" s="238"/>
      <c r="D61" s="238"/>
      <c r="E61" s="238"/>
      <c r="F61" s="238"/>
      <c r="G61" s="238"/>
      <c r="H61" s="238"/>
      <c r="I61" s="238"/>
      <c r="J61" s="238"/>
      <c r="K61" s="237"/>
      <c r="L61" s="238"/>
      <c r="M61" s="238"/>
      <c r="N61" s="238"/>
      <c r="O61" s="238"/>
      <c r="P61" s="238"/>
      <c r="Q61" s="238"/>
      <c r="R61" s="238"/>
      <c r="S61" s="238"/>
      <c r="T61" s="238"/>
      <c r="U61" s="238"/>
      <c r="V61" s="240"/>
      <c r="W61" s="240"/>
      <c r="X61" s="238"/>
      <c r="Y61" s="238"/>
      <c r="Z61" s="238"/>
    </row>
    <row r="62" spans="1:26" ht="12.5">
      <c r="A62" s="238"/>
      <c r="B62" s="238"/>
      <c r="C62" s="238"/>
      <c r="D62" s="238"/>
      <c r="E62" s="238"/>
      <c r="F62" s="238"/>
      <c r="G62" s="238"/>
      <c r="H62" s="238"/>
      <c r="I62" s="238"/>
      <c r="J62" s="238"/>
      <c r="K62" s="237"/>
      <c r="L62" s="238"/>
      <c r="M62" s="238"/>
      <c r="N62" s="238"/>
      <c r="O62" s="238"/>
      <c r="P62" s="238"/>
      <c r="Q62" s="238"/>
      <c r="R62" s="238"/>
      <c r="S62" s="238"/>
      <c r="T62" s="238"/>
      <c r="U62" s="238"/>
      <c r="V62" s="240"/>
      <c r="W62" s="240"/>
      <c r="X62" s="238"/>
      <c r="Y62" s="238"/>
      <c r="Z62" s="238"/>
    </row>
    <row r="63" spans="1:26" ht="12.5">
      <c r="A63" s="238"/>
      <c r="B63" s="238"/>
      <c r="C63" s="238"/>
      <c r="D63" s="238"/>
      <c r="E63" s="238"/>
      <c r="F63" s="238"/>
      <c r="G63" s="238"/>
      <c r="H63" s="238"/>
      <c r="I63" s="238"/>
      <c r="J63" s="238"/>
      <c r="K63" s="237"/>
      <c r="L63" s="238"/>
      <c r="M63" s="238"/>
      <c r="N63" s="238"/>
      <c r="O63" s="238"/>
      <c r="P63" s="238"/>
      <c r="Q63" s="238"/>
      <c r="R63" s="238"/>
      <c r="S63" s="238"/>
      <c r="T63" s="238"/>
      <c r="U63" s="238"/>
      <c r="V63" s="240"/>
      <c r="W63" s="240"/>
      <c r="X63" s="238"/>
      <c r="Y63" s="238"/>
      <c r="Z63" s="238"/>
    </row>
    <row r="64" spans="1:26" ht="12.5">
      <c r="A64" s="238"/>
      <c r="B64" s="238"/>
      <c r="C64" s="238"/>
      <c r="D64" s="238"/>
      <c r="E64" s="238"/>
      <c r="F64" s="238"/>
      <c r="G64" s="238"/>
      <c r="H64" s="238"/>
      <c r="I64" s="238"/>
      <c r="J64" s="238"/>
      <c r="K64" s="237"/>
      <c r="L64" s="238"/>
      <c r="M64" s="238"/>
      <c r="N64" s="238"/>
      <c r="O64" s="238"/>
      <c r="P64" s="238"/>
      <c r="Q64" s="238"/>
      <c r="R64" s="238"/>
      <c r="S64" s="238"/>
      <c r="T64" s="238"/>
      <c r="U64" s="238"/>
      <c r="V64" s="240"/>
      <c r="W64" s="240"/>
      <c r="X64" s="238"/>
      <c r="Y64" s="238"/>
      <c r="Z64" s="238"/>
    </row>
    <row r="65" spans="1:26" ht="12.5">
      <c r="A65" s="238"/>
      <c r="B65" s="238"/>
      <c r="C65" s="238"/>
      <c r="D65" s="238"/>
      <c r="E65" s="238"/>
      <c r="F65" s="238"/>
      <c r="G65" s="238"/>
      <c r="H65" s="238"/>
      <c r="I65" s="238"/>
      <c r="J65" s="238"/>
      <c r="K65" s="237"/>
      <c r="L65" s="238"/>
      <c r="M65" s="238"/>
      <c r="N65" s="238"/>
      <c r="O65" s="238"/>
      <c r="P65" s="238"/>
      <c r="Q65" s="238"/>
      <c r="R65" s="238"/>
      <c r="S65" s="238"/>
      <c r="T65" s="238"/>
      <c r="U65" s="238"/>
      <c r="V65" s="240"/>
      <c r="W65" s="240"/>
      <c r="X65" s="238"/>
      <c r="Y65" s="238"/>
      <c r="Z65" s="238"/>
    </row>
    <row r="66" spans="1:26" ht="12.5">
      <c r="A66" s="238"/>
      <c r="B66" s="238"/>
      <c r="C66" s="238"/>
      <c r="D66" s="238"/>
      <c r="E66" s="238"/>
      <c r="F66" s="238"/>
      <c r="G66" s="238"/>
      <c r="H66" s="238"/>
      <c r="I66" s="238"/>
      <c r="J66" s="238"/>
      <c r="K66" s="237"/>
      <c r="L66" s="238"/>
      <c r="M66" s="238"/>
      <c r="N66" s="238"/>
      <c r="O66" s="238"/>
      <c r="P66" s="238"/>
      <c r="Q66" s="238"/>
      <c r="R66" s="238"/>
      <c r="S66" s="238"/>
      <c r="T66" s="238"/>
      <c r="U66" s="238"/>
      <c r="V66" s="240"/>
      <c r="W66" s="240"/>
      <c r="X66" s="238"/>
      <c r="Y66" s="238"/>
      <c r="Z66" s="238"/>
    </row>
    <row r="67" spans="1:26" ht="12.5">
      <c r="A67" s="238"/>
      <c r="B67" s="238"/>
      <c r="C67" s="238"/>
      <c r="D67" s="238"/>
      <c r="E67" s="238"/>
      <c r="F67" s="238"/>
      <c r="G67" s="238"/>
      <c r="H67" s="238"/>
      <c r="I67" s="238"/>
      <c r="J67" s="238"/>
      <c r="K67" s="237"/>
      <c r="L67" s="238"/>
      <c r="M67" s="238"/>
      <c r="N67" s="238"/>
      <c r="O67" s="238"/>
      <c r="P67" s="238"/>
      <c r="Q67" s="238"/>
      <c r="R67" s="238"/>
      <c r="S67" s="238"/>
      <c r="T67" s="238"/>
      <c r="U67" s="238"/>
      <c r="V67" s="240"/>
      <c r="W67" s="240"/>
      <c r="X67" s="238"/>
      <c r="Y67" s="238"/>
      <c r="Z67" s="238"/>
    </row>
    <row r="68" spans="1:26" ht="12.5">
      <c r="A68" s="238"/>
      <c r="B68" s="238"/>
      <c r="C68" s="238"/>
      <c r="D68" s="238"/>
      <c r="E68" s="238"/>
      <c r="F68" s="238"/>
      <c r="G68" s="238"/>
      <c r="H68" s="238"/>
      <c r="I68" s="238"/>
      <c r="J68" s="238"/>
      <c r="K68" s="237"/>
      <c r="L68" s="238"/>
      <c r="M68" s="238"/>
      <c r="N68" s="238"/>
      <c r="O68" s="238"/>
      <c r="P68" s="238"/>
      <c r="Q68" s="238"/>
      <c r="R68" s="238"/>
      <c r="S68" s="238"/>
      <c r="T68" s="238"/>
      <c r="U68" s="238"/>
      <c r="V68" s="240"/>
      <c r="W68" s="240"/>
      <c r="X68" s="238"/>
      <c r="Y68" s="238"/>
      <c r="Z68" s="238"/>
    </row>
    <row r="69" spans="1:26" ht="12.5">
      <c r="A69" s="238"/>
      <c r="B69" s="238"/>
      <c r="C69" s="238"/>
      <c r="D69" s="238"/>
      <c r="E69" s="238"/>
      <c r="F69" s="238"/>
      <c r="G69" s="238"/>
      <c r="H69" s="238"/>
      <c r="I69" s="238"/>
      <c r="J69" s="238"/>
      <c r="K69" s="237"/>
      <c r="L69" s="238"/>
      <c r="M69" s="238"/>
      <c r="N69" s="238"/>
      <c r="O69" s="238"/>
      <c r="P69" s="238"/>
      <c r="Q69" s="238"/>
      <c r="R69" s="238"/>
      <c r="S69" s="238"/>
      <c r="T69" s="238"/>
      <c r="U69" s="238"/>
      <c r="V69" s="240"/>
      <c r="W69" s="240"/>
      <c r="X69" s="238"/>
      <c r="Y69" s="238"/>
      <c r="Z69" s="238"/>
    </row>
    <row r="70" spans="1:26" ht="12.5">
      <c r="A70" s="238"/>
      <c r="B70" s="238"/>
      <c r="C70" s="238"/>
      <c r="D70" s="238"/>
      <c r="E70" s="238"/>
      <c r="F70" s="238"/>
      <c r="G70" s="238"/>
      <c r="H70" s="238"/>
      <c r="I70" s="238"/>
      <c r="J70" s="238"/>
      <c r="K70" s="237"/>
      <c r="L70" s="238"/>
      <c r="M70" s="238"/>
      <c r="N70" s="238"/>
      <c r="O70" s="238"/>
      <c r="P70" s="238"/>
      <c r="Q70" s="238"/>
      <c r="R70" s="238"/>
      <c r="S70" s="238"/>
      <c r="T70" s="238"/>
      <c r="U70" s="238"/>
      <c r="V70" s="240"/>
      <c r="W70" s="240"/>
      <c r="X70" s="238"/>
      <c r="Y70" s="238"/>
      <c r="Z70" s="238"/>
    </row>
    <row r="71" spans="1:26" ht="12.5">
      <c r="A71" s="238"/>
      <c r="B71" s="238"/>
      <c r="C71" s="238"/>
      <c r="D71" s="238"/>
      <c r="E71" s="238"/>
      <c r="F71" s="238"/>
      <c r="G71" s="238"/>
      <c r="H71" s="238"/>
      <c r="I71" s="238"/>
      <c r="J71" s="238"/>
      <c r="K71" s="237"/>
      <c r="L71" s="238"/>
      <c r="M71" s="238"/>
      <c r="N71" s="238"/>
      <c r="O71" s="238"/>
      <c r="P71" s="238"/>
      <c r="Q71" s="238"/>
      <c r="R71" s="238"/>
      <c r="S71" s="238"/>
      <c r="T71" s="238"/>
      <c r="U71" s="238"/>
      <c r="V71" s="240"/>
      <c r="W71" s="240"/>
      <c r="X71" s="238"/>
      <c r="Y71" s="238"/>
      <c r="Z71" s="238"/>
    </row>
    <row r="72" spans="1:26" ht="12.5">
      <c r="A72" s="238"/>
      <c r="B72" s="238"/>
      <c r="C72" s="238"/>
      <c r="D72" s="238"/>
      <c r="E72" s="238"/>
      <c r="F72" s="238"/>
      <c r="G72" s="238"/>
      <c r="H72" s="238"/>
      <c r="I72" s="238"/>
      <c r="J72" s="238"/>
      <c r="K72" s="237"/>
      <c r="L72" s="238"/>
      <c r="M72" s="238"/>
      <c r="N72" s="238"/>
      <c r="O72" s="238"/>
      <c r="P72" s="238"/>
      <c r="Q72" s="238"/>
      <c r="R72" s="238"/>
      <c r="S72" s="238"/>
      <c r="T72" s="238"/>
      <c r="U72" s="238"/>
      <c r="V72" s="240"/>
      <c r="W72" s="240"/>
      <c r="X72" s="238"/>
      <c r="Y72" s="238"/>
      <c r="Z72" s="238"/>
    </row>
    <row r="73" spans="1:26" ht="12.5">
      <c r="A73" s="238"/>
      <c r="B73" s="238"/>
      <c r="C73" s="238"/>
      <c r="D73" s="238"/>
      <c r="E73" s="238"/>
      <c r="F73" s="238"/>
      <c r="G73" s="238"/>
      <c r="H73" s="238"/>
      <c r="I73" s="238"/>
      <c r="J73" s="238"/>
      <c r="K73" s="237"/>
      <c r="L73" s="238"/>
      <c r="M73" s="238"/>
      <c r="N73" s="238"/>
      <c r="O73" s="238"/>
      <c r="P73" s="238"/>
      <c r="Q73" s="238"/>
      <c r="R73" s="238"/>
      <c r="S73" s="238"/>
      <c r="T73" s="238"/>
      <c r="U73" s="238"/>
      <c r="V73" s="240"/>
      <c r="W73" s="240"/>
      <c r="X73" s="238"/>
      <c r="Y73" s="238"/>
      <c r="Z73" s="238"/>
    </row>
    <row r="74" spans="1:26" ht="12.5">
      <c r="A74" s="238"/>
      <c r="B74" s="238"/>
      <c r="C74" s="238"/>
      <c r="D74" s="238"/>
      <c r="E74" s="238"/>
      <c r="F74" s="238"/>
      <c r="G74" s="238"/>
      <c r="H74" s="238"/>
      <c r="I74" s="238"/>
      <c r="J74" s="238"/>
      <c r="K74" s="237"/>
      <c r="L74" s="238"/>
      <c r="M74" s="238"/>
      <c r="N74" s="238"/>
      <c r="O74" s="238"/>
      <c r="P74" s="238"/>
      <c r="Q74" s="238"/>
      <c r="R74" s="238"/>
      <c r="S74" s="238"/>
      <c r="T74" s="238"/>
      <c r="U74" s="238"/>
      <c r="V74" s="240"/>
      <c r="W74" s="240"/>
      <c r="X74" s="238"/>
      <c r="Y74" s="238"/>
      <c r="Z74" s="238"/>
    </row>
    <row r="75" spans="1:26" ht="12.5">
      <c r="A75" s="238"/>
      <c r="B75" s="238"/>
      <c r="C75" s="238"/>
      <c r="D75" s="238"/>
      <c r="E75" s="238"/>
      <c r="F75" s="238"/>
      <c r="G75" s="238"/>
      <c r="H75" s="238"/>
      <c r="I75" s="238"/>
      <c r="J75" s="238"/>
      <c r="K75" s="237"/>
      <c r="L75" s="238"/>
      <c r="M75" s="238"/>
      <c r="N75" s="238"/>
      <c r="O75" s="238"/>
      <c r="P75" s="238"/>
      <c r="Q75" s="238"/>
      <c r="R75" s="238"/>
      <c r="S75" s="238"/>
      <c r="T75" s="238"/>
      <c r="U75" s="238"/>
      <c r="V75" s="240"/>
      <c r="W75" s="240"/>
      <c r="X75" s="238"/>
      <c r="Y75" s="238"/>
      <c r="Z75" s="238"/>
    </row>
    <row r="76" spans="1:26" ht="12.5">
      <c r="A76" s="238"/>
      <c r="B76" s="238"/>
      <c r="C76" s="238"/>
      <c r="D76" s="238"/>
      <c r="E76" s="238"/>
      <c r="F76" s="238"/>
      <c r="G76" s="238"/>
      <c r="H76" s="238"/>
      <c r="I76" s="238"/>
      <c r="J76" s="238"/>
      <c r="K76" s="237"/>
      <c r="L76" s="238"/>
      <c r="M76" s="238"/>
      <c r="N76" s="238"/>
      <c r="O76" s="238"/>
      <c r="P76" s="238"/>
      <c r="Q76" s="238"/>
      <c r="R76" s="238"/>
      <c r="S76" s="238"/>
      <c r="T76" s="238"/>
      <c r="U76" s="238"/>
      <c r="V76" s="240"/>
      <c r="W76" s="240"/>
      <c r="X76" s="238"/>
      <c r="Y76" s="238"/>
      <c r="Z76" s="238"/>
    </row>
    <row r="77" spans="1:26" ht="12.5">
      <c r="A77" s="238"/>
      <c r="B77" s="238"/>
      <c r="C77" s="238"/>
      <c r="D77" s="238"/>
      <c r="E77" s="238"/>
      <c r="F77" s="238"/>
      <c r="G77" s="238"/>
      <c r="H77" s="238"/>
      <c r="I77" s="238"/>
      <c r="J77" s="238"/>
      <c r="K77" s="237"/>
      <c r="L77" s="238"/>
      <c r="M77" s="238"/>
      <c r="N77" s="238"/>
      <c r="O77" s="238"/>
      <c r="P77" s="238"/>
      <c r="Q77" s="238"/>
      <c r="R77" s="238"/>
      <c r="S77" s="238"/>
      <c r="T77" s="238"/>
      <c r="U77" s="238"/>
      <c r="V77" s="240"/>
      <c r="W77" s="240"/>
      <c r="X77" s="238"/>
      <c r="Y77" s="238"/>
      <c r="Z77" s="238"/>
    </row>
    <row r="78" spans="1:26" ht="12.5">
      <c r="A78" s="238"/>
      <c r="B78" s="238"/>
      <c r="C78" s="238"/>
      <c r="D78" s="238"/>
      <c r="E78" s="238"/>
      <c r="F78" s="238"/>
      <c r="G78" s="238"/>
      <c r="H78" s="238"/>
      <c r="I78" s="238"/>
      <c r="J78" s="238"/>
      <c r="K78" s="237"/>
      <c r="L78" s="238"/>
      <c r="M78" s="238"/>
      <c r="N78" s="238"/>
      <c r="O78" s="238"/>
      <c r="P78" s="238"/>
      <c r="Q78" s="238"/>
      <c r="R78" s="238"/>
      <c r="S78" s="238"/>
      <c r="T78" s="238"/>
      <c r="U78" s="238"/>
      <c r="V78" s="240"/>
      <c r="W78" s="240"/>
      <c r="X78" s="238"/>
      <c r="Y78" s="238"/>
      <c r="Z78" s="238"/>
    </row>
    <row r="79" spans="1:26" ht="12.5">
      <c r="A79" s="238"/>
      <c r="B79" s="238"/>
      <c r="C79" s="238"/>
      <c r="D79" s="238"/>
      <c r="E79" s="238"/>
      <c r="F79" s="238"/>
      <c r="G79" s="238"/>
      <c r="H79" s="238"/>
      <c r="I79" s="238"/>
      <c r="J79" s="238"/>
      <c r="K79" s="237"/>
      <c r="L79" s="238"/>
      <c r="M79" s="238"/>
      <c r="N79" s="238"/>
      <c r="O79" s="238"/>
      <c r="P79" s="238"/>
      <c r="Q79" s="238"/>
      <c r="R79" s="238"/>
      <c r="S79" s="238"/>
      <c r="T79" s="238"/>
      <c r="U79" s="238"/>
      <c r="V79" s="240"/>
      <c r="W79" s="240"/>
      <c r="X79" s="238"/>
      <c r="Y79" s="238"/>
      <c r="Z79" s="238"/>
    </row>
    <row r="80" spans="1:26" ht="12.5">
      <c r="A80" s="238"/>
      <c r="B80" s="238"/>
      <c r="C80" s="238"/>
      <c r="D80" s="238"/>
      <c r="E80" s="238"/>
      <c r="F80" s="238"/>
      <c r="G80" s="238"/>
      <c r="H80" s="238"/>
      <c r="I80" s="238"/>
      <c r="J80" s="238"/>
      <c r="K80" s="237"/>
      <c r="L80" s="238"/>
      <c r="M80" s="238"/>
      <c r="N80" s="238"/>
      <c r="O80" s="238"/>
      <c r="P80" s="238"/>
      <c r="Q80" s="238"/>
      <c r="R80" s="238"/>
      <c r="S80" s="238"/>
      <c r="T80" s="238"/>
      <c r="U80" s="238"/>
      <c r="V80" s="240"/>
      <c r="W80" s="240"/>
      <c r="X80" s="238"/>
      <c r="Y80" s="238"/>
      <c r="Z80" s="238"/>
    </row>
    <row r="81" spans="1:26" ht="12.5">
      <c r="A81" s="238"/>
      <c r="B81" s="238"/>
      <c r="C81" s="238"/>
      <c r="D81" s="238"/>
      <c r="E81" s="238"/>
      <c r="F81" s="238"/>
      <c r="G81" s="238"/>
      <c r="H81" s="238"/>
      <c r="I81" s="238"/>
      <c r="J81" s="238"/>
      <c r="K81" s="237"/>
      <c r="L81" s="238"/>
      <c r="M81" s="238"/>
      <c r="N81" s="238"/>
      <c r="O81" s="238"/>
      <c r="P81" s="238"/>
      <c r="Q81" s="238"/>
      <c r="R81" s="238"/>
      <c r="S81" s="238"/>
      <c r="T81" s="238"/>
      <c r="U81" s="238"/>
      <c r="V81" s="240"/>
      <c r="W81" s="240"/>
      <c r="X81" s="238"/>
      <c r="Y81" s="238"/>
      <c r="Z81" s="238"/>
    </row>
    <row r="82" spans="1:26" ht="12.5">
      <c r="A82" s="238"/>
      <c r="B82" s="238"/>
      <c r="C82" s="238"/>
      <c r="D82" s="238"/>
      <c r="E82" s="238"/>
      <c r="F82" s="238"/>
      <c r="G82" s="238"/>
      <c r="H82" s="238"/>
      <c r="I82" s="238"/>
      <c r="J82" s="238"/>
      <c r="K82" s="237"/>
      <c r="L82" s="238"/>
      <c r="M82" s="238"/>
      <c r="N82" s="238"/>
      <c r="O82" s="238"/>
      <c r="P82" s="238"/>
      <c r="Q82" s="238"/>
      <c r="R82" s="238"/>
      <c r="S82" s="238"/>
      <c r="T82" s="238"/>
      <c r="U82" s="238"/>
      <c r="V82" s="240"/>
      <c r="W82" s="240"/>
      <c r="X82" s="238"/>
      <c r="Y82" s="238"/>
      <c r="Z82" s="238"/>
    </row>
    <row r="83" spans="1:26" ht="12.5">
      <c r="A83" s="238"/>
      <c r="B83" s="238"/>
      <c r="C83" s="238"/>
      <c r="D83" s="238"/>
      <c r="E83" s="238"/>
      <c r="F83" s="238"/>
      <c r="G83" s="238"/>
      <c r="H83" s="238"/>
      <c r="I83" s="238"/>
      <c r="J83" s="238"/>
      <c r="K83" s="237"/>
      <c r="L83" s="238"/>
      <c r="M83" s="238"/>
      <c r="N83" s="238"/>
      <c r="O83" s="238"/>
      <c r="P83" s="238"/>
      <c r="Q83" s="238"/>
      <c r="R83" s="238"/>
      <c r="S83" s="238"/>
      <c r="T83" s="238"/>
      <c r="U83" s="238"/>
      <c r="V83" s="240"/>
      <c r="W83" s="240"/>
      <c r="X83" s="238"/>
      <c r="Y83" s="238"/>
      <c r="Z83" s="238"/>
    </row>
    <row r="84" spans="1:26" ht="12.5">
      <c r="A84" s="238"/>
      <c r="B84" s="238"/>
      <c r="C84" s="238"/>
      <c r="D84" s="238"/>
      <c r="E84" s="238"/>
      <c r="F84" s="238"/>
      <c r="G84" s="238"/>
      <c r="H84" s="238"/>
      <c r="I84" s="238"/>
      <c r="J84" s="238"/>
      <c r="K84" s="237"/>
      <c r="L84" s="238"/>
      <c r="M84" s="238"/>
      <c r="N84" s="238"/>
      <c r="O84" s="238"/>
      <c r="P84" s="238"/>
      <c r="Q84" s="238"/>
      <c r="R84" s="238"/>
      <c r="S84" s="238"/>
      <c r="T84" s="238"/>
      <c r="U84" s="238"/>
      <c r="V84" s="240"/>
      <c r="W84" s="240"/>
      <c r="X84" s="238"/>
      <c r="Y84" s="238"/>
      <c r="Z84" s="238"/>
    </row>
    <row r="85" spans="1:26" ht="12.5">
      <c r="A85" s="238"/>
      <c r="B85" s="238"/>
      <c r="C85" s="238"/>
      <c r="D85" s="238"/>
      <c r="E85" s="238"/>
      <c r="F85" s="238"/>
      <c r="G85" s="238"/>
      <c r="H85" s="238"/>
      <c r="I85" s="238"/>
      <c r="J85" s="238"/>
      <c r="K85" s="237"/>
      <c r="L85" s="238"/>
      <c r="M85" s="238"/>
      <c r="N85" s="238"/>
      <c r="O85" s="238"/>
      <c r="P85" s="238"/>
      <c r="Q85" s="238"/>
      <c r="R85" s="238"/>
      <c r="S85" s="238"/>
      <c r="T85" s="238"/>
      <c r="U85" s="238"/>
      <c r="V85" s="240"/>
      <c r="W85" s="240"/>
      <c r="X85" s="238"/>
      <c r="Y85" s="238"/>
      <c r="Z85" s="238"/>
    </row>
    <row r="86" spans="1:26" ht="12.5">
      <c r="A86" s="238"/>
      <c r="B86" s="238"/>
      <c r="C86" s="238"/>
      <c r="D86" s="238"/>
      <c r="E86" s="238"/>
      <c r="F86" s="238"/>
      <c r="G86" s="238"/>
      <c r="H86" s="238"/>
      <c r="I86" s="238"/>
      <c r="J86" s="238"/>
      <c r="K86" s="237"/>
      <c r="L86" s="238"/>
      <c r="M86" s="238"/>
      <c r="N86" s="238"/>
      <c r="O86" s="238"/>
      <c r="P86" s="238"/>
      <c r="Q86" s="238"/>
      <c r="R86" s="238"/>
      <c r="S86" s="238"/>
      <c r="T86" s="238"/>
      <c r="U86" s="238"/>
      <c r="V86" s="240"/>
      <c r="W86" s="240"/>
      <c r="X86" s="238"/>
      <c r="Y86" s="238"/>
      <c r="Z86" s="238"/>
    </row>
    <row r="87" spans="1:26" ht="12.5">
      <c r="A87" s="238"/>
      <c r="B87" s="238"/>
      <c r="C87" s="238"/>
      <c r="D87" s="238"/>
      <c r="E87" s="238"/>
      <c r="F87" s="238"/>
      <c r="G87" s="238"/>
      <c r="H87" s="238"/>
      <c r="I87" s="238"/>
      <c r="J87" s="238"/>
      <c r="K87" s="237"/>
      <c r="L87" s="238"/>
      <c r="M87" s="238"/>
      <c r="N87" s="238"/>
      <c r="O87" s="238"/>
      <c r="P87" s="238"/>
      <c r="Q87" s="238"/>
      <c r="R87" s="238"/>
      <c r="S87" s="238"/>
      <c r="T87" s="238"/>
      <c r="U87" s="238"/>
      <c r="V87" s="240"/>
      <c r="W87" s="240"/>
      <c r="X87" s="238"/>
      <c r="Y87" s="238"/>
      <c r="Z87" s="238"/>
    </row>
    <row r="88" spans="1:26" ht="12.5">
      <c r="A88" s="238"/>
      <c r="B88" s="238"/>
      <c r="C88" s="238"/>
      <c r="D88" s="238"/>
      <c r="E88" s="238"/>
      <c r="F88" s="238"/>
      <c r="G88" s="238"/>
      <c r="H88" s="238"/>
      <c r="I88" s="238"/>
      <c r="J88" s="238"/>
      <c r="K88" s="237"/>
      <c r="L88" s="238"/>
      <c r="M88" s="238"/>
      <c r="N88" s="238"/>
      <c r="O88" s="238"/>
      <c r="P88" s="238"/>
      <c r="Q88" s="238"/>
      <c r="R88" s="238"/>
      <c r="S88" s="238"/>
      <c r="T88" s="238"/>
      <c r="U88" s="238"/>
      <c r="V88" s="240"/>
      <c r="W88" s="240"/>
      <c r="X88" s="238"/>
      <c r="Y88" s="238"/>
      <c r="Z88" s="238"/>
    </row>
    <row r="89" spans="1:26" ht="12.5">
      <c r="A89" s="238"/>
      <c r="B89" s="238"/>
      <c r="C89" s="238"/>
      <c r="D89" s="238"/>
      <c r="E89" s="238"/>
      <c r="F89" s="238"/>
      <c r="G89" s="238"/>
      <c r="H89" s="238"/>
      <c r="I89" s="238"/>
      <c r="J89" s="238"/>
      <c r="K89" s="237"/>
      <c r="L89" s="238"/>
      <c r="M89" s="238"/>
      <c r="N89" s="238"/>
      <c r="O89" s="238"/>
      <c r="P89" s="238"/>
      <c r="Q89" s="238"/>
      <c r="R89" s="238"/>
      <c r="S89" s="238"/>
      <c r="T89" s="238"/>
      <c r="U89" s="238"/>
      <c r="V89" s="240"/>
      <c r="W89" s="240"/>
      <c r="X89" s="238"/>
      <c r="Y89" s="238"/>
      <c r="Z89" s="238"/>
    </row>
    <row r="90" spans="1:26" ht="12.5">
      <c r="A90" s="238"/>
      <c r="B90" s="238"/>
      <c r="C90" s="238"/>
      <c r="D90" s="238"/>
      <c r="E90" s="238"/>
      <c r="F90" s="238"/>
      <c r="G90" s="238"/>
      <c r="H90" s="238"/>
      <c r="I90" s="238"/>
      <c r="J90" s="238"/>
      <c r="K90" s="237"/>
      <c r="L90" s="238"/>
      <c r="M90" s="238"/>
      <c r="N90" s="238"/>
      <c r="O90" s="238"/>
      <c r="P90" s="238"/>
      <c r="Q90" s="238"/>
      <c r="R90" s="238"/>
      <c r="S90" s="238"/>
      <c r="T90" s="238"/>
      <c r="U90" s="238"/>
      <c r="V90" s="240"/>
      <c r="W90" s="240"/>
      <c r="X90" s="238"/>
      <c r="Y90" s="238"/>
      <c r="Z90" s="238"/>
    </row>
    <row r="91" spans="1:26" ht="12.5">
      <c r="A91" s="238"/>
      <c r="B91" s="238"/>
      <c r="C91" s="238"/>
      <c r="D91" s="238"/>
      <c r="E91" s="238"/>
      <c r="F91" s="238"/>
      <c r="G91" s="238"/>
      <c r="H91" s="238"/>
      <c r="I91" s="238"/>
      <c r="J91" s="238"/>
      <c r="K91" s="237"/>
      <c r="L91" s="238"/>
      <c r="M91" s="238"/>
      <c r="N91" s="238"/>
      <c r="O91" s="238"/>
      <c r="P91" s="238"/>
      <c r="Q91" s="238"/>
      <c r="R91" s="238"/>
      <c r="S91" s="238"/>
      <c r="T91" s="238"/>
      <c r="U91" s="238"/>
      <c r="V91" s="240"/>
      <c r="W91" s="240"/>
      <c r="X91" s="238"/>
      <c r="Y91" s="238"/>
      <c r="Z91" s="238"/>
    </row>
    <row r="92" spans="1:26" ht="12.5">
      <c r="A92" s="238"/>
      <c r="B92" s="238"/>
      <c r="C92" s="238"/>
      <c r="D92" s="238"/>
      <c r="E92" s="238"/>
      <c r="F92" s="238"/>
      <c r="G92" s="238"/>
      <c r="H92" s="238"/>
      <c r="I92" s="238"/>
      <c r="J92" s="238"/>
      <c r="K92" s="237"/>
      <c r="L92" s="238"/>
      <c r="M92" s="238"/>
      <c r="N92" s="238"/>
      <c r="O92" s="238"/>
      <c r="P92" s="238"/>
      <c r="Q92" s="238"/>
      <c r="R92" s="238"/>
      <c r="S92" s="238"/>
      <c r="T92" s="238"/>
      <c r="U92" s="238"/>
      <c r="V92" s="240"/>
      <c r="W92" s="240"/>
      <c r="X92" s="238"/>
      <c r="Y92" s="238"/>
      <c r="Z92" s="238"/>
    </row>
    <row r="93" spans="1:26" ht="12.5">
      <c r="A93" s="238"/>
      <c r="B93" s="238"/>
      <c r="C93" s="238"/>
      <c r="D93" s="238"/>
      <c r="E93" s="238"/>
      <c r="F93" s="238"/>
      <c r="G93" s="238"/>
      <c r="H93" s="238"/>
      <c r="I93" s="238"/>
      <c r="J93" s="238"/>
      <c r="K93" s="237"/>
      <c r="L93" s="238"/>
      <c r="M93" s="238"/>
      <c r="N93" s="238"/>
      <c r="O93" s="238"/>
      <c r="P93" s="238"/>
      <c r="Q93" s="238"/>
      <c r="R93" s="238"/>
      <c r="S93" s="238"/>
      <c r="T93" s="238"/>
      <c r="U93" s="238"/>
      <c r="V93" s="240"/>
      <c r="W93" s="240"/>
      <c r="X93" s="238"/>
      <c r="Y93" s="238"/>
      <c r="Z93" s="238"/>
    </row>
    <row r="94" spans="1:26" ht="12.5">
      <c r="A94" s="238"/>
      <c r="B94" s="238"/>
      <c r="C94" s="238"/>
      <c r="D94" s="238"/>
      <c r="E94" s="238"/>
      <c r="F94" s="238"/>
      <c r="G94" s="238"/>
      <c r="H94" s="238"/>
      <c r="I94" s="238"/>
      <c r="J94" s="238"/>
      <c r="K94" s="237"/>
      <c r="L94" s="238"/>
      <c r="M94" s="238"/>
      <c r="N94" s="238"/>
      <c r="O94" s="238"/>
      <c r="P94" s="238"/>
      <c r="Q94" s="238"/>
      <c r="R94" s="238"/>
      <c r="S94" s="238"/>
      <c r="T94" s="238"/>
      <c r="U94" s="238"/>
      <c r="V94" s="240"/>
      <c r="W94" s="240"/>
      <c r="X94" s="238"/>
      <c r="Y94" s="238"/>
      <c r="Z94" s="238"/>
    </row>
    <row r="95" spans="1:26" ht="12.5">
      <c r="A95" s="238"/>
      <c r="B95" s="238"/>
      <c r="C95" s="238"/>
      <c r="D95" s="238"/>
      <c r="E95" s="238"/>
      <c r="F95" s="238"/>
      <c r="G95" s="238"/>
      <c r="H95" s="238"/>
      <c r="I95" s="238"/>
      <c r="J95" s="238"/>
      <c r="K95" s="237"/>
      <c r="L95" s="238"/>
      <c r="M95" s="238"/>
      <c r="N95" s="238"/>
      <c r="O95" s="238"/>
      <c r="P95" s="238"/>
      <c r="Q95" s="238"/>
      <c r="R95" s="238"/>
      <c r="S95" s="238"/>
      <c r="T95" s="238"/>
      <c r="U95" s="238"/>
      <c r="V95" s="240"/>
      <c r="W95" s="240"/>
      <c r="X95" s="238"/>
      <c r="Y95" s="238"/>
      <c r="Z95" s="238"/>
    </row>
    <row r="96" spans="1:26" ht="12.5">
      <c r="A96" s="238"/>
      <c r="B96" s="238"/>
      <c r="C96" s="238"/>
      <c r="D96" s="238"/>
      <c r="E96" s="238"/>
      <c r="F96" s="238"/>
      <c r="G96" s="238"/>
      <c r="H96" s="238"/>
      <c r="I96" s="238"/>
      <c r="J96" s="238"/>
      <c r="K96" s="237"/>
      <c r="L96" s="238"/>
      <c r="M96" s="238"/>
      <c r="N96" s="238"/>
      <c r="O96" s="238"/>
      <c r="P96" s="238"/>
      <c r="Q96" s="238"/>
      <c r="R96" s="238"/>
      <c r="S96" s="238"/>
      <c r="T96" s="238"/>
      <c r="U96" s="238"/>
      <c r="V96" s="240"/>
      <c r="W96" s="240"/>
      <c r="X96" s="238"/>
      <c r="Y96" s="238"/>
      <c r="Z96" s="238"/>
    </row>
    <row r="97" spans="1:26" ht="12.5">
      <c r="A97" s="238"/>
      <c r="B97" s="238"/>
      <c r="C97" s="238"/>
      <c r="D97" s="238"/>
      <c r="E97" s="238"/>
      <c r="F97" s="238"/>
      <c r="G97" s="238"/>
      <c r="H97" s="238"/>
      <c r="I97" s="238"/>
      <c r="J97" s="238"/>
      <c r="K97" s="237"/>
      <c r="L97" s="238"/>
      <c r="M97" s="238"/>
      <c r="N97" s="238"/>
      <c r="O97" s="238"/>
      <c r="P97" s="238"/>
      <c r="Q97" s="238"/>
      <c r="R97" s="238"/>
      <c r="S97" s="238"/>
      <c r="T97" s="238"/>
      <c r="U97" s="238"/>
      <c r="V97" s="240"/>
      <c r="W97" s="240"/>
      <c r="X97" s="238"/>
      <c r="Y97" s="238"/>
      <c r="Z97" s="238"/>
    </row>
    <row r="98" spans="1:26" ht="12.5">
      <c r="A98" s="238"/>
      <c r="B98" s="238"/>
      <c r="C98" s="238"/>
      <c r="D98" s="238"/>
      <c r="E98" s="238"/>
      <c r="F98" s="238"/>
      <c r="G98" s="238"/>
      <c r="H98" s="238"/>
      <c r="I98" s="238"/>
      <c r="J98" s="238"/>
      <c r="K98" s="237"/>
      <c r="L98" s="238"/>
      <c r="M98" s="238"/>
      <c r="N98" s="238"/>
      <c r="O98" s="238"/>
      <c r="P98" s="238"/>
      <c r="Q98" s="238"/>
      <c r="R98" s="238"/>
      <c r="S98" s="238"/>
      <c r="T98" s="238"/>
      <c r="U98" s="238"/>
      <c r="V98" s="240"/>
      <c r="W98" s="240"/>
      <c r="X98" s="238"/>
      <c r="Y98" s="238"/>
      <c r="Z98" s="238"/>
    </row>
    <row r="99" spans="1:26" ht="12.5">
      <c r="A99" s="238"/>
      <c r="B99" s="238"/>
      <c r="C99" s="238"/>
      <c r="D99" s="238"/>
      <c r="E99" s="238"/>
      <c r="F99" s="238"/>
      <c r="G99" s="238"/>
      <c r="H99" s="238"/>
      <c r="I99" s="238"/>
      <c r="J99" s="238"/>
      <c r="K99" s="237"/>
      <c r="L99" s="238"/>
      <c r="M99" s="238"/>
      <c r="N99" s="238"/>
      <c r="O99" s="238"/>
      <c r="P99" s="238"/>
      <c r="Q99" s="238"/>
      <c r="R99" s="238"/>
      <c r="S99" s="238"/>
      <c r="T99" s="238"/>
      <c r="U99" s="238"/>
      <c r="V99" s="240"/>
      <c r="W99" s="240"/>
      <c r="X99" s="238"/>
      <c r="Y99" s="238"/>
      <c r="Z99" s="238"/>
    </row>
    <row r="100" spans="1:26" ht="12.5">
      <c r="A100" s="238"/>
      <c r="B100" s="238"/>
      <c r="C100" s="238"/>
      <c r="D100" s="238"/>
      <c r="E100" s="238"/>
      <c r="F100" s="238"/>
      <c r="G100" s="238"/>
      <c r="H100" s="238"/>
      <c r="I100" s="238"/>
      <c r="J100" s="238"/>
      <c r="K100" s="237"/>
      <c r="L100" s="238"/>
      <c r="M100" s="238"/>
      <c r="N100" s="238"/>
      <c r="O100" s="238"/>
      <c r="P100" s="238"/>
      <c r="Q100" s="238"/>
      <c r="R100" s="238"/>
      <c r="S100" s="238"/>
      <c r="T100" s="238"/>
      <c r="U100" s="238"/>
      <c r="V100" s="240"/>
      <c r="W100" s="240"/>
      <c r="X100" s="238"/>
      <c r="Y100" s="238"/>
      <c r="Z100" s="238"/>
    </row>
    <row r="101" spans="1:26" ht="12.5">
      <c r="A101" s="238"/>
      <c r="B101" s="238"/>
      <c r="C101" s="238"/>
      <c r="D101" s="238"/>
      <c r="E101" s="238"/>
      <c r="F101" s="238"/>
      <c r="G101" s="238"/>
      <c r="H101" s="238"/>
      <c r="I101" s="238"/>
      <c r="J101" s="238"/>
      <c r="K101" s="237"/>
      <c r="L101" s="238"/>
      <c r="M101" s="238"/>
      <c r="N101" s="238"/>
      <c r="O101" s="238"/>
      <c r="P101" s="238"/>
      <c r="Q101" s="238"/>
      <c r="R101" s="238"/>
      <c r="S101" s="238"/>
      <c r="T101" s="238"/>
      <c r="U101" s="238"/>
      <c r="V101" s="240"/>
      <c r="W101" s="240"/>
      <c r="X101" s="238"/>
      <c r="Y101" s="238"/>
      <c r="Z101" s="238"/>
    </row>
    <row r="102" spans="1:26" ht="12.5">
      <c r="A102" s="238"/>
      <c r="B102" s="238"/>
      <c r="C102" s="238"/>
      <c r="D102" s="238"/>
      <c r="E102" s="238"/>
      <c r="F102" s="238"/>
      <c r="G102" s="238"/>
      <c r="H102" s="238"/>
      <c r="I102" s="238"/>
      <c r="J102" s="238"/>
      <c r="K102" s="237"/>
      <c r="L102" s="238"/>
      <c r="M102" s="238"/>
      <c r="N102" s="238"/>
      <c r="O102" s="238"/>
      <c r="P102" s="238"/>
      <c r="Q102" s="238"/>
      <c r="R102" s="238"/>
      <c r="S102" s="238"/>
      <c r="T102" s="238"/>
      <c r="U102" s="238"/>
      <c r="V102" s="240"/>
      <c r="W102" s="240"/>
      <c r="X102" s="238"/>
      <c r="Y102" s="238"/>
      <c r="Z102" s="238"/>
    </row>
    <row r="103" spans="1:26" ht="12.5">
      <c r="A103" s="238"/>
      <c r="B103" s="238"/>
      <c r="C103" s="238"/>
      <c r="D103" s="238"/>
      <c r="E103" s="238"/>
      <c r="F103" s="238"/>
      <c r="G103" s="238"/>
      <c r="H103" s="238"/>
      <c r="I103" s="238"/>
      <c r="J103" s="238"/>
      <c r="K103" s="237"/>
      <c r="L103" s="238"/>
      <c r="M103" s="238"/>
      <c r="N103" s="238"/>
      <c r="O103" s="238"/>
      <c r="P103" s="238"/>
      <c r="Q103" s="238"/>
      <c r="R103" s="238"/>
      <c r="S103" s="238"/>
      <c r="T103" s="238"/>
      <c r="U103" s="238"/>
      <c r="V103" s="240"/>
      <c r="W103" s="240"/>
      <c r="X103" s="238"/>
      <c r="Y103" s="238"/>
      <c r="Z103" s="238"/>
    </row>
    <row r="104" spans="1:26" ht="12.5">
      <c r="A104" s="238"/>
      <c r="B104" s="238"/>
      <c r="C104" s="238"/>
      <c r="D104" s="238"/>
      <c r="E104" s="238"/>
      <c r="F104" s="238"/>
      <c r="G104" s="238"/>
      <c r="H104" s="238"/>
      <c r="I104" s="238"/>
      <c r="J104" s="238"/>
      <c r="K104" s="237"/>
      <c r="L104" s="238"/>
      <c r="M104" s="238"/>
      <c r="N104" s="238"/>
      <c r="O104" s="238"/>
      <c r="P104" s="238"/>
      <c r="Q104" s="238"/>
      <c r="R104" s="238"/>
      <c r="S104" s="238"/>
      <c r="T104" s="238"/>
      <c r="U104" s="238"/>
      <c r="V104" s="240"/>
      <c r="W104" s="240"/>
      <c r="X104" s="238"/>
      <c r="Y104" s="238"/>
      <c r="Z104" s="238"/>
    </row>
    <row r="105" spans="1:26" ht="12.5">
      <c r="A105" s="238"/>
      <c r="B105" s="238"/>
      <c r="C105" s="238"/>
      <c r="D105" s="238"/>
      <c r="E105" s="238"/>
      <c r="F105" s="238"/>
      <c r="G105" s="238"/>
      <c r="H105" s="238"/>
      <c r="I105" s="238"/>
      <c r="J105" s="238"/>
      <c r="K105" s="237"/>
      <c r="L105" s="238"/>
      <c r="M105" s="238"/>
      <c r="N105" s="238"/>
      <c r="O105" s="238"/>
      <c r="P105" s="238"/>
      <c r="Q105" s="238"/>
      <c r="R105" s="238"/>
      <c r="S105" s="238"/>
      <c r="T105" s="238"/>
      <c r="U105" s="238"/>
      <c r="V105" s="240"/>
      <c r="W105" s="240"/>
      <c r="X105" s="238"/>
      <c r="Y105" s="238"/>
      <c r="Z105" s="238"/>
    </row>
    <row r="106" spans="1:26" ht="12.5">
      <c r="A106" s="238"/>
      <c r="B106" s="238"/>
      <c r="C106" s="238"/>
      <c r="D106" s="238"/>
      <c r="E106" s="238"/>
      <c r="F106" s="238"/>
      <c r="G106" s="238"/>
      <c r="H106" s="238"/>
      <c r="I106" s="238"/>
      <c r="J106" s="238"/>
      <c r="K106" s="237"/>
      <c r="L106" s="238"/>
      <c r="M106" s="238"/>
      <c r="N106" s="238"/>
      <c r="O106" s="238"/>
      <c r="P106" s="238"/>
      <c r="Q106" s="238"/>
      <c r="R106" s="238"/>
      <c r="S106" s="238"/>
      <c r="T106" s="238"/>
      <c r="U106" s="238"/>
      <c r="V106" s="240"/>
      <c r="W106" s="240"/>
      <c r="X106" s="238"/>
      <c r="Y106" s="238"/>
      <c r="Z106" s="238"/>
    </row>
    <row r="107" spans="1:26" ht="12.5">
      <c r="A107" s="238"/>
      <c r="B107" s="238"/>
      <c r="C107" s="238"/>
      <c r="D107" s="238"/>
      <c r="E107" s="238"/>
      <c r="F107" s="238"/>
      <c r="G107" s="238"/>
      <c r="H107" s="238"/>
      <c r="I107" s="238"/>
      <c r="J107" s="238"/>
      <c r="K107" s="237"/>
      <c r="L107" s="238"/>
      <c r="M107" s="238"/>
      <c r="N107" s="238"/>
      <c r="O107" s="238"/>
      <c r="P107" s="238"/>
      <c r="Q107" s="238"/>
      <c r="R107" s="238"/>
      <c r="S107" s="238"/>
      <c r="T107" s="238"/>
      <c r="U107" s="238"/>
      <c r="V107" s="240"/>
      <c r="W107" s="240"/>
      <c r="X107" s="238"/>
      <c r="Y107" s="238"/>
      <c r="Z107" s="238"/>
    </row>
    <row r="108" spans="1:26" ht="12.5">
      <c r="A108" s="238"/>
      <c r="B108" s="238"/>
      <c r="C108" s="238"/>
      <c r="D108" s="238"/>
      <c r="E108" s="238"/>
      <c r="F108" s="238"/>
      <c r="G108" s="238"/>
      <c r="H108" s="238"/>
      <c r="I108" s="238"/>
      <c r="J108" s="238"/>
      <c r="K108" s="237"/>
      <c r="L108" s="238"/>
      <c r="M108" s="238"/>
      <c r="N108" s="238"/>
      <c r="O108" s="238"/>
      <c r="P108" s="238"/>
      <c r="Q108" s="238"/>
      <c r="R108" s="238"/>
      <c r="S108" s="238"/>
      <c r="T108" s="238"/>
      <c r="U108" s="238"/>
      <c r="V108" s="240"/>
      <c r="W108" s="240"/>
      <c r="X108" s="238"/>
      <c r="Y108" s="238"/>
      <c r="Z108" s="238"/>
    </row>
    <row r="109" spans="1:26" ht="12.5">
      <c r="A109" s="238"/>
      <c r="B109" s="238"/>
      <c r="C109" s="238"/>
      <c r="D109" s="238"/>
      <c r="E109" s="238"/>
      <c r="F109" s="238"/>
      <c r="G109" s="238"/>
      <c r="H109" s="238"/>
      <c r="I109" s="238"/>
      <c r="J109" s="238"/>
      <c r="K109" s="237"/>
      <c r="L109" s="238"/>
      <c r="M109" s="238"/>
      <c r="N109" s="238"/>
      <c r="O109" s="238"/>
      <c r="P109" s="238"/>
      <c r="Q109" s="238"/>
      <c r="R109" s="238"/>
      <c r="S109" s="238"/>
      <c r="T109" s="238"/>
      <c r="U109" s="238"/>
      <c r="V109" s="240"/>
      <c r="W109" s="240"/>
      <c r="X109" s="238"/>
      <c r="Y109" s="238"/>
      <c r="Z109" s="238"/>
    </row>
    <row r="110" spans="1:26" ht="12.5">
      <c r="A110" s="238"/>
      <c r="B110" s="238"/>
      <c r="C110" s="238"/>
      <c r="D110" s="238"/>
      <c r="E110" s="238"/>
      <c r="F110" s="238"/>
      <c r="G110" s="238"/>
      <c r="H110" s="238"/>
      <c r="I110" s="238"/>
      <c r="J110" s="238"/>
      <c r="K110" s="237"/>
      <c r="L110" s="238"/>
      <c r="M110" s="238"/>
      <c r="N110" s="238"/>
      <c r="O110" s="238"/>
      <c r="P110" s="238"/>
      <c r="Q110" s="238"/>
      <c r="R110" s="238"/>
      <c r="S110" s="238"/>
      <c r="T110" s="238"/>
      <c r="U110" s="238"/>
      <c r="V110" s="240"/>
      <c r="W110" s="240"/>
      <c r="X110" s="238"/>
      <c r="Y110" s="238"/>
      <c r="Z110" s="238"/>
    </row>
    <row r="111" spans="1:26" ht="12.5">
      <c r="A111" s="238"/>
      <c r="B111" s="238"/>
      <c r="C111" s="238"/>
      <c r="D111" s="238"/>
      <c r="E111" s="238"/>
      <c r="F111" s="238"/>
      <c r="G111" s="238"/>
      <c r="H111" s="238"/>
      <c r="I111" s="238"/>
      <c r="J111" s="238"/>
      <c r="K111" s="237"/>
      <c r="L111" s="238"/>
      <c r="M111" s="238"/>
      <c r="N111" s="238"/>
      <c r="O111" s="238"/>
      <c r="P111" s="238"/>
      <c r="Q111" s="238"/>
      <c r="R111" s="238"/>
      <c r="S111" s="238"/>
      <c r="T111" s="238"/>
      <c r="U111" s="238"/>
      <c r="V111" s="240"/>
      <c r="W111" s="240"/>
      <c r="X111" s="238"/>
      <c r="Y111" s="238"/>
      <c r="Z111" s="238"/>
    </row>
    <row r="112" spans="1:26" ht="12.5">
      <c r="A112" s="238"/>
      <c r="B112" s="238"/>
      <c r="C112" s="238"/>
      <c r="D112" s="238"/>
      <c r="E112" s="238"/>
      <c r="F112" s="238"/>
      <c r="G112" s="238"/>
      <c r="H112" s="238"/>
      <c r="I112" s="238"/>
      <c r="J112" s="238"/>
      <c r="K112" s="237"/>
      <c r="L112" s="238"/>
      <c r="M112" s="238"/>
      <c r="N112" s="238"/>
      <c r="O112" s="238"/>
      <c r="P112" s="238"/>
      <c r="Q112" s="238"/>
      <c r="R112" s="238"/>
      <c r="S112" s="238"/>
      <c r="T112" s="238"/>
      <c r="U112" s="238"/>
      <c r="V112" s="240"/>
      <c r="W112" s="240"/>
      <c r="X112" s="238"/>
      <c r="Y112" s="238"/>
      <c r="Z112" s="238"/>
    </row>
    <row r="113" spans="1:26" ht="12.5">
      <c r="A113" s="238"/>
      <c r="B113" s="238"/>
      <c r="C113" s="238"/>
      <c r="D113" s="238"/>
      <c r="E113" s="238"/>
      <c r="F113" s="238"/>
      <c r="G113" s="238"/>
      <c r="H113" s="238"/>
      <c r="I113" s="238"/>
      <c r="J113" s="238"/>
      <c r="K113" s="237"/>
      <c r="L113" s="238"/>
      <c r="M113" s="238"/>
      <c r="N113" s="238"/>
      <c r="O113" s="238"/>
      <c r="P113" s="238"/>
      <c r="Q113" s="238"/>
      <c r="R113" s="238"/>
      <c r="S113" s="238"/>
      <c r="T113" s="238"/>
      <c r="U113" s="238"/>
      <c r="V113" s="240"/>
      <c r="W113" s="240"/>
      <c r="X113" s="238"/>
      <c r="Y113" s="238"/>
      <c r="Z113" s="238"/>
    </row>
    <row r="114" spans="1:26" ht="12.5">
      <c r="A114" s="238"/>
      <c r="B114" s="238"/>
      <c r="C114" s="238"/>
      <c r="D114" s="238"/>
      <c r="E114" s="238"/>
      <c r="F114" s="238"/>
      <c r="G114" s="238"/>
      <c r="H114" s="238"/>
      <c r="I114" s="238"/>
      <c r="J114" s="238"/>
      <c r="K114" s="237"/>
      <c r="L114" s="238"/>
      <c r="M114" s="238"/>
      <c r="N114" s="238"/>
      <c r="O114" s="238"/>
      <c r="P114" s="238"/>
      <c r="Q114" s="238"/>
      <c r="R114" s="238"/>
      <c r="S114" s="238"/>
      <c r="T114" s="238"/>
      <c r="U114" s="238"/>
      <c r="V114" s="240"/>
      <c r="W114" s="240"/>
      <c r="X114" s="238"/>
      <c r="Y114" s="238"/>
      <c r="Z114" s="238"/>
    </row>
    <row r="115" spans="1:26" ht="12.5">
      <c r="A115" s="238"/>
      <c r="B115" s="238"/>
      <c r="C115" s="238"/>
      <c r="D115" s="238"/>
      <c r="E115" s="238"/>
      <c r="F115" s="238"/>
      <c r="G115" s="238"/>
      <c r="H115" s="238"/>
      <c r="I115" s="238"/>
      <c r="J115" s="238"/>
      <c r="K115" s="237"/>
      <c r="L115" s="238"/>
      <c r="M115" s="238"/>
      <c r="N115" s="238"/>
      <c r="O115" s="238"/>
      <c r="P115" s="238"/>
      <c r="Q115" s="238"/>
      <c r="R115" s="238"/>
      <c r="S115" s="238"/>
      <c r="T115" s="238"/>
      <c r="U115" s="238"/>
      <c r="V115" s="240"/>
      <c r="W115" s="240"/>
      <c r="X115" s="238"/>
      <c r="Y115" s="238"/>
      <c r="Z115" s="238"/>
    </row>
    <row r="116" spans="1:26" ht="12.5">
      <c r="A116" s="238"/>
      <c r="B116" s="238"/>
      <c r="C116" s="238"/>
      <c r="D116" s="238"/>
      <c r="E116" s="238"/>
      <c r="F116" s="238"/>
      <c r="G116" s="238"/>
      <c r="H116" s="238"/>
      <c r="I116" s="238"/>
      <c r="J116" s="238"/>
      <c r="K116" s="237"/>
      <c r="L116" s="238"/>
      <c r="M116" s="238"/>
      <c r="N116" s="238"/>
      <c r="O116" s="238"/>
      <c r="P116" s="238"/>
      <c r="Q116" s="238"/>
      <c r="R116" s="238"/>
      <c r="S116" s="238"/>
      <c r="T116" s="238"/>
      <c r="U116" s="238"/>
      <c r="V116" s="240"/>
      <c r="W116" s="240"/>
      <c r="X116" s="238"/>
      <c r="Y116" s="238"/>
      <c r="Z116" s="238"/>
    </row>
    <row r="117" spans="1:26" ht="12.5">
      <c r="A117" s="238"/>
      <c r="B117" s="238"/>
      <c r="C117" s="238"/>
      <c r="D117" s="238"/>
      <c r="E117" s="238"/>
      <c r="F117" s="238"/>
      <c r="G117" s="238"/>
      <c r="H117" s="238"/>
      <c r="I117" s="238"/>
      <c r="J117" s="238"/>
      <c r="K117" s="237"/>
      <c r="L117" s="238"/>
      <c r="M117" s="238"/>
      <c r="N117" s="238"/>
      <c r="O117" s="238"/>
      <c r="P117" s="238"/>
      <c r="Q117" s="238"/>
      <c r="R117" s="238"/>
      <c r="S117" s="238"/>
      <c r="T117" s="238"/>
      <c r="U117" s="238"/>
      <c r="V117" s="240"/>
      <c r="W117" s="240"/>
      <c r="X117" s="238"/>
      <c r="Y117" s="238"/>
      <c r="Z117" s="238"/>
    </row>
    <row r="118" spans="1:26" ht="12.5">
      <c r="A118" s="238"/>
      <c r="B118" s="238"/>
      <c r="C118" s="238"/>
      <c r="D118" s="238"/>
      <c r="E118" s="238"/>
      <c r="F118" s="238"/>
      <c r="G118" s="238"/>
      <c r="H118" s="238"/>
      <c r="I118" s="238"/>
      <c r="J118" s="238"/>
      <c r="K118" s="237"/>
      <c r="L118" s="238"/>
      <c r="M118" s="238"/>
      <c r="N118" s="238"/>
      <c r="O118" s="238"/>
      <c r="P118" s="238"/>
      <c r="Q118" s="238"/>
      <c r="R118" s="238"/>
      <c r="S118" s="238"/>
      <c r="T118" s="238"/>
      <c r="U118" s="238"/>
      <c r="V118" s="240"/>
      <c r="W118" s="240"/>
      <c r="X118" s="238"/>
      <c r="Y118" s="238"/>
      <c r="Z118" s="238"/>
    </row>
    <row r="119" spans="1:26" ht="12.5">
      <c r="A119" s="238"/>
      <c r="B119" s="238"/>
      <c r="C119" s="238"/>
      <c r="D119" s="238"/>
      <c r="E119" s="238"/>
      <c r="F119" s="238"/>
      <c r="G119" s="238"/>
      <c r="H119" s="238"/>
      <c r="I119" s="238"/>
      <c r="J119" s="238"/>
      <c r="K119" s="237"/>
      <c r="L119" s="238"/>
      <c r="M119" s="238"/>
      <c r="N119" s="238"/>
      <c r="O119" s="238"/>
      <c r="P119" s="238"/>
      <c r="Q119" s="238"/>
      <c r="R119" s="238"/>
      <c r="S119" s="238"/>
      <c r="T119" s="238"/>
      <c r="U119" s="238"/>
      <c r="V119" s="240"/>
      <c r="W119" s="240"/>
      <c r="X119" s="238"/>
      <c r="Y119" s="238"/>
      <c r="Z119" s="238"/>
    </row>
    <row r="120" spans="1:26" ht="12.5">
      <c r="A120" s="238"/>
      <c r="B120" s="238"/>
      <c r="C120" s="238"/>
      <c r="D120" s="238"/>
      <c r="E120" s="238"/>
      <c r="F120" s="238"/>
      <c r="G120" s="238"/>
      <c r="H120" s="238"/>
      <c r="I120" s="238"/>
      <c r="J120" s="238"/>
      <c r="K120" s="237"/>
      <c r="L120" s="238"/>
      <c r="M120" s="238"/>
      <c r="N120" s="238"/>
      <c r="O120" s="238"/>
      <c r="P120" s="238"/>
      <c r="Q120" s="238"/>
      <c r="R120" s="238"/>
      <c r="S120" s="238"/>
      <c r="T120" s="238"/>
      <c r="U120" s="238"/>
      <c r="V120" s="240"/>
      <c r="W120" s="240"/>
      <c r="X120" s="238"/>
      <c r="Y120" s="238"/>
      <c r="Z120" s="238"/>
    </row>
    <row r="121" spans="1:26" ht="12.5">
      <c r="A121" s="238"/>
      <c r="B121" s="238"/>
      <c r="C121" s="238"/>
      <c r="D121" s="238"/>
      <c r="E121" s="238"/>
      <c r="F121" s="238"/>
      <c r="G121" s="238"/>
      <c r="H121" s="238"/>
      <c r="I121" s="238"/>
      <c r="J121" s="238"/>
      <c r="K121" s="237"/>
      <c r="L121" s="238"/>
      <c r="M121" s="238"/>
      <c r="N121" s="238"/>
      <c r="O121" s="238"/>
      <c r="P121" s="238"/>
      <c r="Q121" s="238"/>
      <c r="R121" s="238"/>
      <c r="S121" s="238"/>
      <c r="T121" s="238"/>
      <c r="U121" s="238"/>
      <c r="V121" s="240"/>
      <c r="W121" s="240"/>
      <c r="X121" s="238"/>
      <c r="Y121" s="238"/>
      <c r="Z121" s="238"/>
    </row>
    <row r="122" spans="1:26" ht="12.5">
      <c r="A122" s="238"/>
      <c r="B122" s="238"/>
      <c r="C122" s="238"/>
      <c r="D122" s="238"/>
      <c r="E122" s="238"/>
      <c r="F122" s="238"/>
      <c r="G122" s="238"/>
      <c r="H122" s="238"/>
      <c r="I122" s="238"/>
      <c r="J122" s="238"/>
      <c r="K122" s="237"/>
      <c r="L122" s="238"/>
      <c r="M122" s="238"/>
      <c r="N122" s="238"/>
      <c r="O122" s="238"/>
      <c r="P122" s="238"/>
      <c r="Q122" s="238"/>
      <c r="R122" s="238"/>
      <c r="S122" s="238"/>
      <c r="T122" s="238"/>
      <c r="U122" s="238"/>
      <c r="V122" s="240"/>
      <c r="W122" s="240"/>
      <c r="X122" s="238"/>
      <c r="Y122" s="238"/>
      <c r="Z122" s="238"/>
    </row>
    <row r="123" spans="1:26" ht="12.5">
      <c r="A123" s="238"/>
      <c r="B123" s="238"/>
      <c r="C123" s="238"/>
      <c r="D123" s="238"/>
      <c r="E123" s="238"/>
      <c r="F123" s="238"/>
      <c r="G123" s="238"/>
      <c r="H123" s="238"/>
      <c r="I123" s="238"/>
      <c r="J123" s="238"/>
      <c r="K123" s="237"/>
      <c r="L123" s="238"/>
      <c r="M123" s="238"/>
      <c r="N123" s="238"/>
      <c r="O123" s="238"/>
      <c r="P123" s="238"/>
      <c r="Q123" s="238"/>
      <c r="R123" s="238"/>
      <c r="S123" s="238"/>
      <c r="T123" s="238"/>
      <c r="U123" s="238"/>
      <c r="V123" s="240"/>
      <c r="W123" s="240"/>
      <c r="X123" s="238"/>
      <c r="Y123" s="238"/>
      <c r="Z123" s="238"/>
    </row>
    <row r="124" spans="1:26" ht="12.5">
      <c r="A124" s="238"/>
      <c r="B124" s="238"/>
      <c r="C124" s="238"/>
      <c r="D124" s="238"/>
      <c r="E124" s="238"/>
      <c r="F124" s="238"/>
      <c r="G124" s="238"/>
      <c r="H124" s="238"/>
      <c r="I124" s="238"/>
      <c r="J124" s="238"/>
      <c r="K124" s="237"/>
      <c r="L124" s="238"/>
      <c r="M124" s="238"/>
      <c r="N124" s="238"/>
      <c r="O124" s="238"/>
      <c r="P124" s="238"/>
      <c r="Q124" s="238"/>
      <c r="R124" s="238"/>
      <c r="S124" s="238"/>
      <c r="T124" s="238"/>
      <c r="U124" s="238"/>
      <c r="V124" s="240"/>
      <c r="W124" s="240"/>
      <c r="X124" s="238"/>
      <c r="Y124" s="238"/>
      <c r="Z124" s="238"/>
    </row>
    <row r="125" spans="1:26" ht="12.5">
      <c r="A125" s="238"/>
      <c r="B125" s="238"/>
      <c r="C125" s="238"/>
      <c r="D125" s="238"/>
      <c r="E125" s="238"/>
      <c r="F125" s="238"/>
      <c r="G125" s="238"/>
      <c r="H125" s="238"/>
      <c r="I125" s="238"/>
      <c r="J125" s="238"/>
      <c r="K125" s="237"/>
      <c r="L125" s="238"/>
      <c r="M125" s="238"/>
      <c r="N125" s="238"/>
      <c r="O125" s="238"/>
      <c r="P125" s="238"/>
      <c r="Q125" s="238"/>
      <c r="R125" s="238"/>
      <c r="S125" s="238"/>
      <c r="T125" s="238"/>
      <c r="U125" s="238"/>
      <c r="V125" s="240"/>
      <c r="W125" s="240"/>
      <c r="X125" s="238"/>
      <c r="Y125" s="238"/>
      <c r="Z125" s="238"/>
    </row>
    <row r="126" spans="1:26" ht="12.5">
      <c r="A126" s="238"/>
      <c r="B126" s="238"/>
      <c r="C126" s="238"/>
      <c r="D126" s="238"/>
      <c r="E126" s="238"/>
      <c r="F126" s="238"/>
      <c r="G126" s="238"/>
      <c r="H126" s="238"/>
      <c r="I126" s="238"/>
      <c r="J126" s="238"/>
      <c r="K126" s="237"/>
      <c r="L126" s="238"/>
      <c r="M126" s="238"/>
      <c r="N126" s="238"/>
      <c r="O126" s="238"/>
      <c r="P126" s="238"/>
      <c r="Q126" s="238"/>
      <c r="R126" s="238"/>
      <c r="S126" s="238"/>
      <c r="T126" s="238"/>
      <c r="U126" s="238"/>
      <c r="V126" s="240"/>
      <c r="W126" s="240"/>
      <c r="X126" s="238"/>
      <c r="Y126" s="238"/>
      <c r="Z126" s="238"/>
    </row>
    <row r="127" spans="1:26" ht="12.5">
      <c r="A127" s="238"/>
      <c r="B127" s="238"/>
      <c r="C127" s="238"/>
      <c r="D127" s="238"/>
      <c r="E127" s="238"/>
      <c r="F127" s="238"/>
      <c r="G127" s="238"/>
      <c r="H127" s="238"/>
      <c r="I127" s="238"/>
      <c r="J127" s="238"/>
      <c r="K127" s="237"/>
      <c r="L127" s="238"/>
      <c r="M127" s="238"/>
      <c r="N127" s="238"/>
      <c r="O127" s="238"/>
      <c r="P127" s="238"/>
      <c r="Q127" s="238"/>
      <c r="R127" s="238"/>
      <c r="S127" s="238"/>
      <c r="T127" s="238"/>
      <c r="U127" s="238"/>
      <c r="V127" s="240"/>
      <c r="W127" s="240"/>
      <c r="X127" s="238"/>
      <c r="Y127" s="238"/>
      <c r="Z127" s="238"/>
    </row>
    <row r="128" spans="1:26" ht="12.5">
      <c r="A128" s="238"/>
      <c r="B128" s="238"/>
      <c r="C128" s="238"/>
      <c r="D128" s="238"/>
      <c r="E128" s="238"/>
      <c r="F128" s="238"/>
      <c r="G128" s="238"/>
      <c r="H128" s="238"/>
      <c r="I128" s="238"/>
      <c r="J128" s="238"/>
      <c r="K128" s="237"/>
      <c r="L128" s="238"/>
      <c r="M128" s="238"/>
      <c r="N128" s="238"/>
      <c r="O128" s="238"/>
      <c r="P128" s="238"/>
      <c r="Q128" s="238"/>
      <c r="R128" s="238"/>
      <c r="S128" s="238"/>
      <c r="T128" s="238"/>
      <c r="U128" s="238"/>
      <c r="V128" s="240"/>
      <c r="W128" s="240"/>
      <c r="X128" s="238"/>
      <c r="Y128" s="238"/>
      <c r="Z128" s="238"/>
    </row>
    <row r="129" spans="1:26" ht="12.5">
      <c r="A129" s="238"/>
      <c r="B129" s="238"/>
      <c r="C129" s="238"/>
      <c r="D129" s="238"/>
      <c r="E129" s="238"/>
      <c r="F129" s="238"/>
      <c r="G129" s="238"/>
      <c r="H129" s="238"/>
      <c r="I129" s="238"/>
      <c r="J129" s="238"/>
      <c r="K129" s="237"/>
      <c r="L129" s="238"/>
      <c r="M129" s="238"/>
      <c r="N129" s="238"/>
      <c r="O129" s="238"/>
      <c r="P129" s="238"/>
      <c r="Q129" s="238"/>
      <c r="R129" s="238"/>
      <c r="S129" s="238"/>
      <c r="T129" s="238"/>
      <c r="U129" s="238"/>
      <c r="V129" s="240"/>
      <c r="W129" s="240"/>
      <c r="X129" s="238"/>
      <c r="Y129" s="238"/>
      <c r="Z129" s="238"/>
    </row>
    <row r="130" spans="1:26" ht="12.5">
      <c r="A130" s="238"/>
      <c r="B130" s="238"/>
      <c r="C130" s="238"/>
      <c r="D130" s="238"/>
      <c r="E130" s="238"/>
      <c r="F130" s="238"/>
      <c r="G130" s="238"/>
      <c r="H130" s="238"/>
      <c r="I130" s="238"/>
      <c r="J130" s="238"/>
      <c r="K130" s="237"/>
      <c r="L130" s="238"/>
      <c r="M130" s="238"/>
      <c r="N130" s="238"/>
      <c r="O130" s="238"/>
      <c r="P130" s="238"/>
      <c r="Q130" s="238"/>
      <c r="R130" s="238"/>
      <c r="S130" s="238"/>
      <c r="T130" s="238"/>
      <c r="U130" s="238"/>
      <c r="V130" s="240"/>
      <c r="W130" s="240"/>
      <c r="X130" s="238"/>
      <c r="Y130" s="238"/>
      <c r="Z130" s="238"/>
    </row>
    <row r="131" spans="1:26" ht="12.5">
      <c r="A131" s="238"/>
      <c r="B131" s="238"/>
      <c r="C131" s="238"/>
      <c r="D131" s="238"/>
      <c r="E131" s="238"/>
      <c r="F131" s="238"/>
      <c r="G131" s="238"/>
      <c r="H131" s="238"/>
      <c r="I131" s="238"/>
      <c r="J131" s="238"/>
      <c r="K131" s="237"/>
      <c r="L131" s="238"/>
      <c r="M131" s="238"/>
      <c r="N131" s="238"/>
      <c r="O131" s="238"/>
      <c r="P131" s="238"/>
      <c r="Q131" s="238"/>
      <c r="R131" s="238"/>
      <c r="S131" s="238"/>
      <c r="T131" s="238"/>
      <c r="U131" s="238"/>
      <c r="V131" s="240"/>
      <c r="W131" s="240"/>
      <c r="X131" s="238"/>
      <c r="Y131" s="238"/>
      <c r="Z131" s="238"/>
    </row>
    <row r="132" spans="1:26" ht="12.5">
      <c r="A132" s="238"/>
      <c r="B132" s="238"/>
      <c r="C132" s="238"/>
      <c r="D132" s="238"/>
      <c r="E132" s="238"/>
      <c r="F132" s="238"/>
      <c r="G132" s="238"/>
      <c r="H132" s="238"/>
      <c r="I132" s="238"/>
      <c r="J132" s="238"/>
      <c r="K132" s="237"/>
      <c r="L132" s="238"/>
      <c r="M132" s="238"/>
      <c r="N132" s="238"/>
      <c r="O132" s="238"/>
      <c r="P132" s="238"/>
      <c r="Q132" s="238"/>
      <c r="R132" s="238"/>
      <c r="S132" s="238"/>
      <c r="T132" s="238"/>
      <c r="U132" s="238"/>
      <c r="V132" s="240"/>
      <c r="W132" s="240"/>
      <c r="X132" s="238"/>
      <c r="Y132" s="238"/>
      <c r="Z132" s="238"/>
    </row>
    <row r="133" spans="1:26" ht="12.5">
      <c r="A133" s="238"/>
      <c r="B133" s="238"/>
      <c r="C133" s="238"/>
      <c r="D133" s="238"/>
      <c r="E133" s="238"/>
      <c r="F133" s="238"/>
      <c r="G133" s="238"/>
      <c r="H133" s="238"/>
      <c r="I133" s="238"/>
      <c r="J133" s="238"/>
      <c r="K133" s="237"/>
      <c r="L133" s="238"/>
      <c r="M133" s="238"/>
      <c r="N133" s="238"/>
      <c r="O133" s="238"/>
      <c r="P133" s="238"/>
      <c r="Q133" s="238"/>
      <c r="R133" s="238"/>
      <c r="S133" s="238"/>
      <c r="T133" s="238"/>
      <c r="U133" s="238"/>
      <c r="V133" s="240"/>
      <c r="W133" s="240"/>
      <c r="X133" s="238"/>
      <c r="Y133" s="238"/>
      <c r="Z133" s="238"/>
    </row>
    <row r="134" spans="1:26" ht="12.5">
      <c r="A134" s="238"/>
      <c r="B134" s="238"/>
      <c r="C134" s="238"/>
      <c r="D134" s="238"/>
      <c r="E134" s="238"/>
      <c r="F134" s="238"/>
      <c r="G134" s="238"/>
      <c r="H134" s="238"/>
      <c r="I134" s="238"/>
      <c r="J134" s="238"/>
      <c r="K134" s="237"/>
      <c r="L134" s="238"/>
      <c r="M134" s="238"/>
      <c r="N134" s="238"/>
      <c r="O134" s="238"/>
      <c r="P134" s="238"/>
      <c r="Q134" s="238"/>
      <c r="R134" s="238"/>
      <c r="S134" s="238"/>
      <c r="T134" s="238"/>
      <c r="U134" s="238"/>
      <c r="V134" s="240"/>
      <c r="W134" s="240"/>
      <c r="X134" s="238"/>
      <c r="Y134" s="238"/>
      <c r="Z134" s="238"/>
    </row>
    <row r="135" spans="1:26" ht="12.5">
      <c r="A135" s="238"/>
      <c r="B135" s="238"/>
      <c r="C135" s="238"/>
      <c r="D135" s="238"/>
      <c r="E135" s="238"/>
      <c r="F135" s="238"/>
      <c r="G135" s="238"/>
      <c r="H135" s="238"/>
      <c r="I135" s="238"/>
      <c r="J135" s="238"/>
      <c r="K135" s="237"/>
      <c r="L135" s="238"/>
      <c r="M135" s="238"/>
      <c r="N135" s="238"/>
      <c r="O135" s="238"/>
      <c r="P135" s="238"/>
      <c r="Q135" s="238"/>
      <c r="R135" s="238"/>
      <c r="S135" s="238"/>
      <c r="T135" s="238"/>
      <c r="U135" s="238"/>
      <c r="V135" s="240"/>
      <c r="W135" s="240"/>
      <c r="X135" s="238"/>
      <c r="Y135" s="238"/>
      <c r="Z135" s="238"/>
    </row>
    <row r="136" spans="1:26" ht="12.5">
      <c r="A136" s="238"/>
      <c r="B136" s="238"/>
      <c r="C136" s="238"/>
      <c r="D136" s="238"/>
      <c r="E136" s="238"/>
      <c r="F136" s="238"/>
      <c r="G136" s="238"/>
      <c r="H136" s="238"/>
      <c r="I136" s="238"/>
      <c r="J136" s="238"/>
      <c r="K136" s="237"/>
      <c r="L136" s="238"/>
      <c r="M136" s="238"/>
      <c r="N136" s="238"/>
      <c r="O136" s="238"/>
      <c r="P136" s="238"/>
      <c r="Q136" s="238"/>
      <c r="R136" s="238"/>
      <c r="S136" s="238"/>
      <c r="T136" s="238"/>
      <c r="U136" s="238"/>
      <c r="V136" s="240"/>
      <c r="W136" s="240"/>
      <c r="X136" s="238"/>
      <c r="Y136" s="238"/>
      <c r="Z136" s="238"/>
    </row>
    <row r="137" spans="1:26" ht="12.5">
      <c r="A137" s="238"/>
      <c r="B137" s="238"/>
      <c r="C137" s="238"/>
      <c r="D137" s="238"/>
      <c r="E137" s="238"/>
      <c r="F137" s="238"/>
      <c r="G137" s="238"/>
      <c r="H137" s="238"/>
      <c r="I137" s="238"/>
      <c r="J137" s="238"/>
      <c r="K137" s="237"/>
      <c r="L137" s="238"/>
      <c r="M137" s="238"/>
      <c r="N137" s="238"/>
      <c r="O137" s="238"/>
      <c r="P137" s="238"/>
      <c r="Q137" s="238"/>
      <c r="R137" s="238"/>
      <c r="S137" s="238"/>
      <c r="T137" s="238"/>
      <c r="U137" s="238"/>
      <c r="V137" s="240"/>
      <c r="W137" s="240"/>
      <c r="X137" s="238"/>
      <c r="Y137" s="238"/>
      <c r="Z137" s="238"/>
    </row>
    <row r="138" spans="1:26" ht="12.5">
      <c r="A138" s="238"/>
      <c r="B138" s="238"/>
      <c r="C138" s="238"/>
      <c r="D138" s="238"/>
      <c r="E138" s="238"/>
      <c r="F138" s="238"/>
      <c r="G138" s="238"/>
      <c r="H138" s="238"/>
      <c r="I138" s="238"/>
      <c r="J138" s="238"/>
      <c r="K138" s="237"/>
      <c r="L138" s="238"/>
      <c r="M138" s="238"/>
      <c r="N138" s="238"/>
      <c r="O138" s="238"/>
      <c r="P138" s="238"/>
      <c r="Q138" s="238"/>
      <c r="R138" s="238"/>
      <c r="S138" s="238"/>
      <c r="T138" s="238"/>
      <c r="U138" s="238"/>
      <c r="V138" s="240"/>
      <c r="W138" s="240"/>
      <c r="X138" s="238"/>
      <c r="Y138" s="238"/>
      <c r="Z138" s="238"/>
    </row>
    <row r="139" spans="1:26" ht="12.5">
      <c r="A139" s="238"/>
      <c r="B139" s="238"/>
      <c r="C139" s="238"/>
      <c r="D139" s="238"/>
      <c r="E139" s="238"/>
      <c r="F139" s="238"/>
      <c r="G139" s="238"/>
      <c r="H139" s="238"/>
      <c r="I139" s="238"/>
      <c r="J139" s="238"/>
      <c r="K139" s="237"/>
      <c r="L139" s="238"/>
      <c r="M139" s="238"/>
      <c r="N139" s="238"/>
      <c r="O139" s="238"/>
      <c r="P139" s="238"/>
      <c r="Q139" s="238"/>
      <c r="R139" s="238"/>
      <c r="S139" s="238"/>
      <c r="T139" s="238"/>
      <c r="U139" s="238"/>
      <c r="V139" s="240"/>
      <c r="W139" s="240"/>
      <c r="X139" s="238"/>
      <c r="Y139" s="238"/>
      <c r="Z139" s="238"/>
    </row>
    <row r="140" spans="1:26" ht="12.5">
      <c r="A140" s="238"/>
      <c r="B140" s="238"/>
      <c r="C140" s="238"/>
      <c r="D140" s="238"/>
      <c r="E140" s="238"/>
      <c r="F140" s="238"/>
      <c r="G140" s="238"/>
      <c r="H140" s="238"/>
      <c r="I140" s="238"/>
      <c r="J140" s="238"/>
      <c r="K140" s="237"/>
      <c r="L140" s="238"/>
      <c r="M140" s="238"/>
      <c r="N140" s="238"/>
      <c r="O140" s="238"/>
      <c r="P140" s="238"/>
      <c r="Q140" s="238"/>
      <c r="R140" s="238"/>
      <c r="S140" s="238"/>
      <c r="T140" s="238"/>
      <c r="U140" s="238"/>
      <c r="V140" s="240"/>
      <c r="W140" s="240"/>
      <c r="X140" s="238"/>
      <c r="Y140" s="238"/>
      <c r="Z140" s="238"/>
    </row>
    <row r="141" spans="1:26" ht="12.5">
      <c r="A141" s="238"/>
      <c r="B141" s="238"/>
      <c r="C141" s="238"/>
      <c r="D141" s="238"/>
      <c r="E141" s="238"/>
      <c r="F141" s="238"/>
      <c r="G141" s="238"/>
      <c r="H141" s="238"/>
      <c r="I141" s="238"/>
      <c r="J141" s="238"/>
      <c r="K141" s="237"/>
      <c r="L141" s="238"/>
      <c r="M141" s="238"/>
      <c r="N141" s="238"/>
      <c r="O141" s="238"/>
      <c r="P141" s="238"/>
      <c r="Q141" s="238"/>
      <c r="R141" s="238"/>
      <c r="S141" s="238"/>
      <c r="T141" s="238"/>
      <c r="U141" s="238"/>
      <c r="V141" s="240"/>
      <c r="W141" s="240"/>
      <c r="X141" s="238"/>
      <c r="Y141" s="238"/>
      <c r="Z141" s="238"/>
    </row>
    <row r="142" spans="1:26" ht="12.5">
      <c r="A142" s="238"/>
      <c r="B142" s="238"/>
      <c r="C142" s="238"/>
      <c r="D142" s="238"/>
      <c r="E142" s="238"/>
      <c r="F142" s="238"/>
      <c r="G142" s="238"/>
      <c r="H142" s="238"/>
      <c r="I142" s="238"/>
      <c r="J142" s="238"/>
      <c r="K142" s="237"/>
      <c r="L142" s="238"/>
      <c r="M142" s="238"/>
      <c r="N142" s="238"/>
      <c r="O142" s="238"/>
      <c r="P142" s="238"/>
      <c r="Q142" s="238"/>
      <c r="R142" s="238"/>
      <c r="S142" s="238"/>
      <c r="T142" s="238"/>
      <c r="U142" s="238"/>
      <c r="V142" s="240"/>
      <c r="W142" s="240"/>
      <c r="X142" s="238"/>
      <c r="Y142" s="238"/>
      <c r="Z142" s="238"/>
    </row>
    <row r="143" spans="1:26" ht="12.5">
      <c r="A143" s="238"/>
      <c r="B143" s="238"/>
      <c r="C143" s="238"/>
      <c r="D143" s="238"/>
      <c r="E143" s="238"/>
      <c r="F143" s="238"/>
      <c r="G143" s="238"/>
      <c r="H143" s="238"/>
      <c r="I143" s="238"/>
      <c r="J143" s="238"/>
      <c r="K143" s="237"/>
      <c r="L143" s="238"/>
      <c r="M143" s="238"/>
      <c r="N143" s="238"/>
      <c r="O143" s="238"/>
      <c r="P143" s="238"/>
      <c r="Q143" s="238"/>
      <c r="R143" s="238"/>
      <c r="S143" s="238"/>
      <c r="T143" s="238"/>
      <c r="U143" s="238"/>
      <c r="V143" s="240"/>
      <c r="W143" s="240"/>
      <c r="X143" s="238"/>
      <c r="Y143" s="238"/>
      <c r="Z143" s="238"/>
    </row>
    <row r="144" spans="1:26" ht="12.5">
      <c r="A144" s="238"/>
      <c r="B144" s="238"/>
      <c r="C144" s="238"/>
      <c r="D144" s="238"/>
      <c r="E144" s="238"/>
      <c r="F144" s="238"/>
      <c r="G144" s="238"/>
      <c r="H144" s="238"/>
      <c r="I144" s="238"/>
      <c r="J144" s="238"/>
      <c r="K144" s="237"/>
      <c r="L144" s="238"/>
      <c r="M144" s="238"/>
      <c r="N144" s="238"/>
      <c r="O144" s="238"/>
      <c r="P144" s="238"/>
      <c r="Q144" s="238"/>
      <c r="R144" s="238"/>
      <c r="S144" s="238"/>
      <c r="T144" s="238"/>
      <c r="U144" s="238"/>
      <c r="V144" s="240"/>
      <c r="W144" s="240"/>
      <c r="X144" s="238"/>
      <c r="Y144" s="238"/>
      <c r="Z144" s="238"/>
    </row>
    <row r="145" spans="1:26" ht="12.5">
      <c r="A145" s="238"/>
      <c r="B145" s="238"/>
      <c r="C145" s="238"/>
      <c r="D145" s="238"/>
      <c r="E145" s="238"/>
      <c r="F145" s="238"/>
      <c r="G145" s="238"/>
      <c r="H145" s="238"/>
      <c r="I145" s="238"/>
      <c r="J145" s="238"/>
      <c r="K145" s="237"/>
      <c r="L145" s="238"/>
      <c r="M145" s="238"/>
      <c r="N145" s="238"/>
      <c r="O145" s="238"/>
      <c r="P145" s="238"/>
      <c r="Q145" s="238"/>
      <c r="R145" s="238"/>
      <c r="S145" s="238"/>
      <c r="T145" s="238"/>
      <c r="U145" s="238"/>
      <c r="V145" s="240"/>
      <c r="W145" s="240"/>
      <c r="X145" s="238"/>
      <c r="Y145" s="238"/>
      <c r="Z145" s="238"/>
    </row>
    <row r="146" spans="1:26" ht="12.5">
      <c r="A146" s="238"/>
      <c r="B146" s="238"/>
      <c r="C146" s="238"/>
      <c r="D146" s="238"/>
      <c r="E146" s="238"/>
      <c r="F146" s="238"/>
      <c r="G146" s="238"/>
      <c r="H146" s="238"/>
      <c r="I146" s="238"/>
      <c r="J146" s="238"/>
      <c r="K146" s="237"/>
      <c r="L146" s="238"/>
      <c r="M146" s="238"/>
      <c r="N146" s="238"/>
      <c r="O146" s="238"/>
      <c r="P146" s="238"/>
      <c r="Q146" s="238"/>
      <c r="R146" s="238"/>
      <c r="S146" s="238"/>
      <c r="T146" s="238"/>
      <c r="U146" s="238"/>
      <c r="V146" s="240"/>
      <c r="W146" s="240"/>
      <c r="X146" s="238"/>
      <c r="Y146" s="238"/>
      <c r="Z146" s="238"/>
    </row>
    <row r="147" spans="1:26" ht="12.5">
      <c r="A147" s="238"/>
      <c r="B147" s="238"/>
      <c r="C147" s="238"/>
      <c r="D147" s="238"/>
      <c r="E147" s="238"/>
      <c r="F147" s="238"/>
      <c r="G147" s="238"/>
      <c r="H147" s="238"/>
      <c r="I147" s="238"/>
      <c r="J147" s="238"/>
      <c r="K147" s="237"/>
      <c r="L147" s="238"/>
      <c r="M147" s="238"/>
      <c r="N147" s="238"/>
      <c r="O147" s="238"/>
      <c r="P147" s="238"/>
      <c r="Q147" s="238"/>
      <c r="R147" s="238"/>
      <c r="S147" s="238"/>
      <c r="T147" s="238"/>
      <c r="U147" s="238"/>
      <c r="V147" s="240"/>
      <c r="W147" s="240"/>
      <c r="X147" s="238"/>
      <c r="Y147" s="238"/>
      <c r="Z147" s="238"/>
    </row>
    <row r="148" spans="1:26" ht="12.5">
      <c r="A148" s="238"/>
      <c r="B148" s="238"/>
      <c r="C148" s="238"/>
      <c r="D148" s="238"/>
      <c r="E148" s="238"/>
      <c r="F148" s="238"/>
      <c r="G148" s="238"/>
      <c r="H148" s="238"/>
      <c r="I148" s="238"/>
      <c r="J148" s="238"/>
      <c r="K148" s="237"/>
      <c r="L148" s="238"/>
      <c r="M148" s="238"/>
      <c r="N148" s="238"/>
      <c r="O148" s="238"/>
      <c r="P148" s="238"/>
      <c r="Q148" s="238"/>
      <c r="R148" s="238"/>
      <c r="S148" s="238"/>
      <c r="T148" s="238"/>
      <c r="U148" s="238"/>
      <c r="V148" s="240"/>
      <c r="W148" s="240"/>
      <c r="X148" s="238"/>
      <c r="Y148" s="238"/>
      <c r="Z148" s="238"/>
    </row>
    <row r="149" spans="1:26" ht="12.5">
      <c r="A149" s="238"/>
      <c r="B149" s="238"/>
      <c r="C149" s="238"/>
      <c r="D149" s="238"/>
      <c r="E149" s="238"/>
      <c r="F149" s="238"/>
      <c r="G149" s="238"/>
      <c r="H149" s="238"/>
      <c r="I149" s="238"/>
      <c r="J149" s="238"/>
      <c r="K149" s="237"/>
      <c r="L149" s="238"/>
      <c r="M149" s="238"/>
      <c r="N149" s="238"/>
      <c r="O149" s="238"/>
      <c r="P149" s="238"/>
      <c r="Q149" s="238"/>
      <c r="R149" s="238"/>
      <c r="S149" s="238"/>
      <c r="T149" s="238"/>
      <c r="U149" s="238"/>
      <c r="V149" s="240"/>
      <c r="W149" s="240"/>
      <c r="X149" s="238"/>
      <c r="Y149" s="238"/>
      <c r="Z149" s="238"/>
    </row>
    <row r="150" spans="1:26" ht="12.5">
      <c r="A150" s="238"/>
      <c r="B150" s="238"/>
      <c r="C150" s="238"/>
      <c r="D150" s="238"/>
      <c r="E150" s="238"/>
      <c r="F150" s="238"/>
      <c r="G150" s="238"/>
      <c r="H150" s="238"/>
      <c r="I150" s="238"/>
      <c r="J150" s="238"/>
      <c r="K150" s="237"/>
      <c r="L150" s="238"/>
      <c r="M150" s="238"/>
      <c r="N150" s="238"/>
      <c r="O150" s="238"/>
      <c r="P150" s="238"/>
      <c r="Q150" s="238"/>
      <c r="R150" s="238"/>
      <c r="S150" s="238"/>
      <c r="T150" s="238"/>
      <c r="U150" s="238"/>
      <c r="V150" s="240"/>
      <c r="W150" s="240"/>
      <c r="X150" s="238"/>
      <c r="Y150" s="238"/>
      <c r="Z150" s="238"/>
    </row>
    <row r="151" spans="1:26" ht="12.5">
      <c r="A151" s="238"/>
      <c r="B151" s="238"/>
      <c r="C151" s="238"/>
      <c r="D151" s="238"/>
      <c r="E151" s="238"/>
      <c r="F151" s="238"/>
      <c r="G151" s="238"/>
      <c r="H151" s="238"/>
      <c r="I151" s="238"/>
      <c r="J151" s="238"/>
      <c r="K151" s="237"/>
      <c r="L151" s="238"/>
      <c r="M151" s="238"/>
      <c r="N151" s="238"/>
      <c r="O151" s="238"/>
      <c r="P151" s="238"/>
      <c r="Q151" s="238"/>
      <c r="R151" s="238"/>
      <c r="S151" s="238"/>
      <c r="T151" s="238"/>
      <c r="U151" s="238"/>
      <c r="V151" s="240"/>
      <c r="W151" s="240"/>
      <c r="X151" s="238"/>
      <c r="Y151" s="238"/>
      <c r="Z151" s="238"/>
    </row>
    <row r="152" spans="1:26" ht="12.5">
      <c r="A152" s="238"/>
      <c r="B152" s="238"/>
      <c r="C152" s="238"/>
      <c r="D152" s="238"/>
      <c r="E152" s="238"/>
      <c r="F152" s="238"/>
      <c r="G152" s="238"/>
      <c r="H152" s="238"/>
      <c r="I152" s="238"/>
      <c r="J152" s="238"/>
      <c r="K152" s="237"/>
      <c r="L152" s="238"/>
      <c r="M152" s="238"/>
      <c r="N152" s="238"/>
      <c r="O152" s="238"/>
      <c r="P152" s="238"/>
      <c r="Q152" s="238"/>
      <c r="R152" s="238"/>
      <c r="S152" s="238"/>
      <c r="T152" s="238"/>
      <c r="U152" s="238"/>
      <c r="V152" s="240"/>
      <c r="W152" s="240"/>
      <c r="X152" s="238"/>
      <c r="Y152" s="238"/>
      <c r="Z152" s="238"/>
    </row>
    <row r="153" spans="1:26" ht="12.5">
      <c r="A153" s="238"/>
      <c r="B153" s="238"/>
      <c r="C153" s="238"/>
      <c r="D153" s="238"/>
      <c r="E153" s="238"/>
      <c r="F153" s="238"/>
      <c r="G153" s="238"/>
      <c r="H153" s="238"/>
      <c r="I153" s="238"/>
      <c r="J153" s="238"/>
      <c r="K153" s="237"/>
      <c r="L153" s="238"/>
      <c r="M153" s="238"/>
      <c r="N153" s="238"/>
      <c r="O153" s="238"/>
      <c r="P153" s="238"/>
      <c r="Q153" s="238"/>
      <c r="R153" s="238"/>
      <c r="S153" s="238"/>
      <c r="T153" s="238"/>
      <c r="U153" s="238"/>
      <c r="V153" s="240"/>
      <c r="W153" s="240"/>
      <c r="X153" s="238"/>
      <c r="Y153" s="238"/>
      <c r="Z153" s="238"/>
    </row>
    <row r="154" spans="1:26" ht="12.5">
      <c r="A154" s="238"/>
      <c r="B154" s="238"/>
      <c r="C154" s="238"/>
      <c r="D154" s="238"/>
      <c r="E154" s="238"/>
      <c r="F154" s="238"/>
      <c r="G154" s="238"/>
      <c r="H154" s="238"/>
      <c r="I154" s="238"/>
      <c r="J154" s="238"/>
      <c r="K154" s="237"/>
      <c r="L154" s="238"/>
      <c r="M154" s="238"/>
      <c r="N154" s="238"/>
      <c r="O154" s="238"/>
      <c r="P154" s="238"/>
      <c r="Q154" s="238"/>
      <c r="R154" s="238"/>
      <c r="S154" s="238"/>
      <c r="T154" s="238"/>
      <c r="U154" s="238"/>
      <c r="V154" s="240"/>
      <c r="W154" s="240"/>
      <c r="X154" s="238"/>
      <c r="Y154" s="238"/>
      <c r="Z154" s="238"/>
    </row>
    <row r="155" spans="1:26" ht="12.5">
      <c r="A155" s="238"/>
      <c r="B155" s="238"/>
      <c r="C155" s="238"/>
      <c r="D155" s="238"/>
      <c r="E155" s="238"/>
      <c r="F155" s="238"/>
      <c r="G155" s="238"/>
      <c r="H155" s="238"/>
      <c r="I155" s="238"/>
      <c r="J155" s="238"/>
      <c r="K155" s="237"/>
      <c r="L155" s="238"/>
      <c r="M155" s="238"/>
      <c r="N155" s="238"/>
      <c r="O155" s="238"/>
      <c r="P155" s="238"/>
      <c r="Q155" s="238"/>
      <c r="R155" s="238"/>
      <c r="S155" s="238"/>
      <c r="T155" s="238"/>
      <c r="U155" s="238"/>
      <c r="V155" s="240"/>
      <c r="W155" s="240"/>
      <c r="X155" s="238"/>
      <c r="Y155" s="238"/>
      <c r="Z155" s="238"/>
    </row>
    <row r="156" spans="1:26" ht="12.5">
      <c r="A156" s="238"/>
      <c r="B156" s="238"/>
      <c r="C156" s="238"/>
      <c r="D156" s="238"/>
      <c r="E156" s="238"/>
      <c r="F156" s="238"/>
      <c r="G156" s="238"/>
      <c r="H156" s="238"/>
      <c r="I156" s="238"/>
      <c r="J156" s="238"/>
      <c r="K156" s="237"/>
      <c r="L156" s="238"/>
      <c r="M156" s="238"/>
      <c r="N156" s="238"/>
      <c r="O156" s="238"/>
      <c r="P156" s="238"/>
      <c r="Q156" s="238"/>
      <c r="R156" s="238"/>
      <c r="S156" s="238"/>
      <c r="T156" s="238"/>
      <c r="U156" s="238"/>
      <c r="V156" s="240"/>
      <c r="W156" s="240"/>
      <c r="X156" s="238"/>
      <c r="Y156" s="238"/>
      <c r="Z156" s="238"/>
    </row>
    <row r="157" spans="1:26" ht="12.5">
      <c r="A157" s="238"/>
      <c r="B157" s="238"/>
      <c r="C157" s="238"/>
      <c r="D157" s="238"/>
      <c r="E157" s="238"/>
      <c r="F157" s="238"/>
      <c r="G157" s="238"/>
      <c r="H157" s="238"/>
      <c r="I157" s="238"/>
      <c r="J157" s="238"/>
      <c r="K157" s="237"/>
      <c r="L157" s="238"/>
      <c r="M157" s="238"/>
      <c r="N157" s="238"/>
      <c r="O157" s="238"/>
      <c r="P157" s="238"/>
      <c r="Q157" s="238"/>
      <c r="R157" s="238"/>
      <c r="S157" s="238"/>
      <c r="T157" s="238"/>
      <c r="U157" s="238"/>
      <c r="V157" s="240"/>
      <c r="W157" s="240"/>
      <c r="X157" s="238"/>
      <c r="Y157" s="238"/>
      <c r="Z157" s="238"/>
    </row>
    <row r="158" spans="1:26" ht="12.5">
      <c r="A158" s="238"/>
      <c r="B158" s="238"/>
      <c r="C158" s="238"/>
      <c r="D158" s="238"/>
      <c r="E158" s="238"/>
      <c r="F158" s="238"/>
      <c r="G158" s="238"/>
      <c r="H158" s="238"/>
      <c r="I158" s="238"/>
      <c r="J158" s="238"/>
      <c r="K158" s="237"/>
      <c r="L158" s="238"/>
      <c r="M158" s="238"/>
      <c r="N158" s="238"/>
      <c r="O158" s="238"/>
      <c r="P158" s="238"/>
      <c r="Q158" s="238"/>
      <c r="R158" s="238"/>
      <c r="S158" s="238"/>
      <c r="T158" s="238"/>
      <c r="U158" s="238"/>
      <c r="V158" s="240"/>
      <c r="W158" s="240"/>
      <c r="X158" s="238"/>
      <c r="Y158" s="238"/>
      <c r="Z158" s="238"/>
    </row>
    <row r="159" spans="1:26" ht="12.5">
      <c r="A159" s="238"/>
      <c r="B159" s="238"/>
      <c r="C159" s="238"/>
      <c r="D159" s="238"/>
      <c r="E159" s="238"/>
      <c r="F159" s="238"/>
      <c r="G159" s="238"/>
      <c r="H159" s="238"/>
      <c r="I159" s="238"/>
      <c r="J159" s="238"/>
      <c r="K159" s="237"/>
      <c r="L159" s="238"/>
      <c r="M159" s="238"/>
      <c r="N159" s="238"/>
      <c r="O159" s="238"/>
      <c r="P159" s="238"/>
      <c r="Q159" s="238"/>
      <c r="R159" s="238"/>
      <c r="S159" s="238"/>
      <c r="T159" s="238"/>
      <c r="U159" s="238"/>
      <c r="V159" s="240"/>
      <c r="W159" s="240"/>
      <c r="X159" s="238"/>
      <c r="Y159" s="238"/>
      <c r="Z159" s="238"/>
    </row>
    <row r="160" spans="1:26" ht="12.5">
      <c r="A160" s="238"/>
      <c r="B160" s="238"/>
      <c r="C160" s="238"/>
      <c r="D160" s="238"/>
      <c r="E160" s="238"/>
      <c r="F160" s="238"/>
      <c r="G160" s="238"/>
      <c r="H160" s="238"/>
      <c r="I160" s="238"/>
      <c r="J160" s="238"/>
      <c r="K160" s="237"/>
      <c r="L160" s="238"/>
      <c r="M160" s="238"/>
      <c r="N160" s="238"/>
      <c r="O160" s="238"/>
      <c r="P160" s="238"/>
      <c r="Q160" s="238"/>
      <c r="R160" s="238"/>
      <c r="S160" s="238"/>
      <c r="T160" s="238"/>
      <c r="U160" s="238"/>
      <c r="V160" s="240"/>
      <c r="W160" s="240"/>
      <c r="X160" s="238"/>
      <c r="Y160" s="238"/>
      <c r="Z160" s="238"/>
    </row>
    <row r="161" spans="1:26" ht="12.5">
      <c r="A161" s="238"/>
      <c r="B161" s="238"/>
      <c r="C161" s="238"/>
      <c r="D161" s="238"/>
      <c r="E161" s="238"/>
      <c r="F161" s="238"/>
      <c r="G161" s="238"/>
      <c r="H161" s="238"/>
      <c r="I161" s="238"/>
      <c r="J161" s="238"/>
      <c r="K161" s="237"/>
      <c r="L161" s="238"/>
      <c r="M161" s="238"/>
      <c r="N161" s="238"/>
      <c r="O161" s="238"/>
      <c r="P161" s="238"/>
      <c r="Q161" s="238"/>
      <c r="R161" s="238"/>
      <c r="S161" s="238"/>
      <c r="T161" s="238"/>
      <c r="U161" s="238"/>
      <c r="V161" s="240"/>
      <c r="W161" s="240"/>
      <c r="X161" s="238"/>
      <c r="Y161" s="238"/>
      <c r="Z161" s="238"/>
    </row>
    <row r="162" spans="1:26" ht="12.5">
      <c r="A162" s="238"/>
      <c r="B162" s="238"/>
      <c r="C162" s="238"/>
      <c r="D162" s="238"/>
      <c r="E162" s="238"/>
      <c r="F162" s="238"/>
      <c r="G162" s="238"/>
      <c r="H162" s="238"/>
      <c r="I162" s="238"/>
      <c r="J162" s="238"/>
      <c r="K162" s="237"/>
      <c r="L162" s="238"/>
      <c r="M162" s="238"/>
      <c r="N162" s="238"/>
      <c r="O162" s="238"/>
      <c r="P162" s="238"/>
      <c r="Q162" s="238"/>
      <c r="R162" s="238"/>
      <c r="S162" s="238"/>
      <c r="T162" s="238"/>
      <c r="U162" s="238"/>
      <c r="V162" s="240"/>
      <c r="W162" s="240"/>
      <c r="X162" s="238"/>
      <c r="Y162" s="238"/>
      <c r="Z162" s="238"/>
    </row>
    <row r="163" spans="1:26" ht="12.5">
      <c r="A163" s="238"/>
      <c r="B163" s="238"/>
      <c r="C163" s="238"/>
      <c r="D163" s="238"/>
      <c r="E163" s="238"/>
      <c r="F163" s="238"/>
      <c r="G163" s="238"/>
      <c r="H163" s="238"/>
      <c r="I163" s="238"/>
      <c r="J163" s="238"/>
      <c r="K163" s="237"/>
      <c r="L163" s="238"/>
      <c r="M163" s="238"/>
      <c r="N163" s="238"/>
      <c r="O163" s="238"/>
      <c r="P163" s="238"/>
      <c r="Q163" s="238"/>
      <c r="R163" s="238"/>
      <c r="S163" s="238"/>
      <c r="T163" s="238"/>
      <c r="U163" s="238"/>
      <c r="V163" s="240"/>
      <c r="W163" s="240"/>
      <c r="X163" s="238"/>
      <c r="Y163" s="238"/>
      <c r="Z163" s="238"/>
    </row>
    <row r="164" spans="1:26" ht="12.5">
      <c r="A164" s="238"/>
      <c r="B164" s="238"/>
      <c r="C164" s="238"/>
      <c r="D164" s="238"/>
      <c r="E164" s="238"/>
      <c r="F164" s="238"/>
      <c r="G164" s="238"/>
      <c r="H164" s="238"/>
      <c r="I164" s="238"/>
      <c r="J164" s="238"/>
      <c r="K164" s="237"/>
      <c r="L164" s="238"/>
      <c r="M164" s="238"/>
      <c r="N164" s="238"/>
      <c r="O164" s="238"/>
      <c r="P164" s="238"/>
      <c r="Q164" s="238"/>
      <c r="R164" s="238"/>
      <c r="S164" s="238"/>
      <c r="T164" s="238"/>
      <c r="U164" s="238"/>
      <c r="V164" s="240"/>
      <c r="W164" s="240"/>
      <c r="X164" s="238"/>
      <c r="Y164" s="238"/>
      <c r="Z164" s="238"/>
    </row>
    <row r="165" spans="1:26" ht="12.5">
      <c r="A165" s="238"/>
      <c r="B165" s="238"/>
      <c r="C165" s="238"/>
      <c r="D165" s="238"/>
      <c r="E165" s="238"/>
      <c r="F165" s="238"/>
      <c r="G165" s="238"/>
      <c r="H165" s="238"/>
      <c r="I165" s="238"/>
      <c r="J165" s="238"/>
      <c r="K165" s="237"/>
      <c r="L165" s="238"/>
      <c r="M165" s="238"/>
      <c r="N165" s="238"/>
      <c r="O165" s="238"/>
      <c r="P165" s="238"/>
      <c r="Q165" s="238"/>
      <c r="R165" s="238"/>
      <c r="S165" s="238"/>
      <c r="T165" s="238"/>
      <c r="U165" s="238"/>
      <c r="V165" s="240"/>
      <c r="W165" s="240"/>
      <c r="X165" s="238"/>
      <c r="Y165" s="238"/>
      <c r="Z165" s="238"/>
    </row>
    <row r="166" spans="1:26" ht="12.5">
      <c r="A166" s="238"/>
      <c r="B166" s="238"/>
      <c r="C166" s="238"/>
      <c r="D166" s="238"/>
      <c r="E166" s="238"/>
      <c r="F166" s="238"/>
      <c r="G166" s="238"/>
      <c r="H166" s="238"/>
      <c r="I166" s="238"/>
      <c r="J166" s="238"/>
      <c r="K166" s="237"/>
      <c r="L166" s="238"/>
      <c r="M166" s="238"/>
      <c r="N166" s="238"/>
      <c r="O166" s="238"/>
      <c r="P166" s="238"/>
      <c r="Q166" s="238"/>
      <c r="R166" s="238"/>
      <c r="S166" s="238"/>
      <c r="T166" s="238"/>
      <c r="U166" s="238"/>
      <c r="V166" s="240"/>
      <c r="W166" s="240"/>
      <c r="X166" s="238"/>
      <c r="Y166" s="238"/>
      <c r="Z166" s="238"/>
    </row>
    <row r="167" spans="1:26" ht="12.5">
      <c r="A167" s="238"/>
      <c r="B167" s="238"/>
      <c r="C167" s="238"/>
      <c r="D167" s="238"/>
      <c r="E167" s="238"/>
      <c r="F167" s="238"/>
      <c r="G167" s="238"/>
      <c r="H167" s="238"/>
      <c r="I167" s="238"/>
      <c r="J167" s="238"/>
      <c r="K167" s="237"/>
      <c r="L167" s="238"/>
      <c r="M167" s="238"/>
      <c r="N167" s="238"/>
      <c r="O167" s="238"/>
      <c r="P167" s="238"/>
      <c r="Q167" s="238"/>
      <c r="R167" s="238"/>
      <c r="S167" s="238"/>
      <c r="T167" s="238"/>
      <c r="U167" s="238"/>
      <c r="V167" s="240"/>
      <c r="W167" s="240"/>
      <c r="X167" s="238"/>
      <c r="Y167" s="238"/>
      <c r="Z167" s="238"/>
    </row>
    <row r="168" spans="1:26" ht="12.5">
      <c r="A168" s="238"/>
      <c r="B168" s="238"/>
      <c r="C168" s="238"/>
      <c r="D168" s="238"/>
      <c r="E168" s="238"/>
      <c r="F168" s="238"/>
      <c r="G168" s="238"/>
      <c r="H168" s="238"/>
      <c r="I168" s="238"/>
      <c r="J168" s="238"/>
      <c r="K168" s="237"/>
      <c r="L168" s="238"/>
      <c r="M168" s="238"/>
      <c r="N168" s="238"/>
      <c r="O168" s="238"/>
      <c r="P168" s="238"/>
      <c r="Q168" s="238"/>
      <c r="R168" s="238"/>
      <c r="S168" s="238"/>
      <c r="T168" s="238"/>
      <c r="U168" s="238"/>
      <c r="V168" s="240"/>
      <c r="W168" s="240"/>
      <c r="X168" s="238"/>
      <c r="Y168" s="238"/>
      <c r="Z168" s="238"/>
    </row>
    <row r="169" spans="1:26" ht="12.5">
      <c r="A169" s="238"/>
      <c r="B169" s="238"/>
      <c r="C169" s="238"/>
      <c r="D169" s="238"/>
      <c r="E169" s="238"/>
      <c r="F169" s="238"/>
      <c r="G169" s="238"/>
      <c r="H169" s="238"/>
      <c r="I169" s="238"/>
      <c r="J169" s="238"/>
      <c r="K169" s="237"/>
      <c r="L169" s="238"/>
      <c r="M169" s="238"/>
      <c r="N169" s="238"/>
      <c r="O169" s="238"/>
      <c r="P169" s="238"/>
      <c r="Q169" s="238"/>
      <c r="R169" s="238"/>
      <c r="S169" s="238"/>
      <c r="T169" s="238"/>
      <c r="U169" s="238"/>
      <c r="V169" s="240"/>
      <c r="W169" s="240"/>
      <c r="X169" s="238"/>
      <c r="Y169" s="238"/>
      <c r="Z169" s="238"/>
    </row>
    <row r="170" spans="1:26" ht="12.5">
      <c r="A170" s="238"/>
      <c r="B170" s="238"/>
      <c r="C170" s="238"/>
      <c r="D170" s="238"/>
      <c r="E170" s="238"/>
      <c r="F170" s="238"/>
      <c r="G170" s="238"/>
      <c r="H170" s="238"/>
      <c r="I170" s="238"/>
      <c r="J170" s="238"/>
      <c r="K170" s="237"/>
      <c r="L170" s="238"/>
      <c r="M170" s="238"/>
      <c r="N170" s="238"/>
      <c r="O170" s="238"/>
      <c r="P170" s="238"/>
      <c r="Q170" s="238"/>
      <c r="R170" s="238"/>
      <c r="S170" s="238"/>
      <c r="T170" s="238"/>
      <c r="U170" s="238"/>
      <c r="V170" s="240"/>
      <c r="W170" s="240"/>
      <c r="X170" s="238"/>
      <c r="Y170" s="238"/>
      <c r="Z170" s="238"/>
    </row>
    <row r="171" spans="1:26" ht="12.5">
      <c r="A171" s="238"/>
      <c r="B171" s="238"/>
      <c r="C171" s="238"/>
      <c r="D171" s="238"/>
      <c r="E171" s="238"/>
      <c r="F171" s="238"/>
      <c r="G171" s="238"/>
      <c r="H171" s="238"/>
      <c r="I171" s="238"/>
      <c r="J171" s="238"/>
      <c r="K171" s="237"/>
      <c r="L171" s="238"/>
      <c r="M171" s="238"/>
      <c r="N171" s="238"/>
      <c r="O171" s="238"/>
      <c r="P171" s="238"/>
      <c r="Q171" s="238"/>
      <c r="R171" s="238"/>
      <c r="S171" s="238"/>
      <c r="T171" s="238"/>
      <c r="U171" s="238"/>
      <c r="V171" s="240"/>
      <c r="W171" s="240"/>
      <c r="X171" s="238"/>
      <c r="Y171" s="238"/>
      <c r="Z171" s="238"/>
    </row>
    <row r="172" spans="1:26" ht="12.5">
      <c r="A172" s="238"/>
      <c r="B172" s="238"/>
      <c r="C172" s="238"/>
      <c r="D172" s="238"/>
      <c r="E172" s="238"/>
      <c r="F172" s="238"/>
      <c r="G172" s="238"/>
      <c r="H172" s="238"/>
      <c r="I172" s="238"/>
      <c r="J172" s="238"/>
      <c r="K172" s="237"/>
      <c r="L172" s="238"/>
      <c r="M172" s="238"/>
      <c r="N172" s="238"/>
      <c r="O172" s="238"/>
      <c r="P172" s="238"/>
      <c r="Q172" s="238"/>
      <c r="R172" s="238"/>
      <c r="S172" s="238"/>
      <c r="T172" s="238"/>
      <c r="U172" s="238"/>
      <c r="V172" s="240"/>
      <c r="W172" s="240"/>
      <c r="X172" s="238"/>
      <c r="Y172" s="238"/>
      <c r="Z172" s="238"/>
    </row>
    <row r="173" spans="1:26" ht="12.5">
      <c r="A173" s="238"/>
      <c r="B173" s="238"/>
      <c r="C173" s="238"/>
      <c r="D173" s="238"/>
      <c r="E173" s="238"/>
      <c r="F173" s="238"/>
      <c r="G173" s="238"/>
      <c r="H173" s="238"/>
      <c r="I173" s="238"/>
      <c r="J173" s="238"/>
      <c r="K173" s="237"/>
      <c r="L173" s="238"/>
      <c r="M173" s="238"/>
      <c r="N173" s="238"/>
      <c r="O173" s="238"/>
      <c r="P173" s="238"/>
      <c r="Q173" s="238"/>
      <c r="R173" s="238"/>
      <c r="S173" s="238"/>
      <c r="T173" s="238"/>
      <c r="U173" s="238"/>
      <c r="V173" s="240"/>
      <c r="W173" s="240"/>
      <c r="X173" s="238"/>
      <c r="Y173" s="238"/>
      <c r="Z173" s="238"/>
    </row>
    <row r="174" spans="1:26" ht="12.5">
      <c r="A174" s="238"/>
      <c r="B174" s="238"/>
      <c r="C174" s="238"/>
      <c r="D174" s="238"/>
      <c r="E174" s="238"/>
      <c r="F174" s="238"/>
      <c r="G174" s="238"/>
      <c r="H174" s="238"/>
      <c r="I174" s="238"/>
      <c r="J174" s="238"/>
      <c r="K174" s="237"/>
      <c r="L174" s="238"/>
      <c r="M174" s="238"/>
      <c r="N174" s="238"/>
      <c r="O174" s="238"/>
      <c r="P174" s="238"/>
      <c r="Q174" s="238"/>
      <c r="R174" s="238"/>
      <c r="S174" s="238"/>
      <c r="T174" s="238"/>
      <c r="U174" s="238"/>
      <c r="V174" s="240"/>
      <c r="W174" s="240"/>
      <c r="X174" s="238"/>
      <c r="Y174" s="238"/>
      <c r="Z174" s="238"/>
    </row>
    <row r="175" spans="1:26" ht="12.5">
      <c r="A175" s="238"/>
      <c r="B175" s="238"/>
      <c r="C175" s="238"/>
      <c r="D175" s="238"/>
      <c r="E175" s="238"/>
      <c r="F175" s="238"/>
      <c r="G175" s="238"/>
      <c r="H175" s="238"/>
      <c r="I175" s="238"/>
      <c r="J175" s="238"/>
      <c r="K175" s="237"/>
      <c r="L175" s="238"/>
      <c r="M175" s="238"/>
      <c r="N175" s="238"/>
      <c r="O175" s="238"/>
      <c r="P175" s="238"/>
      <c r="Q175" s="238"/>
      <c r="R175" s="238"/>
      <c r="S175" s="238"/>
      <c r="T175" s="238"/>
      <c r="U175" s="238"/>
      <c r="V175" s="240"/>
      <c r="W175" s="240"/>
      <c r="X175" s="238"/>
      <c r="Y175" s="238"/>
      <c r="Z175" s="238"/>
    </row>
    <row r="176" spans="1:26" ht="12.5">
      <c r="A176" s="238"/>
      <c r="B176" s="238"/>
      <c r="C176" s="238"/>
      <c r="D176" s="238"/>
      <c r="E176" s="238"/>
      <c r="F176" s="238"/>
      <c r="G176" s="238"/>
      <c r="H176" s="238"/>
      <c r="I176" s="238"/>
      <c r="J176" s="238"/>
      <c r="K176" s="237"/>
      <c r="L176" s="238"/>
      <c r="M176" s="238"/>
      <c r="N176" s="238"/>
      <c r="O176" s="238"/>
      <c r="P176" s="238"/>
      <c r="Q176" s="238"/>
      <c r="R176" s="238"/>
      <c r="S176" s="238"/>
      <c r="T176" s="238"/>
      <c r="U176" s="238"/>
      <c r="V176" s="240"/>
      <c r="W176" s="240"/>
      <c r="X176" s="238"/>
      <c r="Y176" s="238"/>
      <c r="Z176" s="238"/>
    </row>
    <row r="177" spans="1:26" ht="12.5">
      <c r="A177" s="238"/>
      <c r="B177" s="238"/>
      <c r="C177" s="238"/>
      <c r="D177" s="238"/>
      <c r="E177" s="238"/>
      <c r="F177" s="238"/>
      <c r="G177" s="238"/>
      <c r="H177" s="238"/>
      <c r="I177" s="238"/>
      <c r="J177" s="238"/>
      <c r="K177" s="237"/>
      <c r="L177" s="238"/>
      <c r="M177" s="238"/>
      <c r="N177" s="238"/>
      <c r="O177" s="238"/>
      <c r="P177" s="238"/>
      <c r="Q177" s="238"/>
      <c r="R177" s="238"/>
      <c r="S177" s="238"/>
      <c r="T177" s="238"/>
      <c r="U177" s="238"/>
      <c r="V177" s="240"/>
      <c r="W177" s="240"/>
      <c r="X177" s="238"/>
      <c r="Y177" s="238"/>
      <c r="Z177" s="238"/>
    </row>
    <row r="178" spans="1:26" ht="12.5">
      <c r="A178" s="238"/>
      <c r="B178" s="238"/>
      <c r="C178" s="238"/>
      <c r="D178" s="238"/>
      <c r="E178" s="238"/>
      <c r="F178" s="238"/>
      <c r="G178" s="238"/>
      <c r="H178" s="238"/>
      <c r="I178" s="238"/>
      <c r="J178" s="238"/>
      <c r="K178" s="237"/>
      <c r="L178" s="238"/>
      <c r="M178" s="238"/>
      <c r="N178" s="238"/>
      <c r="O178" s="238"/>
      <c r="P178" s="238"/>
      <c r="Q178" s="238"/>
      <c r="R178" s="238"/>
      <c r="S178" s="238"/>
      <c r="T178" s="238"/>
      <c r="U178" s="238"/>
      <c r="V178" s="240"/>
      <c r="W178" s="240"/>
      <c r="X178" s="238"/>
      <c r="Y178" s="238"/>
      <c r="Z178" s="238"/>
    </row>
    <row r="179" spans="1:26" ht="12.5">
      <c r="A179" s="238"/>
      <c r="B179" s="238"/>
      <c r="C179" s="238"/>
      <c r="D179" s="238"/>
      <c r="E179" s="238"/>
      <c r="F179" s="238"/>
      <c r="G179" s="238"/>
      <c r="H179" s="238"/>
      <c r="I179" s="238"/>
      <c r="J179" s="238"/>
      <c r="K179" s="237"/>
      <c r="L179" s="238"/>
      <c r="M179" s="238"/>
      <c r="N179" s="238"/>
      <c r="O179" s="238"/>
      <c r="P179" s="238"/>
      <c r="Q179" s="238"/>
      <c r="R179" s="238"/>
      <c r="S179" s="238"/>
      <c r="T179" s="238"/>
      <c r="U179" s="238"/>
      <c r="V179" s="240"/>
      <c r="W179" s="240"/>
      <c r="X179" s="238"/>
      <c r="Y179" s="238"/>
      <c r="Z179" s="238"/>
    </row>
    <row r="180" spans="1:26" ht="12.5">
      <c r="A180" s="238"/>
      <c r="B180" s="238"/>
      <c r="C180" s="238"/>
      <c r="D180" s="238"/>
      <c r="E180" s="238"/>
      <c r="F180" s="238"/>
      <c r="G180" s="238"/>
      <c r="H180" s="238"/>
      <c r="I180" s="238"/>
      <c r="J180" s="238"/>
      <c r="K180" s="237"/>
      <c r="L180" s="238"/>
      <c r="M180" s="238"/>
      <c r="N180" s="238"/>
      <c r="O180" s="238"/>
      <c r="P180" s="238"/>
      <c r="Q180" s="238"/>
      <c r="R180" s="238"/>
      <c r="S180" s="238"/>
      <c r="T180" s="238"/>
      <c r="U180" s="238"/>
      <c r="V180" s="240"/>
      <c r="W180" s="240"/>
      <c r="X180" s="238"/>
      <c r="Y180" s="238"/>
      <c r="Z180" s="238"/>
    </row>
    <row r="181" spans="1:26" ht="12.5">
      <c r="A181" s="238"/>
      <c r="B181" s="238"/>
      <c r="C181" s="238"/>
      <c r="D181" s="238"/>
      <c r="E181" s="238"/>
      <c r="F181" s="238"/>
      <c r="G181" s="238"/>
      <c r="H181" s="238"/>
      <c r="I181" s="238"/>
      <c r="J181" s="238"/>
      <c r="K181" s="237"/>
      <c r="L181" s="238"/>
      <c r="M181" s="238"/>
      <c r="N181" s="238"/>
      <c r="O181" s="238"/>
      <c r="P181" s="238"/>
      <c r="Q181" s="238"/>
      <c r="R181" s="238"/>
      <c r="S181" s="238"/>
      <c r="T181" s="238"/>
      <c r="U181" s="238"/>
      <c r="V181" s="240"/>
      <c r="W181" s="240"/>
      <c r="X181" s="238"/>
      <c r="Y181" s="238"/>
      <c r="Z181" s="238"/>
    </row>
    <row r="182" spans="1:26" ht="12.5">
      <c r="A182" s="238"/>
      <c r="B182" s="238"/>
      <c r="C182" s="238"/>
      <c r="D182" s="238"/>
      <c r="E182" s="238"/>
      <c r="F182" s="238"/>
      <c r="G182" s="238"/>
      <c r="H182" s="238"/>
      <c r="I182" s="238"/>
      <c r="J182" s="238"/>
      <c r="K182" s="237"/>
      <c r="L182" s="238"/>
      <c r="M182" s="238"/>
      <c r="N182" s="238"/>
      <c r="O182" s="238"/>
      <c r="P182" s="238"/>
      <c r="Q182" s="238"/>
      <c r="R182" s="238"/>
      <c r="S182" s="238"/>
      <c r="T182" s="238"/>
      <c r="U182" s="238"/>
      <c r="V182" s="240"/>
      <c r="W182" s="240"/>
      <c r="X182" s="238"/>
      <c r="Y182" s="238"/>
      <c r="Z182" s="238"/>
    </row>
    <row r="183" spans="1:26" ht="12.5">
      <c r="A183" s="238"/>
      <c r="B183" s="238"/>
      <c r="C183" s="238"/>
      <c r="D183" s="238"/>
      <c r="E183" s="238"/>
      <c r="F183" s="238"/>
      <c r="G183" s="238"/>
      <c r="H183" s="238"/>
      <c r="I183" s="238"/>
      <c r="J183" s="238"/>
      <c r="K183" s="237"/>
      <c r="L183" s="238"/>
      <c r="M183" s="238"/>
      <c r="N183" s="238"/>
      <c r="O183" s="238"/>
      <c r="P183" s="238"/>
      <c r="Q183" s="238"/>
      <c r="R183" s="238"/>
      <c r="S183" s="238"/>
      <c r="T183" s="238"/>
      <c r="U183" s="238"/>
      <c r="V183" s="240"/>
      <c r="W183" s="240"/>
      <c r="X183" s="238"/>
      <c r="Y183" s="238"/>
      <c r="Z183" s="238"/>
    </row>
    <row r="184" spans="1:26" ht="12.5">
      <c r="A184" s="238"/>
      <c r="B184" s="238"/>
      <c r="C184" s="238"/>
      <c r="D184" s="238"/>
      <c r="E184" s="238"/>
      <c r="F184" s="238"/>
      <c r="G184" s="238"/>
      <c r="H184" s="238"/>
      <c r="I184" s="238"/>
      <c r="J184" s="238"/>
      <c r="K184" s="237"/>
      <c r="L184" s="238"/>
      <c r="M184" s="238"/>
      <c r="N184" s="238"/>
      <c r="O184" s="238"/>
      <c r="P184" s="238"/>
      <c r="Q184" s="238"/>
      <c r="R184" s="238"/>
      <c r="S184" s="238"/>
      <c r="T184" s="238"/>
      <c r="U184" s="238"/>
      <c r="V184" s="240"/>
      <c r="W184" s="240"/>
      <c r="X184" s="238"/>
      <c r="Y184" s="238"/>
      <c r="Z184" s="238"/>
    </row>
    <row r="185" spans="1:26" ht="12.5">
      <c r="A185" s="238"/>
      <c r="B185" s="238"/>
      <c r="C185" s="238"/>
      <c r="D185" s="238"/>
      <c r="E185" s="238"/>
      <c r="F185" s="238"/>
      <c r="G185" s="238"/>
      <c r="H185" s="238"/>
      <c r="I185" s="238"/>
      <c r="J185" s="238"/>
      <c r="K185" s="237"/>
      <c r="L185" s="238"/>
      <c r="M185" s="238"/>
      <c r="N185" s="238"/>
      <c r="O185" s="238"/>
      <c r="P185" s="238"/>
      <c r="Q185" s="238"/>
      <c r="R185" s="238"/>
      <c r="S185" s="238"/>
      <c r="T185" s="238"/>
      <c r="U185" s="238"/>
      <c r="V185" s="240"/>
      <c r="W185" s="240"/>
      <c r="X185" s="238"/>
      <c r="Y185" s="238"/>
      <c r="Z185" s="238"/>
    </row>
    <row r="186" spans="1:26" ht="12.5">
      <c r="A186" s="238"/>
      <c r="B186" s="238"/>
      <c r="C186" s="238"/>
      <c r="D186" s="238"/>
      <c r="E186" s="238"/>
      <c r="F186" s="238"/>
      <c r="G186" s="238"/>
      <c r="H186" s="238"/>
      <c r="I186" s="238"/>
      <c r="J186" s="238"/>
      <c r="K186" s="237"/>
      <c r="L186" s="238"/>
      <c r="M186" s="238"/>
      <c r="N186" s="238"/>
      <c r="O186" s="238"/>
      <c r="P186" s="238"/>
      <c r="Q186" s="238"/>
      <c r="R186" s="238"/>
      <c r="S186" s="238"/>
      <c r="T186" s="238"/>
      <c r="U186" s="238"/>
      <c r="V186" s="240"/>
      <c r="W186" s="240"/>
      <c r="X186" s="238"/>
      <c r="Y186" s="238"/>
      <c r="Z186" s="238"/>
    </row>
    <row r="187" spans="1:26" ht="12.5">
      <c r="A187" s="238"/>
      <c r="B187" s="238"/>
      <c r="C187" s="238"/>
      <c r="D187" s="238"/>
      <c r="E187" s="238"/>
      <c r="F187" s="238"/>
      <c r="G187" s="238"/>
      <c r="H187" s="238"/>
      <c r="I187" s="238"/>
      <c r="J187" s="238"/>
      <c r="K187" s="237"/>
      <c r="L187" s="238"/>
      <c r="M187" s="238"/>
      <c r="N187" s="238"/>
      <c r="O187" s="238"/>
      <c r="P187" s="238"/>
      <c r="Q187" s="238"/>
      <c r="R187" s="238"/>
      <c r="S187" s="238"/>
      <c r="T187" s="238"/>
      <c r="U187" s="238"/>
      <c r="V187" s="240"/>
      <c r="W187" s="240"/>
      <c r="X187" s="238"/>
      <c r="Y187" s="238"/>
      <c r="Z187" s="238"/>
    </row>
    <row r="188" spans="1:26" ht="12.5">
      <c r="A188" s="238"/>
      <c r="B188" s="238"/>
      <c r="C188" s="238"/>
      <c r="D188" s="238"/>
      <c r="E188" s="238"/>
      <c r="F188" s="238"/>
      <c r="G188" s="238"/>
      <c r="H188" s="238"/>
      <c r="I188" s="238"/>
      <c r="J188" s="238"/>
      <c r="K188" s="237"/>
      <c r="L188" s="238"/>
      <c r="M188" s="238"/>
      <c r="N188" s="238"/>
      <c r="O188" s="238"/>
      <c r="P188" s="238"/>
      <c r="Q188" s="238"/>
      <c r="R188" s="238"/>
      <c r="S188" s="238"/>
      <c r="T188" s="238"/>
      <c r="U188" s="238"/>
      <c r="V188" s="240"/>
      <c r="W188" s="240"/>
      <c r="X188" s="238"/>
      <c r="Y188" s="238"/>
      <c r="Z188" s="238"/>
    </row>
    <row r="189" spans="1:26" ht="12.5">
      <c r="A189" s="238"/>
      <c r="B189" s="238"/>
      <c r="C189" s="238"/>
      <c r="D189" s="238"/>
      <c r="E189" s="238"/>
      <c r="F189" s="238"/>
      <c r="G189" s="238"/>
      <c r="H189" s="238"/>
      <c r="I189" s="238"/>
      <c r="J189" s="238"/>
      <c r="K189" s="237"/>
      <c r="L189" s="238"/>
      <c r="M189" s="238"/>
      <c r="N189" s="238"/>
      <c r="O189" s="238"/>
      <c r="P189" s="238"/>
      <c r="Q189" s="238"/>
      <c r="R189" s="238"/>
      <c r="S189" s="238"/>
      <c r="T189" s="238"/>
      <c r="U189" s="238"/>
      <c r="V189" s="240"/>
      <c r="W189" s="240"/>
      <c r="X189" s="238"/>
      <c r="Y189" s="238"/>
      <c r="Z189" s="238"/>
    </row>
    <row r="190" spans="1:26" ht="12.5">
      <c r="A190" s="238"/>
      <c r="B190" s="238"/>
      <c r="C190" s="238"/>
      <c r="D190" s="238"/>
      <c r="E190" s="238"/>
      <c r="F190" s="238"/>
      <c r="G190" s="238"/>
      <c r="H190" s="238"/>
      <c r="I190" s="238"/>
      <c r="J190" s="238"/>
      <c r="K190" s="237"/>
      <c r="L190" s="238"/>
      <c r="M190" s="238"/>
      <c r="N190" s="238"/>
      <c r="O190" s="238"/>
      <c r="P190" s="238"/>
      <c r="Q190" s="238"/>
      <c r="R190" s="238"/>
      <c r="S190" s="238"/>
      <c r="T190" s="238"/>
      <c r="U190" s="238"/>
      <c r="V190" s="240"/>
      <c r="W190" s="240"/>
      <c r="X190" s="238"/>
      <c r="Y190" s="238"/>
      <c r="Z190" s="238"/>
    </row>
    <row r="191" spans="1:26" ht="12.5">
      <c r="A191" s="238"/>
      <c r="B191" s="238"/>
      <c r="C191" s="238"/>
      <c r="D191" s="238"/>
      <c r="E191" s="238"/>
      <c r="F191" s="238"/>
      <c r="G191" s="238"/>
      <c r="H191" s="238"/>
      <c r="I191" s="238"/>
      <c r="J191" s="238"/>
      <c r="K191" s="237"/>
      <c r="L191" s="238"/>
      <c r="M191" s="238"/>
      <c r="N191" s="238"/>
      <c r="O191" s="238"/>
      <c r="P191" s="238"/>
      <c r="Q191" s="238"/>
      <c r="R191" s="238"/>
      <c r="S191" s="238"/>
      <c r="T191" s="238"/>
      <c r="U191" s="238"/>
      <c r="V191" s="240"/>
      <c r="W191" s="240"/>
      <c r="X191" s="238"/>
      <c r="Y191" s="238"/>
      <c r="Z191" s="238"/>
    </row>
    <row r="192" spans="1:26" ht="12.5">
      <c r="A192" s="238"/>
      <c r="B192" s="238"/>
      <c r="C192" s="238"/>
      <c r="D192" s="238"/>
      <c r="E192" s="238"/>
      <c r="F192" s="238"/>
      <c r="G192" s="238"/>
      <c r="H192" s="238"/>
      <c r="I192" s="238"/>
      <c r="J192" s="238"/>
      <c r="K192" s="237"/>
      <c r="L192" s="238"/>
      <c r="M192" s="238"/>
      <c r="N192" s="238"/>
      <c r="O192" s="238"/>
      <c r="P192" s="238"/>
      <c r="Q192" s="238"/>
      <c r="R192" s="238"/>
      <c r="S192" s="238"/>
      <c r="T192" s="238"/>
      <c r="U192" s="238"/>
      <c r="V192" s="240"/>
      <c r="W192" s="240"/>
      <c r="X192" s="238"/>
      <c r="Y192" s="238"/>
      <c r="Z192" s="238"/>
    </row>
    <row r="193" spans="1:26" ht="12.5">
      <c r="A193" s="238"/>
      <c r="B193" s="238"/>
      <c r="C193" s="238"/>
      <c r="D193" s="238"/>
      <c r="E193" s="238"/>
      <c r="F193" s="238"/>
      <c r="G193" s="238"/>
      <c r="H193" s="238"/>
      <c r="I193" s="238"/>
      <c r="J193" s="238"/>
      <c r="K193" s="237"/>
      <c r="L193" s="238"/>
      <c r="M193" s="238"/>
      <c r="N193" s="238"/>
      <c r="O193" s="238"/>
      <c r="P193" s="238"/>
      <c r="Q193" s="238"/>
      <c r="R193" s="238"/>
      <c r="S193" s="238"/>
      <c r="T193" s="238"/>
      <c r="U193" s="238"/>
      <c r="V193" s="240"/>
      <c r="W193" s="240"/>
      <c r="X193" s="238"/>
      <c r="Y193" s="238"/>
      <c r="Z193" s="238"/>
    </row>
    <row r="194" spans="1:26" ht="12.5">
      <c r="A194" s="238"/>
      <c r="B194" s="238"/>
      <c r="C194" s="238"/>
      <c r="D194" s="238"/>
      <c r="E194" s="238"/>
      <c r="F194" s="238"/>
      <c r="G194" s="238"/>
      <c r="H194" s="238"/>
      <c r="I194" s="238"/>
      <c r="J194" s="238"/>
      <c r="K194" s="237"/>
      <c r="L194" s="238"/>
      <c r="M194" s="238"/>
      <c r="N194" s="238"/>
      <c r="O194" s="238"/>
      <c r="P194" s="238"/>
      <c r="Q194" s="238"/>
      <c r="R194" s="238"/>
      <c r="S194" s="238"/>
      <c r="T194" s="238"/>
      <c r="U194" s="238"/>
      <c r="V194" s="240"/>
      <c r="W194" s="240"/>
      <c r="X194" s="238"/>
      <c r="Y194" s="238"/>
      <c r="Z194" s="238"/>
    </row>
    <row r="195" spans="1:26" ht="12.5">
      <c r="A195" s="238"/>
      <c r="B195" s="238"/>
      <c r="C195" s="238"/>
      <c r="D195" s="238"/>
      <c r="E195" s="238"/>
      <c r="F195" s="238"/>
      <c r="G195" s="238"/>
      <c r="H195" s="238"/>
      <c r="I195" s="238"/>
      <c r="J195" s="238"/>
      <c r="K195" s="237"/>
      <c r="L195" s="238"/>
      <c r="M195" s="238"/>
      <c r="N195" s="238"/>
      <c r="O195" s="238"/>
      <c r="P195" s="238"/>
      <c r="Q195" s="238"/>
      <c r="R195" s="238"/>
      <c r="S195" s="238"/>
      <c r="T195" s="238"/>
      <c r="U195" s="238"/>
      <c r="V195" s="240"/>
      <c r="W195" s="240"/>
      <c r="X195" s="238"/>
      <c r="Y195" s="238"/>
      <c r="Z195" s="238"/>
    </row>
    <row r="196" spans="1:26" ht="12.5">
      <c r="A196" s="238"/>
      <c r="B196" s="238"/>
      <c r="C196" s="238"/>
      <c r="D196" s="238"/>
      <c r="E196" s="238"/>
      <c r="F196" s="238"/>
      <c r="G196" s="238"/>
      <c r="H196" s="238"/>
      <c r="I196" s="238"/>
      <c r="J196" s="238"/>
      <c r="K196" s="237"/>
      <c r="L196" s="238"/>
      <c r="M196" s="238"/>
      <c r="N196" s="238"/>
      <c r="O196" s="238"/>
      <c r="P196" s="238"/>
      <c r="Q196" s="238"/>
      <c r="R196" s="238"/>
      <c r="S196" s="238"/>
      <c r="T196" s="238"/>
      <c r="U196" s="238"/>
      <c r="V196" s="240"/>
      <c r="W196" s="240"/>
      <c r="X196" s="238"/>
      <c r="Y196" s="238"/>
      <c r="Z196" s="238"/>
    </row>
    <row r="197" spans="1:26" ht="12.5">
      <c r="A197" s="238"/>
      <c r="B197" s="238"/>
      <c r="C197" s="238"/>
      <c r="D197" s="238"/>
      <c r="E197" s="238"/>
      <c r="F197" s="238"/>
      <c r="G197" s="238"/>
      <c r="H197" s="238"/>
      <c r="I197" s="238"/>
      <c r="J197" s="238"/>
      <c r="K197" s="237"/>
      <c r="L197" s="238"/>
      <c r="M197" s="238"/>
      <c r="N197" s="238"/>
      <c r="O197" s="238"/>
      <c r="P197" s="238"/>
      <c r="Q197" s="238"/>
      <c r="R197" s="238"/>
      <c r="S197" s="238"/>
      <c r="T197" s="238"/>
      <c r="U197" s="238"/>
      <c r="V197" s="240"/>
      <c r="W197" s="240"/>
      <c r="X197" s="238"/>
      <c r="Y197" s="238"/>
      <c r="Z197" s="238"/>
    </row>
    <row r="198" spans="1:26" ht="12.5">
      <c r="A198" s="238"/>
      <c r="B198" s="238"/>
      <c r="C198" s="238"/>
      <c r="D198" s="238"/>
      <c r="E198" s="238"/>
      <c r="F198" s="238"/>
      <c r="G198" s="238"/>
      <c r="H198" s="238"/>
      <c r="I198" s="238"/>
      <c r="J198" s="238"/>
      <c r="K198" s="237"/>
      <c r="L198" s="238"/>
      <c r="M198" s="238"/>
      <c r="N198" s="238"/>
      <c r="O198" s="238"/>
      <c r="P198" s="238"/>
      <c r="Q198" s="238"/>
      <c r="R198" s="238"/>
      <c r="S198" s="238"/>
      <c r="T198" s="238"/>
      <c r="U198" s="238"/>
      <c r="V198" s="240"/>
      <c r="W198" s="240"/>
      <c r="X198" s="238"/>
      <c r="Y198" s="238"/>
      <c r="Z198" s="238"/>
    </row>
    <row r="199" spans="1:26" ht="12.5">
      <c r="A199" s="238"/>
      <c r="B199" s="238"/>
      <c r="C199" s="238"/>
      <c r="D199" s="238"/>
      <c r="E199" s="238"/>
      <c r="F199" s="238"/>
      <c r="G199" s="238"/>
      <c r="H199" s="238"/>
      <c r="I199" s="238"/>
      <c r="J199" s="238"/>
      <c r="K199" s="237"/>
      <c r="L199" s="238"/>
      <c r="M199" s="238"/>
      <c r="N199" s="238"/>
      <c r="O199" s="238"/>
      <c r="P199" s="238"/>
      <c r="Q199" s="238"/>
      <c r="R199" s="238"/>
      <c r="S199" s="238"/>
      <c r="T199" s="238"/>
      <c r="U199" s="238"/>
      <c r="V199" s="240"/>
      <c r="W199" s="240"/>
      <c r="X199" s="238"/>
      <c r="Y199" s="238"/>
      <c r="Z199" s="238"/>
    </row>
    <row r="200" spans="1:26" ht="12.5">
      <c r="A200" s="238"/>
      <c r="B200" s="238"/>
      <c r="C200" s="238"/>
      <c r="D200" s="238"/>
      <c r="E200" s="238"/>
      <c r="F200" s="238"/>
      <c r="G200" s="238"/>
      <c r="H200" s="238"/>
      <c r="I200" s="238"/>
      <c r="J200" s="238"/>
      <c r="K200" s="237"/>
      <c r="L200" s="238"/>
      <c r="M200" s="238"/>
      <c r="N200" s="238"/>
      <c r="O200" s="238"/>
      <c r="P200" s="238"/>
      <c r="Q200" s="238"/>
      <c r="R200" s="238"/>
      <c r="S200" s="238"/>
      <c r="T200" s="238"/>
      <c r="U200" s="238"/>
      <c r="V200" s="240"/>
      <c r="W200" s="240"/>
      <c r="X200" s="238"/>
      <c r="Y200" s="238"/>
      <c r="Z200" s="238"/>
    </row>
    <row r="201" spans="1:26" ht="12.5">
      <c r="A201" s="238"/>
      <c r="B201" s="238"/>
      <c r="C201" s="238"/>
      <c r="D201" s="238"/>
      <c r="E201" s="238"/>
      <c r="F201" s="238"/>
      <c r="G201" s="238"/>
      <c r="H201" s="238"/>
      <c r="I201" s="238"/>
      <c r="J201" s="238"/>
      <c r="K201" s="237"/>
      <c r="L201" s="238"/>
      <c r="M201" s="238"/>
      <c r="N201" s="238"/>
      <c r="O201" s="238"/>
      <c r="P201" s="238"/>
      <c r="Q201" s="238"/>
      <c r="R201" s="238"/>
      <c r="S201" s="238"/>
      <c r="T201" s="238"/>
      <c r="U201" s="238"/>
      <c r="V201" s="240"/>
      <c r="W201" s="240"/>
      <c r="X201" s="238"/>
      <c r="Y201" s="238"/>
      <c r="Z201" s="238"/>
    </row>
    <row r="202" spans="1:26" ht="12.5">
      <c r="A202" s="238"/>
      <c r="B202" s="238"/>
      <c r="C202" s="238"/>
      <c r="D202" s="238"/>
      <c r="E202" s="238"/>
      <c r="F202" s="238"/>
      <c r="G202" s="238"/>
      <c r="H202" s="238"/>
      <c r="I202" s="238"/>
      <c r="J202" s="238"/>
      <c r="K202" s="237"/>
      <c r="L202" s="238"/>
      <c r="M202" s="238"/>
      <c r="N202" s="238"/>
      <c r="O202" s="238"/>
      <c r="P202" s="238"/>
      <c r="Q202" s="238"/>
      <c r="R202" s="238"/>
      <c r="S202" s="238"/>
      <c r="T202" s="238"/>
      <c r="U202" s="238"/>
      <c r="V202" s="240"/>
      <c r="W202" s="240"/>
      <c r="X202" s="238"/>
      <c r="Y202" s="238"/>
      <c r="Z202" s="238"/>
    </row>
    <row r="203" spans="1:26" ht="12.5">
      <c r="A203" s="238"/>
      <c r="B203" s="238"/>
      <c r="C203" s="238"/>
      <c r="D203" s="238"/>
      <c r="E203" s="238"/>
      <c r="F203" s="238"/>
      <c r="G203" s="238"/>
      <c r="H203" s="238"/>
      <c r="I203" s="238"/>
      <c r="J203" s="238"/>
      <c r="K203" s="237"/>
      <c r="L203" s="238"/>
      <c r="M203" s="238"/>
      <c r="N203" s="238"/>
      <c r="O203" s="238"/>
      <c r="P203" s="238"/>
      <c r="Q203" s="238"/>
      <c r="R203" s="238"/>
      <c r="S203" s="238"/>
      <c r="T203" s="238"/>
      <c r="U203" s="238"/>
      <c r="V203" s="240"/>
      <c r="W203" s="240"/>
      <c r="X203" s="238"/>
      <c r="Y203" s="238"/>
      <c r="Z203" s="238"/>
    </row>
    <row r="204" spans="1:26" ht="12.5">
      <c r="A204" s="238"/>
      <c r="B204" s="238"/>
      <c r="C204" s="238"/>
      <c r="D204" s="238"/>
      <c r="E204" s="238"/>
      <c r="F204" s="238"/>
      <c r="G204" s="238"/>
      <c r="H204" s="238"/>
      <c r="I204" s="238"/>
      <c r="J204" s="238"/>
      <c r="K204" s="237"/>
      <c r="L204" s="238"/>
      <c r="M204" s="238"/>
      <c r="N204" s="238"/>
      <c r="O204" s="238"/>
      <c r="P204" s="238"/>
      <c r="Q204" s="238"/>
      <c r="R204" s="238"/>
      <c r="S204" s="238"/>
      <c r="T204" s="238"/>
      <c r="U204" s="238"/>
      <c r="V204" s="240"/>
      <c r="W204" s="240"/>
      <c r="X204" s="238"/>
      <c r="Y204" s="238"/>
      <c r="Z204" s="238"/>
    </row>
    <row r="205" spans="1:26" ht="12.5">
      <c r="A205" s="238"/>
      <c r="B205" s="238"/>
      <c r="C205" s="238"/>
      <c r="D205" s="238"/>
      <c r="E205" s="238"/>
      <c r="F205" s="238"/>
      <c r="G205" s="238"/>
      <c r="H205" s="238"/>
      <c r="I205" s="238"/>
      <c r="J205" s="238"/>
      <c r="K205" s="237"/>
      <c r="L205" s="238"/>
      <c r="M205" s="238"/>
      <c r="N205" s="238"/>
      <c r="O205" s="238"/>
      <c r="P205" s="238"/>
      <c r="Q205" s="238"/>
      <c r="R205" s="238"/>
      <c r="S205" s="238"/>
      <c r="T205" s="238"/>
      <c r="U205" s="238"/>
      <c r="V205" s="240"/>
      <c r="W205" s="240"/>
      <c r="X205" s="238"/>
      <c r="Y205" s="238"/>
      <c r="Z205" s="238"/>
    </row>
    <row r="206" spans="1:26" ht="12.5">
      <c r="A206" s="238"/>
      <c r="B206" s="238"/>
      <c r="C206" s="238"/>
      <c r="D206" s="238"/>
      <c r="E206" s="238"/>
      <c r="F206" s="238"/>
      <c r="G206" s="238"/>
      <c r="H206" s="238"/>
      <c r="I206" s="238"/>
      <c r="J206" s="238"/>
      <c r="K206" s="237"/>
      <c r="L206" s="238"/>
      <c r="M206" s="238"/>
      <c r="N206" s="238"/>
      <c r="O206" s="238"/>
      <c r="P206" s="238"/>
      <c r="Q206" s="238"/>
      <c r="R206" s="238"/>
      <c r="S206" s="238"/>
      <c r="T206" s="238"/>
      <c r="U206" s="238"/>
      <c r="V206" s="240"/>
      <c r="W206" s="240"/>
      <c r="X206" s="238"/>
      <c r="Y206" s="238"/>
      <c r="Z206" s="238"/>
    </row>
    <row r="207" spans="1:26" ht="12.5">
      <c r="A207" s="238"/>
      <c r="B207" s="238"/>
      <c r="C207" s="238"/>
      <c r="D207" s="238"/>
      <c r="E207" s="238"/>
      <c r="F207" s="238"/>
      <c r="G207" s="238"/>
      <c r="H207" s="238"/>
      <c r="I207" s="238"/>
      <c r="J207" s="238"/>
      <c r="K207" s="237"/>
      <c r="L207" s="238"/>
      <c r="M207" s="238"/>
      <c r="N207" s="238"/>
      <c r="O207" s="238"/>
      <c r="P207" s="238"/>
      <c r="Q207" s="238"/>
      <c r="R207" s="238"/>
      <c r="S207" s="238"/>
      <c r="T207" s="238"/>
      <c r="U207" s="238"/>
      <c r="V207" s="240"/>
      <c r="W207" s="240"/>
      <c r="X207" s="238"/>
      <c r="Y207" s="238"/>
      <c r="Z207" s="238"/>
    </row>
    <row r="208" spans="1:26" ht="12.5">
      <c r="A208" s="238"/>
      <c r="B208" s="238"/>
      <c r="C208" s="238"/>
      <c r="D208" s="238"/>
      <c r="E208" s="238"/>
      <c r="F208" s="238"/>
      <c r="G208" s="238"/>
      <c r="H208" s="238"/>
      <c r="I208" s="238"/>
      <c r="J208" s="238"/>
      <c r="K208" s="237"/>
      <c r="L208" s="238"/>
      <c r="M208" s="238"/>
      <c r="N208" s="238"/>
      <c r="O208" s="238"/>
      <c r="P208" s="238"/>
      <c r="Q208" s="238"/>
      <c r="R208" s="238"/>
      <c r="S208" s="238"/>
      <c r="T208" s="238"/>
      <c r="U208" s="238"/>
      <c r="V208" s="240"/>
      <c r="W208" s="240"/>
      <c r="X208" s="238"/>
      <c r="Y208" s="238"/>
      <c r="Z208" s="238"/>
    </row>
    <row r="209" spans="1:26" ht="12.5">
      <c r="A209" s="238"/>
      <c r="B209" s="238"/>
      <c r="C209" s="238"/>
      <c r="D209" s="238"/>
      <c r="E209" s="238"/>
      <c r="F209" s="238"/>
      <c r="G209" s="238"/>
      <c r="H209" s="238"/>
      <c r="I209" s="238"/>
      <c r="J209" s="238"/>
      <c r="K209" s="237"/>
      <c r="L209" s="238"/>
      <c r="M209" s="238"/>
      <c r="N209" s="238"/>
      <c r="O209" s="238"/>
      <c r="P209" s="238"/>
      <c r="Q209" s="238"/>
      <c r="R209" s="238"/>
      <c r="S209" s="238"/>
      <c r="T209" s="238"/>
      <c r="U209" s="238"/>
      <c r="V209" s="240"/>
      <c r="W209" s="240"/>
      <c r="X209" s="238"/>
      <c r="Y209" s="238"/>
      <c r="Z209" s="238"/>
    </row>
    <row r="210" spans="1:26" ht="12.5">
      <c r="A210" s="238"/>
      <c r="B210" s="238"/>
      <c r="C210" s="238"/>
      <c r="D210" s="238"/>
      <c r="E210" s="238"/>
      <c r="F210" s="238"/>
      <c r="G210" s="238"/>
      <c r="H210" s="238"/>
      <c r="I210" s="238"/>
      <c r="J210" s="238"/>
      <c r="K210" s="237"/>
      <c r="L210" s="238"/>
      <c r="M210" s="238"/>
      <c r="N210" s="238"/>
      <c r="O210" s="238"/>
      <c r="P210" s="238"/>
      <c r="Q210" s="238"/>
      <c r="R210" s="238"/>
      <c r="S210" s="238"/>
      <c r="T210" s="238"/>
      <c r="U210" s="238"/>
      <c r="V210" s="240"/>
      <c r="W210" s="240"/>
      <c r="X210" s="238"/>
      <c r="Y210" s="238"/>
      <c r="Z210" s="238"/>
    </row>
    <row r="211" spans="1:26" ht="12.5">
      <c r="A211" s="238"/>
      <c r="B211" s="238"/>
      <c r="C211" s="238"/>
      <c r="D211" s="238"/>
      <c r="E211" s="238"/>
      <c r="F211" s="238"/>
      <c r="G211" s="238"/>
      <c r="H211" s="238"/>
      <c r="I211" s="238"/>
      <c r="J211" s="238"/>
      <c r="K211" s="237"/>
      <c r="L211" s="238"/>
      <c r="M211" s="238"/>
      <c r="N211" s="238"/>
      <c r="O211" s="238"/>
      <c r="P211" s="238"/>
      <c r="Q211" s="238"/>
      <c r="R211" s="238"/>
      <c r="S211" s="238"/>
      <c r="T211" s="238"/>
      <c r="U211" s="238"/>
      <c r="V211" s="240"/>
      <c r="W211" s="240"/>
      <c r="X211" s="238"/>
      <c r="Y211" s="238"/>
      <c r="Z211" s="238"/>
    </row>
    <row r="212" spans="1:26" ht="12.5">
      <c r="A212" s="238"/>
      <c r="B212" s="238"/>
      <c r="C212" s="238"/>
      <c r="D212" s="238"/>
      <c r="E212" s="238"/>
      <c r="F212" s="238"/>
      <c r="G212" s="238"/>
      <c r="H212" s="238"/>
      <c r="I212" s="238"/>
      <c r="J212" s="238"/>
      <c r="K212" s="237"/>
      <c r="L212" s="238"/>
      <c r="M212" s="238"/>
      <c r="N212" s="238"/>
      <c r="O212" s="238"/>
      <c r="P212" s="238"/>
      <c r="Q212" s="238"/>
      <c r="R212" s="238"/>
      <c r="S212" s="238"/>
      <c r="T212" s="238"/>
      <c r="U212" s="238"/>
      <c r="V212" s="240"/>
      <c r="W212" s="240"/>
      <c r="X212" s="238"/>
      <c r="Y212" s="238"/>
      <c r="Z212" s="238"/>
    </row>
    <row r="213" spans="1:26" ht="12.5">
      <c r="A213" s="238"/>
      <c r="B213" s="238"/>
      <c r="C213" s="238"/>
      <c r="D213" s="238"/>
      <c r="E213" s="238"/>
      <c r="F213" s="238"/>
      <c r="G213" s="238"/>
      <c r="H213" s="238"/>
      <c r="I213" s="238"/>
      <c r="J213" s="238"/>
      <c r="K213" s="237"/>
      <c r="L213" s="238"/>
      <c r="M213" s="238"/>
      <c r="N213" s="238"/>
      <c r="O213" s="238"/>
      <c r="P213" s="238"/>
      <c r="Q213" s="238"/>
      <c r="R213" s="238"/>
      <c r="S213" s="238"/>
      <c r="T213" s="238"/>
      <c r="U213" s="238"/>
      <c r="V213" s="240"/>
      <c r="W213" s="240"/>
      <c r="X213" s="238"/>
      <c r="Y213" s="238"/>
      <c r="Z213" s="238"/>
    </row>
    <row r="214" spans="1:26" ht="12.5">
      <c r="A214" s="238"/>
      <c r="B214" s="238"/>
      <c r="C214" s="238"/>
      <c r="D214" s="238"/>
      <c r="E214" s="238"/>
      <c r="F214" s="238"/>
      <c r="G214" s="238"/>
      <c r="H214" s="238"/>
      <c r="I214" s="238"/>
      <c r="J214" s="238"/>
      <c r="K214" s="237"/>
      <c r="L214" s="238"/>
      <c r="M214" s="238"/>
      <c r="N214" s="238"/>
      <c r="O214" s="238"/>
      <c r="P214" s="238"/>
      <c r="Q214" s="238"/>
      <c r="R214" s="238"/>
      <c r="S214" s="238"/>
      <c r="T214" s="238"/>
      <c r="U214" s="238"/>
      <c r="V214" s="240"/>
      <c r="W214" s="240"/>
      <c r="X214" s="238"/>
      <c r="Y214" s="238"/>
      <c r="Z214" s="238"/>
    </row>
    <row r="215" spans="1:26" ht="12.5">
      <c r="A215" s="238"/>
      <c r="B215" s="238"/>
      <c r="C215" s="238"/>
      <c r="D215" s="238"/>
      <c r="E215" s="238"/>
      <c r="F215" s="238"/>
      <c r="G215" s="238"/>
      <c r="H215" s="238"/>
      <c r="I215" s="238"/>
      <c r="J215" s="238"/>
      <c r="K215" s="237"/>
      <c r="L215" s="238"/>
      <c r="M215" s="238"/>
      <c r="N215" s="238"/>
      <c r="O215" s="238"/>
      <c r="P215" s="238"/>
      <c r="Q215" s="238"/>
      <c r="R215" s="238"/>
      <c r="S215" s="238"/>
      <c r="T215" s="238"/>
      <c r="U215" s="238"/>
      <c r="V215" s="240"/>
      <c r="W215" s="240"/>
      <c r="X215" s="238"/>
      <c r="Y215" s="238"/>
      <c r="Z215" s="238"/>
    </row>
    <row r="216" spans="1:26" ht="12.5">
      <c r="A216" s="238"/>
      <c r="B216" s="238"/>
      <c r="C216" s="238"/>
      <c r="D216" s="238"/>
      <c r="E216" s="238"/>
      <c r="F216" s="238"/>
      <c r="G216" s="238"/>
      <c r="H216" s="238"/>
      <c r="I216" s="238"/>
      <c r="J216" s="238"/>
      <c r="K216" s="237"/>
      <c r="L216" s="238"/>
      <c r="M216" s="238"/>
      <c r="N216" s="238"/>
      <c r="O216" s="238"/>
      <c r="P216" s="238"/>
      <c r="Q216" s="238"/>
      <c r="R216" s="238"/>
      <c r="S216" s="238"/>
      <c r="T216" s="238"/>
      <c r="U216" s="238"/>
      <c r="V216" s="240"/>
      <c r="W216" s="240"/>
      <c r="X216" s="238"/>
      <c r="Y216" s="238"/>
      <c r="Z216" s="238"/>
    </row>
    <row r="217" spans="1:26" ht="12.5">
      <c r="A217" s="238"/>
      <c r="B217" s="238"/>
      <c r="C217" s="238"/>
      <c r="D217" s="238"/>
      <c r="E217" s="238"/>
      <c r="F217" s="238"/>
      <c r="G217" s="238"/>
      <c r="H217" s="238"/>
      <c r="I217" s="238"/>
      <c r="J217" s="238"/>
      <c r="K217" s="237"/>
      <c r="L217" s="238"/>
      <c r="M217" s="238"/>
      <c r="N217" s="238"/>
      <c r="O217" s="238"/>
      <c r="P217" s="238"/>
      <c r="Q217" s="238"/>
      <c r="R217" s="238"/>
      <c r="S217" s="238"/>
      <c r="T217" s="238"/>
      <c r="U217" s="238"/>
      <c r="V217" s="240"/>
      <c r="W217" s="240"/>
      <c r="X217" s="238"/>
      <c r="Y217" s="238"/>
      <c r="Z217" s="238"/>
    </row>
    <row r="218" spans="1:26" ht="12.5">
      <c r="A218" s="238"/>
      <c r="B218" s="238"/>
      <c r="C218" s="238"/>
      <c r="D218" s="238"/>
      <c r="E218" s="238"/>
      <c r="F218" s="238"/>
      <c r="G218" s="238"/>
      <c r="H218" s="238"/>
      <c r="I218" s="238"/>
      <c r="J218" s="238"/>
      <c r="K218" s="237"/>
      <c r="L218" s="238"/>
      <c r="M218" s="238"/>
      <c r="N218" s="238"/>
      <c r="O218" s="238"/>
      <c r="P218" s="238"/>
      <c r="Q218" s="238"/>
      <c r="R218" s="238"/>
      <c r="S218" s="238"/>
      <c r="T218" s="238"/>
      <c r="U218" s="238"/>
      <c r="V218" s="240"/>
      <c r="W218" s="240"/>
      <c r="X218" s="238"/>
      <c r="Y218" s="238"/>
      <c r="Z218" s="238"/>
    </row>
    <row r="219" spans="1:26" ht="12.5">
      <c r="A219" s="238"/>
      <c r="B219" s="238"/>
      <c r="C219" s="238"/>
      <c r="D219" s="238"/>
      <c r="E219" s="238"/>
      <c r="F219" s="238"/>
      <c r="G219" s="238"/>
      <c r="H219" s="238"/>
      <c r="I219" s="238"/>
      <c r="J219" s="238"/>
      <c r="K219" s="237"/>
      <c r="L219" s="238"/>
      <c r="M219" s="238"/>
      <c r="N219" s="238"/>
      <c r="O219" s="238"/>
      <c r="P219" s="238"/>
      <c r="Q219" s="238"/>
      <c r="R219" s="238"/>
      <c r="S219" s="238"/>
      <c r="T219" s="238"/>
      <c r="U219" s="238"/>
      <c r="V219" s="240"/>
      <c r="W219" s="240"/>
      <c r="X219" s="238"/>
      <c r="Y219" s="238"/>
      <c r="Z219" s="238"/>
    </row>
    <row r="220" spans="1:26" ht="12.5">
      <c r="A220" s="238"/>
      <c r="B220" s="238"/>
      <c r="C220" s="238"/>
      <c r="D220" s="238"/>
      <c r="E220" s="238"/>
      <c r="F220" s="238"/>
      <c r="G220" s="238"/>
      <c r="H220" s="238"/>
      <c r="I220" s="238"/>
      <c r="J220" s="238"/>
      <c r="K220" s="237"/>
      <c r="L220" s="238"/>
      <c r="M220" s="238"/>
      <c r="N220" s="238"/>
      <c r="O220" s="238"/>
      <c r="P220" s="238"/>
      <c r="Q220" s="238"/>
      <c r="R220" s="238"/>
      <c r="S220" s="238"/>
      <c r="T220" s="238"/>
      <c r="U220" s="238"/>
      <c r="V220" s="240"/>
      <c r="W220" s="240"/>
      <c r="X220" s="238"/>
      <c r="Y220" s="238"/>
      <c r="Z220" s="238"/>
    </row>
    <row r="221" spans="1:26" ht="12.5">
      <c r="A221" s="238"/>
      <c r="B221" s="238"/>
      <c r="C221" s="238"/>
      <c r="D221" s="238"/>
      <c r="E221" s="238"/>
      <c r="F221" s="238"/>
      <c r="G221" s="238"/>
      <c r="H221" s="238"/>
      <c r="I221" s="238"/>
      <c r="J221" s="238"/>
      <c r="K221" s="237"/>
      <c r="L221" s="238"/>
      <c r="M221" s="238"/>
      <c r="N221" s="238"/>
      <c r="O221" s="238"/>
      <c r="P221" s="238"/>
      <c r="Q221" s="238"/>
      <c r="R221" s="238"/>
      <c r="S221" s="238"/>
      <c r="T221" s="238"/>
      <c r="U221" s="238"/>
      <c r="V221" s="240"/>
      <c r="W221" s="240"/>
      <c r="X221" s="238"/>
      <c r="Y221" s="238"/>
      <c r="Z221" s="238"/>
    </row>
    <row r="222" spans="1:26" ht="12.5">
      <c r="A222" s="238"/>
      <c r="B222" s="238"/>
      <c r="C222" s="238"/>
      <c r="D222" s="238"/>
      <c r="E222" s="238"/>
      <c r="F222" s="238"/>
      <c r="G222" s="238"/>
      <c r="H222" s="238"/>
      <c r="I222" s="238"/>
      <c r="J222" s="238"/>
      <c r="K222" s="237"/>
      <c r="L222" s="238"/>
      <c r="M222" s="238"/>
      <c r="N222" s="238"/>
      <c r="O222" s="238"/>
      <c r="P222" s="238"/>
      <c r="Q222" s="238"/>
      <c r="R222" s="238"/>
      <c r="S222" s="238"/>
      <c r="T222" s="238"/>
      <c r="U222" s="238"/>
      <c r="V222" s="240"/>
      <c r="W222" s="240"/>
      <c r="X222" s="238"/>
      <c r="Y222" s="238"/>
      <c r="Z222" s="238"/>
    </row>
    <row r="223" spans="1:26" ht="12.5">
      <c r="A223" s="238"/>
      <c r="B223" s="238"/>
      <c r="C223" s="238"/>
      <c r="D223" s="238"/>
      <c r="E223" s="238"/>
      <c r="F223" s="238"/>
      <c r="G223" s="238"/>
      <c r="H223" s="238"/>
      <c r="I223" s="238"/>
      <c r="J223" s="238"/>
      <c r="K223" s="237"/>
      <c r="L223" s="238"/>
      <c r="M223" s="238"/>
      <c r="N223" s="238"/>
      <c r="O223" s="238"/>
      <c r="P223" s="238"/>
      <c r="Q223" s="238"/>
      <c r="R223" s="238"/>
      <c r="S223" s="238"/>
      <c r="T223" s="238"/>
      <c r="U223" s="238"/>
      <c r="V223" s="240"/>
      <c r="W223" s="240"/>
      <c r="X223" s="238"/>
      <c r="Y223" s="238"/>
      <c r="Z223" s="238"/>
    </row>
    <row r="224" spans="1:26" ht="12.5">
      <c r="A224" s="238"/>
      <c r="B224" s="238"/>
      <c r="C224" s="238"/>
      <c r="D224" s="238"/>
      <c r="E224" s="238"/>
      <c r="F224" s="238"/>
      <c r="G224" s="238"/>
      <c r="H224" s="238"/>
      <c r="I224" s="238"/>
      <c r="J224" s="238"/>
      <c r="K224" s="237"/>
      <c r="L224" s="238"/>
      <c r="M224" s="238"/>
      <c r="N224" s="238"/>
      <c r="O224" s="238"/>
      <c r="P224" s="238"/>
      <c r="Q224" s="238"/>
      <c r="R224" s="238"/>
      <c r="S224" s="238"/>
      <c r="T224" s="238"/>
      <c r="U224" s="238"/>
      <c r="V224" s="240"/>
      <c r="W224" s="240"/>
      <c r="X224" s="238"/>
      <c r="Y224" s="238"/>
      <c r="Z224" s="238"/>
    </row>
    <row r="225" spans="1:26" ht="12.5">
      <c r="A225" s="238"/>
      <c r="B225" s="238"/>
      <c r="C225" s="238"/>
      <c r="D225" s="238"/>
      <c r="E225" s="238"/>
      <c r="F225" s="238"/>
      <c r="G225" s="238"/>
      <c r="H225" s="238"/>
      <c r="I225" s="238"/>
      <c r="J225" s="238"/>
      <c r="K225" s="237"/>
      <c r="L225" s="238"/>
      <c r="M225" s="238"/>
      <c r="N225" s="238"/>
      <c r="O225" s="238"/>
      <c r="P225" s="238"/>
      <c r="Q225" s="238"/>
      <c r="R225" s="238"/>
      <c r="S225" s="238"/>
      <c r="T225" s="238"/>
      <c r="U225" s="238"/>
      <c r="V225" s="240"/>
      <c r="W225" s="240"/>
      <c r="X225" s="238"/>
      <c r="Y225" s="238"/>
      <c r="Z225" s="238"/>
    </row>
    <row r="226" spans="1:26" ht="12.5">
      <c r="A226" s="238"/>
      <c r="B226" s="238"/>
      <c r="C226" s="238"/>
      <c r="D226" s="238"/>
      <c r="E226" s="238"/>
      <c r="F226" s="238"/>
      <c r="G226" s="238"/>
      <c r="H226" s="238"/>
      <c r="I226" s="238"/>
      <c r="J226" s="238"/>
      <c r="K226" s="237"/>
      <c r="L226" s="238"/>
      <c r="M226" s="238"/>
      <c r="N226" s="238"/>
      <c r="O226" s="238"/>
      <c r="P226" s="238"/>
      <c r="Q226" s="238"/>
      <c r="R226" s="238"/>
      <c r="S226" s="238"/>
      <c r="T226" s="238"/>
      <c r="U226" s="238"/>
      <c r="V226" s="240"/>
      <c r="W226" s="240"/>
      <c r="X226" s="238"/>
      <c r="Y226" s="238"/>
      <c r="Z226" s="238"/>
    </row>
    <row r="227" spans="1:26" ht="12.5">
      <c r="A227" s="238"/>
      <c r="B227" s="238"/>
      <c r="C227" s="238"/>
      <c r="D227" s="238"/>
      <c r="E227" s="238"/>
      <c r="F227" s="238"/>
      <c r="G227" s="238"/>
      <c r="H227" s="238"/>
      <c r="I227" s="238"/>
      <c r="J227" s="238"/>
      <c r="K227" s="237"/>
      <c r="L227" s="238"/>
      <c r="M227" s="238"/>
      <c r="N227" s="238"/>
      <c r="O227" s="238"/>
      <c r="P227" s="238"/>
      <c r="Q227" s="238"/>
      <c r="R227" s="238"/>
      <c r="S227" s="238"/>
      <c r="T227" s="238"/>
      <c r="U227" s="238"/>
      <c r="V227" s="240"/>
      <c r="W227" s="240"/>
      <c r="X227" s="238"/>
      <c r="Y227" s="238"/>
      <c r="Z227" s="238"/>
    </row>
    <row r="228" spans="1:26" ht="12.5">
      <c r="A228" s="238"/>
      <c r="B228" s="238"/>
      <c r="C228" s="238"/>
      <c r="D228" s="238"/>
      <c r="E228" s="238"/>
      <c r="F228" s="238"/>
      <c r="G228" s="238"/>
      <c r="H228" s="238"/>
      <c r="I228" s="238"/>
      <c r="J228" s="238"/>
      <c r="K228" s="237"/>
      <c r="L228" s="238"/>
      <c r="M228" s="238"/>
      <c r="N228" s="238"/>
      <c r="O228" s="238"/>
      <c r="P228" s="238"/>
      <c r="Q228" s="238"/>
      <c r="R228" s="238"/>
      <c r="S228" s="238"/>
      <c r="T228" s="238"/>
      <c r="U228" s="238"/>
      <c r="V228" s="240"/>
      <c r="W228" s="240"/>
      <c r="X228" s="238"/>
      <c r="Y228" s="238"/>
      <c r="Z228" s="238"/>
    </row>
    <row r="229" spans="1:26" ht="12.5">
      <c r="A229" s="238"/>
      <c r="B229" s="238"/>
      <c r="C229" s="238"/>
      <c r="D229" s="238"/>
      <c r="E229" s="238"/>
      <c r="F229" s="238"/>
      <c r="G229" s="238"/>
      <c r="H229" s="238"/>
      <c r="I229" s="238"/>
      <c r="J229" s="238"/>
      <c r="K229" s="237"/>
      <c r="L229" s="238"/>
      <c r="M229" s="238"/>
      <c r="N229" s="238"/>
      <c r="O229" s="238"/>
      <c r="P229" s="238"/>
      <c r="Q229" s="238"/>
      <c r="R229" s="238"/>
      <c r="S229" s="238"/>
      <c r="T229" s="238"/>
      <c r="U229" s="238"/>
      <c r="V229" s="240"/>
      <c r="W229" s="240"/>
      <c r="X229" s="238"/>
      <c r="Y229" s="238"/>
      <c r="Z229" s="238"/>
    </row>
    <row r="230" spans="1:26" ht="12.5">
      <c r="A230" s="238"/>
      <c r="B230" s="238"/>
      <c r="C230" s="238"/>
      <c r="D230" s="238"/>
      <c r="E230" s="238"/>
      <c r="F230" s="238"/>
      <c r="G230" s="238"/>
      <c r="H230" s="238"/>
      <c r="I230" s="238"/>
      <c r="J230" s="238"/>
      <c r="K230" s="237"/>
      <c r="L230" s="238"/>
      <c r="M230" s="238"/>
      <c r="N230" s="238"/>
      <c r="O230" s="238"/>
      <c r="P230" s="238"/>
      <c r="Q230" s="238"/>
      <c r="R230" s="238"/>
      <c r="S230" s="238"/>
      <c r="T230" s="238"/>
      <c r="U230" s="238"/>
      <c r="V230" s="240"/>
      <c r="W230" s="240"/>
      <c r="X230" s="238"/>
      <c r="Y230" s="238"/>
      <c r="Z230" s="238"/>
    </row>
    <row r="231" spans="1:26" ht="12.5">
      <c r="A231" s="238"/>
      <c r="B231" s="238"/>
      <c r="C231" s="238"/>
      <c r="D231" s="238"/>
      <c r="E231" s="238"/>
      <c r="F231" s="238"/>
      <c r="G231" s="238"/>
      <c r="H231" s="238"/>
      <c r="I231" s="238"/>
      <c r="J231" s="238"/>
      <c r="K231" s="237"/>
      <c r="L231" s="238"/>
      <c r="M231" s="238"/>
      <c r="N231" s="238"/>
      <c r="O231" s="238"/>
      <c r="P231" s="238"/>
      <c r="Q231" s="238"/>
      <c r="R231" s="238"/>
      <c r="S231" s="238"/>
      <c r="T231" s="238"/>
      <c r="U231" s="238"/>
      <c r="V231" s="240"/>
      <c r="W231" s="240"/>
      <c r="X231" s="238"/>
      <c r="Y231" s="238"/>
      <c r="Z231" s="238"/>
    </row>
    <row r="232" spans="1:26" ht="12.5">
      <c r="A232" s="238"/>
      <c r="B232" s="238"/>
      <c r="C232" s="238"/>
      <c r="D232" s="238"/>
      <c r="E232" s="238"/>
      <c r="F232" s="238"/>
      <c r="G232" s="238"/>
      <c r="H232" s="238"/>
      <c r="I232" s="238"/>
      <c r="J232" s="238"/>
      <c r="K232" s="237"/>
      <c r="L232" s="238"/>
      <c r="M232" s="238"/>
      <c r="N232" s="238"/>
      <c r="O232" s="238"/>
      <c r="P232" s="238"/>
      <c r="Q232" s="238"/>
      <c r="R232" s="238"/>
      <c r="S232" s="238"/>
      <c r="T232" s="238"/>
      <c r="U232" s="238"/>
      <c r="V232" s="240"/>
      <c r="W232" s="240"/>
      <c r="X232" s="238"/>
      <c r="Y232" s="238"/>
      <c r="Z232" s="238"/>
    </row>
    <row r="233" spans="1:26" ht="12.5">
      <c r="A233" s="238"/>
      <c r="B233" s="238"/>
      <c r="C233" s="238"/>
      <c r="D233" s="238"/>
      <c r="E233" s="238"/>
      <c r="F233" s="238"/>
      <c r="G233" s="238"/>
      <c r="H233" s="238"/>
      <c r="I233" s="238"/>
      <c r="J233" s="238"/>
      <c r="K233" s="237"/>
      <c r="L233" s="238"/>
      <c r="M233" s="238"/>
      <c r="N233" s="238"/>
      <c r="O233" s="238"/>
      <c r="P233" s="238"/>
      <c r="Q233" s="238"/>
      <c r="R233" s="238"/>
      <c r="S233" s="238"/>
      <c r="T233" s="238"/>
      <c r="U233" s="238"/>
      <c r="V233" s="240"/>
      <c r="W233" s="240"/>
      <c r="X233" s="238"/>
      <c r="Y233" s="238"/>
      <c r="Z233" s="238"/>
    </row>
    <row r="234" spans="1:26" ht="12.5">
      <c r="A234" s="238"/>
      <c r="B234" s="238"/>
      <c r="C234" s="238"/>
      <c r="D234" s="238"/>
      <c r="E234" s="238"/>
      <c r="F234" s="238"/>
      <c r="G234" s="238"/>
      <c r="H234" s="238"/>
      <c r="I234" s="238"/>
      <c r="J234" s="238"/>
      <c r="K234" s="237"/>
      <c r="L234" s="238"/>
      <c r="M234" s="238"/>
      <c r="N234" s="238"/>
      <c r="O234" s="238"/>
      <c r="P234" s="238"/>
      <c r="Q234" s="238"/>
      <c r="R234" s="238"/>
      <c r="S234" s="238"/>
      <c r="T234" s="238"/>
      <c r="U234" s="238"/>
      <c r="V234" s="240"/>
      <c r="W234" s="240"/>
      <c r="X234" s="238"/>
      <c r="Y234" s="238"/>
      <c r="Z234" s="238"/>
    </row>
    <row r="235" spans="1:26" ht="12.5">
      <c r="A235" s="238"/>
      <c r="B235" s="238"/>
      <c r="C235" s="238"/>
      <c r="D235" s="238"/>
      <c r="E235" s="238"/>
      <c r="F235" s="238"/>
      <c r="G235" s="238"/>
      <c r="H235" s="238"/>
      <c r="I235" s="238"/>
      <c r="J235" s="238"/>
      <c r="K235" s="237"/>
      <c r="L235" s="238"/>
      <c r="M235" s="238"/>
      <c r="N235" s="238"/>
      <c r="O235" s="238"/>
      <c r="P235" s="238"/>
      <c r="Q235" s="238"/>
      <c r="R235" s="238"/>
      <c r="S235" s="238"/>
      <c r="T235" s="238"/>
      <c r="U235" s="238"/>
      <c r="V235" s="240"/>
      <c r="W235" s="240"/>
      <c r="X235" s="238"/>
      <c r="Y235" s="238"/>
      <c r="Z235" s="238"/>
    </row>
    <row r="236" spans="1:26" ht="12.5">
      <c r="A236" s="238"/>
      <c r="B236" s="238"/>
      <c r="C236" s="238"/>
      <c r="D236" s="238"/>
      <c r="E236" s="238"/>
      <c r="F236" s="238"/>
      <c r="G236" s="238"/>
      <c r="H236" s="238"/>
      <c r="I236" s="238"/>
      <c r="J236" s="238"/>
      <c r="K236" s="237"/>
      <c r="L236" s="238"/>
      <c r="M236" s="238"/>
      <c r="N236" s="238"/>
      <c r="O236" s="238"/>
      <c r="P236" s="238"/>
      <c r="Q236" s="238"/>
      <c r="R236" s="238"/>
      <c r="S236" s="238"/>
      <c r="T236" s="238"/>
      <c r="U236" s="238"/>
      <c r="V236" s="240"/>
      <c r="W236" s="240"/>
      <c r="X236" s="238"/>
      <c r="Y236" s="238"/>
      <c r="Z236" s="238"/>
    </row>
    <row r="237" spans="1:26" ht="12.5">
      <c r="A237" s="238"/>
      <c r="B237" s="238"/>
      <c r="C237" s="238"/>
      <c r="D237" s="238"/>
      <c r="E237" s="238"/>
      <c r="F237" s="238"/>
      <c r="G237" s="238"/>
      <c r="H237" s="238"/>
      <c r="I237" s="238"/>
      <c r="J237" s="238"/>
      <c r="K237" s="237"/>
      <c r="L237" s="238"/>
      <c r="M237" s="238"/>
      <c r="N237" s="238"/>
      <c r="O237" s="238"/>
      <c r="P237" s="238"/>
      <c r="Q237" s="238"/>
      <c r="R237" s="238"/>
      <c r="S237" s="238"/>
      <c r="T237" s="238"/>
      <c r="U237" s="238"/>
      <c r="V237" s="240"/>
      <c r="W237" s="240"/>
      <c r="X237" s="238"/>
      <c r="Y237" s="238"/>
      <c r="Z237" s="238"/>
    </row>
    <row r="238" spans="1:26" ht="12.5">
      <c r="A238" s="238"/>
      <c r="B238" s="238"/>
      <c r="C238" s="238"/>
      <c r="D238" s="238"/>
      <c r="E238" s="238"/>
      <c r="F238" s="238"/>
      <c r="G238" s="238"/>
      <c r="H238" s="238"/>
      <c r="I238" s="238"/>
      <c r="J238" s="238"/>
      <c r="K238" s="237"/>
      <c r="L238" s="238"/>
      <c r="M238" s="238"/>
      <c r="N238" s="238"/>
      <c r="O238" s="238"/>
      <c r="P238" s="238"/>
      <c r="Q238" s="238"/>
      <c r="R238" s="238"/>
      <c r="S238" s="238"/>
      <c r="T238" s="238"/>
      <c r="U238" s="238"/>
      <c r="V238" s="240"/>
      <c r="W238" s="240"/>
      <c r="X238" s="238"/>
      <c r="Y238" s="238"/>
      <c r="Z238" s="238"/>
    </row>
    <row r="239" spans="1:26" ht="12.5">
      <c r="A239" s="238"/>
      <c r="B239" s="238"/>
      <c r="C239" s="238"/>
      <c r="D239" s="238"/>
      <c r="E239" s="238"/>
      <c r="F239" s="238"/>
      <c r="G239" s="238"/>
      <c r="H239" s="238"/>
      <c r="I239" s="238"/>
      <c r="J239" s="238"/>
      <c r="K239" s="237"/>
      <c r="L239" s="238"/>
      <c r="M239" s="238"/>
      <c r="N239" s="238"/>
      <c r="O239" s="238"/>
      <c r="P239" s="238"/>
      <c r="Q239" s="238"/>
      <c r="R239" s="238"/>
      <c r="S239" s="238"/>
      <c r="T239" s="238"/>
      <c r="U239" s="238"/>
      <c r="V239" s="240"/>
      <c r="W239" s="240"/>
      <c r="X239" s="238"/>
      <c r="Y239" s="238"/>
      <c r="Z239" s="238"/>
    </row>
    <row r="240" spans="1:26" ht="12.5">
      <c r="A240" s="238"/>
      <c r="B240" s="238"/>
      <c r="C240" s="238"/>
      <c r="D240" s="238"/>
      <c r="E240" s="238"/>
      <c r="F240" s="238"/>
      <c r="G240" s="238"/>
      <c r="H240" s="238"/>
      <c r="I240" s="238"/>
      <c r="J240" s="238"/>
      <c r="K240" s="237"/>
      <c r="L240" s="238"/>
      <c r="M240" s="238"/>
      <c r="N240" s="238"/>
      <c r="O240" s="238"/>
      <c r="P240" s="238"/>
      <c r="Q240" s="238"/>
      <c r="R240" s="238"/>
      <c r="S240" s="238"/>
      <c r="T240" s="238"/>
      <c r="U240" s="238"/>
      <c r="V240" s="240"/>
      <c r="W240" s="240"/>
      <c r="X240" s="238"/>
      <c r="Y240" s="238"/>
      <c r="Z240" s="238"/>
    </row>
    <row r="241" spans="1:26" ht="12.5">
      <c r="A241" s="238"/>
      <c r="B241" s="238"/>
      <c r="C241" s="238"/>
      <c r="D241" s="238"/>
      <c r="E241" s="238"/>
      <c r="F241" s="238"/>
      <c r="G241" s="238"/>
      <c r="H241" s="238"/>
      <c r="I241" s="238"/>
      <c r="J241" s="238"/>
      <c r="K241" s="237"/>
      <c r="L241" s="238"/>
      <c r="M241" s="238"/>
      <c r="N241" s="238"/>
      <c r="O241" s="238"/>
      <c r="P241" s="238"/>
      <c r="Q241" s="238"/>
      <c r="R241" s="238"/>
      <c r="S241" s="238"/>
      <c r="T241" s="238"/>
      <c r="U241" s="238"/>
      <c r="V241" s="240"/>
      <c r="W241" s="240"/>
      <c r="X241" s="238"/>
      <c r="Y241" s="238"/>
      <c r="Z241" s="238"/>
    </row>
    <row r="242" spans="1:26" ht="12.5">
      <c r="A242" s="238"/>
      <c r="B242" s="238"/>
      <c r="C242" s="238"/>
      <c r="D242" s="238"/>
      <c r="E242" s="238"/>
      <c r="F242" s="238"/>
      <c r="G242" s="238"/>
      <c r="H242" s="238"/>
      <c r="I242" s="238"/>
      <c r="J242" s="238"/>
      <c r="K242" s="237"/>
      <c r="L242" s="238"/>
      <c r="M242" s="238"/>
      <c r="N242" s="238"/>
      <c r="O242" s="238"/>
      <c r="P242" s="238"/>
      <c r="Q242" s="238"/>
      <c r="R242" s="238"/>
      <c r="S242" s="238"/>
      <c r="T242" s="238"/>
      <c r="U242" s="238"/>
      <c r="V242" s="240"/>
      <c r="W242" s="240"/>
      <c r="X242" s="238"/>
      <c r="Y242" s="238"/>
      <c r="Z242" s="238"/>
    </row>
    <row r="243" spans="1:26" ht="12.5">
      <c r="A243" s="238"/>
      <c r="B243" s="238"/>
      <c r="C243" s="238"/>
      <c r="D243" s="238"/>
      <c r="E243" s="238"/>
      <c r="F243" s="238"/>
      <c r="G243" s="238"/>
      <c r="H243" s="238"/>
      <c r="I243" s="238"/>
      <c r="J243" s="238"/>
      <c r="K243" s="237"/>
      <c r="L243" s="238"/>
      <c r="M243" s="238"/>
      <c r="N243" s="238"/>
      <c r="O243" s="238"/>
      <c r="P243" s="238"/>
      <c r="Q243" s="238"/>
      <c r="R243" s="238"/>
      <c r="S243" s="238"/>
      <c r="T243" s="238"/>
      <c r="U243" s="238"/>
      <c r="V243" s="240"/>
      <c r="W243" s="240"/>
      <c r="X243" s="238"/>
      <c r="Y243" s="238"/>
      <c r="Z243" s="238"/>
    </row>
    <row r="244" spans="1:26" ht="12.5">
      <c r="A244" s="238"/>
      <c r="B244" s="238"/>
      <c r="C244" s="238"/>
      <c r="D244" s="238"/>
      <c r="E244" s="238"/>
      <c r="F244" s="238"/>
      <c r="G244" s="238"/>
      <c r="H244" s="238"/>
      <c r="I244" s="238"/>
      <c r="J244" s="238"/>
      <c r="K244" s="237"/>
      <c r="L244" s="238"/>
      <c r="M244" s="238"/>
      <c r="N244" s="238"/>
      <c r="O244" s="238"/>
      <c r="P244" s="238"/>
      <c r="Q244" s="238"/>
      <c r="R244" s="238"/>
      <c r="S244" s="238"/>
      <c r="T244" s="238"/>
      <c r="U244" s="238"/>
      <c r="V244" s="240"/>
      <c r="W244" s="240"/>
      <c r="X244" s="238"/>
      <c r="Y244" s="238"/>
      <c r="Z244" s="238"/>
    </row>
    <row r="245" spans="1:26" ht="12.5">
      <c r="A245" s="238"/>
      <c r="B245" s="238"/>
      <c r="C245" s="238"/>
      <c r="D245" s="238"/>
      <c r="E245" s="238"/>
      <c r="F245" s="238"/>
      <c r="G245" s="238"/>
      <c r="H245" s="238"/>
      <c r="I245" s="238"/>
      <c r="J245" s="238"/>
      <c r="K245" s="237"/>
      <c r="L245" s="238"/>
      <c r="M245" s="238"/>
      <c r="N245" s="238"/>
      <c r="O245" s="238"/>
      <c r="P245" s="238"/>
      <c r="Q245" s="238"/>
      <c r="R245" s="238"/>
      <c r="S245" s="238"/>
      <c r="T245" s="238"/>
      <c r="U245" s="238"/>
      <c r="V245" s="240"/>
      <c r="W245" s="240"/>
      <c r="X245" s="238"/>
      <c r="Y245" s="238"/>
      <c r="Z245" s="238"/>
    </row>
    <row r="246" spans="1:26" ht="12.5">
      <c r="A246" s="238"/>
      <c r="B246" s="238"/>
      <c r="C246" s="238"/>
      <c r="D246" s="238"/>
      <c r="E246" s="238"/>
      <c r="F246" s="238"/>
      <c r="G246" s="238"/>
      <c r="H246" s="238"/>
      <c r="I246" s="238"/>
      <c r="J246" s="238"/>
      <c r="K246" s="237"/>
      <c r="L246" s="238"/>
      <c r="M246" s="238"/>
      <c r="N246" s="238"/>
      <c r="O246" s="238"/>
      <c r="P246" s="238"/>
      <c r="Q246" s="238"/>
      <c r="R246" s="238"/>
      <c r="S246" s="238"/>
      <c r="T246" s="238"/>
      <c r="U246" s="238"/>
      <c r="V246" s="240"/>
      <c r="W246" s="240"/>
      <c r="X246" s="238"/>
      <c r="Y246" s="238"/>
      <c r="Z246" s="238"/>
    </row>
    <row r="247" spans="1:26" ht="12.5">
      <c r="A247" s="238"/>
      <c r="B247" s="238"/>
      <c r="C247" s="238"/>
      <c r="D247" s="238"/>
      <c r="E247" s="238"/>
      <c r="F247" s="238"/>
      <c r="G247" s="238"/>
      <c r="H247" s="238"/>
      <c r="I247" s="238"/>
      <c r="J247" s="238"/>
      <c r="K247" s="237"/>
      <c r="L247" s="238"/>
      <c r="M247" s="238"/>
      <c r="N247" s="238"/>
      <c r="O247" s="238"/>
      <c r="P247" s="238"/>
      <c r="Q247" s="238"/>
      <c r="R247" s="238"/>
      <c r="S247" s="238"/>
      <c r="T247" s="238"/>
      <c r="U247" s="238"/>
      <c r="V247" s="240"/>
      <c r="W247" s="240"/>
      <c r="X247" s="238"/>
      <c r="Y247" s="238"/>
      <c r="Z247" s="238"/>
    </row>
    <row r="248" spans="1:26" ht="12.5">
      <c r="A248" s="238"/>
      <c r="B248" s="238"/>
      <c r="C248" s="238"/>
      <c r="D248" s="238"/>
      <c r="E248" s="238"/>
      <c r="F248" s="238"/>
      <c r="G248" s="238"/>
      <c r="H248" s="238"/>
      <c r="I248" s="238"/>
      <c r="J248" s="238"/>
      <c r="K248" s="237"/>
      <c r="L248" s="238"/>
      <c r="M248" s="238"/>
      <c r="N248" s="238"/>
      <c r="O248" s="238"/>
      <c r="P248" s="238"/>
      <c r="Q248" s="238"/>
      <c r="R248" s="238"/>
      <c r="S248" s="238"/>
      <c r="T248" s="238"/>
      <c r="U248" s="238"/>
      <c r="V248" s="240"/>
      <c r="W248" s="240"/>
      <c r="X248" s="238"/>
      <c r="Y248" s="238"/>
      <c r="Z248" s="238"/>
    </row>
    <row r="249" spans="1:26" ht="12.5">
      <c r="A249" s="238"/>
      <c r="B249" s="238"/>
      <c r="C249" s="238"/>
      <c r="D249" s="238"/>
      <c r="E249" s="238"/>
      <c r="F249" s="238"/>
      <c r="G249" s="238"/>
      <c r="H249" s="238"/>
      <c r="I249" s="238"/>
      <c r="J249" s="238"/>
      <c r="K249" s="237"/>
      <c r="L249" s="238"/>
      <c r="M249" s="238"/>
      <c r="N249" s="238"/>
      <c r="O249" s="238"/>
      <c r="P249" s="238"/>
      <c r="Q249" s="238"/>
      <c r="R249" s="238"/>
      <c r="S249" s="238"/>
      <c r="T249" s="238"/>
      <c r="U249" s="238"/>
      <c r="V249" s="240"/>
      <c r="W249" s="240"/>
      <c r="X249" s="238"/>
      <c r="Y249" s="238"/>
      <c r="Z249" s="238"/>
    </row>
    <row r="250" spans="1:26" ht="12.5">
      <c r="A250" s="238"/>
      <c r="B250" s="238"/>
      <c r="C250" s="238"/>
      <c r="D250" s="238"/>
      <c r="E250" s="238"/>
      <c r="F250" s="238"/>
      <c r="G250" s="238"/>
      <c r="H250" s="238"/>
      <c r="I250" s="238"/>
      <c r="J250" s="238"/>
      <c r="K250" s="237"/>
      <c r="L250" s="238"/>
      <c r="M250" s="238"/>
      <c r="N250" s="238"/>
      <c r="O250" s="238"/>
      <c r="P250" s="238"/>
      <c r="Q250" s="238"/>
      <c r="R250" s="238"/>
      <c r="S250" s="238"/>
      <c r="T250" s="238"/>
      <c r="U250" s="238"/>
      <c r="V250" s="240"/>
      <c r="W250" s="240"/>
      <c r="X250" s="238"/>
      <c r="Y250" s="238"/>
      <c r="Z250" s="238"/>
    </row>
    <row r="251" spans="1:26" ht="12.5">
      <c r="A251" s="238"/>
      <c r="B251" s="238"/>
      <c r="C251" s="238"/>
      <c r="D251" s="238"/>
      <c r="E251" s="238"/>
      <c r="F251" s="238"/>
      <c r="G251" s="238"/>
      <c r="H251" s="238"/>
      <c r="I251" s="238"/>
      <c r="J251" s="238"/>
      <c r="K251" s="237"/>
      <c r="L251" s="238"/>
      <c r="M251" s="238"/>
      <c r="N251" s="238"/>
      <c r="O251" s="238"/>
      <c r="P251" s="238"/>
      <c r="Q251" s="238"/>
      <c r="R251" s="238"/>
      <c r="S251" s="238"/>
      <c r="T251" s="238"/>
      <c r="U251" s="238"/>
      <c r="V251" s="240"/>
      <c r="W251" s="240"/>
      <c r="X251" s="238"/>
      <c r="Y251" s="238"/>
      <c r="Z251" s="238"/>
    </row>
    <row r="252" spans="1:26" ht="12.5">
      <c r="A252" s="238"/>
      <c r="B252" s="238"/>
      <c r="C252" s="238"/>
      <c r="D252" s="238"/>
      <c r="E252" s="238"/>
      <c r="F252" s="238"/>
      <c r="G252" s="238"/>
      <c r="H252" s="238"/>
      <c r="I252" s="238"/>
      <c r="J252" s="238"/>
      <c r="K252" s="237"/>
      <c r="L252" s="238"/>
      <c r="M252" s="238"/>
      <c r="N252" s="238"/>
      <c r="O252" s="238"/>
      <c r="P252" s="238"/>
      <c r="Q252" s="238"/>
      <c r="R252" s="238"/>
      <c r="S252" s="238"/>
      <c r="T252" s="238"/>
      <c r="U252" s="238"/>
      <c r="V252" s="240"/>
      <c r="W252" s="240"/>
      <c r="X252" s="238"/>
      <c r="Y252" s="238"/>
      <c r="Z252" s="238"/>
    </row>
    <row r="253" spans="1:26" ht="12.5">
      <c r="A253" s="238"/>
      <c r="B253" s="238"/>
      <c r="C253" s="238"/>
      <c r="D253" s="238"/>
      <c r="E253" s="238"/>
      <c r="F253" s="238"/>
      <c r="G253" s="238"/>
      <c r="H253" s="238"/>
      <c r="I253" s="238"/>
      <c r="J253" s="238"/>
      <c r="K253" s="237"/>
      <c r="L253" s="238"/>
      <c r="M253" s="238"/>
      <c r="N253" s="238"/>
      <c r="O253" s="238"/>
      <c r="P253" s="238"/>
      <c r="Q253" s="238"/>
      <c r="R253" s="238"/>
      <c r="S253" s="238"/>
      <c r="T253" s="238"/>
      <c r="U253" s="238"/>
      <c r="V253" s="240"/>
      <c r="W253" s="240"/>
      <c r="X253" s="238"/>
      <c r="Y253" s="238"/>
      <c r="Z253" s="238"/>
    </row>
    <row r="254" spans="1:26" ht="12.5">
      <c r="A254" s="238"/>
      <c r="B254" s="238"/>
      <c r="C254" s="238"/>
      <c r="D254" s="238"/>
      <c r="E254" s="238"/>
      <c r="F254" s="238"/>
      <c r="G254" s="238"/>
      <c r="H254" s="238"/>
      <c r="I254" s="238"/>
      <c r="J254" s="238"/>
      <c r="K254" s="237"/>
      <c r="L254" s="238"/>
      <c r="M254" s="238"/>
      <c r="N254" s="238"/>
      <c r="O254" s="238"/>
      <c r="P254" s="238"/>
      <c r="Q254" s="238"/>
      <c r="R254" s="238"/>
      <c r="S254" s="238"/>
      <c r="T254" s="238"/>
      <c r="U254" s="238"/>
      <c r="V254" s="240"/>
      <c r="W254" s="240"/>
      <c r="X254" s="238"/>
      <c r="Y254" s="238"/>
      <c r="Z254" s="238"/>
    </row>
    <row r="255" spans="1:26" ht="12.5">
      <c r="A255" s="238"/>
      <c r="B255" s="238"/>
      <c r="C255" s="238"/>
      <c r="D255" s="238"/>
      <c r="E255" s="238"/>
      <c r="F255" s="238"/>
      <c r="G255" s="238"/>
      <c r="H255" s="238"/>
      <c r="I255" s="238"/>
      <c r="J255" s="238"/>
      <c r="K255" s="237"/>
      <c r="L255" s="238"/>
      <c r="M255" s="238"/>
      <c r="N255" s="238"/>
      <c r="O255" s="238"/>
      <c r="P255" s="238"/>
      <c r="Q255" s="238"/>
      <c r="R255" s="238"/>
      <c r="S255" s="238"/>
      <c r="T255" s="238"/>
      <c r="U255" s="238"/>
      <c r="V255" s="240"/>
      <c r="W255" s="240"/>
      <c r="X255" s="238"/>
      <c r="Y255" s="238"/>
      <c r="Z255" s="238"/>
    </row>
    <row r="256" spans="1:26" ht="12.5">
      <c r="A256" s="238"/>
      <c r="B256" s="238"/>
      <c r="C256" s="238"/>
      <c r="D256" s="238"/>
      <c r="E256" s="238"/>
      <c r="F256" s="238"/>
      <c r="G256" s="238"/>
      <c r="H256" s="238"/>
      <c r="I256" s="238"/>
      <c r="J256" s="238"/>
      <c r="K256" s="237"/>
      <c r="L256" s="238"/>
      <c r="M256" s="238"/>
      <c r="N256" s="238"/>
      <c r="O256" s="238"/>
      <c r="P256" s="238"/>
      <c r="Q256" s="238"/>
      <c r="R256" s="238"/>
      <c r="S256" s="238"/>
      <c r="T256" s="238"/>
      <c r="U256" s="238"/>
      <c r="V256" s="240"/>
      <c r="W256" s="240"/>
      <c r="X256" s="238"/>
      <c r="Y256" s="238"/>
      <c r="Z256" s="238"/>
    </row>
    <row r="257" spans="1:26" ht="12.5">
      <c r="A257" s="238"/>
      <c r="B257" s="238"/>
      <c r="C257" s="238"/>
      <c r="D257" s="238"/>
      <c r="E257" s="238"/>
      <c r="F257" s="238"/>
      <c r="G257" s="238"/>
      <c r="H257" s="238"/>
      <c r="I257" s="238"/>
      <c r="J257" s="238"/>
      <c r="K257" s="237"/>
      <c r="L257" s="238"/>
      <c r="M257" s="238"/>
      <c r="N257" s="238"/>
      <c r="O257" s="238"/>
      <c r="P257" s="238"/>
      <c r="Q257" s="238"/>
      <c r="R257" s="238"/>
      <c r="S257" s="238"/>
      <c r="T257" s="238"/>
      <c r="U257" s="238"/>
      <c r="V257" s="240"/>
      <c r="W257" s="240"/>
      <c r="X257" s="238"/>
      <c r="Y257" s="238"/>
      <c r="Z257" s="238"/>
    </row>
    <row r="258" spans="1:26" ht="12.5">
      <c r="A258" s="238"/>
      <c r="B258" s="238"/>
      <c r="C258" s="238"/>
      <c r="D258" s="238"/>
      <c r="E258" s="238"/>
      <c r="F258" s="238"/>
      <c r="G258" s="238"/>
      <c r="H258" s="238"/>
      <c r="I258" s="238"/>
      <c r="J258" s="238"/>
      <c r="K258" s="237"/>
      <c r="L258" s="238"/>
      <c r="M258" s="238"/>
      <c r="N258" s="238"/>
      <c r="O258" s="238"/>
      <c r="P258" s="238"/>
      <c r="Q258" s="238"/>
      <c r="R258" s="238"/>
      <c r="S258" s="238"/>
      <c r="T258" s="238"/>
      <c r="U258" s="238"/>
      <c r="V258" s="240"/>
      <c r="W258" s="240"/>
      <c r="X258" s="238"/>
      <c r="Y258" s="238"/>
      <c r="Z258" s="238"/>
    </row>
    <row r="259" spans="1:26" ht="12.5">
      <c r="A259" s="238"/>
      <c r="B259" s="238"/>
      <c r="C259" s="238"/>
      <c r="D259" s="238"/>
      <c r="E259" s="238"/>
      <c r="F259" s="238"/>
      <c r="G259" s="238"/>
      <c r="H259" s="238"/>
      <c r="I259" s="238"/>
      <c r="J259" s="238"/>
      <c r="K259" s="237"/>
      <c r="L259" s="238"/>
      <c r="M259" s="238"/>
      <c r="N259" s="238"/>
      <c r="O259" s="238"/>
      <c r="P259" s="238"/>
      <c r="Q259" s="238"/>
      <c r="R259" s="238"/>
      <c r="S259" s="238"/>
      <c r="T259" s="238"/>
      <c r="U259" s="238"/>
      <c r="V259" s="240"/>
      <c r="W259" s="240"/>
      <c r="X259" s="238"/>
      <c r="Y259" s="238"/>
      <c r="Z259" s="238"/>
    </row>
    <row r="260" spans="1:26" ht="12.5">
      <c r="A260" s="238"/>
      <c r="B260" s="238"/>
      <c r="C260" s="238"/>
      <c r="D260" s="238"/>
      <c r="E260" s="238"/>
      <c r="F260" s="238"/>
      <c r="G260" s="238"/>
      <c r="H260" s="238"/>
      <c r="I260" s="238"/>
      <c r="J260" s="238"/>
      <c r="K260" s="237"/>
      <c r="L260" s="238"/>
      <c r="M260" s="238"/>
      <c r="N260" s="238"/>
      <c r="O260" s="238"/>
      <c r="P260" s="238"/>
      <c r="Q260" s="238"/>
      <c r="R260" s="238"/>
      <c r="S260" s="238"/>
      <c r="T260" s="238"/>
      <c r="U260" s="238"/>
      <c r="V260" s="240"/>
      <c r="W260" s="240"/>
      <c r="X260" s="238"/>
      <c r="Y260" s="238"/>
      <c r="Z260" s="238"/>
    </row>
    <row r="261" spans="1:26" ht="12.5">
      <c r="A261" s="238"/>
      <c r="B261" s="238"/>
      <c r="C261" s="238"/>
      <c r="D261" s="238"/>
      <c r="E261" s="238"/>
      <c r="F261" s="238"/>
      <c r="G261" s="238"/>
      <c r="H261" s="238"/>
      <c r="I261" s="238"/>
      <c r="J261" s="238"/>
      <c r="K261" s="237"/>
      <c r="L261" s="238"/>
      <c r="M261" s="238"/>
      <c r="N261" s="238"/>
      <c r="O261" s="238"/>
      <c r="P261" s="238"/>
      <c r="Q261" s="238"/>
      <c r="R261" s="238"/>
      <c r="S261" s="238"/>
      <c r="T261" s="238"/>
      <c r="U261" s="238"/>
      <c r="V261" s="240"/>
      <c r="W261" s="240"/>
      <c r="X261" s="238"/>
      <c r="Y261" s="238"/>
      <c r="Z261" s="238"/>
    </row>
    <row r="262" spans="1:26" ht="12.5">
      <c r="A262" s="238"/>
      <c r="B262" s="238"/>
      <c r="C262" s="238"/>
      <c r="D262" s="238"/>
      <c r="E262" s="238"/>
      <c r="F262" s="238"/>
      <c r="G262" s="238"/>
      <c r="H262" s="238"/>
      <c r="I262" s="238"/>
      <c r="J262" s="238"/>
      <c r="K262" s="237"/>
      <c r="L262" s="238"/>
      <c r="M262" s="238"/>
      <c r="N262" s="238"/>
      <c r="O262" s="238"/>
      <c r="P262" s="238"/>
      <c r="Q262" s="238"/>
      <c r="R262" s="238"/>
      <c r="S262" s="238"/>
      <c r="T262" s="238"/>
      <c r="U262" s="238"/>
      <c r="V262" s="240"/>
      <c r="W262" s="240"/>
      <c r="X262" s="238"/>
      <c r="Y262" s="238"/>
      <c r="Z262" s="238"/>
    </row>
    <row r="263" spans="1:26" ht="12.5">
      <c r="A263" s="238"/>
      <c r="B263" s="238"/>
      <c r="C263" s="238"/>
      <c r="D263" s="238"/>
      <c r="E263" s="238"/>
      <c r="F263" s="238"/>
      <c r="G263" s="238"/>
      <c r="H263" s="238"/>
      <c r="I263" s="238"/>
      <c r="J263" s="238"/>
      <c r="K263" s="237"/>
      <c r="L263" s="238"/>
      <c r="M263" s="238"/>
      <c r="N263" s="238"/>
      <c r="O263" s="238"/>
      <c r="P263" s="238"/>
      <c r="Q263" s="238"/>
      <c r="R263" s="238"/>
      <c r="S263" s="238"/>
      <c r="T263" s="238"/>
      <c r="U263" s="238"/>
      <c r="V263" s="240"/>
      <c r="W263" s="240"/>
      <c r="X263" s="238"/>
      <c r="Y263" s="238"/>
      <c r="Z263" s="238"/>
    </row>
    <row r="264" spans="1:26" ht="12.5">
      <c r="A264" s="238"/>
      <c r="B264" s="238"/>
      <c r="C264" s="238"/>
      <c r="D264" s="238"/>
      <c r="E264" s="238"/>
      <c r="F264" s="238"/>
      <c r="G264" s="238"/>
      <c r="H264" s="238"/>
      <c r="I264" s="238"/>
      <c r="J264" s="238"/>
      <c r="K264" s="237"/>
      <c r="L264" s="238"/>
      <c r="M264" s="238"/>
      <c r="N264" s="238"/>
      <c r="O264" s="238"/>
      <c r="P264" s="238"/>
      <c r="Q264" s="238"/>
      <c r="R264" s="238"/>
      <c r="S264" s="238"/>
      <c r="T264" s="238"/>
      <c r="U264" s="238"/>
      <c r="V264" s="240"/>
      <c r="W264" s="240"/>
      <c r="X264" s="238"/>
      <c r="Y264" s="238"/>
      <c r="Z264" s="238"/>
    </row>
    <row r="265" spans="1:26" ht="12.5">
      <c r="A265" s="238"/>
      <c r="B265" s="238"/>
      <c r="C265" s="238"/>
      <c r="D265" s="238"/>
      <c r="E265" s="238"/>
      <c r="F265" s="238"/>
      <c r="G265" s="238"/>
      <c r="H265" s="238"/>
      <c r="I265" s="238"/>
      <c r="J265" s="238"/>
      <c r="K265" s="237"/>
      <c r="L265" s="238"/>
      <c r="M265" s="238"/>
      <c r="N265" s="238"/>
      <c r="O265" s="238"/>
      <c r="P265" s="238"/>
      <c r="Q265" s="238"/>
      <c r="R265" s="238"/>
      <c r="S265" s="238"/>
      <c r="T265" s="238"/>
      <c r="U265" s="238"/>
      <c r="V265" s="240"/>
      <c r="W265" s="240"/>
      <c r="X265" s="238"/>
      <c r="Y265" s="238"/>
      <c r="Z265" s="238"/>
    </row>
    <row r="266" spans="1:26" ht="12.5">
      <c r="A266" s="238"/>
      <c r="B266" s="238"/>
      <c r="C266" s="238"/>
      <c r="D266" s="238"/>
      <c r="E266" s="238"/>
      <c r="F266" s="238"/>
      <c r="G266" s="238"/>
      <c r="H266" s="238"/>
      <c r="I266" s="238"/>
      <c r="J266" s="238"/>
      <c r="K266" s="237"/>
      <c r="L266" s="238"/>
      <c r="M266" s="238"/>
      <c r="N266" s="238"/>
      <c r="O266" s="238"/>
      <c r="P266" s="238"/>
      <c r="Q266" s="238"/>
      <c r="R266" s="238"/>
      <c r="S266" s="238"/>
      <c r="T266" s="238"/>
      <c r="U266" s="238"/>
      <c r="V266" s="240"/>
      <c r="W266" s="240"/>
      <c r="X266" s="238"/>
      <c r="Y266" s="238"/>
      <c r="Z266" s="238"/>
    </row>
    <row r="267" spans="1:26" ht="12.5">
      <c r="A267" s="238"/>
      <c r="B267" s="238"/>
      <c r="C267" s="238"/>
      <c r="D267" s="238"/>
      <c r="E267" s="238"/>
      <c r="F267" s="238"/>
      <c r="G267" s="238"/>
      <c r="H267" s="238"/>
      <c r="I267" s="238"/>
      <c r="J267" s="238"/>
      <c r="K267" s="237"/>
      <c r="L267" s="238"/>
      <c r="M267" s="238"/>
      <c r="N267" s="238"/>
      <c r="O267" s="238"/>
      <c r="P267" s="238"/>
      <c r="Q267" s="238"/>
      <c r="R267" s="238"/>
      <c r="S267" s="238"/>
      <c r="T267" s="238"/>
      <c r="U267" s="238"/>
      <c r="V267" s="240"/>
      <c r="W267" s="240"/>
      <c r="X267" s="238"/>
      <c r="Y267" s="238"/>
      <c r="Z267" s="238"/>
    </row>
    <row r="268" spans="1:26" ht="12.5">
      <c r="A268" s="238"/>
      <c r="B268" s="238"/>
      <c r="C268" s="238"/>
      <c r="D268" s="238"/>
      <c r="E268" s="238"/>
      <c r="F268" s="238"/>
      <c r="G268" s="238"/>
      <c r="H268" s="238"/>
      <c r="I268" s="238"/>
      <c r="J268" s="238"/>
      <c r="K268" s="237"/>
      <c r="L268" s="238"/>
      <c r="M268" s="238"/>
      <c r="N268" s="238"/>
      <c r="O268" s="238"/>
      <c r="P268" s="238"/>
      <c r="Q268" s="238"/>
      <c r="R268" s="238"/>
      <c r="S268" s="238"/>
      <c r="T268" s="238"/>
      <c r="U268" s="238"/>
      <c r="V268" s="240"/>
      <c r="W268" s="240"/>
      <c r="X268" s="238"/>
      <c r="Y268" s="238"/>
      <c r="Z268" s="238"/>
    </row>
    <row r="269" spans="1:26" ht="12.5">
      <c r="A269" s="238"/>
      <c r="B269" s="238"/>
      <c r="C269" s="238"/>
      <c r="D269" s="238"/>
      <c r="E269" s="238"/>
      <c r="F269" s="238"/>
      <c r="G269" s="238"/>
      <c r="H269" s="238"/>
      <c r="I269" s="238"/>
      <c r="J269" s="238"/>
      <c r="K269" s="237"/>
      <c r="L269" s="238"/>
      <c r="M269" s="238"/>
      <c r="N269" s="238"/>
      <c r="O269" s="238"/>
      <c r="P269" s="238"/>
      <c r="Q269" s="238"/>
      <c r="R269" s="238"/>
      <c r="S269" s="238"/>
      <c r="T269" s="238"/>
      <c r="U269" s="238"/>
      <c r="V269" s="240"/>
      <c r="W269" s="240"/>
      <c r="X269" s="238"/>
      <c r="Y269" s="238"/>
      <c r="Z269" s="238"/>
    </row>
    <row r="270" spans="1:26" ht="12.5">
      <c r="A270" s="238"/>
      <c r="B270" s="238"/>
      <c r="C270" s="238"/>
      <c r="D270" s="238"/>
      <c r="E270" s="238"/>
      <c r="F270" s="238"/>
      <c r="G270" s="238"/>
      <c r="H270" s="238"/>
      <c r="I270" s="238"/>
      <c r="J270" s="238"/>
      <c r="K270" s="237"/>
      <c r="L270" s="238"/>
      <c r="M270" s="238"/>
      <c r="N270" s="238"/>
      <c r="O270" s="238"/>
      <c r="P270" s="238"/>
      <c r="Q270" s="238"/>
      <c r="R270" s="238"/>
      <c r="S270" s="238"/>
      <c r="T270" s="238"/>
      <c r="U270" s="238"/>
      <c r="V270" s="240"/>
      <c r="W270" s="240"/>
      <c r="X270" s="238"/>
      <c r="Y270" s="238"/>
      <c r="Z270" s="238"/>
    </row>
    <row r="271" spans="1:26" ht="12.5">
      <c r="A271" s="238"/>
      <c r="B271" s="238"/>
      <c r="C271" s="238"/>
      <c r="D271" s="238"/>
      <c r="E271" s="238"/>
      <c r="F271" s="238"/>
      <c r="G271" s="238"/>
      <c r="H271" s="238"/>
      <c r="I271" s="238"/>
      <c r="J271" s="238"/>
      <c r="K271" s="237"/>
      <c r="L271" s="238"/>
      <c r="M271" s="238"/>
      <c r="N271" s="238"/>
      <c r="O271" s="238"/>
      <c r="P271" s="238"/>
      <c r="Q271" s="238"/>
      <c r="R271" s="238"/>
      <c r="S271" s="238"/>
      <c r="T271" s="238"/>
      <c r="U271" s="238"/>
      <c r="V271" s="240"/>
      <c r="W271" s="240"/>
      <c r="X271" s="238"/>
      <c r="Y271" s="238"/>
      <c r="Z271" s="238"/>
    </row>
    <row r="272" spans="1:26" ht="12.5">
      <c r="A272" s="238"/>
      <c r="B272" s="238"/>
      <c r="C272" s="238"/>
      <c r="D272" s="238"/>
      <c r="E272" s="238"/>
      <c r="F272" s="238"/>
      <c r="G272" s="238"/>
      <c r="H272" s="238"/>
      <c r="I272" s="238"/>
      <c r="J272" s="238"/>
      <c r="K272" s="237"/>
      <c r="L272" s="238"/>
      <c r="M272" s="238"/>
      <c r="N272" s="238"/>
      <c r="O272" s="238"/>
      <c r="P272" s="238"/>
      <c r="Q272" s="238"/>
      <c r="R272" s="238"/>
      <c r="S272" s="238"/>
      <c r="T272" s="238"/>
      <c r="U272" s="238"/>
      <c r="V272" s="240"/>
      <c r="W272" s="240"/>
      <c r="X272" s="238"/>
      <c r="Y272" s="238"/>
      <c r="Z272" s="238"/>
    </row>
    <row r="273" spans="1:26" ht="12.5">
      <c r="A273" s="238"/>
      <c r="B273" s="238"/>
      <c r="C273" s="238"/>
      <c r="D273" s="238"/>
      <c r="E273" s="238"/>
      <c r="F273" s="238"/>
      <c r="G273" s="238"/>
      <c r="H273" s="238"/>
      <c r="I273" s="238"/>
      <c r="J273" s="238"/>
      <c r="K273" s="237"/>
      <c r="L273" s="238"/>
      <c r="M273" s="238"/>
      <c r="N273" s="238"/>
      <c r="O273" s="238"/>
      <c r="P273" s="238"/>
      <c r="Q273" s="238"/>
      <c r="R273" s="238"/>
      <c r="S273" s="238"/>
      <c r="T273" s="238"/>
      <c r="U273" s="238"/>
      <c r="V273" s="240"/>
      <c r="W273" s="240"/>
      <c r="X273" s="238"/>
      <c r="Y273" s="238"/>
      <c r="Z273" s="238"/>
    </row>
    <row r="274" spans="1:26" ht="12.5">
      <c r="A274" s="238"/>
      <c r="B274" s="238"/>
      <c r="C274" s="238"/>
      <c r="D274" s="238"/>
      <c r="E274" s="238"/>
      <c r="F274" s="238"/>
      <c r="G274" s="238"/>
      <c r="H274" s="238"/>
      <c r="I274" s="238"/>
      <c r="J274" s="238"/>
      <c r="K274" s="237"/>
      <c r="L274" s="238"/>
      <c r="M274" s="238"/>
      <c r="N274" s="238"/>
      <c r="O274" s="238"/>
      <c r="P274" s="238"/>
      <c r="Q274" s="238"/>
      <c r="R274" s="238"/>
      <c r="S274" s="238"/>
      <c r="T274" s="238"/>
      <c r="U274" s="238"/>
      <c r="V274" s="240"/>
      <c r="W274" s="240"/>
      <c r="X274" s="238"/>
      <c r="Y274" s="238"/>
      <c r="Z274" s="238"/>
    </row>
    <row r="275" spans="1:26" ht="12.5">
      <c r="A275" s="238"/>
      <c r="B275" s="238"/>
      <c r="C275" s="238"/>
      <c r="D275" s="238"/>
      <c r="E275" s="238"/>
      <c r="F275" s="238"/>
      <c r="G275" s="238"/>
      <c r="H275" s="238"/>
      <c r="I275" s="238"/>
      <c r="J275" s="238"/>
      <c r="K275" s="237"/>
      <c r="L275" s="238"/>
      <c r="M275" s="238"/>
      <c r="N275" s="238"/>
      <c r="O275" s="238"/>
      <c r="P275" s="238"/>
      <c r="Q275" s="238"/>
      <c r="R275" s="238"/>
      <c r="S275" s="238"/>
      <c r="T275" s="238"/>
      <c r="U275" s="238"/>
      <c r="V275" s="240"/>
      <c r="W275" s="240"/>
      <c r="X275" s="238"/>
      <c r="Y275" s="238"/>
      <c r="Z275" s="238"/>
    </row>
    <row r="276" spans="1:26" ht="12.5">
      <c r="A276" s="238"/>
      <c r="B276" s="238"/>
      <c r="C276" s="238"/>
      <c r="D276" s="238"/>
      <c r="E276" s="238"/>
      <c r="F276" s="238"/>
      <c r="G276" s="238"/>
      <c r="H276" s="238"/>
      <c r="I276" s="238"/>
      <c r="J276" s="238"/>
      <c r="K276" s="237"/>
      <c r="L276" s="238"/>
      <c r="M276" s="238"/>
      <c r="N276" s="238"/>
      <c r="O276" s="238"/>
      <c r="P276" s="238"/>
      <c r="Q276" s="238"/>
      <c r="R276" s="238"/>
      <c r="S276" s="238"/>
      <c r="T276" s="238"/>
      <c r="U276" s="238"/>
      <c r="V276" s="240"/>
      <c r="W276" s="240"/>
      <c r="X276" s="238"/>
      <c r="Y276" s="238"/>
      <c r="Z276" s="238"/>
    </row>
    <row r="277" spans="1:26" ht="12.5">
      <c r="A277" s="238"/>
      <c r="B277" s="238"/>
      <c r="C277" s="238"/>
      <c r="D277" s="238"/>
      <c r="E277" s="238"/>
      <c r="F277" s="238"/>
      <c r="G277" s="238"/>
      <c r="H277" s="238"/>
      <c r="I277" s="238"/>
      <c r="J277" s="238"/>
      <c r="K277" s="237"/>
      <c r="L277" s="238"/>
      <c r="M277" s="238"/>
      <c r="N277" s="238"/>
      <c r="O277" s="238"/>
      <c r="P277" s="238"/>
      <c r="Q277" s="238"/>
      <c r="R277" s="238"/>
      <c r="S277" s="238"/>
      <c r="T277" s="238"/>
      <c r="U277" s="238"/>
      <c r="V277" s="240"/>
      <c r="W277" s="240"/>
      <c r="X277" s="238"/>
      <c r="Y277" s="238"/>
      <c r="Z277" s="238"/>
    </row>
    <row r="278" spans="1:26" ht="12.5">
      <c r="A278" s="238"/>
      <c r="B278" s="238"/>
      <c r="C278" s="238"/>
      <c r="D278" s="238"/>
      <c r="E278" s="238"/>
      <c r="F278" s="238"/>
      <c r="G278" s="238"/>
      <c r="H278" s="238"/>
      <c r="I278" s="238"/>
      <c r="J278" s="238"/>
      <c r="K278" s="237"/>
      <c r="L278" s="238"/>
      <c r="M278" s="238"/>
      <c r="N278" s="238"/>
      <c r="O278" s="238"/>
      <c r="P278" s="238"/>
      <c r="Q278" s="238"/>
      <c r="R278" s="238"/>
      <c r="S278" s="238"/>
      <c r="T278" s="238"/>
      <c r="U278" s="238"/>
      <c r="V278" s="240"/>
      <c r="W278" s="240"/>
      <c r="X278" s="238"/>
      <c r="Y278" s="238"/>
      <c r="Z278" s="238"/>
    </row>
    <row r="279" spans="1:26" ht="12.5">
      <c r="A279" s="238"/>
      <c r="B279" s="238"/>
      <c r="C279" s="238"/>
      <c r="D279" s="238"/>
      <c r="E279" s="238"/>
      <c r="F279" s="238"/>
      <c r="G279" s="238"/>
      <c r="H279" s="238"/>
      <c r="I279" s="238"/>
      <c r="J279" s="238"/>
      <c r="K279" s="237"/>
      <c r="L279" s="238"/>
      <c r="M279" s="238"/>
      <c r="N279" s="238"/>
      <c r="O279" s="238"/>
      <c r="P279" s="238"/>
      <c r="Q279" s="238"/>
      <c r="R279" s="238"/>
      <c r="S279" s="238"/>
      <c r="T279" s="238"/>
      <c r="U279" s="238"/>
      <c r="V279" s="240"/>
      <c r="W279" s="240"/>
      <c r="X279" s="238"/>
      <c r="Y279" s="238"/>
      <c r="Z279" s="238"/>
    </row>
    <row r="280" spans="1:26" ht="12.5">
      <c r="A280" s="238"/>
      <c r="B280" s="238"/>
      <c r="C280" s="238"/>
      <c r="D280" s="238"/>
      <c r="E280" s="238"/>
      <c r="F280" s="238"/>
      <c r="G280" s="238"/>
      <c r="H280" s="238"/>
      <c r="I280" s="238"/>
      <c r="J280" s="238"/>
      <c r="K280" s="237"/>
      <c r="L280" s="238"/>
      <c r="M280" s="238"/>
      <c r="N280" s="238"/>
      <c r="O280" s="238"/>
      <c r="P280" s="238"/>
      <c r="Q280" s="238"/>
      <c r="R280" s="238"/>
      <c r="S280" s="238"/>
      <c r="T280" s="238"/>
      <c r="U280" s="238"/>
      <c r="V280" s="240"/>
      <c r="W280" s="240"/>
      <c r="X280" s="238"/>
      <c r="Y280" s="238"/>
      <c r="Z280" s="238"/>
    </row>
    <row r="281" spans="1:26" ht="12.5">
      <c r="A281" s="238"/>
      <c r="B281" s="238"/>
      <c r="C281" s="238"/>
      <c r="D281" s="238"/>
      <c r="E281" s="238"/>
      <c r="F281" s="238"/>
      <c r="G281" s="238"/>
      <c r="H281" s="238"/>
      <c r="I281" s="238"/>
      <c r="J281" s="238"/>
      <c r="K281" s="237"/>
      <c r="L281" s="238"/>
      <c r="M281" s="238"/>
      <c r="N281" s="238"/>
      <c r="O281" s="238"/>
      <c r="P281" s="238"/>
      <c r="Q281" s="238"/>
      <c r="R281" s="238"/>
      <c r="S281" s="238"/>
      <c r="T281" s="238"/>
      <c r="U281" s="238"/>
      <c r="V281" s="240"/>
      <c r="W281" s="240"/>
      <c r="X281" s="238"/>
      <c r="Y281" s="238"/>
      <c r="Z281" s="238"/>
    </row>
    <row r="282" spans="1:26" ht="12.5">
      <c r="A282" s="238"/>
      <c r="B282" s="238"/>
      <c r="C282" s="238"/>
      <c r="D282" s="238"/>
      <c r="E282" s="238"/>
      <c r="F282" s="238"/>
      <c r="G282" s="238"/>
      <c r="H282" s="238"/>
      <c r="I282" s="238"/>
      <c r="J282" s="238"/>
      <c r="K282" s="237"/>
      <c r="L282" s="238"/>
      <c r="M282" s="238"/>
      <c r="N282" s="238"/>
      <c r="O282" s="238"/>
      <c r="P282" s="238"/>
      <c r="Q282" s="238"/>
      <c r="R282" s="238"/>
      <c r="S282" s="238"/>
      <c r="T282" s="238"/>
      <c r="U282" s="238"/>
      <c r="V282" s="240"/>
      <c r="W282" s="240"/>
      <c r="X282" s="238"/>
      <c r="Y282" s="238"/>
      <c r="Z282" s="238"/>
    </row>
    <row r="283" spans="1:26" ht="12.5">
      <c r="A283" s="238"/>
      <c r="B283" s="238"/>
      <c r="C283" s="238"/>
      <c r="D283" s="238"/>
      <c r="E283" s="238"/>
      <c r="F283" s="238"/>
      <c r="G283" s="238"/>
      <c r="H283" s="238"/>
      <c r="I283" s="238"/>
      <c r="J283" s="238"/>
      <c r="K283" s="237"/>
      <c r="L283" s="238"/>
      <c r="M283" s="238"/>
      <c r="N283" s="238"/>
      <c r="O283" s="238"/>
      <c r="P283" s="238"/>
      <c r="Q283" s="238"/>
      <c r="R283" s="238"/>
      <c r="S283" s="238"/>
      <c r="T283" s="238"/>
      <c r="U283" s="238"/>
      <c r="V283" s="240"/>
      <c r="W283" s="240"/>
      <c r="X283" s="238"/>
      <c r="Y283" s="238"/>
      <c r="Z283" s="238"/>
    </row>
    <row r="284" spans="1:26" ht="12.5">
      <c r="A284" s="238"/>
      <c r="B284" s="238"/>
      <c r="C284" s="238"/>
      <c r="D284" s="238"/>
      <c r="E284" s="238"/>
      <c r="F284" s="238"/>
      <c r="G284" s="238"/>
      <c r="H284" s="238"/>
      <c r="I284" s="238"/>
      <c r="J284" s="238"/>
      <c r="K284" s="237"/>
      <c r="L284" s="238"/>
      <c r="M284" s="238"/>
      <c r="N284" s="238"/>
      <c r="O284" s="238"/>
      <c r="P284" s="238"/>
      <c r="Q284" s="238"/>
      <c r="R284" s="238"/>
      <c r="S284" s="238"/>
      <c r="T284" s="238"/>
      <c r="U284" s="238"/>
      <c r="V284" s="240"/>
      <c r="W284" s="240"/>
      <c r="X284" s="238"/>
      <c r="Y284" s="238"/>
      <c r="Z284" s="238"/>
    </row>
    <row r="285" spans="1:26" ht="12.5">
      <c r="A285" s="238"/>
      <c r="B285" s="238"/>
      <c r="C285" s="238"/>
      <c r="D285" s="238"/>
      <c r="E285" s="238"/>
      <c r="F285" s="238"/>
      <c r="G285" s="238"/>
      <c r="H285" s="238"/>
      <c r="I285" s="238"/>
      <c r="J285" s="238"/>
      <c r="K285" s="237"/>
      <c r="L285" s="238"/>
      <c r="M285" s="238"/>
      <c r="N285" s="238"/>
      <c r="O285" s="238"/>
      <c r="P285" s="238"/>
      <c r="Q285" s="238"/>
      <c r="R285" s="238"/>
      <c r="S285" s="238"/>
      <c r="T285" s="238"/>
      <c r="U285" s="238"/>
      <c r="V285" s="240"/>
      <c r="W285" s="240"/>
      <c r="X285" s="238"/>
      <c r="Y285" s="238"/>
      <c r="Z285" s="238"/>
    </row>
    <row r="286" spans="1:26" ht="12.5">
      <c r="A286" s="238"/>
      <c r="B286" s="238"/>
      <c r="C286" s="238"/>
      <c r="D286" s="238"/>
      <c r="E286" s="238"/>
      <c r="F286" s="238"/>
      <c r="G286" s="238"/>
      <c r="H286" s="238"/>
      <c r="I286" s="238"/>
      <c r="J286" s="238"/>
      <c r="K286" s="237"/>
      <c r="L286" s="238"/>
      <c r="M286" s="238"/>
      <c r="N286" s="238"/>
      <c r="O286" s="238"/>
      <c r="P286" s="238"/>
      <c r="Q286" s="238"/>
      <c r="R286" s="238"/>
      <c r="S286" s="238"/>
      <c r="T286" s="238"/>
      <c r="U286" s="238"/>
      <c r="V286" s="240"/>
      <c r="W286" s="240"/>
      <c r="X286" s="238"/>
      <c r="Y286" s="238"/>
      <c r="Z286" s="238"/>
    </row>
    <row r="287" spans="1:26" ht="12.5">
      <c r="A287" s="238"/>
      <c r="B287" s="238"/>
      <c r="C287" s="238"/>
      <c r="D287" s="238"/>
      <c r="E287" s="238"/>
      <c r="F287" s="238"/>
      <c r="G287" s="238"/>
      <c r="H287" s="238"/>
      <c r="I287" s="238"/>
      <c r="J287" s="238"/>
      <c r="K287" s="237"/>
      <c r="L287" s="238"/>
      <c r="M287" s="238"/>
      <c r="N287" s="238"/>
      <c r="O287" s="238"/>
      <c r="P287" s="238"/>
      <c r="Q287" s="238"/>
      <c r="R287" s="238"/>
      <c r="S287" s="238"/>
      <c r="T287" s="238"/>
      <c r="U287" s="238"/>
      <c r="V287" s="240"/>
      <c r="W287" s="240"/>
      <c r="X287" s="238"/>
      <c r="Y287" s="238"/>
      <c r="Z287" s="238"/>
    </row>
    <row r="288" spans="1:26" ht="12.5">
      <c r="A288" s="238"/>
      <c r="B288" s="238"/>
      <c r="C288" s="238"/>
      <c r="D288" s="238"/>
      <c r="E288" s="238"/>
      <c r="F288" s="238"/>
      <c r="G288" s="238"/>
      <c r="H288" s="238"/>
      <c r="I288" s="238"/>
      <c r="J288" s="238"/>
      <c r="K288" s="237"/>
      <c r="L288" s="238"/>
      <c r="M288" s="238"/>
      <c r="N288" s="238"/>
      <c r="O288" s="238"/>
      <c r="P288" s="238"/>
      <c r="Q288" s="238"/>
      <c r="R288" s="238"/>
      <c r="S288" s="238"/>
      <c r="T288" s="238"/>
      <c r="U288" s="238"/>
      <c r="V288" s="240"/>
      <c r="W288" s="240"/>
      <c r="X288" s="238"/>
      <c r="Y288" s="238"/>
      <c r="Z288" s="238"/>
    </row>
    <row r="289" spans="1:26" ht="12.5">
      <c r="A289" s="238"/>
      <c r="B289" s="238"/>
      <c r="C289" s="238"/>
      <c r="D289" s="238"/>
      <c r="E289" s="238"/>
      <c r="F289" s="238"/>
      <c r="G289" s="238"/>
      <c r="H289" s="238"/>
      <c r="I289" s="238"/>
      <c r="J289" s="238"/>
      <c r="K289" s="237"/>
      <c r="L289" s="238"/>
      <c r="M289" s="238"/>
      <c r="N289" s="238"/>
      <c r="O289" s="238"/>
      <c r="P289" s="238"/>
      <c r="Q289" s="238"/>
      <c r="R289" s="238"/>
      <c r="S289" s="238"/>
      <c r="T289" s="238"/>
      <c r="U289" s="238"/>
      <c r="V289" s="240"/>
      <c r="W289" s="240"/>
      <c r="X289" s="238"/>
      <c r="Y289" s="238"/>
      <c r="Z289" s="238"/>
    </row>
    <row r="290" spans="1:26" ht="12.5">
      <c r="A290" s="238"/>
      <c r="B290" s="238"/>
      <c r="C290" s="238"/>
      <c r="D290" s="238"/>
      <c r="E290" s="238"/>
      <c r="F290" s="238"/>
      <c r="G290" s="238"/>
      <c r="H290" s="238"/>
      <c r="I290" s="238"/>
      <c r="J290" s="238"/>
      <c r="K290" s="237"/>
      <c r="L290" s="238"/>
      <c r="M290" s="238"/>
      <c r="N290" s="238"/>
      <c r="O290" s="238"/>
      <c r="P290" s="238"/>
      <c r="Q290" s="238"/>
      <c r="R290" s="238"/>
      <c r="S290" s="238"/>
      <c r="T290" s="238"/>
      <c r="U290" s="238"/>
      <c r="V290" s="240"/>
      <c r="W290" s="240"/>
      <c r="X290" s="238"/>
      <c r="Y290" s="238"/>
      <c r="Z290" s="238"/>
    </row>
    <row r="291" spans="1:26" ht="12.5">
      <c r="A291" s="238"/>
      <c r="B291" s="238"/>
      <c r="C291" s="238"/>
      <c r="D291" s="238"/>
      <c r="E291" s="238"/>
      <c r="F291" s="238"/>
      <c r="G291" s="238"/>
      <c r="H291" s="238"/>
      <c r="I291" s="238"/>
      <c r="J291" s="238"/>
      <c r="K291" s="237"/>
      <c r="L291" s="238"/>
      <c r="M291" s="238"/>
      <c r="N291" s="238"/>
      <c r="O291" s="238"/>
      <c r="P291" s="238"/>
      <c r="Q291" s="238"/>
      <c r="R291" s="238"/>
      <c r="S291" s="238"/>
      <c r="T291" s="238"/>
      <c r="U291" s="238"/>
      <c r="V291" s="240"/>
      <c r="W291" s="240"/>
      <c r="X291" s="238"/>
      <c r="Y291" s="238"/>
      <c r="Z291" s="238"/>
    </row>
    <row r="292" spans="1:26" ht="12.5">
      <c r="A292" s="238"/>
      <c r="B292" s="238"/>
      <c r="C292" s="238"/>
      <c r="D292" s="238"/>
      <c r="E292" s="238"/>
      <c r="F292" s="238"/>
      <c r="G292" s="238"/>
      <c r="H292" s="238"/>
      <c r="I292" s="238"/>
      <c r="J292" s="238"/>
      <c r="K292" s="237"/>
      <c r="L292" s="238"/>
      <c r="M292" s="238"/>
      <c r="N292" s="238"/>
      <c r="O292" s="238"/>
      <c r="P292" s="238"/>
      <c r="Q292" s="238"/>
      <c r="R292" s="238"/>
      <c r="S292" s="238"/>
      <c r="T292" s="238"/>
      <c r="U292" s="238"/>
      <c r="V292" s="240"/>
      <c r="W292" s="240"/>
      <c r="X292" s="238"/>
      <c r="Y292" s="238"/>
      <c r="Z292" s="238"/>
    </row>
    <row r="293" spans="1:26" ht="12.5">
      <c r="A293" s="238"/>
      <c r="B293" s="238"/>
      <c r="C293" s="238"/>
      <c r="D293" s="238"/>
      <c r="E293" s="238"/>
      <c r="F293" s="238"/>
      <c r="G293" s="238"/>
      <c r="H293" s="238"/>
      <c r="I293" s="238"/>
      <c r="J293" s="238"/>
      <c r="K293" s="237"/>
      <c r="L293" s="238"/>
      <c r="M293" s="238"/>
      <c r="N293" s="238"/>
      <c r="O293" s="238"/>
      <c r="P293" s="238"/>
      <c r="Q293" s="238"/>
      <c r="R293" s="238"/>
      <c r="S293" s="238"/>
      <c r="T293" s="238"/>
      <c r="U293" s="238"/>
      <c r="V293" s="240"/>
      <c r="W293" s="240"/>
      <c r="X293" s="238"/>
      <c r="Y293" s="238"/>
      <c r="Z293" s="238"/>
    </row>
    <row r="294" spans="1:26" ht="12.5">
      <c r="A294" s="238"/>
      <c r="B294" s="238"/>
      <c r="C294" s="238"/>
      <c r="D294" s="238"/>
      <c r="E294" s="238"/>
      <c r="F294" s="238"/>
      <c r="G294" s="238"/>
      <c r="H294" s="238"/>
      <c r="I294" s="238"/>
      <c r="J294" s="238"/>
      <c r="K294" s="237"/>
      <c r="L294" s="238"/>
      <c r="M294" s="238"/>
      <c r="N294" s="238"/>
      <c r="O294" s="238"/>
      <c r="P294" s="238"/>
      <c r="Q294" s="238"/>
      <c r="R294" s="238"/>
      <c r="S294" s="238"/>
      <c r="T294" s="238"/>
      <c r="U294" s="238"/>
      <c r="V294" s="240"/>
      <c r="W294" s="240"/>
      <c r="X294" s="238"/>
      <c r="Y294" s="238"/>
      <c r="Z294" s="238"/>
    </row>
    <row r="295" spans="1:26" ht="12.5">
      <c r="A295" s="238"/>
      <c r="B295" s="238"/>
      <c r="C295" s="238"/>
      <c r="D295" s="238"/>
      <c r="E295" s="238"/>
      <c r="F295" s="238"/>
      <c r="G295" s="238"/>
      <c r="H295" s="238"/>
      <c r="I295" s="238"/>
      <c r="J295" s="238"/>
      <c r="K295" s="237"/>
      <c r="L295" s="238"/>
      <c r="M295" s="238"/>
      <c r="N295" s="238"/>
      <c r="O295" s="238"/>
      <c r="P295" s="238"/>
      <c r="Q295" s="238"/>
      <c r="R295" s="238"/>
      <c r="S295" s="238"/>
      <c r="T295" s="238"/>
      <c r="U295" s="238"/>
      <c r="V295" s="240"/>
      <c r="W295" s="240"/>
      <c r="X295" s="238"/>
      <c r="Y295" s="238"/>
      <c r="Z295" s="238"/>
    </row>
    <row r="296" spans="1:26" ht="12.5">
      <c r="A296" s="238"/>
      <c r="B296" s="238"/>
      <c r="C296" s="238"/>
      <c r="D296" s="238"/>
      <c r="E296" s="238"/>
      <c r="F296" s="238"/>
      <c r="G296" s="238"/>
      <c r="H296" s="238"/>
      <c r="I296" s="238"/>
      <c r="J296" s="238"/>
      <c r="K296" s="237"/>
      <c r="L296" s="238"/>
      <c r="M296" s="238"/>
      <c r="N296" s="238"/>
      <c r="O296" s="238"/>
      <c r="P296" s="238"/>
      <c r="Q296" s="238"/>
      <c r="R296" s="238"/>
      <c r="S296" s="238"/>
      <c r="T296" s="238"/>
      <c r="U296" s="238"/>
      <c r="V296" s="240"/>
      <c r="W296" s="240"/>
      <c r="X296" s="238"/>
      <c r="Y296" s="238"/>
      <c r="Z296" s="238"/>
    </row>
    <row r="297" spans="1:26" ht="12.5">
      <c r="A297" s="238"/>
      <c r="B297" s="238"/>
      <c r="C297" s="238"/>
      <c r="D297" s="238"/>
      <c r="E297" s="238"/>
      <c r="F297" s="238"/>
      <c r="G297" s="238"/>
      <c r="H297" s="238"/>
      <c r="I297" s="238"/>
      <c r="J297" s="238"/>
      <c r="K297" s="237"/>
      <c r="L297" s="238"/>
      <c r="M297" s="238"/>
      <c r="N297" s="238"/>
      <c r="O297" s="238"/>
      <c r="P297" s="238"/>
      <c r="Q297" s="238"/>
      <c r="R297" s="238"/>
      <c r="S297" s="238"/>
      <c r="T297" s="238"/>
      <c r="U297" s="238"/>
      <c r="V297" s="240"/>
      <c r="W297" s="240"/>
      <c r="X297" s="238"/>
      <c r="Y297" s="238"/>
      <c r="Z297" s="238"/>
    </row>
    <row r="298" spans="1:26" ht="12.5">
      <c r="A298" s="238"/>
      <c r="B298" s="238"/>
      <c r="C298" s="238"/>
      <c r="D298" s="238"/>
      <c r="E298" s="238"/>
      <c r="F298" s="238"/>
      <c r="G298" s="238"/>
      <c r="H298" s="238"/>
      <c r="I298" s="238"/>
      <c r="J298" s="238"/>
      <c r="K298" s="237"/>
      <c r="L298" s="238"/>
      <c r="M298" s="238"/>
      <c r="N298" s="238"/>
      <c r="O298" s="238"/>
      <c r="P298" s="238"/>
      <c r="Q298" s="238"/>
      <c r="R298" s="238"/>
      <c r="S298" s="238"/>
      <c r="T298" s="238"/>
      <c r="U298" s="238"/>
      <c r="V298" s="240"/>
      <c r="W298" s="240"/>
      <c r="X298" s="238"/>
      <c r="Y298" s="238"/>
      <c r="Z298" s="238"/>
    </row>
    <row r="299" spans="1:26" ht="12.5">
      <c r="A299" s="238"/>
      <c r="B299" s="238"/>
      <c r="C299" s="238"/>
      <c r="D299" s="238"/>
      <c r="E299" s="238"/>
      <c r="F299" s="238"/>
      <c r="G299" s="238"/>
      <c r="H299" s="238"/>
      <c r="I299" s="238"/>
      <c r="J299" s="238"/>
      <c r="K299" s="237"/>
      <c r="L299" s="238"/>
      <c r="M299" s="238"/>
      <c r="N299" s="238"/>
      <c r="O299" s="238"/>
      <c r="P299" s="238"/>
      <c r="Q299" s="238"/>
      <c r="R299" s="238"/>
      <c r="S299" s="238"/>
      <c r="T299" s="238"/>
      <c r="U299" s="238"/>
      <c r="V299" s="240"/>
      <c r="W299" s="240"/>
      <c r="X299" s="238"/>
      <c r="Y299" s="238"/>
      <c r="Z299" s="238"/>
    </row>
    <row r="300" spans="1:26" ht="12.5">
      <c r="A300" s="238"/>
      <c r="B300" s="238"/>
      <c r="C300" s="238"/>
      <c r="D300" s="238"/>
      <c r="E300" s="238"/>
      <c r="F300" s="238"/>
      <c r="G300" s="238"/>
      <c r="H300" s="238"/>
      <c r="I300" s="238"/>
      <c r="J300" s="238"/>
      <c r="K300" s="237"/>
      <c r="L300" s="238"/>
      <c r="M300" s="238"/>
      <c r="N300" s="238"/>
      <c r="O300" s="238"/>
      <c r="P300" s="238"/>
      <c r="Q300" s="238"/>
      <c r="R300" s="238"/>
      <c r="S300" s="238"/>
      <c r="T300" s="238"/>
      <c r="U300" s="238"/>
      <c r="V300" s="240"/>
      <c r="W300" s="240"/>
      <c r="X300" s="238"/>
      <c r="Y300" s="238"/>
      <c r="Z300" s="238"/>
    </row>
    <row r="301" spans="1:26" ht="12.5">
      <c r="A301" s="238"/>
      <c r="B301" s="238"/>
      <c r="C301" s="238"/>
      <c r="D301" s="238"/>
      <c r="E301" s="238"/>
      <c r="F301" s="238"/>
      <c r="G301" s="238"/>
      <c r="H301" s="238"/>
      <c r="I301" s="238"/>
      <c r="J301" s="238"/>
      <c r="K301" s="237"/>
      <c r="L301" s="238"/>
      <c r="M301" s="238"/>
      <c r="N301" s="238"/>
      <c r="O301" s="238"/>
      <c r="P301" s="238"/>
      <c r="Q301" s="238"/>
      <c r="R301" s="238"/>
      <c r="S301" s="238"/>
      <c r="T301" s="238"/>
      <c r="U301" s="238"/>
      <c r="V301" s="240"/>
      <c r="W301" s="240"/>
      <c r="X301" s="238"/>
      <c r="Y301" s="238"/>
      <c r="Z301" s="238"/>
    </row>
    <row r="302" spans="1:26" ht="12.5">
      <c r="A302" s="238"/>
      <c r="B302" s="238"/>
      <c r="C302" s="238"/>
      <c r="D302" s="238"/>
      <c r="E302" s="238"/>
      <c r="F302" s="238"/>
      <c r="G302" s="238"/>
      <c r="H302" s="238"/>
      <c r="I302" s="238"/>
      <c r="J302" s="238"/>
      <c r="K302" s="237"/>
      <c r="L302" s="238"/>
      <c r="M302" s="238"/>
      <c r="N302" s="238"/>
      <c r="O302" s="238"/>
      <c r="P302" s="238"/>
      <c r="Q302" s="238"/>
      <c r="R302" s="238"/>
      <c r="S302" s="238"/>
      <c r="T302" s="238"/>
      <c r="U302" s="238"/>
      <c r="V302" s="240"/>
      <c r="W302" s="240"/>
      <c r="X302" s="238"/>
      <c r="Y302" s="238"/>
      <c r="Z302" s="238"/>
    </row>
    <row r="303" spans="1:26" ht="12.5">
      <c r="A303" s="238"/>
      <c r="B303" s="238"/>
      <c r="C303" s="238"/>
      <c r="D303" s="238"/>
      <c r="E303" s="238"/>
      <c r="F303" s="238"/>
      <c r="G303" s="238"/>
      <c r="H303" s="238"/>
      <c r="I303" s="238"/>
      <c r="J303" s="238"/>
      <c r="K303" s="237"/>
      <c r="L303" s="238"/>
      <c r="M303" s="238"/>
      <c r="N303" s="238"/>
      <c r="O303" s="238"/>
      <c r="P303" s="238"/>
      <c r="Q303" s="238"/>
      <c r="R303" s="238"/>
      <c r="S303" s="238"/>
      <c r="T303" s="238"/>
      <c r="U303" s="238"/>
      <c r="V303" s="240"/>
      <c r="W303" s="240"/>
      <c r="X303" s="238"/>
      <c r="Y303" s="238"/>
      <c r="Z303" s="238"/>
    </row>
    <row r="304" spans="1:26" ht="12.5">
      <c r="A304" s="238"/>
      <c r="B304" s="238"/>
      <c r="C304" s="238"/>
      <c r="D304" s="238"/>
      <c r="E304" s="238"/>
      <c r="F304" s="238"/>
      <c r="G304" s="238"/>
      <c r="H304" s="238"/>
      <c r="I304" s="238"/>
      <c r="J304" s="238"/>
      <c r="K304" s="237"/>
      <c r="L304" s="238"/>
      <c r="M304" s="238"/>
      <c r="N304" s="238"/>
      <c r="O304" s="238"/>
      <c r="P304" s="238"/>
      <c r="Q304" s="238"/>
      <c r="R304" s="238"/>
      <c r="S304" s="238"/>
      <c r="T304" s="238"/>
      <c r="U304" s="238"/>
      <c r="V304" s="240"/>
      <c r="W304" s="240"/>
      <c r="X304" s="238"/>
      <c r="Y304" s="238"/>
      <c r="Z304" s="238"/>
    </row>
    <row r="305" spans="1:26" ht="12.5">
      <c r="A305" s="238"/>
      <c r="B305" s="238"/>
      <c r="C305" s="238"/>
      <c r="D305" s="238"/>
      <c r="E305" s="238"/>
      <c r="F305" s="238"/>
      <c r="G305" s="238"/>
      <c r="H305" s="238"/>
      <c r="I305" s="238"/>
      <c r="J305" s="238"/>
      <c r="K305" s="237"/>
      <c r="L305" s="238"/>
      <c r="M305" s="238"/>
      <c r="N305" s="238"/>
      <c r="O305" s="238"/>
      <c r="P305" s="238"/>
      <c r="Q305" s="238"/>
      <c r="R305" s="238"/>
      <c r="S305" s="238"/>
      <c r="T305" s="238"/>
      <c r="U305" s="238"/>
      <c r="V305" s="240"/>
      <c r="W305" s="240"/>
      <c r="X305" s="238"/>
      <c r="Y305" s="238"/>
      <c r="Z305" s="238"/>
    </row>
    <row r="306" spans="1:26" ht="12.5">
      <c r="A306" s="238"/>
      <c r="B306" s="238"/>
      <c r="C306" s="238"/>
      <c r="D306" s="238"/>
      <c r="E306" s="238"/>
      <c r="F306" s="238"/>
      <c r="G306" s="238"/>
      <c r="H306" s="238"/>
      <c r="I306" s="238"/>
      <c r="J306" s="238"/>
      <c r="K306" s="237"/>
      <c r="L306" s="238"/>
      <c r="M306" s="238"/>
      <c r="N306" s="238"/>
      <c r="O306" s="238"/>
      <c r="P306" s="238"/>
      <c r="Q306" s="238"/>
      <c r="R306" s="238"/>
      <c r="S306" s="238"/>
      <c r="T306" s="238"/>
      <c r="U306" s="238"/>
      <c r="V306" s="240"/>
      <c r="W306" s="240"/>
      <c r="X306" s="238"/>
      <c r="Y306" s="238"/>
      <c r="Z306" s="238"/>
    </row>
    <row r="307" spans="1:26" ht="12.5">
      <c r="A307" s="238"/>
      <c r="B307" s="238"/>
      <c r="C307" s="238"/>
      <c r="D307" s="238"/>
      <c r="E307" s="238"/>
      <c r="F307" s="238"/>
      <c r="G307" s="238"/>
      <c r="H307" s="238"/>
      <c r="I307" s="238"/>
      <c r="J307" s="238"/>
      <c r="K307" s="237"/>
      <c r="L307" s="238"/>
      <c r="M307" s="238"/>
      <c r="N307" s="238"/>
      <c r="O307" s="238"/>
      <c r="P307" s="238"/>
      <c r="Q307" s="238"/>
      <c r="R307" s="238"/>
      <c r="S307" s="238"/>
      <c r="T307" s="238"/>
      <c r="U307" s="238"/>
      <c r="V307" s="240"/>
      <c r="W307" s="240"/>
      <c r="X307" s="238"/>
      <c r="Y307" s="238"/>
      <c r="Z307" s="238"/>
    </row>
    <row r="308" spans="1:26" ht="12.5">
      <c r="A308" s="238"/>
      <c r="B308" s="238"/>
      <c r="C308" s="238"/>
      <c r="D308" s="238"/>
      <c r="E308" s="238"/>
      <c r="F308" s="238"/>
      <c r="G308" s="238"/>
      <c r="H308" s="238"/>
      <c r="I308" s="238"/>
      <c r="J308" s="238"/>
      <c r="K308" s="237"/>
      <c r="L308" s="238"/>
      <c r="M308" s="238"/>
      <c r="N308" s="238"/>
      <c r="O308" s="238"/>
      <c r="P308" s="238"/>
      <c r="Q308" s="238"/>
      <c r="R308" s="238"/>
      <c r="S308" s="238"/>
      <c r="T308" s="238"/>
      <c r="U308" s="238"/>
      <c r="V308" s="240"/>
      <c r="W308" s="240"/>
      <c r="X308" s="238"/>
      <c r="Y308" s="238"/>
      <c r="Z308" s="238"/>
    </row>
    <row r="309" spans="1:26" ht="12.5">
      <c r="A309" s="238"/>
      <c r="B309" s="238"/>
      <c r="C309" s="238"/>
      <c r="D309" s="238"/>
      <c r="E309" s="238"/>
      <c r="F309" s="238"/>
      <c r="G309" s="238"/>
      <c r="H309" s="238"/>
      <c r="I309" s="238"/>
      <c r="J309" s="238"/>
      <c r="K309" s="237"/>
      <c r="L309" s="238"/>
      <c r="M309" s="238"/>
      <c r="N309" s="238"/>
      <c r="O309" s="238"/>
      <c r="P309" s="238"/>
      <c r="Q309" s="238"/>
      <c r="R309" s="238"/>
      <c r="S309" s="238"/>
      <c r="T309" s="238"/>
      <c r="U309" s="238"/>
      <c r="V309" s="240"/>
      <c r="W309" s="240"/>
      <c r="X309" s="238"/>
      <c r="Y309" s="238"/>
      <c r="Z309" s="238"/>
    </row>
    <row r="310" spans="1:26" ht="12.5">
      <c r="A310" s="238"/>
      <c r="B310" s="238"/>
      <c r="C310" s="238"/>
      <c r="D310" s="238"/>
      <c r="E310" s="238"/>
      <c r="F310" s="238"/>
      <c r="G310" s="238"/>
      <c r="H310" s="238"/>
      <c r="I310" s="238"/>
      <c r="J310" s="238"/>
      <c r="K310" s="237"/>
      <c r="L310" s="238"/>
      <c r="M310" s="238"/>
      <c r="N310" s="238"/>
      <c r="O310" s="238"/>
      <c r="P310" s="238"/>
      <c r="Q310" s="238"/>
      <c r="R310" s="238"/>
      <c r="S310" s="238"/>
      <c r="T310" s="238"/>
      <c r="U310" s="238"/>
      <c r="V310" s="240"/>
      <c r="W310" s="240"/>
      <c r="X310" s="238"/>
      <c r="Y310" s="238"/>
      <c r="Z310" s="238"/>
    </row>
    <row r="311" spans="1:26" ht="12.5">
      <c r="A311" s="238"/>
      <c r="B311" s="238"/>
      <c r="C311" s="238"/>
      <c r="D311" s="238"/>
      <c r="E311" s="238"/>
      <c r="F311" s="238"/>
      <c r="G311" s="238"/>
      <c r="H311" s="238"/>
      <c r="I311" s="238"/>
      <c r="J311" s="238"/>
      <c r="K311" s="237"/>
      <c r="L311" s="238"/>
      <c r="M311" s="238"/>
      <c r="N311" s="238"/>
      <c r="O311" s="238"/>
      <c r="P311" s="238"/>
      <c r="Q311" s="238"/>
      <c r="R311" s="238"/>
      <c r="S311" s="238"/>
      <c r="T311" s="238"/>
      <c r="U311" s="238"/>
      <c r="V311" s="240"/>
      <c r="W311" s="240"/>
      <c r="X311" s="238"/>
      <c r="Y311" s="238"/>
      <c r="Z311" s="238"/>
    </row>
    <row r="312" spans="1:26" ht="12.5">
      <c r="A312" s="238"/>
      <c r="B312" s="238"/>
      <c r="C312" s="238"/>
      <c r="D312" s="238"/>
      <c r="E312" s="238"/>
      <c r="F312" s="238"/>
      <c r="G312" s="238"/>
      <c r="H312" s="238"/>
      <c r="I312" s="238"/>
      <c r="J312" s="238"/>
      <c r="K312" s="237"/>
      <c r="L312" s="238"/>
      <c r="M312" s="238"/>
      <c r="N312" s="238"/>
      <c r="O312" s="238"/>
      <c r="P312" s="238"/>
      <c r="Q312" s="238"/>
      <c r="R312" s="238"/>
      <c r="S312" s="238"/>
      <c r="T312" s="238"/>
      <c r="U312" s="238"/>
      <c r="V312" s="240"/>
      <c r="W312" s="240"/>
      <c r="X312" s="238"/>
      <c r="Y312" s="238"/>
      <c r="Z312" s="238"/>
    </row>
    <row r="313" spans="1:26" ht="12.5">
      <c r="A313" s="238"/>
      <c r="B313" s="238"/>
      <c r="C313" s="238"/>
      <c r="D313" s="238"/>
      <c r="E313" s="238"/>
      <c r="F313" s="238"/>
      <c r="G313" s="238"/>
      <c r="H313" s="238"/>
      <c r="I313" s="238"/>
      <c r="J313" s="238"/>
      <c r="K313" s="237"/>
      <c r="L313" s="238"/>
      <c r="M313" s="238"/>
      <c r="N313" s="238"/>
      <c r="O313" s="238"/>
      <c r="P313" s="238"/>
      <c r="Q313" s="238"/>
      <c r="R313" s="238"/>
      <c r="S313" s="238"/>
      <c r="T313" s="238"/>
      <c r="U313" s="238"/>
      <c r="V313" s="240"/>
      <c r="W313" s="240"/>
      <c r="X313" s="238"/>
      <c r="Y313" s="238"/>
      <c r="Z313" s="238"/>
    </row>
    <row r="314" spans="1:26" ht="12.5">
      <c r="A314" s="238"/>
      <c r="B314" s="238"/>
      <c r="C314" s="238"/>
      <c r="D314" s="238"/>
      <c r="E314" s="238"/>
      <c r="F314" s="238"/>
      <c r="G314" s="238"/>
      <c r="H314" s="238"/>
      <c r="I314" s="238"/>
      <c r="J314" s="238"/>
      <c r="K314" s="237"/>
      <c r="L314" s="238"/>
      <c r="M314" s="238"/>
      <c r="N314" s="238"/>
      <c r="O314" s="238"/>
      <c r="P314" s="238"/>
      <c r="Q314" s="238"/>
      <c r="R314" s="238"/>
      <c r="S314" s="238"/>
      <c r="T314" s="238"/>
      <c r="U314" s="238"/>
      <c r="V314" s="240"/>
      <c r="W314" s="240"/>
      <c r="X314" s="238"/>
      <c r="Y314" s="238"/>
      <c r="Z314" s="238"/>
    </row>
    <row r="315" spans="1:26" ht="12.5">
      <c r="A315" s="238"/>
      <c r="B315" s="238"/>
      <c r="C315" s="238"/>
      <c r="D315" s="238"/>
      <c r="E315" s="238"/>
      <c r="F315" s="238"/>
      <c r="G315" s="238"/>
      <c r="H315" s="238"/>
      <c r="I315" s="238"/>
      <c r="J315" s="238"/>
      <c r="K315" s="237"/>
      <c r="L315" s="238"/>
      <c r="M315" s="238"/>
      <c r="N315" s="238"/>
      <c r="O315" s="238"/>
      <c r="P315" s="238"/>
      <c r="Q315" s="238"/>
      <c r="R315" s="238"/>
      <c r="S315" s="238"/>
      <c r="T315" s="238"/>
      <c r="U315" s="238"/>
      <c r="V315" s="240"/>
      <c r="W315" s="240"/>
      <c r="X315" s="238"/>
      <c r="Y315" s="238"/>
      <c r="Z315" s="238"/>
    </row>
    <row r="316" spans="1:26" ht="12.5">
      <c r="A316" s="238"/>
      <c r="B316" s="238"/>
      <c r="C316" s="238"/>
      <c r="D316" s="238"/>
      <c r="E316" s="238"/>
      <c r="F316" s="238"/>
      <c r="G316" s="238"/>
      <c r="H316" s="238"/>
      <c r="I316" s="238"/>
      <c r="J316" s="238"/>
      <c r="K316" s="237"/>
      <c r="L316" s="238"/>
      <c r="M316" s="238"/>
      <c r="N316" s="238"/>
      <c r="O316" s="238"/>
      <c r="P316" s="238"/>
      <c r="Q316" s="238"/>
      <c r="R316" s="238"/>
      <c r="S316" s="238"/>
      <c r="T316" s="238"/>
      <c r="U316" s="238"/>
      <c r="V316" s="240"/>
      <c r="W316" s="240"/>
      <c r="X316" s="238"/>
      <c r="Y316" s="238"/>
      <c r="Z316" s="238"/>
    </row>
    <row r="317" spans="1:26" ht="12.5">
      <c r="A317" s="238"/>
      <c r="B317" s="238"/>
      <c r="C317" s="238"/>
      <c r="D317" s="238"/>
      <c r="E317" s="238"/>
      <c r="F317" s="238"/>
      <c r="G317" s="238"/>
      <c r="H317" s="238"/>
      <c r="I317" s="238"/>
      <c r="J317" s="238"/>
      <c r="K317" s="237"/>
      <c r="L317" s="238"/>
      <c r="M317" s="238"/>
      <c r="N317" s="238"/>
      <c r="O317" s="238"/>
      <c r="P317" s="238"/>
      <c r="Q317" s="238"/>
      <c r="R317" s="238"/>
      <c r="S317" s="238"/>
      <c r="T317" s="238"/>
      <c r="U317" s="238"/>
      <c r="V317" s="240"/>
      <c r="W317" s="240"/>
      <c r="X317" s="238"/>
      <c r="Y317" s="238"/>
      <c r="Z317" s="238"/>
    </row>
    <row r="318" spans="1:26" ht="12.5">
      <c r="A318" s="238"/>
      <c r="B318" s="238"/>
      <c r="C318" s="238"/>
      <c r="D318" s="238"/>
      <c r="E318" s="238"/>
      <c r="F318" s="238"/>
      <c r="G318" s="238"/>
      <c r="H318" s="238"/>
      <c r="I318" s="238"/>
      <c r="J318" s="238"/>
      <c r="K318" s="237"/>
      <c r="L318" s="238"/>
      <c r="M318" s="238"/>
      <c r="N318" s="238"/>
      <c r="O318" s="238"/>
      <c r="P318" s="238"/>
      <c r="Q318" s="238"/>
      <c r="R318" s="238"/>
      <c r="S318" s="238"/>
      <c r="T318" s="238"/>
      <c r="U318" s="238"/>
      <c r="V318" s="240"/>
      <c r="W318" s="240"/>
      <c r="X318" s="238"/>
      <c r="Y318" s="238"/>
      <c r="Z318" s="238"/>
    </row>
    <row r="319" spans="1:26" ht="12.5">
      <c r="A319" s="238"/>
      <c r="B319" s="238"/>
      <c r="C319" s="238"/>
      <c r="D319" s="238"/>
      <c r="E319" s="238"/>
      <c r="F319" s="238"/>
      <c r="G319" s="238"/>
      <c r="H319" s="238"/>
      <c r="I319" s="238"/>
      <c r="J319" s="238"/>
      <c r="K319" s="237"/>
      <c r="L319" s="238"/>
      <c r="M319" s="238"/>
      <c r="N319" s="238"/>
      <c r="O319" s="238"/>
      <c r="P319" s="238"/>
      <c r="Q319" s="238"/>
      <c r="R319" s="238"/>
      <c r="S319" s="238"/>
      <c r="T319" s="238"/>
      <c r="U319" s="238"/>
      <c r="V319" s="240"/>
      <c r="W319" s="240"/>
      <c r="X319" s="238"/>
      <c r="Y319" s="238"/>
      <c r="Z319" s="238"/>
    </row>
    <row r="320" spans="1:26" ht="12.5">
      <c r="A320" s="238"/>
      <c r="B320" s="238"/>
      <c r="C320" s="238"/>
      <c r="D320" s="238"/>
      <c r="E320" s="238"/>
      <c r="F320" s="238"/>
      <c r="G320" s="238"/>
      <c r="H320" s="238"/>
      <c r="I320" s="238"/>
      <c r="J320" s="238"/>
      <c r="K320" s="237"/>
      <c r="L320" s="238"/>
      <c r="M320" s="238"/>
      <c r="N320" s="238"/>
      <c r="O320" s="238"/>
      <c r="P320" s="238"/>
      <c r="Q320" s="238"/>
      <c r="R320" s="238"/>
      <c r="S320" s="238"/>
      <c r="T320" s="238"/>
      <c r="U320" s="238"/>
      <c r="V320" s="240"/>
      <c r="W320" s="240"/>
      <c r="X320" s="238"/>
      <c r="Y320" s="238"/>
      <c r="Z320" s="238"/>
    </row>
    <row r="321" spans="1:26" ht="12.5">
      <c r="A321" s="238"/>
      <c r="B321" s="238"/>
      <c r="C321" s="238"/>
      <c r="D321" s="238"/>
      <c r="E321" s="238"/>
      <c r="F321" s="238"/>
      <c r="G321" s="238"/>
      <c r="H321" s="238"/>
      <c r="I321" s="238"/>
      <c r="J321" s="238"/>
      <c r="K321" s="237"/>
      <c r="L321" s="238"/>
      <c r="M321" s="238"/>
      <c r="N321" s="238"/>
      <c r="O321" s="238"/>
      <c r="P321" s="238"/>
      <c r="Q321" s="238"/>
      <c r="R321" s="238"/>
      <c r="S321" s="238"/>
      <c r="T321" s="238"/>
      <c r="U321" s="238"/>
      <c r="V321" s="240"/>
      <c r="W321" s="240"/>
      <c r="X321" s="238"/>
      <c r="Y321" s="238"/>
      <c r="Z321" s="238"/>
    </row>
    <row r="322" spans="1:26" ht="12.5">
      <c r="A322" s="238"/>
      <c r="B322" s="238"/>
      <c r="C322" s="238"/>
      <c r="D322" s="238"/>
      <c r="E322" s="238"/>
      <c r="F322" s="238"/>
      <c r="G322" s="238"/>
      <c r="H322" s="238"/>
      <c r="I322" s="238"/>
      <c r="J322" s="238"/>
      <c r="K322" s="237"/>
      <c r="L322" s="238"/>
      <c r="M322" s="238"/>
      <c r="N322" s="238"/>
      <c r="O322" s="238"/>
      <c r="P322" s="238"/>
      <c r="Q322" s="238"/>
      <c r="R322" s="238"/>
      <c r="S322" s="238"/>
      <c r="T322" s="238"/>
      <c r="U322" s="238"/>
      <c r="V322" s="240"/>
      <c r="W322" s="240"/>
      <c r="X322" s="238"/>
      <c r="Y322" s="238"/>
      <c r="Z322" s="238"/>
    </row>
    <row r="323" spans="1:26" ht="12.5">
      <c r="A323" s="238"/>
      <c r="B323" s="238"/>
      <c r="C323" s="238"/>
      <c r="D323" s="238"/>
      <c r="E323" s="238"/>
      <c r="F323" s="238"/>
      <c r="G323" s="238"/>
      <c r="H323" s="238"/>
      <c r="I323" s="238"/>
      <c r="J323" s="238"/>
      <c r="K323" s="237"/>
      <c r="L323" s="238"/>
      <c r="M323" s="238"/>
      <c r="N323" s="238"/>
      <c r="O323" s="238"/>
      <c r="P323" s="238"/>
      <c r="Q323" s="238"/>
      <c r="R323" s="238"/>
      <c r="S323" s="238"/>
      <c r="T323" s="238"/>
      <c r="U323" s="238"/>
      <c r="V323" s="240"/>
      <c r="W323" s="240"/>
      <c r="X323" s="238"/>
      <c r="Y323" s="238"/>
      <c r="Z323" s="238"/>
    </row>
    <row r="324" spans="1:26" ht="12.5">
      <c r="A324" s="238"/>
      <c r="B324" s="238"/>
      <c r="C324" s="238"/>
      <c r="D324" s="238"/>
      <c r="E324" s="238"/>
      <c r="F324" s="238"/>
      <c r="G324" s="238"/>
      <c r="H324" s="238"/>
      <c r="I324" s="238"/>
      <c r="J324" s="238"/>
      <c r="K324" s="237"/>
      <c r="L324" s="238"/>
      <c r="M324" s="238"/>
      <c r="N324" s="238"/>
      <c r="O324" s="238"/>
      <c r="P324" s="238"/>
      <c r="Q324" s="238"/>
      <c r="R324" s="238"/>
      <c r="S324" s="238"/>
      <c r="T324" s="238"/>
      <c r="U324" s="238"/>
      <c r="V324" s="240"/>
      <c r="W324" s="240"/>
      <c r="X324" s="238"/>
      <c r="Y324" s="238"/>
      <c r="Z324" s="238"/>
    </row>
    <row r="325" spans="1:26" ht="12.5">
      <c r="A325" s="238"/>
      <c r="B325" s="238"/>
      <c r="C325" s="238"/>
      <c r="D325" s="238"/>
      <c r="E325" s="238"/>
      <c r="F325" s="238"/>
      <c r="G325" s="238"/>
      <c r="H325" s="238"/>
      <c r="I325" s="238"/>
      <c r="J325" s="238"/>
      <c r="K325" s="237"/>
      <c r="L325" s="238"/>
      <c r="M325" s="238"/>
      <c r="N325" s="238"/>
      <c r="O325" s="238"/>
      <c r="P325" s="238"/>
      <c r="Q325" s="238"/>
      <c r="R325" s="238"/>
      <c r="S325" s="238"/>
      <c r="T325" s="238"/>
      <c r="U325" s="238"/>
      <c r="V325" s="240"/>
      <c r="W325" s="240"/>
      <c r="X325" s="238"/>
      <c r="Y325" s="238"/>
      <c r="Z325" s="238"/>
    </row>
    <row r="326" spans="1:26" ht="12.5">
      <c r="A326" s="238"/>
      <c r="B326" s="238"/>
      <c r="C326" s="238"/>
      <c r="D326" s="238"/>
      <c r="E326" s="238"/>
      <c r="F326" s="238"/>
      <c r="G326" s="238"/>
      <c r="H326" s="238"/>
      <c r="I326" s="238"/>
      <c r="J326" s="238"/>
      <c r="K326" s="237"/>
      <c r="L326" s="238"/>
      <c r="M326" s="238"/>
      <c r="N326" s="238"/>
      <c r="O326" s="238"/>
      <c r="P326" s="238"/>
      <c r="Q326" s="238"/>
      <c r="R326" s="238"/>
      <c r="S326" s="238"/>
      <c r="T326" s="238"/>
      <c r="U326" s="238"/>
      <c r="V326" s="240"/>
      <c r="W326" s="240"/>
      <c r="X326" s="238"/>
      <c r="Y326" s="238"/>
      <c r="Z326" s="238"/>
    </row>
    <row r="327" spans="1:26" ht="12.5">
      <c r="A327" s="238"/>
      <c r="B327" s="238"/>
      <c r="C327" s="238"/>
      <c r="D327" s="238"/>
      <c r="E327" s="238"/>
      <c r="F327" s="238"/>
      <c r="G327" s="238"/>
      <c r="H327" s="238"/>
      <c r="I327" s="238"/>
      <c r="J327" s="238"/>
      <c r="K327" s="237"/>
      <c r="L327" s="238"/>
      <c r="M327" s="238"/>
      <c r="N327" s="238"/>
      <c r="O327" s="238"/>
      <c r="P327" s="238"/>
      <c r="Q327" s="238"/>
      <c r="R327" s="238"/>
      <c r="S327" s="238"/>
      <c r="T327" s="238"/>
      <c r="U327" s="238"/>
      <c r="V327" s="240"/>
      <c r="W327" s="240"/>
      <c r="X327" s="238"/>
      <c r="Y327" s="238"/>
      <c r="Z327" s="238"/>
    </row>
    <row r="328" spans="1:26" ht="12.5">
      <c r="A328" s="238"/>
      <c r="B328" s="238"/>
      <c r="C328" s="238"/>
      <c r="D328" s="238"/>
      <c r="E328" s="238"/>
      <c r="F328" s="238"/>
      <c r="G328" s="238"/>
      <c r="H328" s="238"/>
      <c r="I328" s="238"/>
      <c r="J328" s="238"/>
      <c r="K328" s="237"/>
      <c r="L328" s="238"/>
      <c r="M328" s="238"/>
      <c r="N328" s="238"/>
      <c r="O328" s="238"/>
      <c r="P328" s="238"/>
      <c r="Q328" s="238"/>
      <c r="R328" s="238"/>
      <c r="S328" s="238"/>
      <c r="T328" s="238"/>
      <c r="U328" s="238"/>
      <c r="V328" s="240"/>
      <c r="W328" s="240"/>
      <c r="X328" s="238"/>
      <c r="Y328" s="238"/>
      <c r="Z328" s="238"/>
    </row>
    <row r="329" spans="1:26" ht="12.5">
      <c r="A329" s="238"/>
      <c r="B329" s="238"/>
      <c r="C329" s="238"/>
      <c r="D329" s="238"/>
      <c r="E329" s="238"/>
      <c r="F329" s="238"/>
      <c r="G329" s="238"/>
      <c r="H329" s="238"/>
      <c r="I329" s="238"/>
      <c r="J329" s="238"/>
      <c r="K329" s="237"/>
      <c r="L329" s="238"/>
      <c r="M329" s="238"/>
      <c r="N329" s="238"/>
      <c r="O329" s="238"/>
      <c r="P329" s="238"/>
      <c r="Q329" s="238"/>
      <c r="R329" s="238"/>
      <c r="S329" s="238"/>
      <c r="T329" s="238"/>
      <c r="U329" s="238"/>
      <c r="V329" s="240"/>
      <c r="W329" s="240"/>
      <c r="X329" s="238"/>
      <c r="Y329" s="238"/>
      <c r="Z329" s="238"/>
    </row>
    <row r="330" spans="1:26" ht="12.5">
      <c r="A330" s="238"/>
      <c r="B330" s="238"/>
      <c r="C330" s="238"/>
      <c r="D330" s="238"/>
      <c r="E330" s="238"/>
      <c r="F330" s="238"/>
      <c r="G330" s="238"/>
      <c r="H330" s="238"/>
      <c r="I330" s="238"/>
      <c r="J330" s="238"/>
      <c r="K330" s="237"/>
      <c r="L330" s="238"/>
      <c r="M330" s="238"/>
      <c r="N330" s="238"/>
      <c r="O330" s="238"/>
      <c r="P330" s="238"/>
      <c r="Q330" s="238"/>
      <c r="R330" s="238"/>
      <c r="S330" s="238"/>
      <c r="T330" s="238"/>
      <c r="U330" s="238"/>
      <c r="V330" s="240"/>
      <c r="W330" s="240"/>
      <c r="X330" s="238"/>
      <c r="Y330" s="238"/>
      <c r="Z330" s="238"/>
    </row>
    <row r="331" spans="1:26" ht="12.5">
      <c r="A331" s="238"/>
      <c r="B331" s="238"/>
      <c r="C331" s="238"/>
      <c r="D331" s="238"/>
      <c r="E331" s="238"/>
      <c r="F331" s="238"/>
      <c r="G331" s="238"/>
      <c r="H331" s="238"/>
      <c r="I331" s="238"/>
      <c r="J331" s="238"/>
      <c r="K331" s="237"/>
      <c r="L331" s="238"/>
      <c r="M331" s="238"/>
      <c r="N331" s="238"/>
      <c r="O331" s="238"/>
      <c r="P331" s="238"/>
      <c r="Q331" s="238"/>
      <c r="R331" s="238"/>
      <c r="S331" s="238"/>
      <c r="T331" s="238"/>
      <c r="U331" s="238"/>
      <c r="V331" s="240"/>
      <c r="W331" s="240"/>
      <c r="X331" s="238"/>
      <c r="Y331" s="238"/>
      <c r="Z331" s="238"/>
    </row>
    <row r="332" spans="1:26" ht="12.5">
      <c r="A332" s="238"/>
      <c r="B332" s="238"/>
      <c r="C332" s="238"/>
      <c r="D332" s="238"/>
      <c r="E332" s="238"/>
      <c r="F332" s="238"/>
      <c r="G332" s="238"/>
      <c r="H332" s="238"/>
      <c r="I332" s="238"/>
      <c r="J332" s="238"/>
      <c r="K332" s="237"/>
      <c r="L332" s="238"/>
      <c r="M332" s="238"/>
      <c r="N332" s="238"/>
      <c r="O332" s="238"/>
      <c r="P332" s="238"/>
      <c r="Q332" s="238"/>
      <c r="R332" s="238"/>
      <c r="S332" s="238"/>
      <c r="T332" s="238"/>
      <c r="U332" s="238"/>
      <c r="V332" s="240"/>
      <c r="W332" s="240"/>
      <c r="X332" s="238"/>
      <c r="Y332" s="238"/>
      <c r="Z332" s="238"/>
    </row>
    <row r="333" spans="1:26" ht="12.5">
      <c r="A333" s="238"/>
      <c r="B333" s="238"/>
      <c r="C333" s="238"/>
      <c r="D333" s="238"/>
      <c r="E333" s="238"/>
      <c r="F333" s="238"/>
      <c r="G333" s="238"/>
      <c r="H333" s="238"/>
      <c r="I333" s="238"/>
      <c r="J333" s="238"/>
      <c r="K333" s="237"/>
      <c r="L333" s="238"/>
      <c r="M333" s="238"/>
      <c r="N333" s="238"/>
      <c r="O333" s="238"/>
      <c r="P333" s="238"/>
      <c r="Q333" s="238"/>
      <c r="R333" s="238"/>
      <c r="S333" s="238"/>
      <c r="T333" s="238"/>
      <c r="U333" s="238"/>
      <c r="V333" s="240"/>
      <c r="W333" s="240"/>
      <c r="X333" s="238"/>
      <c r="Y333" s="238"/>
      <c r="Z333" s="238"/>
    </row>
    <row r="334" spans="1:26" ht="12.5">
      <c r="A334" s="238"/>
      <c r="B334" s="238"/>
      <c r="C334" s="238"/>
      <c r="D334" s="238"/>
      <c r="E334" s="238"/>
      <c r="F334" s="238"/>
      <c r="G334" s="238"/>
      <c r="H334" s="238"/>
      <c r="I334" s="238"/>
      <c r="J334" s="238"/>
      <c r="K334" s="237"/>
      <c r="L334" s="238"/>
      <c r="M334" s="238"/>
      <c r="N334" s="238"/>
      <c r="O334" s="238"/>
      <c r="P334" s="238"/>
      <c r="Q334" s="238"/>
      <c r="R334" s="238"/>
      <c r="S334" s="238"/>
      <c r="T334" s="238"/>
      <c r="U334" s="238"/>
      <c r="V334" s="240"/>
      <c r="W334" s="240"/>
      <c r="X334" s="238"/>
      <c r="Y334" s="238"/>
      <c r="Z334" s="238"/>
    </row>
    <row r="335" spans="1:26" ht="12.5">
      <c r="A335" s="238"/>
      <c r="B335" s="238"/>
      <c r="C335" s="238"/>
      <c r="D335" s="238"/>
      <c r="E335" s="238"/>
      <c r="F335" s="238"/>
      <c r="G335" s="238"/>
      <c r="H335" s="238"/>
      <c r="I335" s="238"/>
      <c r="J335" s="238"/>
      <c r="K335" s="237"/>
      <c r="L335" s="238"/>
      <c r="M335" s="238"/>
      <c r="N335" s="238"/>
      <c r="O335" s="238"/>
      <c r="P335" s="238"/>
      <c r="Q335" s="238"/>
      <c r="R335" s="238"/>
      <c r="S335" s="238"/>
      <c r="T335" s="238"/>
      <c r="U335" s="238"/>
      <c r="V335" s="240"/>
      <c r="W335" s="240"/>
      <c r="X335" s="238"/>
      <c r="Y335" s="238"/>
      <c r="Z335" s="238"/>
    </row>
    <row r="336" spans="1:26" ht="12.5">
      <c r="A336" s="238"/>
      <c r="B336" s="238"/>
      <c r="C336" s="238"/>
      <c r="D336" s="238"/>
      <c r="E336" s="238"/>
      <c r="F336" s="238"/>
      <c r="G336" s="238"/>
      <c r="H336" s="238"/>
      <c r="I336" s="238"/>
      <c r="J336" s="238"/>
      <c r="K336" s="237"/>
      <c r="L336" s="238"/>
      <c r="M336" s="238"/>
      <c r="N336" s="238"/>
      <c r="O336" s="238"/>
      <c r="P336" s="238"/>
      <c r="Q336" s="238"/>
      <c r="R336" s="238"/>
      <c r="S336" s="238"/>
      <c r="T336" s="238"/>
      <c r="U336" s="238"/>
      <c r="V336" s="240"/>
      <c r="W336" s="240"/>
      <c r="X336" s="238"/>
      <c r="Y336" s="238"/>
      <c r="Z336" s="238"/>
    </row>
    <row r="337" spans="1:26" ht="12.5">
      <c r="A337" s="238"/>
      <c r="B337" s="238"/>
      <c r="C337" s="238"/>
      <c r="D337" s="238"/>
      <c r="E337" s="238"/>
      <c r="F337" s="238"/>
      <c r="G337" s="238"/>
      <c r="H337" s="238"/>
      <c r="I337" s="238"/>
      <c r="J337" s="238"/>
      <c r="K337" s="237"/>
      <c r="L337" s="238"/>
      <c r="M337" s="238"/>
      <c r="N337" s="238"/>
      <c r="O337" s="238"/>
      <c r="P337" s="238"/>
      <c r="Q337" s="238"/>
      <c r="R337" s="238"/>
      <c r="S337" s="238"/>
      <c r="T337" s="238"/>
      <c r="U337" s="238"/>
      <c r="V337" s="240"/>
      <c r="W337" s="240"/>
      <c r="X337" s="238"/>
      <c r="Y337" s="238"/>
      <c r="Z337" s="238"/>
    </row>
    <row r="338" spans="1:26" ht="12.5">
      <c r="A338" s="238"/>
      <c r="B338" s="238"/>
      <c r="C338" s="238"/>
      <c r="D338" s="238"/>
      <c r="E338" s="238"/>
      <c r="F338" s="238"/>
      <c r="G338" s="238"/>
      <c r="H338" s="238"/>
      <c r="I338" s="238"/>
      <c r="J338" s="238"/>
      <c r="K338" s="237"/>
      <c r="L338" s="238"/>
      <c r="M338" s="238"/>
      <c r="N338" s="238"/>
      <c r="O338" s="238"/>
      <c r="P338" s="238"/>
      <c r="Q338" s="238"/>
      <c r="R338" s="238"/>
      <c r="S338" s="238"/>
      <c r="T338" s="238"/>
      <c r="U338" s="238"/>
      <c r="V338" s="240"/>
      <c r="W338" s="240"/>
      <c r="X338" s="238"/>
      <c r="Y338" s="238"/>
      <c r="Z338" s="238"/>
    </row>
    <row r="339" spans="1:26" ht="12.5">
      <c r="A339" s="238"/>
      <c r="B339" s="238"/>
      <c r="C339" s="238"/>
      <c r="D339" s="238"/>
      <c r="E339" s="238"/>
      <c r="F339" s="238"/>
      <c r="G339" s="238"/>
      <c r="H339" s="238"/>
      <c r="I339" s="238"/>
      <c r="J339" s="238"/>
      <c r="K339" s="237"/>
      <c r="L339" s="238"/>
      <c r="M339" s="238"/>
      <c r="N339" s="238"/>
      <c r="O339" s="238"/>
      <c r="P339" s="238"/>
      <c r="Q339" s="238"/>
      <c r="R339" s="238"/>
      <c r="S339" s="238"/>
      <c r="T339" s="238"/>
      <c r="U339" s="238"/>
      <c r="V339" s="240"/>
      <c r="W339" s="240"/>
      <c r="X339" s="238"/>
      <c r="Y339" s="238"/>
      <c r="Z339" s="238"/>
    </row>
    <row r="340" spans="1:26" ht="12.5">
      <c r="A340" s="238"/>
      <c r="B340" s="238"/>
      <c r="C340" s="238"/>
      <c r="D340" s="238"/>
      <c r="E340" s="238"/>
      <c r="F340" s="238"/>
      <c r="G340" s="238"/>
      <c r="H340" s="238"/>
      <c r="I340" s="238"/>
      <c r="J340" s="238"/>
      <c r="K340" s="237"/>
      <c r="L340" s="238"/>
      <c r="M340" s="238"/>
      <c r="N340" s="238"/>
      <c r="O340" s="238"/>
      <c r="P340" s="238"/>
      <c r="Q340" s="238"/>
      <c r="R340" s="238"/>
      <c r="S340" s="238"/>
      <c r="T340" s="238"/>
      <c r="U340" s="238"/>
      <c r="V340" s="240"/>
      <c r="W340" s="240"/>
      <c r="X340" s="238"/>
      <c r="Y340" s="238"/>
      <c r="Z340" s="238"/>
    </row>
    <row r="341" spans="1:26" ht="12.5">
      <c r="A341" s="238"/>
      <c r="B341" s="238"/>
      <c r="C341" s="238"/>
      <c r="D341" s="238"/>
      <c r="E341" s="238"/>
      <c r="F341" s="238"/>
      <c r="G341" s="238"/>
      <c r="H341" s="238"/>
      <c r="I341" s="238"/>
      <c r="J341" s="238"/>
      <c r="K341" s="237"/>
      <c r="L341" s="238"/>
      <c r="M341" s="238"/>
      <c r="N341" s="238"/>
      <c r="O341" s="238"/>
      <c r="P341" s="238"/>
      <c r="Q341" s="238"/>
      <c r="R341" s="238"/>
      <c r="S341" s="238"/>
      <c r="T341" s="238"/>
      <c r="U341" s="238"/>
      <c r="V341" s="240"/>
      <c r="W341" s="240"/>
      <c r="X341" s="238"/>
      <c r="Y341" s="238"/>
      <c r="Z341" s="238"/>
    </row>
    <row r="342" spans="1:26" ht="12.5">
      <c r="A342" s="238"/>
      <c r="B342" s="238"/>
      <c r="C342" s="238"/>
      <c r="D342" s="238"/>
      <c r="E342" s="238"/>
      <c r="F342" s="238"/>
      <c r="G342" s="238"/>
      <c r="H342" s="238"/>
      <c r="I342" s="238"/>
      <c r="J342" s="238"/>
      <c r="K342" s="237"/>
      <c r="L342" s="238"/>
      <c r="M342" s="238"/>
      <c r="N342" s="238"/>
      <c r="O342" s="238"/>
      <c r="P342" s="238"/>
      <c r="Q342" s="238"/>
      <c r="R342" s="238"/>
      <c r="S342" s="238"/>
      <c r="T342" s="238"/>
      <c r="U342" s="238"/>
      <c r="V342" s="240"/>
      <c r="W342" s="240"/>
      <c r="X342" s="238"/>
      <c r="Y342" s="238"/>
      <c r="Z342" s="238"/>
    </row>
    <row r="343" spans="1:26" ht="12.5">
      <c r="A343" s="238"/>
      <c r="B343" s="238"/>
      <c r="C343" s="238"/>
      <c r="D343" s="238"/>
      <c r="E343" s="238"/>
      <c r="F343" s="238"/>
      <c r="G343" s="238"/>
      <c r="H343" s="238"/>
      <c r="I343" s="238"/>
      <c r="J343" s="238"/>
      <c r="K343" s="237"/>
      <c r="L343" s="238"/>
      <c r="M343" s="238"/>
      <c r="N343" s="238"/>
      <c r="O343" s="238"/>
      <c r="P343" s="238"/>
      <c r="Q343" s="238"/>
      <c r="R343" s="238"/>
      <c r="S343" s="238"/>
      <c r="T343" s="238"/>
      <c r="U343" s="238"/>
      <c r="V343" s="240"/>
      <c r="W343" s="240"/>
      <c r="X343" s="238"/>
      <c r="Y343" s="238"/>
      <c r="Z343" s="238"/>
    </row>
    <row r="344" spans="1:26" ht="12.5">
      <c r="A344" s="238"/>
      <c r="B344" s="238"/>
      <c r="C344" s="238"/>
      <c r="D344" s="238"/>
      <c r="E344" s="238"/>
      <c r="F344" s="238"/>
      <c r="G344" s="238"/>
      <c r="H344" s="238"/>
      <c r="I344" s="238"/>
      <c r="J344" s="238"/>
      <c r="K344" s="237"/>
      <c r="L344" s="238"/>
      <c r="M344" s="238"/>
      <c r="N344" s="238"/>
      <c r="O344" s="238"/>
      <c r="P344" s="238"/>
      <c r="Q344" s="238"/>
      <c r="R344" s="238"/>
      <c r="S344" s="238"/>
      <c r="T344" s="238"/>
      <c r="U344" s="238"/>
      <c r="V344" s="240"/>
      <c r="W344" s="240"/>
      <c r="X344" s="238"/>
      <c r="Y344" s="238"/>
      <c r="Z344" s="238"/>
    </row>
    <row r="345" spans="1:26" ht="12.5">
      <c r="A345" s="238"/>
      <c r="B345" s="238"/>
      <c r="C345" s="238"/>
      <c r="D345" s="238"/>
      <c r="E345" s="238"/>
      <c r="F345" s="238"/>
      <c r="G345" s="238"/>
      <c r="H345" s="238"/>
      <c r="I345" s="238"/>
      <c r="J345" s="238"/>
      <c r="K345" s="237"/>
      <c r="L345" s="238"/>
      <c r="M345" s="238"/>
      <c r="N345" s="238"/>
      <c r="O345" s="238"/>
      <c r="P345" s="238"/>
      <c r="Q345" s="238"/>
      <c r="R345" s="238"/>
      <c r="S345" s="238"/>
      <c r="T345" s="238"/>
      <c r="U345" s="238"/>
      <c r="V345" s="240"/>
      <c r="W345" s="240"/>
      <c r="X345" s="238"/>
      <c r="Y345" s="238"/>
      <c r="Z345" s="238"/>
    </row>
    <row r="346" spans="1:26" ht="12.5">
      <c r="A346" s="238"/>
      <c r="B346" s="238"/>
      <c r="C346" s="238"/>
      <c r="D346" s="238"/>
      <c r="E346" s="238"/>
      <c r="F346" s="238"/>
      <c r="G346" s="238"/>
      <c r="H346" s="238"/>
      <c r="I346" s="238"/>
      <c r="J346" s="238"/>
      <c r="K346" s="237"/>
      <c r="L346" s="238"/>
      <c r="M346" s="238"/>
      <c r="N346" s="238"/>
      <c r="O346" s="238"/>
      <c r="P346" s="238"/>
      <c r="Q346" s="238"/>
      <c r="R346" s="238"/>
      <c r="S346" s="238"/>
      <c r="T346" s="238"/>
      <c r="U346" s="238"/>
      <c r="V346" s="240"/>
      <c r="W346" s="240"/>
      <c r="X346" s="238"/>
      <c r="Y346" s="238"/>
      <c r="Z346" s="238"/>
    </row>
    <row r="347" spans="1:26" ht="12.5">
      <c r="A347" s="238"/>
      <c r="B347" s="238"/>
      <c r="C347" s="238"/>
      <c r="D347" s="238"/>
      <c r="E347" s="238"/>
      <c r="F347" s="238"/>
      <c r="G347" s="238"/>
      <c r="H347" s="238"/>
      <c r="I347" s="238"/>
      <c r="J347" s="238"/>
      <c r="K347" s="237"/>
      <c r="L347" s="238"/>
      <c r="M347" s="238"/>
      <c r="N347" s="238"/>
      <c r="O347" s="238"/>
      <c r="P347" s="238"/>
      <c r="Q347" s="238"/>
      <c r="R347" s="238"/>
      <c r="S347" s="238"/>
      <c r="T347" s="238"/>
      <c r="U347" s="238"/>
      <c r="V347" s="240"/>
      <c r="W347" s="240"/>
      <c r="X347" s="238"/>
      <c r="Y347" s="238"/>
      <c r="Z347" s="238"/>
    </row>
    <row r="348" spans="1:26" ht="12.5">
      <c r="A348" s="238"/>
      <c r="B348" s="238"/>
      <c r="C348" s="238"/>
      <c r="D348" s="238"/>
      <c r="E348" s="238"/>
      <c r="F348" s="238"/>
      <c r="G348" s="238"/>
      <c r="H348" s="238"/>
      <c r="I348" s="238"/>
      <c r="J348" s="238"/>
      <c r="K348" s="237"/>
      <c r="L348" s="238"/>
      <c r="M348" s="238"/>
      <c r="N348" s="238"/>
      <c r="O348" s="238"/>
      <c r="P348" s="238"/>
      <c r="Q348" s="238"/>
      <c r="R348" s="238"/>
      <c r="S348" s="238"/>
      <c r="T348" s="238"/>
      <c r="U348" s="238"/>
      <c r="V348" s="240"/>
      <c r="W348" s="240"/>
      <c r="X348" s="238"/>
      <c r="Y348" s="238"/>
      <c r="Z348" s="238"/>
    </row>
    <row r="349" spans="1:26" ht="12.5">
      <c r="A349" s="238"/>
      <c r="B349" s="238"/>
      <c r="C349" s="238"/>
      <c r="D349" s="238"/>
      <c r="E349" s="238"/>
      <c r="F349" s="238"/>
      <c r="G349" s="238"/>
      <c r="H349" s="238"/>
      <c r="I349" s="238"/>
      <c r="J349" s="238"/>
      <c r="K349" s="237"/>
      <c r="L349" s="238"/>
      <c r="M349" s="238"/>
      <c r="N349" s="238"/>
      <c r="O349" s="238"/>
      <c r="P349" s="238"/>
      <c r="Q349" s="238"/>
      <c r="R349" s="238"/>
      <c r="S349" s="238"/>
      <c r="T349" s="238"/>
      <c r="U349" s="238"/>
      <c r="V349" s="240"/>
      <c r="W349" s="240"/>
      <c r="X349" s="238"/>
      <c r="Y349" s="238"/>
      <c r="Z349" s="238"/>
    </row>
    <row r="350" spans="1:26" ht="12.5">
      <c r="A350" s="238"/>
      <c r="B350" s="238"/>
      <c r="C350" s="238"/>
      <c r="D350" s="238"/>
      <c r="E350" s="238"/>
      <c r="F350" s="238"/>
      <c r="G350" s="238"/>
      <c r="H350" s="238"/>
      <c r="I350" s="238"/>
      <c r="J350" s="238"/>
      <c r="K350" s="237"/>
      <c r="L350" s="238"/>
      <c r="M350" s="238"/>
      <c r="N350" s="238"/>
      <c r="O350" s="238"/>
      <c r="P350" s="238"/>
      <c r="Q350" s="238"/>
      <c r="R350" s="238"/>
      <c r="S350" s="238"/>
      <c r="T350" s="238"/>
      <c r="U350" s="238"/>
      <c r="V350" s="240"/>
      <c r="W350" s="240"/>
      <c r="X350" s="238"/>
      <c r="Y350" s="238"/>
      <c r="Z350" s="238"/>
    </row>
    <row r="351" spans="1:26" ht="12.5">
      <c r="A351" s="238"/>
      <c r="B351" s="238"/>
      <c r="C351" s="238"/>
      <c r="D351" s="238"/>
      <c r="E351" s="238"/>
      <c r="F351" s="238"/>
      <c r="G351" s="238"/>
      <c r="H351" s="238"/>
      <c r="I351" s="238"/>
      <c r="J351" s="238"/>
      <c r="K351" s="237"/>
      <c r="L351" s="238"/>
      <c r="M351" s="238"/>
      <c r="N351" s="238"/>
      <c r="O351" s="238"/>
      <c r="P351" s="238"/>
      <c r="Q351" s="238"/>
      <c r="R351" s="238"/>
      <c r="S351" s="238"/>
      <c r="T351" s="238"/>
      <c r="U351" s="238"/>
      <c r="V351" s="240"/>
      <c r="W351" s="240"/>
      <c r="X351" s="238"/>
      <c r="Y351" s="238"/>
      <c r="Z351" s="238"/>
    </row>
    <row r="352" spans="1:26" ht="12.5">
      <c r="A352" s="238"/>
      <c r="B352" s="238"/>
      <c r="C352" s="238"/>
      <c r="D352" s="238"/>
      <c r="E352" s="238"/>
      <c r="F352" s="238"/>
      <c r="G352" s="238"/>
      <c r="H352" s="238"/>
      <c r="I352" s="238"/>
      <c r="J352" s="238"/>
      <c r="K352" s="237"/>
      <c r="L352" s="238"/>
      <c r="M352" s="238"/>
      <c r="N352" s="238"/>
      <c r="O352" s="238"/>
      <c r="P352" s="238"/>
      <c r="Q352" s="238"/>
      <c r="R352" s="238"/>
      <c r="S352" s="238"/>
      <c r="T352" s="238"/>
      <c r="U352" s="238"/>
      <c r="V352" s="240"/>
      <c r="W352" s="240"/>
      <c r="X352" s="238"/>
      <c r="Y352" s="238"/>
      <c r="Z352" s="238"/>
    </row>
    <row r="353" spans="1:26" ht="12.5">
      <c r="A353" s="238"/>
      <c r="B353" s="238"/>
      <c r="C353" s="238"/>
      <c r="D353" s="238"/>
      <c r="E353" s="238"/>
      <c r="F353" s="238"/>
      <c r="G353" s="238"/>
      <c r="H353" s="238"/>
      <c r="I353" s="238"/>
      <c r="J353" s="238"/>
      <c r="K353" s="237"/>
      <c r="L353" s="238"/>
      <c r="M353" s="238"/>
      <c r="N353" s="238"/>
      <c r="O353" s="238"/>
      <c r="P353" s="238"/>
      <c r="Q353" s="238"/>
      <c r="R353" s="238"/>
      <c r="S353" s="238"/>
      <c r="T353" s="238"/>
      <c r="U353" s="238"/>
      <c r="V353" s="240"/>
      <c r="W353" s="240"/>
      <c r="X353" s="238"/>
      <c r="Y353" s="238"/>
      <c r="Z353" s="238"/>
    </row>
    <row r="354" spans="1:26" ht="12.5">
      <c r="A354" s="238"/>
      <c r="B354" s="238"/>
      <c r="C354" s="238"/>
      <c r="D354" s="238"/>
      <c r="E354" s="238"/>
      <c r="F354" s="238"/>
      <c r="G354" s="238"/>
      <c r="H354" s="238"/>
      <c r="I354" s="238"/>
      <c r="J354" s="238"/>
      <c r="K354" s="237"/>
      <c r="L354" s="238"/>
      <c r="M354" s="238"/>
      <c r="N354" s="238"/>
      <c r="O354" s="238"/>
      <c r="P354" s="238"/>
      <c r="Q354" s="238"/>
      <c r="R354" s="238"/>
      <c r="S354" s="238"/>
      <c r="T354" s="238"/>
      <c r="U354" s="238"/>
      <c r="V354" s="240"/>
      <c r="W354" s="240"/>
      <c r="X354" s="238"/>
      <c r="Y354" s="238"/>
      <c r="Z354" s="238"/>
    </row>
    <row r="355" spans="1:26" ht="12.5">
      <c r="A355" s="238"/>
      <c r="B355" s="238"/>
      <c r="C355" s="238"/>
      <c r="D355" s="238"/>
      <c r="E355" s="238"/>
      <c r="F355" s="238"/>
      <c r="G355" s="238"/>
      <c r="H355" s="238"/>
      <c r="I355" s="238"/>
      <c r="J355" s="238"/>
      <c r="K355" s="237"/>
      <c r="L355" s="238"/>
      <c r="M355" s="238"/>
      <c r="N355" s="238"/>
      <c r="O355" s="238"/>
      <c r="P355" s="238"/>
      <c r="Q355" s="238"/>
      <c r="R355" s="238"/>
      <c r="S355" s="238"/>
      <c r="T355" s="238"/>
      <c r="U355" s="238"/>
      <c r="V355" s="240"/>
      <c r="W355" s="240"/>
      <c r="X355" s="238"/>
      <c r="Y355" s="238"/>
      <c r="Z355" s="238"/>
    </row>
    <row r="356" spans="1:26" ht="12.5">
      <c r="A356" s="238"/>
      <c r="B356" s="238"/>
      <c r="C356" s="238"/>
      <c r="D356" s="238"/>
      <c r="E356" s="238"/>
      <c r="F356" s="238"/>
      <c r="G356" s="238"/>
      <c r="H356" s="238"/>
      <c r="I356" s="238"/>
      <c r="J356" s="238"/>
      <c r="K356" s="237"/>
      <c r="L356" s="238"/>
      <c r="M356" s="238"/>
      <c r="N356" s="238"/>
      <c r="O356" s="238"/>
      <c r="P356" s="238"/>
      <c r="Q356" s="238"/>
      <c r="R356" s="238"/>
      <c r="S356" s="238"/>
      <c r="T356" s="238"/>
      <c r="U356" s="238"/>
      <c r="V356" s="240"/>
      <c r="W356" s="240"/>
      <c r="X356" s="238"/>
      <c r="Y356" s="238"/>
      <c r="Z356" s="238"/>
    </row>
    <row r="357" spans="1:26" ht="12.5">
      <c r="A357" s="238"/>
      <c r="B357" s="238"/>
      <c r="C357" s="238"/>
      <c r="D357" s="238"/>
      <c r="E357" s="238"/>
      <c r="F357" s="238"/>
      <c r="G357" s="238"/>
      <c r="H357" s="238"/>
      <c r="I357" s="238"/>
      <c r="J357" s="238"/>
      <c r="K357" s="237"/>
      <c r="L357" s="238"/>
      <c r="M357" s="238"/>
      <c r="N357" s="238"/>
      <c r="O357" s="238"/>
      <c r="P357" s="238"/>
      <c r="Q357" s="238"/>
      <c r="R357" s="238"/>
      <c r="S357" s="238"/>
      <c r="T357" s="238"/>
      <c r="U357" s="238"/>
      <c r="V357" s="240"/>
      <c r="W357" s="240"/>
      <c r="X357" s="238"/>
      <c r="Y357" s="238"/>
      <c r="Z357" s="238"/>
    </row>
    <row r="358" spans="1:26" ht="12.5">
      <c r="A358" s="238"/>
      <c r="B358" s="238"/>
      <c r="C358" s="238"/>
      <c r="D358" s="238"/>
      <c r="E358" s="238"/>
      <c r="F358" s="238"/>
      <c r="G358" s="238"/>
      <c r="H358" s="238"/>
      <c r="I358" s="238"/>
      <c r="J358" s="238"/>
      <c r="K358" s="237"/>
      <c r="L358" s="238"/>
      <c r="M358" s="238"/>
      <c r="N358" s="238"/>
      <c r="O358" s="238"/>
      <c r="P358" s="238"/>
      <c r="Q358" s="238"/>
      <c r="R358" s="238"/>
      <c r="S358" s="238"/>
      <c r="T358" s="238"/>
      <c r="U358" s="238"/>
      <c r="V358" s="240"/>
      <c r="W358" s="240"/>
      <c r="X358" s="238"/>
      <c r="Y358" s="238"/>
      <c r="Z358" s="238"/>
    </row>
    <row r="359" spans="1:26" ht="12.5">
      <c r="A359" s="238"/>
      <c r="B359" s="238"/>
      <c r="C359" s="238"/>
      <c r="D359" s="238"/>
      <c r="E359" s="238"/>
      <c r="F359" s="238"/>
      <c r="G359" s="238"/>
      <c r="H359" s="238"/>
      <c r="I359" s="238"/>
      <c r="J359" s="238"/>
      <c r="K359" s="237"/>
      <c r="L359" s="238"/>
      <c r="M359" s="238"/>
      <c r="N359" s="238"/>
      <c r="O359" s="238"/>
      <c r="P359" s="238"/>
      <c r="Q359" s="238"/>
      <c r="R359" s="238"/>
      <c r="S359" s="238"/>
      <c r="T359" s="238"/>
      <c r="U359" s="238"/>
      <c r="V359" s="240"/>
      <c r="W359" s="240"/>
      <c r="X359" s="238"/>
      <c r="Y359" s="238"/>
      <c r="Z359" s="238"/>
    </row>
    <row r="360" spans="1:26" ht="12.5">
      <c r="A360" s="238"/>
      <c r="B360" s="238"/>
      <c r="C360" s="238"/>
      <c r="D360" s="238"/>
      <c r="E360" s="238"/>
      <c r="F360" s="238"/>
      <c r="G360" s="238"/>
      <c r="H360" s="238"/>
      <c r="I360" s="238"/>
      <c r="J360" s="238"/>
      <c r="K360" s="237"/>
      <c r="L360" s="238"/>
      <c r="M360" s="238"/>
      <c r="N360" s="238"/>
      <c r="O360" s="238"/>
      <c r="P360" s="238"/>
      <c r="Q360" s="238"/>
      <c r="R360" s="238"/>
      <c r="S360" s="238"/>
      <c r="T360" s="238"/>
      <c r="U360" s="238"/>
      <c r="V360" s="240"/>
      <c r="W360" s="240"/>
      <c r="X360" s="238"/>
      <c r="Y360" s="238"/>
      <c r="Z360" s="238"/>
    </row>
    <row r="361" spans="1:26" ht="12.5">
      <c r="A361" s="238"/>
      <c r="B361" s="238"/>
      <c r="C361" s="238"/>
      <c r="D361" s="238"/>
      <c r="E361" s="238"/>
      <c r="F361" s="238"/>
      <c r="G361" s="238"/>
      <c r="H361" s="238"/>
      <c r="I361" s="238"/>
      <c r="J361" s="238"/>
      <c r="K361" s="237"/>
      <c r="L361" s="238"/>
      <c r="M361" s="238"/>
      <c r="N361" s="238"/>
      <c r="O361" s="238"/>
      <c r="P361" s="238"/>
      <c r="Q361" s="238"/>
      <c r="R361" s="238"/>
      <c r="S361" s="238"/>
      <c r="T361" s="238"/>
      <c r="U361" s="238"/>
      <c r="V361" s="240"/>
      <c r="W361" s="240"/>
      <c r="X361" s="238"/>
      <c r="Y361" s="238"/>
      <c r="Z361" s="238"/>
    </row>
    <row r="362" spans="1:26" ht="12.5">
      <c r="A362" s="238"/>
      <c r="B362" s="238"/>
      <c r="C362" s="238"/>
      <c r="D362" s="238"/>
      <c r="E362" s="238"/>
      <c r="F362" s="238"/>
      <c r="G362" s="238"/>
      <c r="H362" s="238"/>
      <c r="I362" s="238"/>
      <c r="J362" s="238"/>
      <c r="K362" s="237"/>
      <c r="L362" s="238"/>
      <c r="M362" s="238"/>
      <c r="N362" s="238"/>
      <c r="O362" s="238"/>
      <c r="P362" s="238"/>
      <c r="Q362" s="238"/>
      <c r="R362" s="238"/>
      <c r="S362" s="238"/>
      <c r="T362" s="238"/>
      <c r="U362" s="238"/>
      <c r="V362" s="240"/>
      <c r="W362" s="240"/>
      <c r="X362" s="238"/>
      <c r="Y362" s="238"/>
      <c r="Z362" s="238"/>
    </row>
    <row r="363" spans="1:26" ht="12.5">
      <c r="A363" s="238"/>
      <c r="B363" s="238"/>
      <c r="C363" s="238"/>
      <c r="D363" s="238"/>
      <c r="E363" s="238"/>
      <c r="F363" s="238"/>
      <c r="G363" s="238"/>
      <c r="H363" s="238"/>
      <c r="I363" s="238"/>
      <c r="J363" s="238"/>
      <c r="K363" s="237"/>
      <c r="L363" s="238"/>
      <c r="M363" s="238"/>
      <c r="N363" s="238"/>
      <c r="O363" s="238"/>
      <c r="P363" s="238"/>
      <c r="Q363" s="238"/>
      <c r="R363" s="238"/>
      <c r="S363" s="238"/>
      <c r="T363" s="238"/>
      <c r="U363" s="238"/>
      <c r="V363" s="240"/>
      <c r="W363" s="240"/>
      <c r="X363" s="238"/>
      <c r="Y363" s="238"/>
      <c r="Z363" s="238"/>
    </row>
    <row r="364" spans="1:26" ht="12.5">
      <c r="A364" s="238"/>
      <c r="B364" s="238"/>
      <c r="C364" s="238"/>
      <c r="D364" s="238"/>
      <c r="E364" s="238"/>
      <c r="F364" s="238"/>
      <c r="G364" s="238"/>
      <c r="H364" s="238"/>
      <c r="I364" s="238"/>
      <c r="J364" s="238"/>
      <c r="K364" s="237"/>
      <c r="L364" s="238"/>
      <c r="M364" s="238"/>
      <c r="N364" s="238"/>
      <c r="O364" s="238"/>
      <c r="P364" s="238"/>
      <c r="Q364" s="238"/>
      <c r="R364" s="238"/>
      <c r="S364" s="238"/>
      <c r="T364" s="238"/>
      <c r="U364" s="238"/>
      <c r="V364" s="240"/>
      <c r="W364" s="240"/>
      <c r="X364" s="238"/>
      <c r="Y364" s="238"/>
      <c r="Z364" s="238"/>
    </row>
    <row r="365" spans="1:26" ht="12.5">
      <c r="A365" s="238"/>
      <c r="B365" s="238"/>
      <c r="C365" s="238"/>
      <c r="D365" s="238"/>
      <c r="E365" s="238"/>
      <c r="F365" s="238"/>
      <c r="G365" s="238"/>
      <c r="H365" s="238"/>
      <c r="I365" s="238"/>
      <c r="J365" s="238"/>
      <c r="K365" s="237"/>
      <c r="L365" s="238"/>
      <c r="M365" s="238"/>
      <c r="N365" s="238"/>
      <c r="O365" s="238"/>
      <c r="P365" s="238"/>
      <c r="Q365" s="238"/>
      <c r="R365" s="238"/>
      <c r="S365" s="238"/>
      <c r="T365" s="238"/>
      <c r="U365" s="238"/>
      <c r="V365" s="240"/>
      <c r="W365" s="240"/>
      <c r="X365" s="238"/>
      <c r="Y365" s="238"/>
      <c r="Z365" s="238"/>
    </row>
    <row r="366" spans="1:26" ht="12.5">
      <c r="A366" s="238"/>
      <c r="B366" s="238"/>
      <c r="C366" s="238"/>
      <c r="D366" s="238"/>
      <c r="E366" s="238"/>
      <c r="F366" s="238"/>
      <c r="G366" s="238"/>
      <c r="H366" s="238"/>
      <c r="I366" s="238"/>
      <c r="J366" s="238"/>
      <c r="K366" s="237"/>
      <c r="L366" s="238"/>
      <c r="M366" s="238"/>
      <c r="N366" s="238"/>
      <c r="O366" s="238"/>
      <c r="P366" s="238"/>
      <c r="Q366" s="238"/>
      <c r="R366" s="238"/>
      <c r="S366" s="238"/>
      <c r="T366" s="238"/>
      <c r="U366" s="238"/>
      <c r="V366" s="240"/>
      <c r="W366" s="240"/>
      <c r="X366" s="238"/>
      <c r="Y366" s="238"/>
      <c r="Z366" s="238"/>
    </row>
    <row r="367" spans="1:26" ht="12.5">
      <c r="A367" s="238"/>
      <c r="B367" s="238"/>
      <c r="C367" s="238"/>
      <c r="D367" s="238"/>
      <c r="E367" s="238"/>
      <c r="F367" s="238"/>
      <c r="G367" s="238"/>
      <c r="H367" s="238"/>
      <c r="I367" s="238"/>
      <c r="J367" s="238"/>
      <c r="K367" s="237"/>
      <c r="L367" s="238"/>
      <c r="M367" s="238"/>
      <c r="N367" s="238"/>
      <c r="O367" s="238"/>
      <c r="P367" s="238"/>
      <c r="Q367" s="238"/>
      <c r="R367" s="238"/>
      <c r="S367" s="238"/>
      <c r="T367" s="238"/>
      <c r="U367" s="238"/>
      <c r="V367" s="240"/>
      <c r="W367" s="240"/>
      <c r="X367" s="238"/>
      <c r="Y367" s="238"/>
      <c r="Z367" s="238"/>
    </row>
    <row r="368" spans="1:26" ht="12.5">
      <c r="A368" s="238"/>
      <c r="B368" s="238"/>
      <c r="C368" s="238"/>
      <c r="D368" s="238"/>
      <c r="E368" s="238"/>
      <c r="F368" s="238"/>
      <c r="G368" s="238"/>
      <c r="H368" s="238"/>
      <c r="I368" s="238"/>
      <c r="J368" s="238"/>
      <c r="K368" s="237"/>
      <c r="L368" s="238"/>
      <c r="M368" s="238"/>
      <c r="N368" s="238"/>
      <c r="O368" s="238"/>
      <c r="P368" s="238"/>
      <c r="Q368" s="238"/>
      <c r="R368" s="238"/>
      <c r="S368" s="238"/>
      <c r="T368" s="238"/>
      <c r="U368" s="238"/>
      <c r="V368" s="240"/>
      <c r="W368" s="240"/>
      <c r="X368" s="238"/>
      <c r="Y368" s="238"/>
      <c r="Z368" s="238"/>
    </row>
    <row r="369" spans="1:26" ht="12.5">
      <c r="A369" s="238"/>
      <c r="B369" s="238"/>
      <c r="C369" s="238"/>
      <c r="D369" s="238"/>
      <c r="E369" s="238"/>
      <c r="F369" s="238"/>
      <c r="G369" s="238"/>
      <c r="H369" s="238"/>
      <c r="I369" s="238"/>
      <c r="J369" s="238"/>
      <c r="K369" s="237"/>
      <c r="L369" s="238"/>
      <c r="M369" s="238"/>
      <c r="N369" s="238"/>
      <c r="O369" s="238"/>
      <c r="P369" s="238"/>
      <c r="Q369" s="238"/>
      <c r="R369" s="238"/>
      <c r="S369" s="238"/>
      <c r="T369" s="238"/>
      <c r="U369" s="238"/>
      <c r="V369" s="240"/>
      <c r="W369" s="240"/>
      <c r="X369" s="238"/>
      <c r="Y369" s="238"/>
      <c r="Z369" s="238"/>
    </row>
    <row r="370" spans="1:26" ht="12.5">
      <c r="A370" s="238"/>
      <c r="B370" s="238"/>
      <c r="C370" s="238"/>
      <c r="D370" s="238"/>
      <c r="E370" s="238"/>
      <c r="F370" s="238"/>
      <c r="G370" s="238"/>
      <c r="H370" s="238"/>
      <c r="I370" s="238"/>
      <c r="J370" s="238"/>
      <c r="K370" s="237"/>
      <c r="L370" s="238"/>
      <c r="M370" s="238"/>
      <c r="N370" s="238"/>
      <c r="O370" s="238"/>
      <c r="P370" s="238"/>
      <c r="Q370" s="238"/>
      <c r="R370" s="238"/>
      <c r="S370" s="238"/>
      <c r="T370" s="238"/>
      <c r="U370" s="238"/>
      <c r="V370" s="240"/>
      <c r="W370" s="240"/>
      <c r="X370" s="238"/>
      <c r="Y370" s="238"/>
      <c r="Z370" s="238"/>
    </row>
    <row r="371" spans="1:26" ht="12.5">
      <c r="A371" s="238"/>
      <c r="B371" s="238"/>
      <c r="C371" s="238"/>
      <c r="D371" s="238"/>
      <c r="E371" s="238"/>
      <c r="F371" s="238"/>
      <c r="G371" s="238"/>
      <c r="H371" s="238"/>
      <c r="I371" s="238"/>
      <c r="J371" s="238"/>
      <c r="K371" s="237"/>
      <c r="L371" s="238"/>
      <c r="M371" s="238"/>
      <c r="N371" s="238"/>
      <c r="O371" s="238"/>
      <c r="P371" s="238"/>
      <c r="Q371" s="238"/>
      <c r="R371" s="238"/>
      <c r="S371" s="238"/>
      <c r="T371" s="238"/>
      <c r="U371" s="238"/>
      <c r="V371" s="240"/>
      <c r="W371" s="240"/>
      <c r="X371" s="238"/>
      <c r="Y371" s="238"/>
      <c r="Z371" s="238"/>
    </row>
    <row r="372" spans="1:26" ht="12.5">
      <c r="A372" s="238"/>
      <c r="B372" s="238"/>
      <c r="C372" s="238"/>
      <c r="D372" s="238"/>
      <c r="E372" s="238"/>
      <c r="F372" s="238"/>
      <c r="G372" s="238"/>
      <c r="H372" s="238"/>
      <c r="I372" s="238"/>
      <c r="J372" s="238"/>
      <c r="K372" s="237"/>
      <c r="L372" s="238"/>
      <c r="M372" s="238"/>
      <c r="N372" s="238"/>
      <c r="O372" s="238"/>
      <c r="P372" s="238"/>
      <c r="Q372" s="238"/>
      <c r="R372" s="238"/>
      <c r="S372" s="238"/>
      <c r="T372" s="238"/>
      <c r="U372" s="238"/>
      <c r="V372" s="240"/>
      <c r="W372" s="240"/>
      <c r="X372" s="238"/>
      <c r="Y372" s="238"/>
      <c r="Z372" s="238"/>
    </row>
    <row r="373" spans="1:26" ht="12.5">
      <c r="A373" s="238"/>
      <c r="B373" s="238"/>
      <c r="C373" s="238"/>
      <c r="D373" s="238"/>
      <c r="E373" s="238"/>
      <c r="F373" s="238"/>
      <c r="G373" s="238"/>
      <c r="H373" s="238"/>
      <c r="I373" s="238"/>
      <c r="J373" s="238"/>
      <c r="K373" s="237"/>
      <c r="L373" s="238"/>
      <c r="M373" s="238"/>
      <c r="N373" s="238"/>
      <c r="O373" s="238"/>
      <c r="P373" s="238"/>
      <c r="Q373" s="238"/>
      <c r="R373" s="238"/>
      <c r="S373" s="238"/>
      <c r="T373" s="238"/>
      <c r="U373" s="238"/>
      <c r="V373" s="240"/>
      <c r="W373" s="240"/>
      <c r="X373" s="238"/>
      <c r="Y373" s="238"/>
      <c r="Z373" s="238"/>
    </row>
    <row r="374" spans="1:26" ht="12.5">
      <c r="A374" s="238"/>
      <c r="B374" s="238"/>
      <c r="C374" s="238"/>
      <c r="D374" s="238"/>
      <c r="E374" s="238"/>
      <c r="F374" s="238"/>
      <c r="G374" s="238"/>
      <c r="H374" s="238"/>
      <c r="I374" s="238"/>
      <c r="J374" s="238"/>
      <c r="K374" s="237"/>
      <c r="L374" s="238"/>
      <c r="M374" s="238"/>
      <c r="N374" s="238"/>
      <c r="O374" s="238"/>
      <c r="P374" s="238"/>
      <c r="Q374" s="238"/>
      <c r="R374" s="238"/>
      <c r="S374" s="238"/>
      <c r="T374" s="238"/>
      <c r="U374" s="238"/>
      <c r="V374" s="240"/>
      <c r="W374" s="240"/>
      <c r="X374" s="238"/>
      <c r="Y374" s="238"/>
      <c r="Z374" s="238"/>
    </row>
    <row r="375" spans="1:26" ht="12.5">
      <c r="A375" s="238"/>
      <c r="B375" s="238"/>
      <c r="C375" s="238"/>
      <c r="D375" s="238"/>
      <c r="E375" s="238"/>
      <c r="F375" s="238"/>
      <c r="G375" s="238"/>
      <c r="H375" s="238"/>
      <c r="I375" s="238"/>
      <c r="J375" s="238"/>
      <c r="K375" s="237"/>
      <c r="L375" s="238"/>
      <c r="M375" s="238"/>
      <c r="N375" s="238"/>
      <c r="O375" s="238"/>
      <c r="P375" s="238"/>
      <c r="Q375" s="238"/>
      <c r="R375" s="238"/>
      <c r="S375" s="238"/>
      <c r="T375" s="238"/>
      <c r="U375" s="238"/>
      <c r="V375" s="240"/>
      <c r="W375" s="240"/>
      <c r="X375" s="238"/>
      <c r="Y375" s="238"/>
      <c r="Z375" s="238"/>
    </row>
    <row r="376" spans="1:26" ht="12.5">
      <c r="A376" s="238"/>
      <c r="B376" s="238"/>
      <c r="C376" s="238"/>
      <c r="D376" s="238"/>
      <c r="E376" s="238"/>
      <c r="F376" s="238"/>
      <c r="G376" s="238"/>
      <c r="H376" s="238"/>
      <c r="I376" s="238"/>
      <c r="J376" s="238"/>
      <c r="K376" s="237"/>
      <c r="L376" s="238"/>
      <c r="M376" s="238"/>
      <c r="N376" s="238"/>
      <c r="O376" s="238"/>
      <c r="P376" s="238"/>
      <c r="Q376" s="238"/>
      <c r="R376" s="238"/>
      <c r="S376" s="238"/>
      <c r="T376" s="238"/>
      <c r="U376" s="238"/>
      <c r="V376" s="240"/>
      <c r="W376" s="240"/>
      <c r="X376" s="238"/>
      <c r="Y376" s="238"/>
      <c r="Z376" s="238"/>
    </row>
    <row r="377" spans="1:26" ht="12.5">
      <c r="A377" s="238"/>
      <c r="B377" s="238"/>
      <c r="C377" s="238"/>
      <c r="D377" s="238"/>
      <c r="E377" s="238"/>
      <c r="F377" s="238"/>
      <c r="G377" s="238"/>
      <c r="H377" s="238"/>
      <c r="I377" s="238"/>
      <c r="J377" s="238"/>
      <c r="K377" s="237"/>
      <c r="L377" s="238"/>
      <c r="M377" s="238"/>
      <c r="N377" s="238"/>
      <c r="O377" s="238"/>
      <c r="P377" s="238"/>
      <c r="Q377" s="238"/>
      <c r="R377" s="238"/>
      <c r="S377" s="238"/>
      <c r="T377" s="238"/>
      <c r="U377" s="238"/>
      <c r="V377" s="240"/>
      <c r="W377" s="240"/>
      <c r="X377" s="238"/>
      <c r="Y377" s="238"/>
      <c r="Z377" s="238"/>
    </row>
    <row r="378" spans="1:26" ht="12.5">
      <c r="A378" s="238"/>
      <c r="B378" s="238"/>
      <c r="C378" s="238"/>
      <c r="D378" s="238"/>
      <c r="E378" s="238"/>
      <c r="F378" s="238"/>
      <c r="G378" s="238"/>
      <c r="H378" s="238"/>
      <c r="I378" s="238"/>
      <c r="J378" s="238"/>
      <c r="K378" s="237"/>
      <c r="L378" s="238"/>
      <c r="M378" s="238"/>
      <c r="N378" s="238"/>
      <c r="O378" s="238"/>
      <c r="P378" s="238"/>
      <c r="Q378" s="238"/>
      <c r="R378" s="238"/>
      <c r="S378" s="238"/>
      <c r="T378" s="238"/>
      <c r="U378" s="238"/>
      <c r="V378" s="240"/>
      <c r="W378" s="240"/>
      <c r="X378" s="238"/>
      <c r="Y378" s="238"/>
      <c r="Z378" s="238"/>
    </row>
    <row r="379" spans="1:26" ht="12.5">
      <c r="A379" s="238"/>
      <c r="B379" s="238"/>
      <c r="C379" s="238"/>
      <c r="D379" s="238"/>
      <c r="E379" s="238"/>
      <c r="F379" s="238"/>
      <c r="G379" s="238"/>
      <c r="H379" s="238"/>
      <c r="I379" s="238"/>
      <c r="J379" s="238"/>
      <c r="K379" s="237"/>
      <c r="L379" s="238"/>
      <c r="M379" s="238"/>
      <c r="N379" s="238"/>
      <c r="O379" s="238"/>
      <c r="P379" s="238"/>
      <c r="Q379" s="238"/>
      <c r="R379" s="238"/>
      <c r="S379" s="238"/>
      <c r="T379" s="238"/>
      <c r="U379" s="238"/>
      <c r="V379" s="240"/>
      <c r="W379" s="240"/>
      <c r="X379" s="238"/>
      <c r="Y379" s="238"/>
      <c r="Z379" s="238"/>
    </row>
    <row r="380" spans="1:26" ht="12.5">
      <c r="A380" s="238"/>
      <c r="B380" s="238"/>
      <c r="C380" s="238"/>
      <c r="D380" s="238"/>
      <c r="E380" s="238"/>
      <c r="F380" s="238"/>
      <c r="G380" s="238"/>
      <c r="H380" s="238"/>
      <c r="I380" s="238"/>
      <c r="J380" s="238"/>
      <c r="K380" s="237"/>
      <c r="L380" s="238"/>
      <c r="M380" s="238"/>
      <c r="N380" s="238"/>
      <c r="O380" s="238"/>
      <c r="P380" s="238"/>
      <c r="Q380" s="238"/>
      <c r="R380" s="238"/>
      <c r="S380" s="238"/>
      <c r="T380" s="238"/>
      <c r="U380" s="238"/>
      <c r="V380" s="240"/>
      <c r="W380" s="240"/>
      <c r="X380" s="238"/>
      <c r="Y380" s="238"/>
      <c r="Z380" s="238"/>
    </row>
    <row r="381" spans="1:26" ht="12.5">
      <c r="A381" s="238"/>
      <c r="B381" s="238"/>
      <c r="C381" s="238"/>
      <c r="D381" s="238"/>
      <c r="E381" s="238"/>
      <c r="F381" s="238"/>
      <c r="G381" s="238"/>
      <c r="H381" s="238"/>
      <c r="I381" s="238"/>
      <c r="J381" s="238"/>
      <c r="K381" s="237"/>
      <c r="L381" s="238"/>
      <c r="M381" s="238"/>
      <c r="N381" s="238"/>
      <c r="O381" s="238"/>
      <c r="P381" s="238"/>
      <c r="Q381" s="238"/>
      <c r="R381" s="238"/>
      <c r="S381" s="238"/>
      <c r="T381" s="238"/>
      <c r="U381" s="238"/>
      <c r="V381" s="240"/>
      <c r="W381" s="240"/>
      <c r="X381" s="238"/>
      <c r="Y381" s="238"/>
      <c r="Z381" s="238"/>
    </row>
    <row r="382" spans="1:26" ht="12.5">
      <c r="A382" s="238"/>
      <c r="B382" s="238"/>
      <c r="C382" s="238"/>
      <c r="D382" s="238"/>
      <c r="E382" s="238"/>
      <c r="F382" s="238"/>
      <c r="G382" s="238"/>
      <c r="H382" s="238"/>
      <c r="I382" s="238"/>
      <c r="J382" s="238"/>
      <c r="K382" s="237"/>
      <c r="L382" s="238"/>
      <c r="M382" s="238"/>
      <c r="N382" s="238"/>
      <c r="O382" s="238"/>
      <c r="P382" s="238"/>
      <c r="Q382" s="238"/>
      <c r="R382" s="238"/>
      <c r="S382" s="238"/>
      <c r="T382" s="238"/>
      <c r="U382" s="238"/>
      <c r="V382" s="240"/>
      <c r="W382" s="240"/>
      <c r="X382" s="238"/>
      <c r="Y382" s="238"/>
      <c r="Z382" s="238"/>
    </row>
    <row r="383" spans="1:26" ht="12.5">
      <c r="A383" s="238"/>
      <c r="B383" s="238"/>
      <c r="C383" s="238"/>
      <c r="D383" s="238"/>
      <c r="E383" s="238"/>
      <c r="F383" s="238"/>
      <c r="G383" s="238"/>
      <c r="H383" s="238"/>
      <c r="I383" s="238"/>
      <c r="J383" s="238"/>
      <c r="K383" s="237"/>
      <c r="L383" s="238"/>
      <c r="M383" s="238"/>
      <c r="N383" s="238"/>
      <c r="O383" s="238"/>
      <c r="P383" s="238"/>
      <c r="Q383" s="238"/>
      <c r="R383" s="238"/>
      <c r="S383" s="238"/>
      <c r="T383" s="238"/>
      <c r="U383" s="238"/>
      <c r="V383" s="240"/>
      <c r="W383" s="240"/>
      <c r="X383" s="238"/>
      <c r="Y383" s="238"/>
      <c r="Z383" s="238"/>
    </row>
    <row r="384" spans="1:26" ht="12.5">
      <c r="A384" s="238"/>
      <c r="B384" s="238"/>
      <c r="C384" s="238"/>
      <c r="D384" s="238"/>
      <c r="E384" s="238"/>
      <c r="F384" s="238"/>
      <c r="G384" s="238"/>
      <c r="H384" s="238"/>
      <c r="I384" s="238"/>
      <c r="J384" s="238"/>
      <c r="K384" s="237"/>
      <c r="L384" s="238"/>
      <c r="M384" s="238"/>
      <c r="N384" s="238"/>
      <c r="O384" s="238"/>
      <c r="P384" s="238"/>
      <c r="Q384" s="238"/>
      <c r="R384" s="238"/>
      <c r="S384" s="238"/>
      <c r="T384" s="238"/>
      <c r="U384" s="238"/>
      <c r="V384" s="240"/>
      <c r="W384" s="240"/>
      <c r="X384" s="238"/>
      <c r="Y384" s="238"/>
      <c r="Z384" s="238"/>
    </row>
    <row r="385" spans="1:26" ht="12.5">
      <c r="A385" s="238"/>
      <c r="B385" s="238"/>
      <c r="C385" s="238"/>
      <c r="D385" s="238"/>
      <c r="E385" s="238"/>
      <c r="F385" s="238"/>
      <c r="G385" s="238"/>
      <c r="H385" s="238"/>
      <c r="I385" s="238"/>
      <c r="J385" s="238"/>
      <c r="K385" s="237"/>
      <c r="L385" s="238"/>
      <c r="M385" s="238"/>
      <c r="N385" s="238"/>
      <c r="O385" s="238"/>
      <c r="P385" s="238"/>
      <c r="Q385" s="238"/>
      <c r="R385" s="238"/>
      <c r="S385" s="238"/>
      <c r="T385" s="238"/>
      <c r="U385" s="238"/>
      <c r="V385" s="240"/>
      <c r="W385" s="240"/>
      <c r="X385" s="238"/>
      <c r="Y385" s="238"/>
      <c r="Z385" s="238"/>
    </row>
    <row r="386" spans="1:26" ht="12.5">
      <c r="A386" s="238"/>
      <c r="B386" s="238"/>
      <c r="C386" s="238"/>
      <c r="D386" s="238"/>
      <c r="E386" s="238"/>
      <c r="F386" s="238"/>
      <c r="G386" s="238"/>
      <c r="H386" s="238"/>
      <c r="I386" s="238"/>
      <c r="J386" s="238"/>
      <c r="K386" s="237"/>
      <c r="L386" s="238"/>
      <c r="M386" s="238"/>
      <c r="N386" s="238"/>
      <c r="O386" s="238"/>
      <c r="P386" s="238"/>
      <c r="Q386" s="238"/>
      <c r="R386" s="238"/>
      <c r="S386" s="238"/>
      <c r="T386" s="238"/>
      <c r="U386" s="238"/>
      <c r="V386" s="240"/>
      <c r="W386" s="240"/>
      <c r="X386" s="238"/>
      <c r="Y386" s="238"/>
      <c r="Z386" s="238"/>
    </row>
    <row r="387" spans="1:26" ht="12.5">
      <c r="A387" s="238"/>
      <c r="B387" s="238"/>
      <c r="C387" s="238"/>
      <c r="D387" s="238"/>
      <c r="E387" s="238"/>
      <c r="F387" s="238"/>
      <c r="G387" s="238"/>
      <c r="H387" s="238"/>
      <c r="I387" s="238"/>
      <c r="J387" s="238"/>
      <c r="K387" s="237"/>
      <c r="L387" s="238"/>
      <c r="M387" s="238"/>
      <c r="N387" s="238"/>
      <c r="O387" s="238"/>
      <c r="P387" s="238"/>
      <c r="Q387" s="238"/>
      <c r="R387" s="238"/>
      <c r="S387" s="238"/>
      <c r="T387" s="238"/>
      <c r="U387" s="238"/>
      <c r="V387" s="240"/>
      <c r="W387" s="240"/>
      <c r="X387" s="238"/>
      <c r="Y387" s="238"/>
      <c r="Z387" s="238"/>
    </row>
    <row r="388" spans="1:26" ht="12.5">
      <c r="A388" s="238"/>
      <c r="B388" s="238"/>
      <c r="C388" s="238"/>
      <c r="D388" s="238"/>
      <c r="E388" s="238"/>
      <c r="F388" s="238"/>
      <c r="G388" s="238"/>
      <c r="H388" s="238"/>
      <c r="I388" s="238"/>
      <c r="J388" s="238"/>
      <c r="K388" s="237"/>
      <c r="L388" s="238"/>
      <c r="M388" s="238"/>
      <c r="N388" s="238"/>
      <c r="O388" s="238"/>
      <c r="P388" s="238"/>
      <c r="Q388" s="238"/>
      <c r="R388" s="238"/>
      <c r="S388" s="238"/>
      <c r="T388" s="238"/>
      <c r="U388" s="238"/>
      <c r="V388" s="240"/>
      <c r="W388" s="240"/>
      <c r="X388" s="238"/>
      <c r="Y388" s="238"/>
      <c r="Z388" s="238"/>
    </row>
    <row r="389" spans="1:26" ht="12.5">
      <c r="A389" s="238"/>
      <c r="B389" s="238"/>
      <c r="C389" s="238"/>
      <c r="D389" s="238"/>
      <c r="E389" s="238"/>
      <c r="F389" s="238"/>
      <c r="G389" s="238"/>
      <c r="H389" s="238"/>
      <c r="I389" s="238"/>
      <c r="J389" s="238"/>
      <c r="K389" s="237"/>
      <c r="L389" s="238"/>
      <c r="M389" s="238"/>
      <c r="N389" s="238"/>
      <c r="O389" s="238"/>
      <c r="P389" s="238"/>
      <c r="Q389" s="238"/>
      <c r="R389" s="238"/>
      <c r="S389" s="238"/>
      <c r="T389" s="238"/>
      <c r="U389" s="238"/>
      <c r="V389" s="240"/>
      <c r="W389" s="240"/>
      <c r="X389" s="238"/>
      <c r="Y389" s="238"/>
      <c r="Z389" s="238"/>
    </row>
    <row r="390" spans="1:26" ht="12.5">
      <c r="A390" s="238"/>
      <c r="B390" s="238"/>
      <c r="C390" s="238"/>
      <c r="D390" s="238"/>
      <c r="E390" s="238"/>
      <c r="F390" s="238"/>
      <c r="G390" s="238"/>
      <c r="H390" s="238"/>
      <c r="I390" s="238"/>
      <c r="J390" s="238"/>
      <c r="K390" s="237"/>
      <c r="L390" s="238"/>
      <c r="M390" s="238"/>
      <c r="N390" s="238"/>
      <c r="O390" s="238"/>
      <c r="P390" s="238"/>
      <c r="Q390" s="238"/>
      <c r="R390" s="238"/>
      <c r="S390" s="238"/>
      <c r="T390" s="238"/>
      <c r="U390" s="238"/>
      <c r="V390" s="240"/>
      <c r="W390" s="240"/>
      <c r="X390" s="238"/>
      <c r="Y390" s="238"/>
      <c r="Z390" s="238"/>
    </row>
    <row r="391" spans="1:26" ht="12.5">
      <c r="A391" s="238"/>
      <c r="B391" s="238"/>
      <c r="C391" s="238"/>
      <c r="D391" s="238"/>
      <c r="E391" s="238"/>
      <c r="F391" s="238"/>
      <c r="G391" s="238"/>
      <c r="H391" s="238"/>
      <c r="I391" s="238"/>
      <c r="J391" s="238"/>
      <c r="K391" s="237"/>
      <c r="L391" s="238"/>
      <c r="M391" s="238"/>
      <c r="N391" s="238"/>
      <c r="O391" s="238"/>
      <c r="P391" s="238"/>
      <c r="Q391" s="238"/>
      <c r="R391" s="238"/>
      <c r="S391" s="238"/>
      <c r="T391" s="238"/>
      <c r="U391" s="238"/>
      <c r="V391" s="240"/>
      <c r="W391" s="240"/>
      <c r="X391" s="238"/>
      <c r="Y391" s="238"/>
      <c r="Z391" s="238"/>
    </row>
    <row r="392" spans="1:26" ht="12.5">
      <c r="A392" s="238"/>
      <c r="B392" s="238"/>
      <c r="C392" s="238"/>
      <c r="D392" s="238"/>
      <c r="E392" s="238"/>
      <c r="F392" s="238"/>
      <c r="G392" s="238"/>
      <c r="H392" s="238"/>
      <c r="I392" s="238"/>
      <c r="J392" s="238"/>
      <c r="K392" s="237"/>
      <c r="L392" s="238"/>
      <c r="M392" s="238"/>
      <c r="N392" s="238"/>
      <c r="O392" s="238"/>
      <c r="P392" s="238"/>
      <c r="Q392" s="238"/>
      <c r="R392" s="238"/>
      <c r="S392" s="238"/>
      <c r="T392" s="238"/>
      <c r="U392" s="238"/>
      <c r="V392" s="240"/>
      <c r="W392" s="240"/>
      <c r="X392" s="238"/>
      <c r="Y392" s="238"/>
      <c r="Z392" s="238"/>
    </row>
    <row r="393" spans="1:26" ht="12.5">
      <c r="A393" s="238"/>
      <c r="B393" s="238"/>
      <c r="C393" s="238"/>
      <c r="D393" s="238"/>
      <c r="E393" s="238"/>
      <c r="F393" s="238"/>
      <c r="G393" s="238"/>
      <c r="H393" s="238"/>
      <c r="I393" s="238"/>
      <c r="J393" s="238"/>
      <c r="K393" s="237"/>
      <c r="L393" s="238"/>
      <c r="M393" s="238"/>
      <c r="N393" s="238"/>
      <c r="O393" s="238"/>
      <c r="P393" s="238"/>
      <c r="Q393" s="238"/>
      <c r="R393" s="238"/>
      <c r="S393" s="238"/>
      <c r="T393" s="238"/>
      <c r="U393" s="238"/>
      <c r="V393" s="240"/>
      <c r="W393" s="240"/>
      <c r="X393" s="238"/>
      <c r="Y393" s="238"/>
      <c r="Z393" s="238"/>
    </row>
    <row r="394" spans="1:26" ht="12.5">
      <c r="A394" s="238"/>
      <c r="B394" s="238"/>
      <c r="C394" s="238"/>
      <c r="D394" s="238"/>
      <c r="E394" s="238"/>
      <c r="F394" s="238"/>
      <c r="G394" s="238"/>
      <c r="H394" s="238"/>
      <c r="I394" s="238"/>
      <c r="J394" s="238"/>
      <c r="K394" s="237"/>
      <c r="L394" s="238"/>
      <c r="M394" s="238"/>
      <c r="N394" s="238"/>
      <c r="O394" s="238"/>
      <c r="P394" s="238"/>
      <c r="Q394" s="238"/>
      <c r="R394" s="238"/>
      <c r="S394" s="238"/>
      <c r="T394" s="238"/>
      <c r="U394" s="238"/>
      <c r="V394" s="240"/>
      <c r="W394" s="240"/>
      <c r="X394" s="238"/>
      <c r="Y394" s="238"/>
      <c r="Z394" s="238"/>
    </row>
    <row r="395" spans="1:26" ht="12.5">
      <c r="A395" s="238"/>
      <c r="B395" s="238"/>
      <c r="C395" s="238"/>
      <c r="D395" s="238"/>
      <c r="E395" s="238"/>
      <c r="F395" s="238"/>
      <c r="G395" s="238"/>
      <c r="H395" s="238"/>
      <c r="I395" s="238"/>
      <c r="J395" s="238"/>
      <c r="K395" s="237"/>
      <c r="L395" s="238"/>
      <c r="M395" s="238"/>
      <c r="N395" s="238"/>
      <c r="O395" s="238"/>
      <c r="P395" s="238"/>
      <c r="Q395" s="238"/>
      <c r="R395" s="238"/>
      <c r="S395" s="238"/>
      <c r="T395" s="238"/>
      <c r="U395" s="238"/>
      <c r="V395" s="240"/>
      <c r="W395" s="240"/>
      <c r="X395" s="238"/>
      <c r="Y395" s="238"/>
      <c r="Z395" s="238"/>
    </row>
    <row r="396" spans="1:26" ht="12.5">
      <c r="A396" s="238"/>
      <c r="B396" s="238"/>
      <c r="C396" s="238"/>
      <c r="D396" s="238"/>
      <c r="E396" s="238"/>
      <c r="F396" s="238"/>
      <c r="G396" s="238"/>
      <c r="H396" s="238"/>
      <c r="I396" s="238"/>
      <c r="J396" s="238"/>
      <c r="K396" s="237"/>
      <c r="L396" s="238"/>
      <c r="M396" s="238"/>
      <c r="N396" s="238"/>
      <c r="O396" s="238"/>
      <c r="P396" s="238"/>
      <c r="Q396" s="238"/>
      <c r="R396" s="238"/>
      <c r="S396" s="238"/>
      <c r="T396" s="238"/>
      <c r="U396" s="238"/>
      <c r="V396" s="240"/>
      <c r="W396" s="240"/>
      <c r="X396" s="238"/>
      <c r="Y396" s="238"/>
      <c r="Z396" s="238"/>
    </row>
    <row r="397" spans="1:26" ht="12.5">
      <c r="A397" s="238"/>
      <c r="B397" s="238"/>
      <c r="C397" s="238"/>
      <c r="D397" s="238"/>
      <c r="E397" s="238"/>
      <c r="F397" s="238"/>
      <c r="G397" s="238"/>
      <c r="H397" s="238"/>
      <c r="I397" s="238"/>
      <c r="J397" s="238"/>
      <c r="K397" s="237"/>
      <c r="L397" s="238"/>
      <c r="M397" s="238"/>
      <c r="N397" s="238"/>
      <c r="O397" s="238"/>
      <c r="P397" s="238"/>
      <c r="Q397" s="238"/>
      <c r="R397" s="238"/>
      <c r="S397" s="238"/>
      <c r="T397" s="238"/>
      <c r="U397" s="238"/>
      <c r="V397" s="240"/>
      <c r="W397" s="240"/>
      <c r="X397" s="238"/>
      <c r="Y397" s="238"/>
      <c r="Z397" s="238"/>
    </row>
    <row r="398" spans="1:26" ht="12.5">
      <c r="A398" s="238"/>
      <c r="B398" s="238"/>
      <c r="C398" s="238"/>
      <c r="D398" s="238"/>
      <c r="E398" s="238"/>
      <c r="F398" s="238"/>
      <c r="G398" s="238"/>
      <c r="H398" s="238"/>
      <c r="I398" s="238"/>
      <c r="J398" s="238"/>
      <c r="K398" s="237"/>
      <c r="L398" s="238"/>
      <c r="M398" s="238"/>
      <c r="N398" s="238"/>
      <c r="O398" s="238"/>
      <c r="P398" s="238"/>
      <c r="Q398" s="238"/>
      <c r="R398" s="238"/>
      <c r="S398" s="238"/>
      <c r="T398" s="238"/>
      <c r="U398" s="238"/>
      <c r="V398" s="240"/>
      <c r="W398" s="240"/>
      <c r="X398" s="238"/>
      <c r="Y398" s="238"/>
      <c r="Z398" s="238"/>
    </row>
    <row r="399" spans="1:26" ht="12.5">
      <c r="A399" s="238"/>
      <c r="B399" s="238"/>
      <c r="C399" s="238"/>
      <c r="D399" s="238"/>
      <c r="E399" s="238"/>
      <c r="F399" s="238"/>
      <c r="G399" s="238"/>
      <c r="H399" s="238"/>
      <c r="I399" s="238"/>
      <c r="J399" s="238"/>
      <c r="K399" s="237"/>
      <c r="L399" s="238"/>
      <c r="M399" s="238"/>
      <c r="N399" s="238"/>
      <c r="O399" s="238"/>
      <c r="P399" s="238"/>
      <c r="Q399" s="238"/>
      <c r="R399" s="238"/>
      <c r="S399" s="238"/>
      <c r="T399" s="238"/>
      <c r="U399" s="238"/>
      <c r="V399" s="240"/>
      <c r="W399" s="240"/>
      <c r="X399" s="238"/>
      <c r="Y399" s="238"/>
      <c r="Z399" s="238"/>
    </row>
    <row r="400" spans="1:26" ht="12.5">
      <c r="A400" s="238"/>
      <c r="B400" s="238"/>
      <c r="C400" s="238"/>
      <c r="D400" s="238"/>
      <c r="E400" s="238"/>
      <c r="F400" s="238"/>
      <c r="G400" s="238"/>
      <c r="H400" s="238"/>
      <c r="I400" s="238"/>
      <c r="J400" s="238"/>
      <c r="K400" s="237"/>
      <c r="L400" s="238"/>
      <c r="M400" s="238"/>
      <c r="N400" s="238"/>
      <c r="O400" s="238"/>
      <c r="P400" s="238"/>
      <c r="Q400" s="238"/>
      <c r="R400" s="238"/>
      <c r="S400" s="238"/>
      <c r="T400" s="238"/>
      <c r="U400" s="238"/>
      <c r="V400" s="240"/>
      <c r="W400" s="240"/>
      <c r="X400" s="238"/>
      <c r="Y400" s="238"/>
      <c r="Z400" s="238"/>
    </row>
    <row r="401" spans="1:26" ht="12.5">
      <c r="A401" s="238"/>
      <c r="B401" s="238"/>
      <c r="C401" s="238"/>
      <c r="D401" s="238"/>
      <c r="E401" s="238"/>
      <c r="F401" s="238"/>
      <c r="G401" s="238"/>
      <c r="H401" s="238"/>
      <c r="I401" s="238"/>
      <c r="J401" s="238"/>
      <c r="K401" s="237"/>
      <c r="L401" s="238"/>
      <c r="M401" s="238"/>
      <c r="N401" s="238"/>
      <c r="O401" s="238"/>
      <c r="P401" s="238"/>
      <c r="Q401" s="238"/>
      <c r="R401" s="238"/>
      <c r="S401" s="238"/>
      <c r="T401" s="238"/>
      <c r="U401" s="238"/>
      <c r="V401" s="240"/>
      <c r="W401" s="240"/>
      <c r="X401" s="238"/>
      <c r="Y401" s="238"/>
      <c r="Z401" s="238"/>
    </row>
    <row r="402" spans="1:26" ht="12.5">
      <c r="A402" s="238"/>
      <c r="B402" s="238"/>
      <c r="C402" s="238"/>
      <c r="D402" s="238"/>
      <c r="E402" s="238"/>
      <c r="F402" s="238"/>
      <c r="G402" s="238"/>
      <c r="H402" s="238"/>
      <c r="I402" s="238"/>
      <c r="J402" s="238"/>
      <c r="K402" s="237"/>
      <c r="L402" s="238"/>
      <c r="M402" s="238"/>
      <c r="N402" s="238"/>
      <c r="O402" s="238"/>
      <c r="P402" s="238"/>
      <c r="Q402" s="238"/>
      <c r="R402" s="238"/>
      <c r="S402" s="238"/>
      <c r="T402" s="238"/>
      <c r="U402" s="238"/>
      <c r="V402" s="240"/>
      <c r="W402" s="240"/>
      <c r="X402" s="238"/>
      <c r="Y402" s="238"/>
      <c r="Z402" s="238"/>
    </row>
    <row r="403" spans="1:26" ht="12.5">
      <c r="A403" s="238"/>
      <c r="B403" s="238"/>
      <c r="C403" s="238"/>
      <c r="D403" s="238"/>
      <c r="E403" s="238"/>
      <c r="F403" s="238"/>
      <c r="G403" s="238"/>
      <c r="H403" s="238"/>
      <c r="I403" s="238"/>
      <c r="J403" s="238"/>
      <c r="K403" s="237"/>
      <c r="L403" s="238"/>
      <c r="M403" s="238"/>
      <c r="N403" s="238"/>
      <c r="O403" s="238"/>
      <c r="P403" s="238"/>
      <c r="Q403" s="238"/>
      <c r="R403" s="238"/>
      <c r="S403" s="238"/>
      <c r="T403" s="238"/>
      <c r="U403" s="238"/>
      <c r="V403" s="240"/>
      <c r="W403" s="240"/>
      <c r="X403" s="238"/>
      <c r="Y403" s="238"/>
      <c r="Z403" s="238"/>
    </row>
    <row r="404" spans="1:26" ht="12.5">
      <c r="A404" s="238"/>
      <c r="B404" s="238"/>
      <c r="C404" s="238"/>
      <c r="D404" s="238"/>
      <c r="E404" s="238"/>
      <c r="F404" s="238"/>
      <c r="G404" s="238"/>
      <c r="H404" s="238"/>
      <c r="I404" s="238"/>
      <c r="J404" s="238"/>
      <c r="K404" s="237"/>
      <c r="L404" s="238"/>
      <c r="M404" s="238"/>
      <c r="N404" s="238"/>
      <c r="O404" s="238"/>
      <c r="P404" s="238"/>
      <c r="Q404" s="238"/>
      <c r="R404" s="238"/>
      <c r="S404" s="238"/>
      <c r="T404" s="238"/>
      <c r="U404" s="238"/>
      <c r="V404" s="240"/>
      <c r="W404" s="240"/>
      <c r="X404" s="238"/>
      <c r="Y404" s="238"/>
      <c r="Z404" s="238"/>
    </row>
    <row r="405" spans="1:26" ht="12.5">
      <c r="A405" s="238"/>
      <c r="B405" s="238"/>
      <c r="C405" s="238"/>
      <c r="D405" s="238"/>
      <c r="E405" s="238"/>
      <c r="F405" s="238"/>
      <c r="G405" s="238"/>
      <c r="H405" s="238"/>
      <c r="I405" s="238"/>
      <c r="J405" s="238"/>
      <c r="K405" s="237"/>
      <c r="L405" s="238"/>
      <c r="M405" s="238"/>
      <c r="N405" s="238"/>
      <c r="O405" s="238"/>
      <c r="P405" s="238"/>
      <c r="Q405" s="238"/>
      <c r="R405" s="238"/>
      <c r="S405" s="238"/>
      <c r="T405" s="238"/>
      <c r="U405" s="238"/>
      <c r="V405" s="240"/>
      <c r="W405" s="240"/>
      <c r="X405" s="238"/>
      <c r="Y405" s="238"/>
      <c r="Z405" s="238"/>
    </row>
    <row r="406" spans="1:26" ht="12.5">
      <c r="A406" s="238"/>
      <c r="B406" s="238"/>
      <c r="C406" s="238"/>
      <c r="D406" s="238"/>
      <c r="E406" s="238"/>
      <c r="F406" s="238"/>
      <c r="G406" s="238"/>
      <c r="H406" s="238"/>
      <c r="I406" s="238"/>
      <c r="J406" s="238"/>
      <c r="K406" s="237"/>
      <c r="L406" s="238"/>
      <c r="M406" s="238"/>
      <c r="N406" s="238"/>
      <c r="O406" s="238"/>
      <c r="P406" s="238"/>
      <c r="Q406" s="238"/>
      <c r="R406" s="238"/>
      <c r="S406" s="238"/>
      <c r="T406" s="238"/>
      <c r="U406" s="238"/>
      <c r="V406" s="240"/>
      <c r="W406" s="240"/>
      <c r="X406" s="238"/>
      <c r="Y406" s="238"/>
      <c r="Z406" s="238"/>
    </row>
    <row r="407" spans="1:26" ht="12.5">
      <c r="A407" s="238"/>
      <c r="B407" s="238"/>
      <c r="C407" s="238"/>
      <c r="D407" s="238"/>
      <c r="E407" s="238"/>
      <c r="F407" s="238"/>
      <c r="G407" s="238"/>
      <c r="H407" s="238"/>
      <c r="I407" s="238"/>
      <c r="J407" s="238"/>
      <c r="K407" s="237"/>
      <c r="L407" s="238"/>
      <c r="M407" s="238"/>
      <c r="N407" s="238"/>
      <c r="O407" s="238"/>
      <c r="P407" s="238"/>
      <c r="Q407" s="238"/>
      <c r="R407" s="238"/>
      <c r="S407" s="238"/>
      <c r="T407" s="238"/>
      <c r="U407" s="238"/>
      <c r="V407" s="240"/>
      <c r="W407" s="240"/>
      <c r="X407" s="238"/>
      <c r="Y407" s="238"/>
      <c r="Z407" s="238"/>
    </row>
    <row r="408" spans="1:26" ht="12.5">
      <c r="A408" s="238"/>
      <c r="B408" s="238"/>
      <c r="C408" s="238"/>
      <c r="D408" s="238"/>
      <c r="E408" s="238"/>
      <c r="F408" s="238"/>
      <c r="G408" s="238"/>
      <c r="H408" s="238"/>
      <c r="I408" s="238"/>
      <c r="J408" s="238"/>
      <c r="K408" s="237"/>
      <c r="L408" s="238"/>
      <c r="M408" s="238"/>
      <c r="N408" s="238"/>
      <c r="O408" s="238"/>
      <c r="P408" s="238"/>
      <c r="Q408" s="238"/>
      <c r="R408" s="238"/>
      <c r="S408" s="238"/>
      <c r="T408" s="238"/>
      <c r="U408" s="238"/>
      <c r="V408" s="240"/>
      <c r="W408" s="240"/>
      <c r="X408" s="238"/>
      <c r="Y408" s="238"/>
      <c r="Z408" s="238"/>
    </row>
    <row r="409" spans="1:26" ht="12.5">
      <c r="A409" s="238"/>
      <c r="B409" s="238"/>
      <c r="C409" s="238"/>
      <c r="D409" s="238"/>
      <c r="E409" s="238"/>
      <c r="F409" s="238"/>
      <c r="G409" s="238"/>
      <c r="H409" s="238"/>
      <c r="I409" s="238"/>
      <c r="J409" s="238"/>
      <c r="K409" s="237"/>
      <c r="L409" s="238"/>
      <c r="M409" s="238"/>
      <c r="N409" s="238"/>
      <c r="O409" s="238"/>
      <c r="P409" s="238"/>
      <c r="Q409" s="238"/>
      <c r="R409" s="238"/>
      <c r="S409" s="238"/>
      <c r="T409" s="238"/>
      <c r="U409" s="238"/>
      <c r="V409" s="240"/>
      <c r="W409" s="240"/>
      <c r="X409" s="238"/>
      <c r="Y409" s="238"/>
      <c r="Z409" s="238"/>
    </row>
    <row r="410" spans="1:26" ht="12.5">
      <c r="A410" s="238"/>
      <c r="B410" s="238"/>
      <c r="C410" s="238"/>
      <c r="D410" s="238"/>
      <c r="E410" s="238"/>
      <c r="F410" s="238"/>
      <c r="G410" s="238"/>
      <c r="H410" s="238"/>
      <c r="I410" s="238"/>
      <c r="J410" s="238"/>
      <c r="K410" s="237"/>
      <c r="L410" s="238"/>
      <c r="M410" s="238"/>
      <c r="N410" s="238"/>
      <c r="O410" s="238"/>
      <c r="P410" s="238"/>
      <c r="Q410" s="238"/>
      <c r="R410" s="238"/>
      <c r="S410" s="238"/>
      <c r="T410" s="238"/>
      <c r="U410" s="238"/>
      <c r="V410" s="240"/>
      <c r="W410" s="240"/>
      <c r="X410" s="238"/>
      <c r="Y410" s="238"/>
      <c r="Z410" s="238"/>
    </row>
    <row r="411" spans="1:26" ht="12.5">
      <c r="A411" s="238"/>
      <c r="B411" s="238"/>
      <c r="C411" s="238"/>
      <c r="D411" s="238"/>
      <c r="E411" s="238"/>
      <c r="F411" s="238"/>
      <c r="G411" s="238"/>
      <c r="H411" s="238"/>
      <c r="I411" s="238"/>
      <c r="J411" s="238"/>
      <c r="K411" s="237"/>
      <c r="L411" s="238"/>
      <c r="M411" s="238"/>
      <c r="N411" s="238"/>
      <c r="O411" s="238"/>
      <c r="P411" s="238"/>
      <c r="Q411" s="238"/>
      <c r="R411" s="238"/>
      <c r="S411" s="238"/>
      <c r="T411" s="238"/>
      <c r="U411" s="238"/>
      <c r="V411" s="240"/>
      <c r="W411" s="240"/>
      <c r="X411" s="238"/>
      <c r="Y411" s="238"/>
      <c r="Z411" s="238"/>
    </row>
    <row r="412" spans="1:26" ht="12.5">
      <c r="A412" s="238"/>
      <c r="B412" s="238"/>
      <c r="C412" s="238"/>
      <c r="D412" s="238"/>
      <c r="E412" s="238"/>
      <c r="F412" s="238"/>
      <c r="G412" s="238"/>
      <c r="H412" s="238"/>
      <c r="I412" s="238"/>
      <c r="J412" s="238"/>
      <c r="K412" s="237"/>
      <c r="L412" s="238"/>
      <c r="M412" s="238"/>
      <c r="N412" s="238"/>
      <c r="O412" s="238"/>
      <c r="P412" s="238"/>
      <c r="Q412" s="238"/>
      <c r="R412" s="238"/>
      <c r="S412" s="238"/>
      <c r="T412" s="238"/>
      <c r="U412" s="238"/>
      <c r="V412" s="240"/>
      <c r="W412" s="240"/>
      <c r="X412" s="238"/>
      <c r="Y412" s="238"/>
      <c r="Z412" s="238"/>
    </row>
    <row r="413" spans="1:26" ht="12.5">
      <c r="A413" s="238"/>
      <c r="B413" s="238"/>
      <c r="C413" s="238"/>
      <c r="D413" s="238"/>
      <c r="E413" s="238"/>
      <c r="F413" s="238"/>
      <c r="G413" s="238"/>
      <c r="H413" s="238"/>
      <c r="I413" s="238"/>
      <c r="J413" s="238"/>
      <c r="K413" s="237"/>
      <c r="L413" s="238"/>
      <c r="M413" s="238"/>
      <c r="N413" s="238"/>
      <c r="O413" s="238"/>
      <c r="P413" s="238"/>
      <c r="Q413" s="238"/>
      <c r="R413" s="238"/>
      <c r="S413" s="238"/>
      <c r="T413" s="238"/>
      <c r="U413" s="238"/>
      <c r="V413" s="240"/>
      <c r="W413" s="240"/>
      <c r="X413" s="238"/>
      <c r="Y413" s="238"/>
      <c r="Z413" s="238"/>
    </row>
    <row r="414" spans="1:26" ht="12.5">
      <c r="A414" s="238"/>
      <c r="B414" s="238"/>
      <c r="C414" s="238"/>
      <c r="D414" s="238"/>
      <c r="E414" s="238"/>
      <c r="F414" s="238"/>
      <c r="G414" s="238"/>
      <c r="H414" s="238"/>
      <c r="I414" s="238"/>
      <c r="J414" s="238"/>
      <c r="K414" s="237"/>
      <c r="L414" s="238"/>
      <c r="M414" s="238"/>
      <c r="N414" s="238"/>
      <c r="O414" s="238"/>
      <c r="P414" s="238"/>
      <c r="Q414" s="238"/>
      <c r="R414" s="238"/>
      <c r="S414" s="238"/>
      <c r="T414" s="238"/>
      <c r="U414" s="238"/>
      <c r="V414" s="240"/>
      <c r="W414" s="240"/>
      <c r="X414" s="238"/>
      <c r="Y414" s="238"/>
      <c r="Z414" s="238"/>
    </row>
    <row r="415" spans="1:26" ht="12.5">
      <c r="A415" s="238"/>
      <c r="B415" s="238"/>
      <c r="C415" s="238"/>
      <c r="D415" s="238"/>
      <c r="E415" s="238"/>
      <c r="F415" s="238"/>
      <c r="G415" s="238"/>
      <c r="H415" s="238"/>
      <c r="I415" s="238"/>
      <c r="J415" s="238"/>
      <c r="K415" s="237"/>
      <c r="L415" s="238"/>
      <c r="M415" s="238"/>
      <c r="N415" s="238"/>
      <c r="O415" s="238"/>
      <c r="P415" s="238"/>
      <c r="Q415" s="238"/>
      <c r="R415" s="238"/>
      <c r="S415" s="238"/>
      <c r="T415" s="238"/>
      <c r="U415" s="238"/>
      <c r="V415" s="240"/>
      <c r="W415" s="240"/>
      <c r="X415" s="238"/>
      <c r="Y415" s="238"/>
      <c r="Z415" s="238"/>
    </row>
    <row r="416" spans="1:26" ht="12.5">
      <c r="A416" s="238"/>
      <c r="B416" s="238"/>
      <c r="C416" s="238"/>
      <c r="D416" s="238"/>
      <c r="E416" s="238"/>
      <c r="F416" s="238"/>
      <c r="G416" s="238"/>
      <c r="H416" s="238"/>
      <c r="I416" s="238"/>
      <c r="J416" s="238"/>
      <c r="K416" s="237"/>
      <c r="L416" s="238"/>
      <c r="M416" s="238"/>
      <c r="N416" s="238"/>
      <c r="O416" s="238"/>
      <c r="P416" s="238"/>
      <c r="Q416" s="238"/>
      <c r="R416" s="238"/>
      <c r="S416" s="238"/>
      <c r="T416" s="238"/>
      <c r="U416" s="238"/>
      <c r="V416" s="240"/>
      <c r="W416" s="240"/>
      <c r="X416" s="238"/>
      <c r="Y416" s="238"/>
      <c r="Z416" s="238"/>
    </row>
    <row r="417" spans="1:26" ht="12.5">
      <c r="A417" s="238"/>
      <c r="B417" s="238"/>
      <c r="C417" s="238"/>
      <c r="D417" s="238"/>
      <c r="E417" s="238"/>
      <c r="F417" s="238"/>
      <c r="G417" s="238"/>
      <c r="H417" s="238"/>
      <c r="I417" s="238"/>
      <c r="J417" s="238"/>
      <c r="K417" s="237"/>
      <c r="L417" s="238"/>
      <c r="M417" s="238"/>
      <c r="N417" s="238"/>
      <c r="O417" s="238"/>
      <c r="P417" s="238"/>
      <c r="Q417" s="238"/>
      <c r="R417" s="238"/>
      <c r="S417" s="238"/>
      <c r="T417" s="238"/>
      <c r="U417" s="238"/>
      <c r="V417" s="240"/>
      <c r="W417" s="240"/>
      <c r="X417" s="238"/>
      <c r="Y417" s="238"/>
      <c r="Z417" s="238"/>
    </row>
    <row r="418" spans="1:26" ht="12.5">
      <c r="A418" s="238"/>
      <c r="B418" s="238"/>
      <c r="C418" s="238"/>
      <c r="D418" s="238"/>
      <c r="E418" s="238"/>
      <c r="F418" s="238"/>
      <c r="G418" s="238"/>
      <c r="H418" s="238"/>
      <c r="I418" s="238"/>
      <c r="J418" s="238"/>
      <c r="K418" s="237"/>
      <c r="L418" s="238"/>
      <c r="M418" s="238"/>
      <c r="N418" s="238"/>
      <c r="O418" s="238"/>
      <c r="P418" s="238"/>
      <c r="Q418" s="238"/>
      <c r="R418" s="238"/>
      <c r="S418" s="238"/>
      <c r="T418" s="238"/>
      <c r="U418" s="238"/>
      <c r="V418" s="240"/>
      <c r="W418" s="240"/>
      <c r="X418" s="238"/>
      <c r="Y418" s="238"/>
      <c r="Z418" s="238"/>
    </row>
    <row r="419" spans="1:26" ht="12.5">
      <c r="A419" s="238"/>
      <c r="B419" s="238"/>
      <c r="C419" s="238"/>
      <c r="D419" s="238"/>
      <c r="E419" s="238"/>
      <c r="F419" s="238"/>
      <c r="G419" s="238"/>
      <c r="H419" s="238"/>
      <c r="I419" s="238"/>
      <c r="J419" s="238"/>
      <c r="K419" s="237"/>
      <c r="L419" s="238"/>
      <c r="M419" s="238"/>
      <c r="N419" s="238"/>
      <c r="O419" s="238"/>
      <c r="P419" s="238"/>
      <c r="Q419" s="238"/>
      <c r="R419" s="238"/>
      <c r="S419" s="238"/>
      <c r="T419" s="238"/>
      <c r="U419" s="238"/>
      <c r="V419" s="240"/>
      <c r="W419" s="240"/>
      <c r="X419" s="238"/>
      <c r="Y419" s="238"/>
      <c r="Z419" s="238"/>
    </row>
    <row r="420" spans="1:26" ht="12.5">
      <c r="A420" s="238"/>
      <c r="B420" s="238"/>
      <c r="C420" s="238"/>
      <c r="D420" s="238"/>
      <c r="E420" s="238"/>
      <c r="F420" s="238"/>
      <c r="G420" s="238"/>
      <c r="H420" s="238"/>
      <c r="I420" s="238"/>
      <c r="J420" s="238"/>
      <c r="K420" s="237"/>
      <c r="L420" s="238"/>
      <c r="M420" s="238"/>
      <c r="N420" s="238"/>
      <c r="O420" s="238"/>
      <c r="P420" s="238"/>
      <c r="Q420" s="238"/>
      <c r="R420" s="238"/>
      <c r="S420" s="238"/>
      <c r="T420" s="238"/>
      <c r="U420" s="238"/>
      <c r="V420" s="240"/>
      <c r="W420" s="240"/>
      <c r="X420" s="238"/>
      <c r="Y420" s="238"/>
      <c r="Z420" s="238"/>
    </row>
    <row r="421" spans="1:26" ht="12.5">
      <c r="A421" s="238"/>
      <c r="B421" s="238"/>
      <c r="C421" s="238"/>
      <c r="D421" s="238"/>
      <c r="E421" s="238"/>
      <c r="F421" s="238"/>
      <c r="G421" s="238"/>
      <c r="H421" s="238"/>
      <c r="I421" s="238"/>
      <c r="J421" s="238"/>
      <c r="K421" s="237"/>
      <c r="L421" s="238"/>
      <c r="M421" s="238"/>
      <c r="N421" s="238"/>
      <c r="O421" s="238"/>
      <c r="P421" s="238"/>
      <c r="Q421" s="238"/>
      <c r="R421" s="238"/>
      <c r="S421" s="238"/>
      <c r="T421" s="238"/>
      <c r="U421" s="238"/>
      <c r="V421" s="240"/>
      <c r="W421" s="240"/>
      <c r="X421" s="238"/>
      <c r="Y421" s="238"/>
      <c r="Z421" s="238"/>
    </row>
    <row r="422" spans="1:26" ht="12.5">
      <c r="A422" s="238"/>
      <c r="B422" s="238"/>
      <c r="C422" s="238"/>
      <c r="D422" s="238"/>
      <c r="E422" s="238"/>
      <c r="F422" s="238"/>
      <c r="G422" s="238"/>
      <c r="H422" s="238"/>
      <c r="I422" s="238"/>
      <c r="J422" s="238"/>
      <c r="K422" s="237"/>
      <c r="L422" s="238"/>
      <c r="M422" s="238"/>
      <c r="N422" s="238"/>
      <c r="O422" s="238"/>
      <c r="P422" s="238"/>
      <c r="Q422" s="238"/>
      <c r="R422" s="238"/>
      <c r="S422" s="238"/>
      <c r="T422" s="238"/>
      <c r="U422" s="238"/>
      <c r="V422" s="240"/>
      <c r="W422" s="240"/>
      <c r="X422" s="238"/>
      <c r="Y422" s="238"/>
      <c r="Z422" s="238"/>
    </row>
    <row r="423" spans="1:26" ht="12.5">
      <c r="A423" s="238"/>
      <c r="B423" s="238"/>
      <c r="C423" s="238"/>
      <c r="D423" s="238"/>
      <c r="E423" s="238"/>
      <c r="F423" s="238"/>
      <c r="G423" s="238"/>
      <c r="H423" s="238"/>
      <c r="I423" s="238"/>
      <c r="J423" s="238"/>
      <c r="K423" s="237"/>
      <c r="L423" s="238"/>
      <c r="M423" s="238"/>
      <c r="N423" s="238"/>
      <c r="O423" s="238"/>
      <c r="P423" s="238"/>
      <c r="Q423" s="238"/>
      <c r="R423" s="238"/>
      <c r="S423" s="238"/>
      <c r="T423" s="238"/>
      <c r="U423" s="238"/>
      <c r="V423" s="240"/>
      <c r="W423" s="240"/>
      <c r="X423" s="238"/>
      <c r="Y423" s="238"/>
      <c r="Z423" s="238"/>
    </row>
    <row r="424" spans="1:26" ht="12.5">
      <c r="A424" s="238"/>
      <c r="B424" s="238"/>
      <c r="C424" s="238"/>
      <c r="D424" s="238"/>
      <c r="E424" s="238"/>
      <c r="F424" s="238"/>
      <c r="G424" s="238"/>
      <c r="H424" s="238"/>
      <c r="I424" s="238"/>
      <c r="J424" s="238"/>
      <c r="K424" s="237"/>
      <c r="L424" s="238"/>
      <c r="M424" s="238"/>
      <c r="N424" s="238"/>
      <c r="O424" s="238"/>
      <c r="P424" s="238"/>
      <c r="Q424" s="238"/>
      <c r="R424" s="238"/>
      <c r="S424" s="238"/>
      <c r="T424" s="238"/>
      <c r="U424" s="238"/>
      <c r="V424" s="240"/>
      <c r="W424" s="240"/>
      <c r="X424" s="238"/>
      <c r="Y424" s="238"/>
      <c r="Z424" s="238"/>
    </row>
    <row r="425" spans="1:26" ht="12.5">
      <c r="A425" s="238"/>
      <c r="B425" s="238"/>
      <c r="C425" s="238"/>
      <c r="D425" s="238"/>
      <c r="E425" s="238"/>
      <c r="F425" s="238"/>
      <c r="G425" s="238"/>
      <c r="H425" s="238"/>
      <c r="I425" s="238"/>
      <c r="J425" s="238"/>
      <c r="K425" s="237"/>
      <c r="L425" s="238"/>
      <c r="M425" s="238"/>
      <c r="N425" s="238"/>
      <c r="O425" s="238"/>
      <c r="P425" s="238"/>
      <c r="Q425" s="238"/>
      <c r="R425" s="238"/>
      <c r="S425" s="238"/>
      <c r="T425" s="238"/>
      <c r="U425" s="238"/>
      <c r="V425" s="240"/>
      <c r="W425" s="240"/>
      <c r="X425" s="238"/>
      <c r="Y425" s="238"/>
      <c r="Z425" s="238"/>
    </row>
    <row r="426" spans="1:26" ht="12.5">
      <c r="A426" s="238"/>
      <c r="B426" s="238"/>
      <c r="C426" s="238"/>
      <c r="D426" s="238"/>
      <c r="E426" s="238"/>
      <c r="F426" s="238"/>
      <c r="G426" s="238"/>
      <c r="H426" s="238"/>
      <c r="I426" s="238"/>
      <c r="J426" s="238"/>
      <c r="K426" s="237"/>
      <c r="L426" s="238"/>
      <c r="M426" s="238"/>
      <c r="N426" s="238"/>
      <c r="O426" s="238"/>
      <c r="P426" s="238"/>
      <c r="Q426" s="238"/>
      <c r="R426" s="238"/>
      <c r="S426" s="238"/>
      <c r="T426" s="238"/>
      <c r="U426" s="238"/>
      <c r="V426" s="240"/>
      <c r="W426" s="240"/>
      <c r="X426" s="238"/>
      <c r="Y426" s="238"/>
      <c r="Z426" s="238"/>
    </row>
    <row r="427" spans="1:26" ht="12.5">
      <c r="A427" s="238"/>
      <c r="B427" s="238"/>
      <c r="C427" s="238"/>
      <c r="D427" s="238"/>
      <c r="E427" s="238"/>
      <c r="F427" s="238"/>
      <c r="G427" s="238"/>
      <c r="H427" s="238"/>
      <c r="I427" s="238"/>
      <c r="J427" s="238"/>
      <c r="K427" s="237"/>
      <c r="L427" s="238"/>
      <c r="M427" s="238"/>
      <c r="N427" s="238"/>
      <c r="O427" s="238"/>
      <c r="P427" s="238"/>
      <c r="Q427" s="238"/>
      <c r="R427" s="238"/>
      <c r="S427" s="238"/>
      <c r="T427" s="238"/>
      <c r="U427" s="238"/>
      <c r="V427" s="240"/>
      <c r="W427" s="240"/>
      <c r="X427" s="238"/>
      <c r="Y427" s="238"/>
      <c r="Z427" s="238"/>
    </row>
    <row r="428" spans="1:26" ht="12.5">
      <c r="A428" s="238"/>
      <c r="B428" s="238"/>
      <c r="C428" s="238"/>
      <c r="D428" s="238"/>
      <c r="E428" s="238"/>
      <c r="F428" s="238"/>
      <c r="G428" s="238"/>
      <c r="H428" s="238"/>
      <c r="I428" s="238"/>
      <c r="J428" s="238"/>
      <c r="K428" s="237"/>
      <c r="L428" s="238"/>
      <c r="M428" s="238"/>
      <c r="N428" s="238"/>
      <c r="O428" s="238"/>
      <c r="P428" s="238"/>
      <c r="Q428" s="238"/>
      <c r="R428" s="238"/>
      <c r="S428" s="238"/>
      <c r="T428" s="238"/>
      <c r="U428" s="238"/>
      <c r="V428" s="240"/>
      <c r="W428" s="240"/>
      <c r="X428" s="238"/>
      <c r="Y428" s="238"/>
      <c r="Z428" s="238"/>
    </row>
    <row r="429" spans="1:26" ht="12.5">
      <c r="A429" s="238"/>
      <c r="B429" s="238"/>
      <c r="C429" s="238"/>
      <c r="D429" s="238"/>
      <c r="E429" s="238"/>
      <c r="F429" s="238"/>
      <c r="G429" s="238"/>
      <c r="H429" s="238"/>
      <c r="I429" s="238"/>
      <c r="J429" s="238"/>
      <c r="K429" s="237"/>
      <c r="L429" s="238"/>
      <c r="M429" s="238"/>
      <c r="N429" s="238"/>
      <c r="O429" s="238"/>
      <c r="P429" s="238"/>
      <c r="Q429" s="238"/>
      <c r="R429" s="238"/>
      <c r="S429" s="238"/>
      <c r="T429" s="238"/>
      <c r="U429" s="238"/>
      <c r="V429" s="240"/>
      <c r="W429" s="240"/>
      <c r="X429" s="238"/>
      <c r="Y429" s="238"/>
      <c r="Z429" s="238"/>
    </row>
    <row r="430" spans="1:26" ht="12.5">
      <c r="A430" s="238"/>
      <c r="B430" s="238"/>
      <c r="C430" s="238"/>
      <c r="D430" s="238"/>
      <c r="E430" s="238"/>
      <c r="F430" s="238"/>
      <c r="G430" s="238"/>
      <c r="H430" s="238"/>
      <c r="I430" s="238"/>
      <c r="J430" s="238"/>
      <c r="K430" s="237"/>
      <c r="L430" s="238"/>
      <c r="M430" s="238"/>
      <c r="N430" s="238"/>
      <c r="O430" s="238"/>
      <c r="P430" s="238"/>
      <c r="Q430" s="238"/>
      <c r="R430" s="238"/>
      <c r="S430" s="238"/>
      <c r="T430" s="238"/>
      <c r="U430" s="238"/>
      <c r="V430" s="240"/>
      <c r="W430" s="240"/>
      <c r="X430" s="238"/>
      <c r="Y430" s="238"/>
      <c r="Z430" s="238"/>
    </row>
    <row r="431" spans="1:26" ht="12.5">
      <c r="A431" s="238"/>
      <c r="B431" s="238"/>
      <c r="C431" s="238"/>
      <c r="D431" s="238"/>
      <c r="E431" s="238"/>
      <c r="F431" s="238"/>
      <c r="G431" s="238"/>
      <c r="H431" s="238"/>
      <c r="I431" s="238"/>
      <c r="J431" s="238"/>
      <c r="K431" s="237"/>
      <c r="L431" s="238"/>
      <c r="M431" s="238"/>
      <c r="N431" s="238"/>
      <c r="O431" s="238"/>
      <c r="P431" s="238"/>
      <c r="Q431" s="238"/>
      <c r="R431" s="238"/>
      <c r="S431" s="238"/>
      <c r="T431" s="238"/>
      <c r="U431" s="238"/>
      <c r="V431" s="240"/>
      <c r="W431" s="240"/>
      <c r="X431" s="238"/>
      <c r="Y431" s="238"/>
      <c r="Z431" s="238"/>
    </row>
    <row r="432" spans="1:26" ht="12.5">
      <c r="A432" s="238"/>
      <c r="B432" s="238"/>
      <c r="C432" s="238"/>
      <c r="D432" s="238"/>
      <c r="E432" s="238"/>
      <c r="F432" s="238"/>
      <c r="G432" s="238"/>
      <c r="H432" s="238"/>
      <c r="I432" s="238"/>
      <c r="J432" s="238"/>
      <c r="K432" s="237"/>
      <c r="L432" s="238"/>
      <c r="M432" s="238"/>
      <c r="N432" s="238"/>
      <c r="O432" s="238"/>
      <c r="P432" s="238"/>
      <c r="Q432" s="238"/>
      <c r="R432" s="238"/>
      <c r="S432" s="238"/>
      <c r="T432" s="238"/>
      <c r="U432" s="238"/>
      <c r="V432" s="240"/>
      <c r="W432" s="240"/>
      <c r="X432" s="238"/>
      <c r="Y432" s="238"/>
      <c r="Z432" s="238"/>
    </row>
    <row r="433" spans="1:26" ht="12.5">
      <c r="A433" s="238"/>
      <c r="B433" s="238"/>
      <c r="C433" s="238"/>
      <c r="D433" s="238"/>
      <c r="E433" s="238"/>
      <c r="F433" s="238"/>
      <c r="G433" s="238"/>
      <c r="H433" s="238"/>
      <c r="I433" s="238"/>
      <c r="J433" s="238"/>
      <c r="K433" s="237"/>
      <c r="L433" s="238"/>
      <c r="M433" s="238"/>
      <c r="N433" s="238"/>
      <c r="O433" s="238"/>
      <c r="P433" s="238"/>
      <c r="Q433" s="238"/>
      <c r="R433" s="238"/>
      <c r="S433" s="238"/>
      <c r="T433" s="238"/>
      <c r="U433" s="238"/>
      <c r="V433" s="240"/>
      <c r="W433" s="240"/>
      <c r="X433" s="238"/>
      <c r="Y433" s="238"/>
      <c r="Z433" s="238"/>
    </row>
    <row r="434" spans="1:26" ht="12.5">
      <c r="A434" s="238"/>
      <c r="B434" s="238"/>
      <c r="C434" s="238"/>
      <c r="D434" s="238"/>
      <c r="E434" s="238"/>
      <c r="F434" s="238"/>
      <c r="G434" s="238"/>
      <c r="H434" s="238"/>
      <c r="I434" s="238"/>
      <c r="J434" s="238"/>
      <c r="K434" s="237"/>
      <c r="L434" s="238"/>
      <c r="M434" s="238"/>
      <c r="N434" s="238"/>
      <c r="O434" s="238"/>
      <c r="P434" s="238"/>
      <c r="Q434" s="238"/>
      <c r="R434" s="238"/>
      <c r="S434" s="238"/>
      <c r="T434" s="238"/>
      <c r="U434" s="238"/>
      <c r="V434" s="240"/>
      <c r="W434" s="240"/>
      <c r="X434" s="238"/>
      <c r="Y434" s="238"/>
      <c r="Z434" s="238"/>
    </row>
    <row r="435" spans="1:26" ht="12.5">
      <c r="A435" s="238"/>
      <c r="B435" s="238"/>
      <c r="C435" s="238"/>
      <c r="D435" s="238"/>
      <c r="E435" s="238"/>
      <c r="F435" s="238"/>
      <c r="G435" s="238"/>
      <c r="H435" s="238"/>
      <c r="I435" s="238"/>
      <c r="J435" s="238"/>
      <c r="K435" s="237"/>
      <c r="L435" s="238"/>
      <c r="M435" s="238"/>
      <c r="N435" s="238"/>
      <c r="O435" s="238"/>
      <c r="P435" s="238"/>
      <c r="Q435" s="238"/>
      <c r="R435" s="238"/>
      <c r="S435" s="238"/>
      <c r="T435" s="238"/>
      <c r="U435" s="238"/>
      <c r="V435" s="240"/>
      <c r="W435" s="240"/>
      <c r="X435" s="238"/>
      <c r="Y435" s="238"/>
      <c r="Z435" s="238"/>
    </row>
    <row r="436" spans="1:26" ht="12.5">
      <c r="A436" s="238"/>
      <c r="B436" s="238"/>
      <c r="C436" s="238"/>
      <c r="D436" s="238"/>
      <c r="E436" s="238"/>
      <c r="F436" s="238"/>
      <c r="G436" s="238"/>
      <c r="H436" s="238"/>
      <c r="I436" s="238"/>
      <c r="J436" s="238"/>
      <c r="K436" s="237"/>
      <c r="L436" s="238"/>
      <c r="M436" s="238"/>
      <c r="N436" s="238"/>
      <c r="O436" s="238"/>
      <c r="P436" s="238"/>
      <c r="Q436" s="238"/>
      <c r="R436" s="238"/>
      <c r="S436" s="238"/>
      <c r="T436" s="238"/>
      <c r="U436" s="238"/>
      <c r="V436" s="240"/>
      <c r="W436" s="240"/>
      <c r="X436" s="238"/>
      <c r="Y436" s="238"/>
      <c r="Z436" s="238"/>
    </row>
    <row r="437" spans="1:26" ht="12.5">
      <c r="A437" s="238"/>
      <c r="B437" s="238"/>
      <c r="C437" s="238"/>
      <c r="D437" s="238"/>
      <c r="E437" s="238"/>
      <c r="F437" s="238"/>
      <c r="G437" s="238"/>
      <c r="H437" s="238"/>
      <c r="I437" s="238"/>
      <c r="J437" s="238"/>
      <c r="K437" s="237"/>
      <c r="L437" s="238"/>
      <c r="M437" s="238"/>
      <c r="N437" s="238"/>
      <c r="O437" s="238"/>
      <c r="P437" s="238"/>
      <c r="Q437" s="238"/>
      <c r="R437" s="238"/>
      <c r="S437" s="238"/>
      <c r="T437" s="238"/>
      <c r="U437" s="238"/>
      <c r="V437" s="240"/>
      <c r="W437" s="240"/>
      <c r="X437" s="238"/>
      <c r="Y437" s="238"/>
      <c r="Z437" s="238"/>
    </row>
    <row r="438" spans="1:26" ht="12.5">
      <c r="A438" s="238"/>
      <c r="B438" s="238"/>
      <c r="C438" s="238"/>
      <c r="D438" s="238"/>
      <c r="E438" s="238"/>
      <c r="F438" s="238"/>
      <c r="G438" s="238"/>
      <c r="H438" s="238"/>
      <c r="I438" s="238"/>
      <c r="J438" s="238"/>
      <c r="K438" s="237"/>
      <c r="L438" s="238"/>
      <c r="M438" s="238"/>
      <c r="N438" s="238"/>
      <c r="O438" s="238"/>
      <c r="P438" s="238"/>
      <c r="Q438" s="238"/>
      <c r="R438" s="238"/>
      <c r="S438" s="238"/>
      <c r="T438" s="238"/>
      <c r="U438" s="238"/>
      <c r="V438" s="240"/>
      <c r="W438" s="240"/>
      <c r="X438" s="238"/>
      <c r="Y438" s="238"/>
      <c r="Z438" s="238"/>
    </row>
    <row r="439" spans="1:26" ht="12.5">
      <c r="A439" s="238"/>
      <c r="B439" s="238"/>
      <c r="C439" s="238"/>
      <c r="D439" s="238"/>
      <c r="E439" s="238"/>
      <c r="F439" s="238"/>
      <c r="G439" s="238"/>
      <c r="H439" s="238"/>
      <c r="I439" s="238"/>
      <c r="J439" s="238"/>
      <c r="K439" s="237"/>
      <c r="L439" s="238"/>
      <c r="M439" s="238"/>
      <c r="N439" s="238"/>
      <c r="O439" s="238"/>
      <c r="P439" s="238"/>
      <c r="Q439" s="238"/>
      <c r="R439" s="238"/>
      <c r="S439" s="238"/>
      <c r="T439" s="238"/>
      <c r="U439" s="238"/>
      <c r="V439" s="240"/>
      <c r="W439" s="240"/>
      <c r="X439" s="238"/>
      <c r="Y439" s="238"/>
      <c r="Z439" s="238"/>
    </row>
    <row r="440" spans="1:26" ht="12.5">
      <c r="A440" s="238"/>
      <c r="B440" s="238"/>
      <c r="C440" s="238"/>
      <c r="D440" s="238"/>
      <c r="E440" s="238"/>
      <c r="F440" s="238"/>
      <c r="G440" s="238"/>
      <c r="H440" s="238"/>
      <c r="I440" s="238"/>
      <c r="J440" s="238"/>
      <c r="K440" s="237"/>
      <c r="L440" s="238"/>
      <c r="M440" s="238"/>
      <c r="N440" s="238"/>
      <c r="O440" s="238"/>
      <c r="P440" s="238"/>
      <c r="Q440" s="238"/>
      <c r="R440" s="238"/>
      <c r="S440" s="238"/>
      <c r="T440" s="238"/>
      <c r="U440" s="238"/>
      <c r="V440" s="240"/>
      <c r="W440" s="240"/>
      <c r="X440" s="238"/>
      <c r="Y440" s="238"/>
      <c r="Z440" s="238"/>
    </row>
    <row r="441" spans="1:26" ht="12.5">
      <c r="A441" s="238"/>
      <c r="B441" s="238"/>
      <c r="C441" s="238"/>
      <c r="D441" s="238"/>
      <c r="E441" s="238"/>
      <c r="F441" s="238"/>
      <c r="G441" s="238"/>
      <c r="H441" s="238"/>
      <c r="I441" s="238"/>
      <c r="J441" s="238"/>
      <c r="K441" s="237"/>
      <c r="L441" s="238"/>
      <c r="M441" s="238"/>
      <c r="N441" s="238"/>
      <c r="O441" s="238"/>
      <c r="P441" s="238"/>
      <c r="Q441" s="238"/>
      <c r="R441" s="238"/>
      <c r="S441" s="238"/>
      <c r="T441" s="238"/>
      <c r="U441" s="238"/>
      <c r="V441" s="240"/>
      <c r="W441" s="240"/>
      <c r="X441" s="238"/>
      <c r="Y441" s="238"/>
      <c r="Z441" s="238"/>
    </row>
    <row r="442" spans="1:26" ht="12.5">
      <c r="A442" s="238"/>
      <c r="B442" s="238"/>
      <c r="C442" s="238"/>
      <c r="D442" s="238"/>
      <c r="E442" s="238"/>
      <c r="F442" s="238"/>
      <c r="G442" s="238"/>
      <c r="H442" s="238"/>
      <c r="I442" s="238"/>
      <c r="J442" s="238"/>
      <c r="K442" s="237"/>
      <c r="L442" s="238"/>
      <c r="M442" s="238"/>
      <c r="N442" s="238"/>
      <c r="O442" s="238"/>
      <c r="P442" s="238"/>
      <c r="Q442" s="238"/>
      <c r="R442" s="238"/>
      <c r="S442" s="238"/>
      <c r="T442" s="238"/>
      <c r="U442" s="238"/>
      <c r="V442" s="240"/>
      <c r="W442" s="240"/>
      <c r="X442" s="238"/>
      <c r="Y442" s="238"/>
      <c r="Z442" s="238"/>
    </row>
    <row r="443" spans="1:26" ht="12.5">
      <c r="A443" s="238"/>
      <c r="B443" s="238"/>
      <c r="C443" s="238"/>
      <c r="D443" s="238"/>
      <c r="E443" s="238"/>
      <c r="F443" s="238"/>
      <c r="G443" s="238"/>
      <c r="H443" s="238"/>
      <c r="I443" s="238"/>
      <c r="J443" s="238"/>
      <c r="K443" s="237"/>
      <c r="L443" s="238"/>
      <c r="M443" s="238"/>
      <c r="N443" s="238"/>
      <c r="O443" s="238"/>
      <c r="P443" s="238"/>
      <c r="Q443" s="238"/>
      <c r="R443" s="238"/>
      <c r="S443" s="238"/>
      <c r="T443" s="238"/>
      <c r="U443" s="238"/>
      <c r="V443" s="240"/>
      <c r="W443" s="240"/>
      <c r="X443" s="238"/>
      <c r="Y443" s="238"/>
      <c r="Z443" s="238"/>
    </row>
    <row r="444" spans="1:26" ht="12.5">
      <c r="A444" s="238"/>
      <c r="B444" s="238"/>
      <c r="C444" s="238"/>
      <c r="D444" s="238"/>
      <c r="E444" s="238"/>
      <c r="F444" s="238"/>
      <c r="G444" s="238"/>
      <c r="H444" s="238"/>
      <c r="I444" s="238"/>
      <c r="J444" s="238"/>
      <c r="K444" s="237"/>
      <c r="L444" s="238"/>
      <c r="M444" s="238"/>
      <c r="N444" s="238"/>
      <c r="O444" s="238"/>
      <c r="P444" s="238"/>
      <c r="Q444" s="238"/>
      <c r="R444" s="238"/>
      <c r="S444" s="238"/>
      <c r="T444" s="238"/>
      <c r="U444" s="238"/>
      <c r="V444" s="240"/>
      <c r="W444" s="240"/>
      <c r="X444" s="238"/>
      <c r="Y444" s="238"/>
      <c r="Z444" s="238"/>
    </row>
    <row r="445" spans="1:26" ht="12.5">
      <c r="A445" s="238"/>
      <c r="B445" s="238"/>
      <c r="C445" s="238"/>
      <c r="D445" s="238"/>
      <c r="E445" s="238"/>
      <c r="F445" s="238"/>
      <c r="G445" s="238"/>
      <c r="H445" s="238"/>
      <c r="I445" s="238"/>
      <c r="J445" s="238"/>
      <c r="K445" s="237"/>
      <c r="L445" s="238"/>
      <c r="M445" s="238"/>
      <c r="N445" s="238"/>
      <c r="O445" s="238"/>
      <c r="P445" s="238"/>
      <c r="Q445" s="238"/>
      <c r="R445" s="238"/>
      <c r="S445" s="238"/>
      <c r="T445" s="238"/>
      <c r="U445" s="238"/>
      <c r="V445" s="240"/>
      <c r="W445" s="240"/>
      <c r="X445" s="238"/>
      <c r="Y445" s="238"/>
      <c r="Z445" s="238"/>
    </row>
    <row r="446" spans="1:26" ht="12.5">
      <c r="A446" s="238"/>
      <c r="B446" s="238"/>
      <c r="C446" s="238"/>
      <c r="D446" s="238"/>
      <c r="E446" s="238"/>
      <c r="F446" s="238"/>
      <c r="G446" s="238"/>
      <c r="H446" s="238"/>
      <c r="I446" s="238"/>
      <c r="J446" s="238"/>
      <c r="K446" s="237"/>
      <c r="L446" s="238"/>
      <c r="M446" s="238"/>
      <c r="N446" s="238"/>
      <c r="O446" s="238"/>
      <c r="P446" s="238"/>
      <c r="Q446" s="238"/>
      <c r="R446" s="238"/>
      <c r="S446" s="238"/>
      <c r="T446" s="238"/>
      <c r="U446" s="238"/>
      <c r="V446" s="240"/>
      <c r="W446" s="240"/>
      <c r="X446" s="238"/>
      <c r="Y446" s="238"/>
      <c r="Z446" s="238"/>
    </row>
    <row r="447" spans="1:26" ht="12.5">
      <c r="A447" s="238"/>
      <c r="B447" s="238"/>
      <c r="C447" s="238"/>
      <c r="D447" s="238"/>
      <c r="E447" s="238"/>
      <c r="F447" s="238"/>
      <c r="G447" s="238"/>
      <c r="H447" s="238"/>
      <c r="I447" s="238"/>
      <c r="J447" s="238"/>
      <c r="K447" s="237"/>
      <c r="L447" s="238"/>
      <c r="M447" s="238"/>
      <c r="N447" s="238"/>
      <c r="O447" s="238"/>
      <c r="P447" s="238"/>
      <c r="Q447" s="238"/>
      <c r="R447" s="238"/>
      <c r="S447" s="238"/>
      <c r="T447" s="238"/>
      <c r="U447" s="238"/>
      <c r="V447" s="240"/>
      <c r="W447" s="240"/>
      <c r="X447" s="238"/>
      <c r="Y447" s="238"/>
      <c r="Z447" s="238"/>
    </row>
    <row r="448" spans="1:26" ht="12.5">
      <c r="A448" s="238"/>
      <c r="B448" s="238"/>
      <c r="C448" s="238"/>
      <c r="D448" s="238"/>
      <c r="E448" s="238"/>
      <c r="F448" s="238"/>
      <c r="G448" s="238"/>
      <c r="H448" s="238"/>
      <c r="I448" s="238"/>
      <c r="J448" s="238"/>
      <c r="K448" s="237"/>
      <c r="L448" s="238"/>
      <c r="M448" s="238"/>
      <c r="N448" s="238"/>
      <c r="O448" s="238"/>
      <c r="P448" s="238"/>
      <c r="Q448" s="238"/>
      <c r="R448" s="238"/>
      <c r="S448" s="238"/>
      <c r="T448" s="238"/>
      <c r="U448" s="238"/>
      <c r="V448" s="240"/>
      <c r="W448" s="240"/>
      <c r="X448" s="238"/>
      <c r="Y448" s="238"/>
      <c r="Z448" s="238"/>
    </row>
    <row r="449" spans="1:26" ht="12.5">
      <c r="A449" s="238"/>
      <c r="B449" s="238"/>
      <c r="C449" s="238"/>
      <c r="D449" s="238"/>
      <c r="E449" s="238"/>
      <c r="F449" s="238"/>
      <c r="G449" s="238"/>
      <c r="H449" s="238"/>
      <c r="I449" s="238"/>
      <c r="J449" s="238"/>
      <c r="K449" s="237"/>
      <c r="L449" s="238"/>
      <c r="M449" s="238"/>
      <c r="N449" s="238"/>
      <c r="O449" s="238"/>
      <c r="P449" s="238"/>
      <c r="Q449" s="238"/>
      <c r="R449" s="238"/>
      <c r="S449" s="238"/>
      <c r="T449" s="238"/>
      <c r="U449" s="238"/>
      <c r="V449" s="240"/>
      <c r="W449" s="240"/>
      <c r="X449" s="238"/>
      <c r="Y449" s="238"/>
      <c r="Z449" s="238"/>
    </row>
    <row r="450" spans="1:26" ht="12.5">
      <c r="A450" s="238"/>
      <c r="B450" s="238"/>
      <c r="C450" s="238"/>
      <c r="D450" s="238"/>
      <c r="E450" s="238"/>
      <c r="F450" s="238"/>
      <c r="G450" s="238"/>
      <c r="H450" s="238"/>
      <c r="I450" s="238"/>
      <c r="J450" s="238"/>
      <c r="K450" s="237"/>
      <c r="L450" s="238"/>
      <c r="M450" s="238"/>
      <c r="N450" s="238"/>
      <c r="O450" s="238"/>
      <c r="P450" s="238"/>
      <c r="Q450" s="238"/>
      <c r="R450" s="238"/>
      <c r="S450" s="238"/>
      <c r="T450" s="238"/>
      <c r="U450" s="238"/>
      <c r="V450" s="240"/>
      <c r="W450" s="240"/>
      <c r="X450" s="238"/>
      <c r="Y450" s="238"/>
      <c r="Z450" s="238"/>
    </row>
    <row r="451" spans="1:26" ht="12.5">
      <c r="A451" s="238"/>
      <c r="B451" s="238"/>
      <c r="C451" s="238"/>
      <c r="D451" s="238"/>
      <c r="E451" s="238"/>
      <c r="F451" s="238"/>
      <c r="G451" s="238"/>
      <c r="H451" s="238"/>
      <c r="I451" s="238"/>
      <c r="J451" s="238"/>
      <c r="K451" s="237"/>
      <c r="L451" s="238"/>
      <c r="M451" s="238"/>
      <c r="N451" s="238"/>
      <c r="O451" s="238"/>
      <c r="P451" s="238"/>
      <c r="Q451" s="238"/>
      <c r="R451" s="238"/>
      <c r="S451" s="238"/>
      <c r="T451" s="238"/>
      <c r="U451" s="238"/>
      <c r="V451" s="240"/>
      <c r="W451" s="240"/>
      <c r="X451" s="238"/>
      <c r="Y451" s="238"/>
      <c r="Z451" s="238"/>
    </row>
    <row r="452" spans="1:26" ht="12.5">
      <c r="A452" s="238"/>
      <c r="B452" s="238"/>
      <c r="C452" s="238"/>
      <c r="D452" s="238"/>
      <c r="E452" s="238"/>
      <c r="F452" s="238"/>
      <c r="G452" s="238"/>
      <c r="H452" s="238"/>
      <c r="I452" s="238"/>
      <c r="J452" s="238"/>
      <c r="K452" s="237"/>
      <c r="L452" s="238"/>
      <c r="M452" s="238"/>
      <c r="N452" s="238"/>
      <c r="O452" s="238"/>
      <c r="P452" s="238"/>
      <c r="Q452" s="238"/>
      <c r="R452" s="238"/>
      <c r="S452" s="238"/>
      <c r="T452" s="238"/>
      <c r="U452" s="238"/>
      <c r="V452" s="240"/>
      <c r="W452" s="240"/>
      <c r="X452" s="238"/>
      <c r="Y452" s="238"/>
      <c r="Z452" s="238"/>
    </row>
    <row r="453" spans="1:26" ht="12.5">
      <c r="A453" s="238"/>
      <c r="B453" s="238"/>
      <c r="C453" s="238"/>
      <c r="D453" s="238"/>
      <c r="E453" s="238"/>
      <c r="F453" s="238"/>
      <c r="G453" s="238"/>
      <c r="H453" s="238"/>
      <c r="I453" s="238"/>
      <c r="J453" s="238"/>
      <c r="K453" s="237"/>
      <c r="L453" s="238"/>
      <c r="M453" s="238"/>
      <c r="N453" s="238"/>
      <c r="O453" s="238"/>
      <c r="P453" s="238"/>
      <c r="Q453" s="238"/>
      <c r="R453" s="238"/>
      <c r="S453" s="238"/>
      <c r="T453" s="238"/>
      <c r="U453" s="238"/>
      <c r="V453" s="240"/>
      <c r="W453" s="240"/>
      <c r="X453" s="238"/>
      <c r="Y453" s="238"/>
      <c r="Z453" s="238"/>
    </row>
    <row r="454" spans="1:26" ht="12.5">
      <c r="A454" s="238"/>
      <c r="B454" s="238"/>
      <c r="C454" s="238"/>
      <c r="D454" s="238"/>
      <c r="E454" s="238"/>
      <c r="F454" s="238"/>
      <c r="G454" s="238"/>
      <c r="H454" s="238"/>
      <c r="I454" s="238"/>
      <c r="J454" s="238"/>
      <c r="K454" s="237"/>
      <c r="L454" s="238"/>
      <c r="M454" s="238"/>
      <c r="N454" s="238"/>
      <c r="O454" s="238"/>
      <c r="P454" s="238"/>
      <c r="Q454" s="238"/>
      <c r="R454" s="238"/>
      <c r="S454" s="238"/>
      <c r="T454" s="238"/>
      <c r="U454" s="238"/>
      <c r="V454" s="240"/>
      <c r="W454" s="240"/>
      <c r="X454" s="238"/>
      <c r="Y454" s="238"/>
      <c r="Z454" s="238"/>
    </row>
    <row r="455" spans="1:26" ht="12.5">
      <c r="A455" s="238"/>
      <c r="B455" s="238"/>
      <c r="C455" s="238"/>
      <c r="D455" s="238"/>
      <c r="E455" s="238"/>
      <c r="F455" s="238"/>
      <c r="G455" s="238"/>
      <c r="H455" s="238"/>
      <c r="I455" s="238"/>
      <c r="J455" s="238"/>
      <c r="K455" s="237"/>
      <c r="L455" s="238"/>
      <c r="M455" s="238"/>
      <c r="N455" s="238"/>
      <c r="O455" s="238"/>
      <c r="P455" s="238"/>
      <c r="Q455" s="238"/>
      <c r="R455" s="238"/>
      <c r="S455" s="238"/>
      <c r="T455" s="238"/>
      <c r="U455" s="238"/>
      <c r="V455" s="240"/>
      <c r="W455" s="240"/>
      <c r="X455" s="238"/>
      <c r="Y455" s="238"/>
      <c r="Z455" s="238"/>
    </row>
    <row r="456" spans="1:26" ht="12.5">
      <c r="A456" s="238"/>
      <c r="B456" s="238"/>
      <c r="C456" s="238"/>
      <c r="D456" s="238"/>
      <c r="E456" s="238"/>
      <c r="F456" s="238"/>
      <c r="G456" s="238"/>
      <c r="H456" s="238"/>
      <c r="I456" s="238"/>
      <c r="J456" s="238"/>
      <c r="K456" s="237"/>
      <c r="L456" s="238"/>
      <c r="M456" s="238"/>
      <c r="N456" s="238"/>
      <c r="O456" s="238"/>
      <c r="P456" s="238"/>
      <c r="Q456" s="238"/>
      <c r="R456" s="238"/>
      <c r="S456" s="238"/>
      <c r="T456" s="238"/>
      <c r="U456" s="238"/>
      <c r="V456" s="240"/>
      <c r="W456" s="240"/>
      <c r="X456" s="238"/>
      <c r="Y456" s="238"/>
      <c r="Z456" s="238"/>
    </row>
    <row r="457" spans="1:26" ht="12.5">
      <c r="A457" s="238"/>
      <c r="B457" s="238"/>
      <c r="C457" s="238"/>
      <c r="D457" s="238"/>
      <c r="E457" s="238"/>
      <c r="F457" s="238"/>
      <c r="G457" s="238"/>
      <c r="H457" s="238"/>
      <c r="I457" s="238"/>
      <c r="J457" s="238"/>
      <c r="K457" s="237"/>
      <c r="L457" s="238"/>
      <c r="M457" s="238"/>
      <c r="N457" s="238"/>
      <c r="O457" s="238"/>
      <c r="P457" s="238"/>
      <c r="Q457" s="238"/>
      <c r="R457" s="238"/>
      <c r="S457" s="238"/>
      <c r="T457" s="238"/>
      <c r="U457" s="238"/>
      <c r="V457" s="240"/>
      <c r="W457" s="240"/>
      <c r="X457" s="238"/>
      <c r="Y457" s="238"/>
      <c r="Z457" s="238"/>
    </row>
    <row r="458" spans="1:26" ht="12.5">
      <c r="A458" s="238"/>
      <c r="B458" s="238"/>
      <c r="C458" s="238"/>
      <c r="D458" s="238"/>
      <c r="E458" s="238"/>
      <c r="F458" s="238"/>
      <c r="G458" s="238"/>
      <c r="H458" s="238"/>
      <c r="I458" s="238"/>
      <c r="J458" s="238"/>
      <c r="K458" s="237"/>
      <c r="L458" s="238"/>
      <c r="M458" s="238"/>
      <c r="N458" s="238"/>
      <c r="O458" s="238"/>
      <c r="P458" s="238"/>
      <c r="Q458" s="238"/>
      <c r="R458" s="238"/>
      <c r="S458" s="238"/>
      <c r="T458" s="238"/>
      <c r="U458" s="238"/>
      <c r="V458" s="240"/>
      <c r="W458" s="240"/>
      <c r="X458" s="238"/>
      <c r="Y458" s="238"/>
      <c r="Z458" s="238"/>
    </row>
    <row r="459" spans="1:26" ht="12.5">
      <c r="A459" s="238"/>
      <c r="B459" s="238"/>
      <c r="C459" s="238"/>
      <c r="D459" s="238"/>
      <c r="E459" s="238"/>
      <c r="F459" s="238"/>
      <c r="G459" s="238"/>
      <c r="H459" s="238"/>
      <c r="I459" s="238"/>
      <c r="J459" s="238"/>
      <c r="K459" s="237"/>
      <c r="L459" s="238"/>
      <c r="M459" s="238"/>
      <c r="N459" s="238"/>
      <c r="O459" s="238"/>
      <c r="P459" s="238"/>
      <c r="Q459" s="238"/>
      <c r="R459" s="238"/>
      <c r="S459" s="238"/>
      <c r="T459" s="238"/>
      <c r="U459" s="238"/>
      <c r="V459" s="240"/>
      <c r="W459" s="240"/>
      <c r="X459" s="238"/>
      <c r="Y459" s="238"/>
      <c r="Z459" s="238"/>
    </row>
    <row r="460" spans="1:26" ht="12.5">
      <c r="A460" s="238"/>
      <c r="B460" s="238"/>
      <c r="C460" s="238"/>
      <c r="D460" s="238"/>
      <c r="E460" s="238"/>
      <c r="F460" s="238"/>
      <c r="G460" s="238"/>
      <c r="H460" s="238"/>
      <c r="I460" s="238"/>
      <c r="J460" s="238"/>
      <c r="K460" s="237"/>
      <c r="L460" s="238"/>
      <c r="M460" s="238"/>
      <c r="N460" s="238"/>
      <c r="O460" s="238"/>
      <c r="P460" s="238"/>
      <c r="Q460" s="238"/>
      <c r="R460" s="238"/>
      <c r="S460" s="238"/>
      <c r="T460" s="238"/>
      <c r="U460" s="238"/>
      <c r="V460" s="240"/>
      <c r="W460" s="240"/>
      <c r="X460" s="238"/>
      <c r="Y460" s="238"/>
      <c r="Z460" s="238"/>
    </row>
    <row r="461" spans="1:26" ht="12.5">
      <c r="A461" s="238"/>
      <c r="B461" s="238"/>
      <c r="C461" s="238"/>
      <c r="D461" s="238"/>
      <c r="E461" s="238"/>
      <c r="F461" s="238"/>
      <c r="G461" s="238"/>
      <c r="H461" s="238"/>
      <c r="I461" s="238"/>
      <c r="J461" s="238"/>
      <c r="K461" s="237"/>
      <c r="L461" s="238"/>
      <c r="M461" s="238"/>
      <c r="N461" s="238"/>
      <c r="O461" s="238"/>
      <c r="P461" s="238"/>
      <c r="Q461" s="238"/>
      <c r="R461" s="238"/>
      <c r="S461" s="238"/>
      <c r="T461" s="238"/>
      <c r="U461" s="238"/>
      <c r="V461" s="240"/>
      <c r="W461" s="240"/>
      <c r="X461" s="238"/>
      <c r="Y461" s="238"/>
      <c r="Z461" s="238"/>
    </row>
    <row r="462" spans="1:26" ht="12.5">
      <c r="A462" s="238"/>
      <c r="B462" s="238"/>
      <c r="C462" s="238"/>
      <c r="D462" s="238"/>
      <c r="E462" s="238"/>
      <c r="F462" s="238"/>
      <c r="G462" s="238"/>
      <c r="H462" s="238"/>
      <c r="I462" s="238"/>
      <c r="J462" s="238"/>
      <c r="K462" s="237"/>
      <c r="L462" s="238"/>
      <c r="M462" s="238"/>
      <c r="N462" s="238"/>
      <c r="O462" s="238"/>
      <c r="P462" s="238"/>
      <c r="Q462" s="238"/>
      <c r="R462" s="238"/>
      <c r="S462" s="238"/>
      <c r="T462" s="238"/>
      <c r="U462" s="238"/>
      <c r="V462" s="240"/>
      <c r="W462" s="240"/>
      <c r="X462" s="238"/>
      <c r="Y462" s="238"/>
      <c r="Z462" s="238"/>
    </row>
    <row r="463" spans="1:26" ht="12.5">
      <c r="A463" s="238"/>
      <c r="B463" s="238"/>
      <c r="C463" s="238"/>
      <c r="D463" s="238"/>
      <c r="E463" s="238"/>
      <c r="F463" s="238"/>
      <c r="G463" s="238"/>
      <c r="H463" s="238"/>
      <c r="I463" s="238"/>
      <c r="J463" s="238"/>
      <c r="K463" s="237"/>
      <c r="L463" s="238"/>
      <c r="M463" s="238"/>
      <c r="N463" s="238"/>
      <c r="O463" s="238"/>
      <c r="P463" s="238"/>
      <c r="Q463" s="238"/>
      <c r="R463" s="238"/>
      <c r="S463" s="238"/>
      <c r="T463" s="238"/>
      <c r="U463" s="238"/>
      <c r="V463" s="240"/>
      <c r="W463" s="240"/>
      <c r="X463" s="238"/>
      <c r="Y463" s="238"/>
      <c r="Z463" s="238"/>
    </row>
    <row r="464" spans="1:26" ht="12.5">
      <c r="A464" s="238"/>
      <c r="B464" s="238"/>
      <c r="C464" s="238"/>
      <c r="D464" s="238"/>
      <c r="E464" s="238"/>
      <c r="F464" s="238"/>
      <c r="G464" s="238"/>
      <c r="H464" s="238"/>
      <c r="I464" s="238"/>
      <c r="J464" s="238"/>
      <c r="K464" s="237"/>
      <c r="L464" s="238"/>
      <c r="M464" s="238"/>
      <c r="N464" s="238"/>
      <c r="O464" s="238"/>
      <c r="P464" s="238"/>
      <c r="Q464" s="238"/>
      <c r="R464" s="238"/>
      <c r="S464" s="238"/>
      <c r="T464" s="238"/>
      <c r="U464" s="238"/>
      <c r="V464" s="240"/>
      <c r="W464" s="240"/>
      <c r="X464" s="238"/>
      <c r="Y464" s="238"/>
      <c r="Z464" s="238"/>
    </row>
    <row r="465" spans="1:26" ht="12.5">
      <c r="A465" s="238"/>
      <c r="B465" s="238"/>
      <c r="C465" s="238"/>
      <c r="D465" s="238"/>
      <c r="E465" s="238"/>
      <c r="F465" s="238"/>
      <c r="G465" s="238"/>
      <c r="H465" s="238"/>
      <c r="I465" s="238"/>
      <c r="J465" s="238"/>
      <c r="K465" s="237"/>
      <c r="L465" s="238"/>
      <c r="M465" s="238"/>
      <c r="N465" s="238"/>
      <c r="O465" s="238"/>
      <c r="P465" s="238"/>
      <c r="Q465" s="238"/>
      <c r="R465" s="238"/>
      <c r="S465" s="238"/>
      <c r="T465" s="238"/>
      <c r="U465" s="238"/>
      <c r="V465" s="240"/>
      <c r="W465" s="240"/>
      <c r="X465" s="238"/>
      <c r="Y465" s="238"/>
      <c r="Z465" s="238"/>
    </row>
    <row r="466" spans="1:26" ht="12.5">
      <c r="A466" s="238"/>
      <c r="B466" s="238"/>
      <c r="C466" s="238"/>
      <c r="D466" s="238"/>
      <c r="E466" s="238"/>
      <c r="F466" s="238"/>
      <c r="G466" s="238"/>
      <c r="H466" s="238"/>
      <c r="I466" s="238"/>
      <c r="J466" s="238"/>
      <c r="K466" s="237"/>
      <c r="L466" s="238"/>
      <c r="M466" s="238"/>
      <c r="N466" s="238"/>
      <c r="O466" s="238"/>
      <c r="P466" s="238"/>
      <c r="Q466" s="238"/>
      <c r="R466" s="238"/>
      <c r="S466" s="238"/>
      <c r="T466" s="238"/>
      <c r="U466" s="238"/>
      <c r="V466" s="240"/>
      <c r="W466" s="240"/>
      <c r="X466" s="238"/>
      <c r="Y466" s="238"/>
      <c r="Z466" s="238"/>
    </row>
    <row r="467" spans="1:26" ht="12.5">
      <c r="A467" s="238"/>
      <c r="B467" s="238"/>
      <c r="C467" s="238"/>
      <c r="D467" s="238"/>
      <c r="E467" s="238"/>
      <c r="F467" s="238"/>
      <c r="G467" s="238"/>
      <c r="H467" s="238"/>
      <c r="I467" s="238"/>
      <c r="J467" s="238"/>
      <c r="K467" s="237"/>
      <c r="L467" s="238"/>
      <c r="M467" s="238"/>
      <c r="N467" s="238"/>
      <c r="O467" s="238"/>
      <c r="P467" s="238"/>
      <c r="Q467" s="238"/>
      <c r="R467" s="238"/>
      <c r="S467" s="238"/>
      <c r="T467" s="238"/>
      <c r="U467" s="238"/>
      <c r="V467" s="240"/>
      <c r="W467" s="240"/>
      <c r="X467" s="238"/>
      <c r="Y467" s="238"/>
      <c r="Z467" s="238"/>
    </row>
    <row r="468" spans="1:26" ht="12.5">
      <c r="A468" s="238"/>
      <c r="B468" s="238"/>
      <c r="C468" s="238"/>
      <c r="D468" s="238"/>
      <c r="E468" s="238"/>
      <c r="F468" s="238"/>
      <c r="G468" s="238"/>
      <c r="H468" s="238"/>
      <c r="I468" s="238"/>
      <c r="J468" s="238"/>
      <c r="K468" s="237"/>
      <c r="L468" s="238"/>
      <c r="M468" s="238"/>
      <c r="N468" s="238"/>
      <c r="O468" s="238"/>
      <c r="P468" s="238"/>
      <c r="Q468" s="238"/>
      <c r="R468" s="238"/>
      <c r="S468" s="238"/>
      <c r="T468" s="238"/>
      <c r="U468" s="238"/>
      <c r="V468" s="240"/>
      <c r="W468" s="240"/>
      <c r="X468" s="238"/>
      <c r="Y468" s="238"/>
      <c r="Z468" s="238"/>
    </row>
    <row r="469" spans="1:26" ht="12.5">
      <c r="A469" s="238"/>
      <c r="B469" s="238"/>
      <c r="C469" s="238"/>
      <c r="D469" s="238"/>
      <c r="E469" s="238"/>
      <c r="F469" s="238"/>
      <c r="G469" s="238"/>
      <c r="H469" s="238"/>
      <c r="I469" s="238"/>
      <c r="J469" s="238"/>
      <c r="K469" s="237"/>
      <c r="L469" s="238"/>
      <c r="M469" s="238"/>
      <c r="N469" s="238"/>
      <c r="O469" s="238"/>
      <c r="P469" s="238"/>
      <c r="Q469" s="238"/>
      <c r="R469" s="238"/>
      <c r="S469" s="238"/>
      <c r="T469" s="238"/>
      <c r="U469" s="238"/>
      <c r="V469" s="240"/>
      <c r="W469" s="240"/>
      <c r="X469" s="238"/>
      <c r="Y469" s="238"/>
      <c r="Z469" s="238"/>
    </row>
    <row r="470" spans="1:26" ht="12.5">
      <c r="A470" s="238"/>
      <c r="B470" s="238"/>
      <c r="C470" s="238"/>
      <c r="D470" s="238"/>
      <c r="E470" s="238"/>
      <c r="F470" s="238"/>
      <c r="G470" s="238"/>
      <c r="H470" s="238"/>
      <c r="I470" s="238"/>
      <c r="J470" s="238"/>
      <c r="K470" s="237"/>
      <c r="L470" s="238"/>
      <c r="M470" s="238"/>
      <c r="N470" s="238"/>
      <c r="O470" s="238"/>
      <c r="P470" s="238"/>
      <c r="Q470" s="238"/>
      <c r="R470" s="238"/>
      <c r="S470" s="238"/>
      <c r="T470" s="238"/>
      <c r="U470" s="238"/>
      <c r="V470" s="240"/>
      <c r="W470" s="240"/>
      <c r="X470" s="238"/>
      <c r="Y470" s="238"/>
      <c r="Z470" s="238"/>
    </row>
    <row r="471" spans="1:26" ht="12.5">
      <c r="A471" s="238"/>
      <c r="B471" s="238"/>
      <c r="C471" s="238"/>
      <c r="D471" s="238"/>
      <c r="E471" s="238"/>
      <c r="F471" s="238"/>
      <c r="G471" s="238"/>
      <c r="H471" s="238"/>
      <c r="I471" s="238"/>
      <c r="J471" s="238"/>
      <c r="K471" s="237"/>
      <c r="L471" s="238"/>
      <c r="M471" s="238"/>
      <c r="N471" s="238"/>
      <c r="O471" s="238"/>
      <c r="P471" s="238"/>
      <c r="Q471" s="238"/>
      <c r="R471" s="238"/>
      <c r="S471" s="238"/>
      <c r="T471" s="238"/>
      <c r="U471" s="238"/>
      <c r="V471" s="240"/>
      <c r="W471" s="240"/>
      <c r="X471" s="238"/>
      <c r="Y471" s="238"/>
      <c r="Z471" s="238"/>
    </row>
    <row r="472" spans="1:26" ht="12.5">
      <c r="A472" s="238"/>
      <c r="B472" s="238"/>
      <c r="C472" s="238"/>
      <c r="D472" s="238"/>
      <c r="E472" s="238"/>
      <c r="F472" s="238"/>
      <c r="G472" s="238"/>
      <c r="H472" s="238"/>
      <c r="I472" s="238"/>
      <c r="J472" s="238"/>
      <c r="K472" s="237"/>
      <c r="L472" s="238"/>
      <c r="M472" s="238"/>
      <c r="N472" s="238"/>
      <c r="O472" s="238"/>
      <c r="P472" s="238"/>
      <c r="Q472" s="238"/>
      <c r="R472" s="238"/>
      <c r="S472" s="238"/>
      <c r="T472" s="238"/>
      <c r="U472" s="238"/>
      <c r="V472" s="240"/>
      <c r="W472" s="240"/>
      <c r="X472" s="238"/>
      <c r="Y472" s="238"/>
      <c r="Z472" s="238"/>
    </row>
    <row r="473" spans="1:26" ht="12.5">
      <c r="A473" s="238"/>
      <c r="B473" s="238"/>
      <c r="C473" s="238"/>
      <c r="D473" s="238"/>
      <c r="E473" s="238"/>
      <c r="F473" s="238"/>
      <c r="G473" s="238"/>
      <c r="H473" s="238"/>
      <c r="I473" s="238"/>
      <c r="J473" s="238"/>
      <c r="K473" s="237"/>
      <c r="L473" s="238"/>
      <c r="M473" s="238"/>
      <c r="N473" s="238"/>
      <c r="O473" s="238"/>
      <c r="P473" s="238"/>
      <c r="Q473" s="238"/>
      <c r="R473" s="238"/>
      <c r="S473" s="238"/>
      <c r="T473" s="238"/>
      <c r="U473" s="238"/>
      <c r="V473" s="240"/>
      <c r="W473" s="240"/>
      <c r="X473" s="238"/>
      <c r="Y473" s="238"/>
      <c r="Z473" s="238"/>
    </row>
    <row r="474" spans="1:26" ht="12.5">
      <c r="A474" s="238"/>
      <c r="B474" s="238"/>
      <c r="C474" s="238"/>
      <c r="D474" s="238"/>
      <c r="E474" s="238"/>
      <c r="F474" s="238"/>
      <c r="G474" s="238"/>
      <c r="H474" s="238"/>
      <c r="I474" s="238"/>
      <c r="J474" s="238"/>
      <c r="K474" s="237"/>
      <c r="L474" s="238"/>
      <c r="M474" s="238"/>
      <c r="N474" s="238"/>
      <c r="O474" s="238"/>
      <c r="P474" s="238"/>
      <c r="Q474" s="238"/>
      <c r="R474" s="238"/>
      <c r="S474" s="238"/>
      <c r="T474" s="238"/>
      <c r="U474" s="238"/>
      <c r="V474" s="240"/>
      <c r="W474" s="240"/>
      <c r="X474" s="238"/>
      <c r="Y474" s="238"/>
      <c r="Z474" s="238"/>
    </row>
    <row r="475" spans="1:26" ht="12.5">
      <c r="A475" s="238"/>
      <c r="B475" s="238"/>
      <c r="C475" s="238"/>
      <c r="D475" s="238"/>
      <c r="E475" s="238"/>
      <c r="F475" s="238"/>
      <c r="G475" s="238"/>
      <c r="H475" s="238"/>
      <c r="I475" s="238"/>
      <c r="J475" s="238"/>
      <c r="K475" s="237"/>
      <c r="L475" s="238"/>
      <c r="M475" s="238"/>
      <c r="N475" s="238"/>
      <c r="O475" s="238"/>
      <c r="P475" s="238"/>
      <c r="Q475" s="238"/>
      <c r="R475" s="238"/>
      <c r="S475" s="238"/>
      <c r="T475" s="238"/>
      <c r="U475" s="238"/>
      <c r="V475" s="240"/>
      <c r="W475" s="240"/>
      <c r="X475" s="238"/>
      <c r="Y475" s="238"/>
      <c r="Z475" s="238"/>
    </row>
    <row r="476" spans="1:26" ht="12.5">
      <c r="A476" s="238"/>
      <c r="B476" s="238"/>
      <c r="C476" s="238"/>
      <c r="D476" s="238"/>
      <c r="E476" s="238"/>
      <c r="F476" s="238"/>
      <c r="G476" s="238"/>
      <c r="H476" s="238"/>
      <c r="I476" s="238"/>
      <c r="J476" s="238"/>
      <c r="K476" s="237"/>
      <c r="L476" s="238"/>
      <c r="M476" s="238"/>
      <c r="N476" s="238"/>
      <c r="O476" s="238"/>
      <c r="P476" s="238"/>
      <c r="Q476" s="238"/>
      <c r="R476" s="238"/>
      <c r="S476" s="238"/>
      <c r="T476" s="238"/>
      <c r="U476" s="238"/>
      <c r="V476" s="240"/>
      <c r="W476" s="240"/>
      <c r="X476" s="238"/>
      <c r="Y476" s="238"/>
      <c r="Z476" s="238"/>
    </row>
    <row r="477" spans="1:26" ht="12.5">
      <c r="A477" s="238"/>
      <c r="B477" s="238"/>
      <c r="C477" s="238"/>
      <c r="D477" s="238"/>
      <c r="E477" s="238"/>
      <c r="F477" s="238"/>
      <c r="G477" s="238"/>
      <c r="H477" s="238"/>
      <c r="I477" s="238"/>
      <c r="J477" s="238"/>
      <c r="K477" s="237"/>
      <c r="L477" s="238"/>
      <c r="M477" s="238"/>
      <c r="N477" s="238"/>
      <c r="O477" s="238"/>
      <c r="P477" s="238"/>
      <c r="Q477" s="238"/>
      <c r="R477" s="238"/>
      <c r="S477" s="238"/>
      <c r="T477" s="238"/>
      <c r="U477" s="238"/>
      <c r="V477" s="240"/>
      <c r="W477" s="240"/>
      <c r="X477" s="238"/>
      <c r="Y477" s="238"/>
      <c r="Z477" s="238"/>
    </row>
    <row r="478" spans="1:26" ht="12.5">
      <c r="A478" s="238"/>
      <c r="B478" s="238"/>
      <c r="C478" s="238"/>
      <c r="D478" s="238"/>
      <c r="E478" s="238"/>
      <c r="F478" s="238"/>
      <c r="G478" s="238"/>
      <c r="H478" s="238"/>
      <c r="I478" s="238"/>
      <c r="J478" s="238"/>
      <c r="K478" s="237"/>
      <c r="L478" s="238"/>
      <c r="M478" s="238"/>
      <c r="N478" s="238"/>
      <c r="O478" s="238"/>
      <c r="P478" s="238"/>
      <c r="Q478" s="238"/>
      <c r="R478" s="238"/>
      <c r="S478" s="238"/>
      <c r="T478" s="238"/>
      <c r="U478" s="238"/>
      <c r="V478" s="240"/>
      <c r="W478" s="240"/>
      <c r="X478" s="238"/>
      <c r="Y478" s="238"/>
      <c r="Z478" s="238"/>
    </row>
    <row r="479" spans="1:26" ht="12.5">
      <c r="A479" s="238"/>
      <c r="B479" s="238"/>
      <c r="C479" s="238"/>
      <c r="D479" s="238"/>
      <c r="E479" s="238"/>
      <c r="F479" s="238"/>
      <c r="G479" s="238"/>
      <c r="H479" s="238"/>
      <c r="I479" s="238"/>
      <c r="J479" s="238"/>
      <c r="K479" s="237"/>
      <c r="L479" s="238"/>
      <c r="M479" s="238"/>
      <c r="N479" s="238"/>
      <c r="O479" s="238"/>
      <c r="P479" s="238"/>
      <c r="Q479" s="238"/>
      <c r="R479" s="238"/>
      <c r="S479" s="238"/>
      <c r="T479" s="238"/>
      <c r="U479" s="238"/>
      <c r="V479" s="240"/>
      <c r="W479" s="240"/>
      <c r="X479" s="238"/>
      <c r="Y479" s="238"/>
      <c r="Z479" s="238"/>
    </row>
    <row r="480" spans="1:26" ht="12.5">
      <c r="A480" s="238"/>
      <c r="B480" s="238"/>
      <c r="C480" s="238"/>
      <c r="D480" s="238"/>
      <c r="E480" s="238"/>
      <c r="F480" s="238"/>
      <c r="G480" s="238"/>
      <c r="H480" s="238"/>
      <c r="I480" s="238"/>
      <c r="J480" s="238"/>
      <c r="K480" s="237"/>
      <c r="L480" s="238"/>
      <c r="M480" s="238"/>
      <c r="N480" s="238"/>
      <c r="O480" s="238"/>
      <c r="P480" s="238"/>
      <c r="Q480" s="238"/>
      <c r="R480" s="238"/>
      <c r="S480" s="238"/>
      <c r="T480" s="238"/>
      <c r="U480" s="238"/>
      <c r="V480" s="240"/>
      <c r="W480" s="240"/>
      <c r="X480" s="238"/>
      <c r="Y480" s="238"/>
      <c r="Z480" s="238"/>
    </row>
    <row r="481" spans="1:26" ht="12.5">
      <c r="A481" s="238"/>
      <c r="B481" s="238"/>
      <c r="C481" s="238"/>
      <c r="D481" s="238"/>
      <c r="E481" s="238"/>
      <c r="F481" s="238"/>
      <c r="G481" s="238"/>
      <c r="H481" s="238"/>
      <c r="I481" s="238"/>
      <c r="J481" s="238"/>
      <c r="K481" s="237"/>
      <c r="L481" s="238"/>
      <c r="M481" s="238"/>
      <c r="N481" s="238"/>
      <c r="O481" s="238"/>
      <c r="P481" s="238"/>
      <c r="Q481" s="238"/>
      <c r="R481" s="238"/>
      <c r="S481" s="238"/>
      <c r="T481" s="238"/>
      <c r="U481" s="238"/>
      <c r="V481" s="240"/>
      <c r="W481" s="240"/>
      <c r="X481" s="238"/>
      <c r="Y481" s="238"/>
      <c r="Z481" s="238"/>
    </row>
    <row r="482" spans="1:26" ht="12.5">
      <c r="A482" s="238"/>
      <c r="B482" s="238"/>
      <c r="C482" s="238"/>
      <c r="D482" s="238"/>
      <c r="E482" s="238"/>
      <c r="F482" s="238"/>
      <c r="G482" s="238"/>
      <c r="H482" s="238"/>
      <c r="I482" s="238"/>
      <c r="J482" s="238"/>
      <c r="K482" s="237"/>
      <c r="L482" s="238"/>
      <c r="M482" s="238"/>
      <c r="N482" s="238"/>
      <c r="O482" s="238"/>
      <c r="P482" s="238"/>
      <c r="Q482" s="238"/>
      <c r="R482" s="238"/>
      <c r="S482" s="238"/>
      <c r="T482" s="238"/>
      <c r="U482" s="238"/>
      <c r="V482" s="240"/>
      <c r="W482" s="240"/>
      <c r="X482" s="238"/>
      <c r="Y482" s="238"/>
      <c r="Z482" s="238"/>
    </row>
    <row r="483" spans="1:26" ht="12.5">
      <c r="A483" s="238"/>
      <c r="B483" s="238"/>
      <c r="C483" s="238"/>
      <c r="D483" s="238"/>
      <c r="E483" s="238"/>
      <c r="F483" s="238"/>
      <c r="G483" s="238"/>
      <c r="H483" s="238"/>
      <c r="I483" s="238"/>
      <c r="J483" s="238"/>
      <c r="K483" s="237"/>
      <c r="L483" s="238"/>
      <c r="M483" s="238"/>
      <c r="N483" s="238"/>
      <c r="O483" s="238"/>
      <c r="P483" s="238"/>
      <c r="Q483" s="238"/>
      <c r="R483" s="238"/>
      <c r="S483" s="238"/>
      <c r="T483" s="238"/>
      <c r="U483" s="238"/>
      <c r="V483" s="240"/>
      <c r="W483" s="240"/>
      <c r="X483" s="238"/>
      <c r="Y483" s="238"/>
      <c r="Z483" s="238"/>
    </row>
    <row r="484" spans="1:26" ht="12.5">
      <c r="A484" s="238"/>
      <c r="B484" s="238"/>
      <c r="C484" s="238"/>
      <c r="D484" s="238"/>
      <c r="E484" s="238"/>
      <c r="F484" s="238"/>
      <c r="G484" s="238"/>
      <c r="H484" s="238"/>
      <c r="I484" s="238"/>
      <c r="J484" s="238"/>
      <c r="K484" s="237"/>
      <c r="L484" s="238"/>
      <c r="M484" s="238"/>
      <c r="N484" s="238"/>
      <c r="O484" s="238"/>
      <c r="P484" s="238"/>
      <c r="Q484" s="238"/>
      <c r="R484" s="238"/>
      <c r="S484" s="238"/>
      <c r="T484" s="238"/>
      <c r="U484" s="238"/>
      <c r="V484" s="240"/>
      <c r="W484" s="240"/>
      <c r="X484" s="238"/>
      <c r="Y484" s="238"/>
      <c r="Z484" s="238"/>
    </row>
    <row r="485" spans="1:26" ht="12.5">
      <c r="A485" s="238"/>
      <c r="B485" s="238"/>
      <c r="C485" s="238"/>
      <c r="D485" s="238"/>
      <c r="E485" s="238"/>
      <c r="F485" s="238"/>
      <c r="G485" s="238"/>
      <c r="H485" s="238"/>
      <c r="I485" s="238"/>
      <c r="J485" s="238"/>
      <c r="K485" s="237"/>
      <c r="L485" s="238"/>
      <c r="M485" s="238"/>
      <c r="N485" s="238"/>
      <c r="O485" s="238"/>
      <c r="P485" s="238"/>
      <c r="Q485" s="238"/>
      <c r="R485" s="238"/>
      <c r="S485" s="238"/>
      <c r="T485" s="238"/>
      <c r="U485" s="238"/>
      <c r="V485" s="240"/>
      <c r="W485" s="240"/>
      <c r="X485" s="238"/>
      <c r="Y485" s="238"/>
      <c r="Z485" s="238"/>
    </row>
    <row r="486" spans="1:26" ht="12.5">
      <c r="A486" s="238"/>
      <c r="B486" s="238"/>
      <c r="C486" s="238"/>
      <c r="D486" s="238"/>
      <c r="E486" s="238"/>
      <c r="F486" s="238"/>
      <c r="G486" s="238"/>
      <c r="H486" s="238"/>
      <c r="I486" s="238"/>
      <c r="J486" s="238"/>
      <c r="K486" s="237"/>
      <c r="L486" s="238"/>
      <c r="M486" s="238"/>
      <c r="N486" s="238"/>
      <c r="O486" s="238"/>
      <c r="P486" s="238"/>
      <c r="Q486" s="238"/>
      <c r="R486" s="238"/>
      <c r="S486" s="238"/>
      <c r="T486" s="238"/>
      <c r="U486" s="238"/>
      <c r="V486" s="240"/>
      <c r="W486" s="240"/>
      <c r="X486" s="238"/>
      <c r="Y486" s="238"/>
      <c r="Z486" s="238"/>
    </row>
    <row r="487" spans="1:26" ht="12.5">
      <c r="A487" s="238"/>
      <c r="B487" s="238"/>
      <c r="C487" s="238"/>
      <c r="D487" s="238"/>
      <c r="E487" s="238"/>
      <c r="F487" s="238"/>
      <c r="G487" s="238"/>
      <c r="H487" s="238"/>
      <c r="I487" s="238"/>
      <c r="J487" s="238"/>
      <c r="K487" s="237"/>
      <c r="L487" s="238"/>
      <c r="M487" s="238"/>
      <c r="N487" s="238"/>
      <c r="O487" s="238"/>
      <c r="P487" s="238"/>
      <c r="Q487" s="238"/>
      <c r="R487" s="238"/>
      <c r="S487" s="238"/>
      <c r="T487" s="238"/>
      <c r="U487" s="238"/>
      <c r="V487" s="240"/>
      <c r="W487" s="240"/>
      <c r="X487" s="238"/>
      <c r="Y487" s="238"/>
      <c r="Z487" s="238"/>
    </row>
    <row r="488" spans="1:26" ht="12.5">
      <c r="A488" s="238"/>
      <c r="B488" s="238"/>
      <c r="C488" s="238"/>
      <c r="D488" s="238"/>
      <c r="E488" s="238"/>
      <c r="F488" s="238"/>
      <c r="G488" s="238"/>
      <c r="H488" s="238"/>
      <c r="I488" s="238"/>
      <c r="J488" s="238"/>
      <c r="K488" s="237"/>
      <c r="L488" s="238"/>
      <c r="M488" s="238"/>
      <c r="N488" s="238"/>
      <c r="O488" s="238"/>
      <c r="P488" s="238"/>
      <c r="Q488" s="238"/>
      <c r="R488" s="238"/>
      <c r="S488" s="238"/>
      <c r="T488" s="238"/>
      <c r="U488" s="238"/>
      <c r="V488" s="240"/>
      <c r="W488" s="240"/>
      <c r="X488" s="238"/>
      <c r="Y488" s="238"/>
      <c r="Z488" s="238"/>
    </row>
    <row r="489" spans="1:26" ht="12.5">
      <c r="A489" s="238"/>
      <c r="B489" s="238"/>
      <c r="C489" s="238"/>
      <c r="D489" s="238"/>
      <c r="E489" s="238"/>
      <c r="F489" s="238"/>
      <c r="G489" s="238"/>
      <c r="H489" s="238"/>
      <c r="I489" s="238"/>
      <c r="J489" s="238"/>
      <c r="K489" s="237"/>
      <c r="L489" s="238"/>
      <c r="M489" s="238"/>
      <c r="N489" s="238"/>
      <c r="O489" s="238"/>
      <c r="P489" s="238"/>
      <c r="Q489" s="238"/>
      <c r="R489" s="238"/>
      <c r="S489" s="238"/>
      <c r="T489" s="238"/>
      <c r="U489" s="238"/>
      <c r="V489" s="240"/>
      <c r="W489" s="240"/>
      <c r="X489" s="238"/>
      <c r="Y489" s="238"/>
      <c r="Z489" s="238"/>
    </row>
    <row r="490" spans="1:26" ht="12.5">
      <c r="A490" s="238"/>
      <c r="B490" s="238"/>
      <c r="C490" s="238"/>
      <c r="D490" s="238"/>
      <c r="E490" s="238"/>
      <c r="F490" s="238"/>
      <c r="G490" s="238"/>
      <c r="H490" s="238"/>
      <c r="I490" s="238"/>
      <c r="J490" s="238"/>
      <c r="K490" s="237"/>
      <c r="L490" s="238"/>
      <c r="M490" s="238"/>
      <c r="N490" s="238"/>
      <c r="O490" s="238"/>
      <c r="P490" s="238"/>
      <c r="Q490" s="238"/>
      <c r="R490" s="238"/>
      <c r="S490" s="238"/>
      <c r="T490" s="238"/>
      <c r="U490" s="238"/>
      <c r="V490" s="240"/>
      <c r="W490" s="240"/>
      <c r="X490" s="238"/>
      <c r="Y490" s="238"/>
      <c r="Z490" s="238"/>
    </row>
    <row r="491" spans="1:26" ht="12.5">
      <c r="A491" s="238"/>
      <c r="B491" s="238"/>
      <c r="C491" s="238"/>
      <c r="D491" s="238"/>
      <c r="E491" s="238"/>
      <c r="F491" s="238"/>
      <c r="G491" s="238"/>
      <c r="H491" s="238"/>
      <c r="I491" s="238"/>
      <c r="J491" s="238"/>
      <c r="K491" s="237"/>
      <c r="L491" s="238"/>
      <c r="M491" s="238"/>
      <c r="N491" s="238"/>
      <c r="O491" s="238"/>
      <c r="P491" s="238"/>
      <c r="Q491" s="238"/>
      <c r="R491" s="238"/>
      <c r="S491" s="238"/>
      <c r="T491" s="238"/>
      <c r="U491" s="238"/>
      <c r="V491" s="240"/>
      <c r="W491" s="240"/>
      <c r="X491" s="238"/>
      <c r="Y491" s="238"/>
      <c r="Z491" s="238"/>
    </row>
    <row r="492" spans="1:26" ht="12.5">
      <c r="A492" s="238"/>
      <c r="B492" s="238"/>
      <c r="C492" s="238"/>
      <c r="D492" s="238"/>
      <c r="E492" s="238"/>
      <c r="F492" s="238"/>
      <c r="G492" s="238"/>
      <c r="H492" s="238"/>
      <c r="I492" s="238"/>
      <c r="J492" s="238"/>
      <c r="K492" s="237"/>
      <c r="L492" s="238"/>
      <c r="M492" s="238"/>
      <c r="N492" s="238"/>
      <c r="O492" s="238"/>
      <c r="P492" s="238"/>
      <c r="Q492" s="238"/>
      <c r="R492" s="238"/>
      <c r="S492" s="238"/>
      <c r="T492" s="238"/>
      <c r="U492" s="238"/>
      <c r="V492" s="240"/>
      <c r="W492" s="240"/>
      <c r="X492" s="238"/>
      <c r="Y492" s="238"/>
      <c r="Z492" s="238"/>
    </row>
    <row r="493" spans="1:26" ht="12.5">
      <c r="A493" s="238"/>
      <c r="B493" s="238"/>
      <c r="C493" s="238"/>
      <c r="D493" s="238"/>
      <c r="E493" s="238"/>
      <c r="F493" s="238"/>
      <c r="G493" s="238"/>
      <c r="H493" s="238"/>
      <c r="I493" s="238"/>
      <c r="J493" s="238"/>
      <c r="K493" s="237"/>
      <c r="L493" s="238"/>
      <c r="M493" s="238"/>
      <c r="N493" s="238"/>
      <c r="O493" s="238"/>
      <c r="P493" s="238"/>
      <c r="Q493" s="238"/>
      <c r="R493" s="238"/>
      <c r="S493" s="238"/>
      <c r="T493" s="238"/>
      <c r="U493" s="238"/>
      <c r="V493" s="240"/>
      <c r="W493" s="240"/>
      <c r="X493" s="238"/>
      <c r="Y493" s="238"/>
      <c r="Z493" s="238"/>
    </row>
    <row r="494" spans="1:26" ht="12.5">
      <c r="A494" s="238"/>
      <c r="B494" s="238"/>
      <c r="C494" s="238"/>
      <c r="D494" s="238"/>
      <c r="E494" s="238"/>
      <c r="F494" s="238"/>
      <c r="G494" s="238"/>
      <c r="H494" s="238"/>
      <c r="I494" s="238"/>
      <c r="J494" s="238"/>
      <c r="K494" s="237"/>
      <c r="L494" s="238"/>
      <c r="M494" s="238"/>
      <c r="N494" s="238"/>
      <c r="O494" s="238"/>
      <c r="P494" s="238"/>
      <c r="Q494" s="238"/>
      <c r="R494" s="238"/>
      <c r="S494" s="238"/>
      <c r="T494" s="238"/>
      <c r="U494" s="238"/>
      <c r="V494" s="240"/>
      <c r="W494" s="240"/>
      <c r="X494" s="238"/>
      <c r="Y494" s="238"/>
      <c r="Z494" s="238"/>
    </row>
    <row r="495" spans="1:26" ht="12.5">
      <c r="A495" s="238"/>
      <c r="B495" s="238"/>
      <c r="C495" s="238"/>
      <c r="D495" s="238"/>
      <c r="E495" s="238"/>
      <c r="F495" s="238"/>
      <c r="G495" s="238"/>
      <c r="H495" s="238"/>
      <c r="I495" s="238"/>
      <c r="J495" s="238"/>
      <c r="K495" s="237"/>
      <c r="L495" s="238"/>
      <c r="M495" s="238"/>
      <c r="N495" s="238"/>
      <c r="O495" s="238"/>
      <c r="P495" s="238"/>
      <c r="Q495" s="238"/>
      <c r="R495" s="238"/>
      <c r="S495" s="238"/>
      <c r="T495" s="238"/>
      <c r="U495" s="238"/>
      <c r="V495" s="240"/>
      <c r="W495" s="240"/>
      <c r="X495" s="238"/>
      <c r="Y495" s="238"/>
      <c r="Z495" s="238"/>
    </row>
    <row r="496" spans="1:26" ht="12.5">
      <c r="A496" s="238"/>
      <c r="B496" s="238"/>
      <c r="C496" s="238"/>
      <c r="D496" s="238"/>
      <c r="E496" s="238"/>
      <c r="F496" s="238"/>
      <c r="G496" s="238"/>
      <c r="H496" s="238"/>
      <c r="I496" s="238"/>
      <c r="J496" s="238"/>
      <c r="K496" s="237"/>
      <c r="L496" s="238"/>
      <c r="M496" s="238"/>
      <c r="N496" s="238"/>
      <c r="O496" s="238"/>
      <c r="P496" s="238"/>
      <c r="Q496" s="238"/>
      <c r="R496" s="238"/>
      <c r="S496" s="238"/>
      <c r="T496" s="238"/>
      <c r="U496" s="238"/>
      <c r="V496" s="240"/>
      <c r="W496" s="240"/>
      <c r="X496" s="238"/>
      <c r="Y496" s="238"/>
      <c r="Z496" s="238"/>
    </row>
    <row r="497" spans="1:26" ht="12.5">
      <c r="A497" s="238"/>
      <c r="B497" s="238"/>
      <c r="C497" s="238"/>
      <c r="D497" s="238"/>
      <c r="E497" s="238"/>
      <c r="F497" s="238"/>
      <c r="G497" s="238"/>
      <c r="H497" s="238"/>
      <c r="I497" s="238"/>
      <c r="J497" s="238"/>
      <c r="K497" s="237"/>
      <c r="L497" s="238"/>
      <c r="M497" s="238"/>
      <c r="N497" s="238"/>
      <c r="O497" s="238"/>
      <c r="P497" s="238"/>
      <c r="Q497" s="238"/>
      <c r="R497" s="238"/>
      <c r="S497" s="238"/>
      <c r="T497" s="238"/>
      <c r="U497" s="238"/>
      <c r="V497" s="240"/>
      <c r="W497" s="240"/>
      <c r="X497" s="238"/>
      <c r="Y497" s="238"/>
      <c r="Z497" s="238"/>
    </row>
    <row r="498" spans="1:26" ht="12.5">
      <c r="A498" s="238"/>
      <c r="B498" s="238"/>
      <c r="C498" s="238"/>
      <c r="D498" s="238"/>
      <c r="E498" s="238"/>
      <c r="F498" s="238"/>
      <c r="G498" s="238"/>
      <c r="H498" s="238"/>
      <c r="I498" s="238"/>
      <c r="J498" s="238"/>
      <c r="K498" s="237"/>
      <c r="L498" s="238"/>
      <c r="M498" s="238"/>
      <c r="N498" s="238"/>
      <c r="O498" s="238"/>
      <c r="P498" s="238"/>
      <c r="Q498" s="238"/>
      <c r="R498" s="238"/>
      <c r="S498" s="238"/>
      <c r="T498" s="238"/>
      <c r="U498" s="238"/>
      <c r="V498" s="240"/>
      <c r="W498" s="240"/>
      <c r="X498" s="238"/>
      <c r="Y498" s="238"/>
      <c r="Z498" s="238"/>
    </row>
    <row r="499" spans="1:26" ht="12.5">
      <c r="A499" s="238"/>
      <c r="B499" s="238"/>
      <c r="C499" s="238"/>
      <c r="D499" s="238"/>
      <c r="E499" s="238"/>
      <c r="F499" s="238"/>
      <c r="G499" s="238"/>
      <c r="H499" s="238"/>
      <c r="I499" s="238"/>
      <c r="J499" s="238"/>
      <c r="K499" s="237"/>
      <c r="L499" s="238"/>
      <c r="M499" s="238"/>
      <c r="N499" s="238"/>
      <c r="O499" s="238"/>
      <c r="P499" s="238"/>
      <c r="Q499" s="238"/>
      <c r="R499" s="238"/>
      <c r="S499" s="238"/>
      <c r="T499" s="238"/>
      <c r="U499" s="238"/>
      <c r="V499" s="240"/>
      <c r="W499" s="240"/>
      <c r="X499" s="238"/>
      <c r="Y499" s="238"/>
      <c r="Z499" s="238"/>
    </row>
    <row r="500" spans="1:26" ht="12.5">
      <c r="A500" s="238"/>
      <c r="B500" s="238"/>
      <c r="C500" s="238"/>
      <c r="D500" s="238"/>
      <c r="E500" s="238"/>
      <c r="F500" s="238"/>
      <c r="G500" s="238"/>
      <c r="H500" s="238"/>
      <c r="I500" s="238"/>
      <c r="J500" s="238"/>
      <c r="K500" s="237"/>
      <c r="L500" s="238"/>
      <c r="M500" s="238"/>
      <c r="N500" s="238"/>
      <c r="O500" s="238"/>
      <c r="P500" s="238"/>
      <c r="Q500" s="238"/>
      <c r="R500" s="238"/>
      <c r="S500" s="238"/>
      <c r="T500" s="238"/>
      <c r="U500" s="238"/>
      <c r="V500" s="240"/>
      <c r="W500" s="240"/>
      <c r="X500" s="238"/>
      <c r="Y500" s="238"/>
      <c r="Z500" s="238"/>
    </row>
    <row r="501" spans="1:26" ht="12.5">
      <c r="A501" s="238"/>
      <c r="B501" s="238"/>
      <c r="C501" s="238"/>
      <c r="D501" s="238"/>
      <c r="E501" s="238"/>
      <c r="F501" s="238"/>
      <c r="G501" s="238"/>
      <c r="H501" s="238"/>
      <c r="I501" s="238"/>
      <c r="J501" s="238"/>
      <c r="K501" s="237"/>
      <c r="L501" s="238"/>
      <c r="M501" s="238"/>
      <c r="N501" s="238"/>
      <c r="O501" s="238"/>
      <c r="P501" s="238"/>
      <c r="Q501" s="238"/>
      <c r="R501" s="238"/>
      <c r="S501" s="238"/>
      <c r="T501" s="238"/>
      <c r="U501" s="238"/>
      <c r="V501" s="240"/>
      <c r="W501" s="240"/>
      <c r="X501" s="238"/>
      <c r="Y501" s="238"/>
      <c r="Z501" s="238"/>
    </row>
    <row r="502" spans="1:26" ht="12.5">
      <c r="A502" s="238"/>
      <c r="B502" s="238"/>
      <c r="C502" s="238"/>
      <c r="D502" s="238"/>
      <c r="E502" s="238"/>
      <c r="F502" s="238"/>
      <c r="G502" s="238"/>
      <c r="H502" s="238"/>
      <c r="I502" s="238"/>
      <c r="J502" s="238"/>
      <c r="K502" s="237"/>
      <c r="L502" s="238"/>
      <c r="M502" s="238"/>
      <c r="N502" s="238"/>
      <c r="O502" s="238"/>
      <c r="P502" s="238"/>
      <c r="Q502" s="238"/>
      <c r="R502" s="238"/>
      <c r="S502" s="238"/>
      <c r="T502" s="238"/>
      <c r="U502" s="238"/>
      <c r="V502" s="240"/>
      <c r="W502" s="240"/>
      <c r="X502" s="238"/>
      <c r="Y502" s="238"/>
      <c r="Z502" s="238"/>
    </row>
    <row r="503" spans="1:26" ht="12.5">
      <c r="A503" s="238"/>
      <c r="B503" s="238"/>
      <c r="C503" s="238"/>
      <c r="D503" s="238"/>
      <c r="E503" s="238"/>
      <c r="F503" s="238"/>
      <c r="G503" s="238"/>
      <c r="H503" s="238"/>
      <c r="I503" s="238"/>
      <c r="J503" s="238"/>
      <c r="K503" s="237"/>
      <c r="L503" s="238"/>
      <c r="M503" s="238"/>
      <c r="N503" s="238"/>
      <c r="O503" s="238"/>
      <c r="P503" s="238"/>
      <c r="Q503" s="238"/>
      <c r="R503" s="238"/>
      <c r="S503" s="238"/>
      <c r="T503" s="238"/>
      <c r="U503" s="238"/>
      <c r="V503" s="240"/>
      <c r="W503" s="240"/>
      <c r="X503" s="238"/>
      <c r="Y503" s="238"/>
      <c r="Z503" s="238"/>
    </row>
    <row r="504" spans="1:26" ht="12.5">
      <c r="A504" s="238"/>
      <c r="B504" s="238"/>
      <c r="C504" s="238"/>
      <c r="D504" s="238"/>
      <c r="E504" s="238"/>
      <c r="F504" s="238"/>
      <c r="G504" s="238"/>
      <c r="H504" s="238"/>
      <c r="I504" s="238"/>
      <c r="J504" s="238"/>
      <c r="K504" s="237"/>
      <c r="L504" s="238"/>
      <c r="M504" s="238"/>
      <c r="N504" s="238"/>
      <c r="O504" s="238"/>
      <c r="P504" s="238"/>
      <c r="Q504" s="238"/>
      <c r="R504" s="238"/>
      <c r="S504" s="238"/>
      <c r="T504" s="238"/>
      <c r="U504" s="238"/>
      <c r="V504" s="240"/>
      <c r="W504" s="240"/>
      <c r="X504" s="238"/>
      <c r="Y504" s="238"/>
      <c r="Z504" s="238"/>
    </row>
    <row r="505" spans="1:26" ht="12.5">
      <c r="A505" s="238"/>
      <c r="B505" s="238"/>
      <c r="C505" s="238"/>
      <c r="D505" s="238"/>
      <c r="E505" s="238"/>
      <c r="F505" s="238"/>
      <c r="G505" s="238"/>
      <c r="H505" s="238"/>
      <c r="I505" s="238"/>
      <c r="J505" s="238"/>
      <c r="K505" s="237"/>
      <c r="L505" s="238"/>
      <c r="M505" s="238"/>
      <c r="N505" s="238"/>
      <c r="O505" s="238"/>
      <c r="P505" s="238"/>
      <c r="Q505" s="238"/>
      <c r="R505" s="238"/>
      <c r="S505" s="238"/>
      <c r="T505" s="238"/>
      <c r="U505" s="238"/>
      <c r="V505" s="240"/>
      <c r="W505" s="240"/>
      <c r="X505" s="238"/>
      <c r="Y505" s="238"/>
      <c r="Z505" s="238"/>
    </row>
    <row r="506" spans="1:26" ht="12.5">
      <c r="A506" s="238"/>
      <c r="B506" s="238"/>
      <c r="C506" s="238"/>
      <c r="D506" s="238"/>
      <c r="E506" s="238"/>
      <c r="F506" s="238"/>
      <c r="G506" s="238"/>
      <c r="H506" s="238"/>
      <c r="I506" s="238"/>
      <c r="J506" s="238"/>
      <c r="K506" s="237"/>
      <c r="L506" s="238"/>
      <c r="M506" s="238"/>
      <c r="N506" s="238"/>
      <c r="O506" s="238"/>
      <c r="P506" s="238"/>
      <c r="Q506" s="238"/>
      <c r="R506" s="238"/>
      <c r="S506" s="238"/>
      <c r="T506" s="238"/>
      <c r="U506" s="238"/>
      <c r="V506" s="240"/>
      <c r="W506" s="240"/>
      <c r="X506" s="238"/>
      <c r="Y506" s="238"/>
      <c r="Z506" s="238"/>
    </row>
    <row r="507" spans="1:26" ht="12.5">
      <c r="A507" s="238"/>
      <c r="B507" s="238"/>
      <c r="C507" s="238"/>
      <c r="D507" s="238"/>
      <c r="E507" s="238"/>
      <c r="F507" s="238"/>
      <c r="G507" s="238"/>
      <c r="H507" s="238"/>
      <c r="I507" s="238"/>
      <c r="J507" s="238"/>
      <c r="K507" s="237"/>
      <c r="L507" s="238"/>
      <c r="M507" s="238"/>
      <c r="N507" s="238"/>
      <c r="O507" s="238"/>
      <c r="P507" s="238"/>
      <c r="Q507" s="238"/>
      <c r="R507" s="238"/>
      <c r="S507" s="238"/>
      <c r="T507" s="238"/>
      <c r="U507" s="238"/>
      <c r="V507" s="240"/>
      <c r="W507" s="240"/>
      <c r="X507" s="238"/>
      <c r="Y507" s="238"/>
      <c r="Z507" s="238"/>
    </row>
    <row r="508" spans="1:26" ht="12.5">
      <c r="A508" s="238"/>
      <c r="B508" s="238"/>
      <c r="C508" s="238"/>
      <c r="D508" s="238"/>
      <c r="E508" s="238"/>
      <c r="F508" s="238"/>
      <c r="G508" s="238"/>
      <c r="H508" s="238"/>
      <c r="I508" s="238"/>
      <c r="J508" s="238"/>
      <c r="K508" s="237"/>
      <c r="L508" s="238"/>
      <c r="M508" s="238"/>
      <c r="N508" s="238"/>
      <c r="O508" s="238"/>
      <c r="P508" s="238"/>
      <c r="Q508" s="238"/>
      <c r="R508" s="238"/>
      <c r="S508" s="238"/>
      <c r="T508" s="238"/>
      <c r="U508" s="238"/>
      <c r="V508" s="240"/>
      <c r="W508" s="240"/>
      <c r="X508" s="238"/>
      <c r="Y508" s="238"/>
      <c r="Z508" s="238"/>
    </row>
    <row r="509" spans="1:26" ht="12.5">
      <c r="A509" s="238"/>
      <c r="B509" s="238"/>
      <c r="C509" s="238"/>
      <c r="D509" s="238"/>
      <c r="E509" s="238"/>
      <c r="F509" s="238"/>
      <c r="G509" s="238"/>
      <c r="H509" s="238"/>
      <c r="I509" s="238"/>
      <c r="J509" s="238"/>
      <c r="K509" s="237"/>
      <c r="L509" s="238"/>
      <c r="M509" s="238"/>
      <c r="N509" s="238"/>
      <c r="O509" s="238"/>
      <c r="P509" s="238"/>
      <c r="Q509" s="238"/>
      <c r="R509" s="238"/>
      <c r="S509" s="238"/>
      <c r="T509" s="238"/>
      <c r="U509" s="238"/>
      <c r="V509" s="240"/>
      <c r="W509" s="240"/>
      <c r="X509" s="238"/>
      <c r="Y509" s="238"/>
      <c r="Z509" s="238"/>
    </row>
    <row r="510" spans="1:26" ht="12.5">
      <c r="A510" s="238"/>
      <c r="B510" s="238"/>
      <c r="C510" s="238"/>
      <c r="D510" s="238"/>
      <c r="E510" s="238"/>
      <c r="F510" s="238"/>
      <c r="G510" s="238"/>
      <c r="H510" s="238"/>
      <c r="I510" s="238"/>
      <c r="J510" s="238"/>
      <c r="K510" s="237"/>
      <c r="L510" s="238"/>
      <c r="M510" s="238"/>
      <c r="N510" s="238"/>
      <c r="O510" s="238"/>
      <c r="P510" s="238"/>
      <c r="Q510" s="238"/>
      <c r="R510" s="238"/>
      <c r="S510" s="238"/>
      <c r="T510" s="238"/>
      <c r="U510" s="238"/>
      <c r="V510" s="240"/>
      <c r="W510" s="240"/>
      <c r="X510" s="238"/>
      <c r="Y510" s="238"/>
      <c r="Z510" s="238"/>
    </row>
    <row r="511" spans="1:26" ht="12.5">
      <c r="A511" s="238"/>
      <c r="B511" s="238"/>
      <c r="C511" s="238"/>
      <c r="D511" s="238"/>
      <c r="E511" s="238"/>
      <c r="F511" s="238"/>
      <c r="G511" s="238"/>
      <c r="H511" s="238"/>
      <c r="I511" s="238"/>
      <c r="J511" s="238"/>
      <c r="K511" s="237"/>
      <c r="L511" s="238"/>
      <c r="M511" s="238"/>
      <c r="N511" s="238"/>
      <c r="O511" s="238"/>
      <c r="P511" s="238"/>
      <c r="Q511" s="238"/>
      <c r="R511" s="238"/>
      <c r="S511" s="238"/>
      <c r="T511" s="238"/>
      <c r="U511" s="238"/>
      <c r="V511" s="240"/>
      <c r="W511" s="240"/>
      <c r="X511" s="238"/>
      <c r="Y511" s="238"/>
      <c r="Z511" s="238"/>
    </row>
    <row r="512" spans="1:26" ht="12.5">
      <c r="A512" s="238"/>
      <c r="B512" s="238"/>
      <c r="C512" s="238"/>
      <c r="D512" s="238"/>
      <c r="E512" s="238"/>
      <c r="F512" s="238"/>
      <c r="G512" s="238"/>
      <c r="H512" s="238"/>
      <c r="I512" s="238"/>
      <c r="J512" s="238"/>
      <c r="K512" s="237"/>
      <c r="L512" s="238"/>
      <c r="M512" s="238"/>
      <c r="N512" s="238"/>
      <c r="O512" s="238"/>
      <c r="P512" s="238"/>
      <c r="Q512" s="238"/>
      <c r="R512" s="238"/>
      <c r="S512" s="238"/>
      <c r="T512" s="238"/>
      <c r="U512" s="238"/>
      <c r="V512" s="240"/>
      <c r="W512" s="240"/>
      <c r="X512" s="238"/>
      <c r="Y512" s="238"/>
      <c r="Z512" s="238"/>
    </row>
    <row r="513" spans="1:26" ht="12.5">
      <c r="A513" s="238"/>
      <c r="B513" s="238"/>
      <c r="C513" s="238"/>
      <c r="D513" s="238"/>
      <c r="E513" s="238"/>
      <c r="F513" s="238"/>
      <c r="G513" s="238"/>
      <c r="H513" s="238"/>
      <c r="I513" s="238"/>
      <c r="J513" s="238"/>
      <c r="K513" s="237"/>
      <c r="L513" s="238"/>
      <c r="M513" s="238"/>
      <c r="N513" s="238"/>
      <c r="O513" s="238"/>
      <c r="P513" s="238"/>
      <c r="Q513" s="238"/>
      <c r="R513" s="238"/>
      <c r="S513" s="238"/>
      <c r="T513" s="238"/>
      <c r="U513" s="238"/>
      <c r="V513" s="240"/>
      <c r="W513" s="240"/>
      <c r="X513" s="238"/>
      <c r="Y513" s="238"/>
      <c r="Z513" s="238"/>
    </row>
    <row r="514" spans="1:26" ht="12.5">
      <c r="A514" s="238"/>
      <c r="B514" s="238"/>
      <c r="C514" s="238"/>
      <c r="D514" s="238"/>
      <c r="E514" s="238"/>
      <c r="F514" s="238"/>
      <c r="G514" s="238"/>
      <c r="H514" s="238"/>
      <c r="I514" s="238"/>
      <c r="J514" s="238"/>
      <c r="K514" s="237"/>
      <c r="L514" s="238"/>
      <c r="M514" s="238"/>
      <c r="N514" s="238"/>
      <c r="O514" s="238"/>
      <c r="P514" s="238"/>
      <c r="Q514" s="238"/>
      <c r="R514" s="238"/>
      <c r="S514" s="238"/>
      <c r="T514" s="238"/>
      <c r="U514" s="238"/>
      <c r="V514" s="240"/>
      <c r="W514" s="240"/>
      <c r="X514" s="238"/>
      <c r="Y514" s="238"/>
      <c r="Z514" s="238"/>
    </row>
    <row r="515" spans="1:26" ht="12.5">
      <c r="A515" s="238"/>
      <c r="B515" s="238"/>
      <c r="C515" s="238"/>
      <c r="D515" s="238"/>
      <c r="E515" s="238"/>
      <c r="F515" s="238"/>
      <c r="G515" s="238"/>
      <c r="H515" s="238"/>
      <c r="I515" s="238"/>
      <c r="J515" s="238"/>
      <c r="K515" s="237"/>
      <c r="L515" s="238"/>
      <c r="M515" s="238"/>
      <c r="N515" s="238"/>
      <c r="O515" s="238"/>
      <c r="P515" s="238"/>
      <c r="Q515" s="238"/>
      <c r="R515" s="238"/>
      <c r="S515" s="238"/>
      <c r="T515" s="238"/>
      <c r="U515" s="238"/>
      <c r="V515" s="240"/>
      <c r="W515" s="240"/>
      <c r="X515" s="238"/>
      <c r="Y515" s="238"/>
      <c r="Z515" s="238"/>
    </row>
    <row r="516" spans="1:26" ht="12.5">
      <c r="A516" s="238"/>
      <c r="B516" s="238"/>
      <c r="C516" s="238"/>
      <c r="D516" s="238"/>
      <c r="E516" s="238"/>
      <c r="F516" s="238"/>
      <c r="G516" s="238"/>
      <c r="H516" s="238"/>
      <c r="I516" s="238"/>
      <c r="J516" s="238"/>
      <c r="K516" s="237"/>
      <c r="L516" s="238"/>
      <c r="M516" s="238"/>
      <c r="N516" s="238"/>
      <c r="O516" s="238"/>
      <c r="P516" s="238"/>
      <c r="Q516" s="238"/>
      <c r="R516" s="238"/>
      <c r="S516" s="238"/>
      <c r="T516" s="238"/>
      <c r="U516" s="238"/>
      <c r="V516" s="240"/>
      <c r="W516" s="240"/>
      <c r="X516" s="238"/>
      <c r="Y516" s="238"/>
      <c r="Z516" s="238"/>
    </row>
    <row r="517" spans="1:26" ht="12.5">
      <c r="A517" s="238"/>
      <c r="B517" s="238"/>
      <c r="C517" s="238"/>
      <c r="D517" s="238"/>
      <c r="E517" s="238"/>
      <c r="F517" s="238"/>
      <c r="G517" s="238"/>
      <c r="H517" s="238"/>
      <c r="I517" s="238"/>
      <c r="J517" s="238"/>
      <c r="K517" s="237"/>
      <c r="L517" s="238"/>
      <c r="M517" s="238"/>
      <c r="N517" s="238"/>
      <c r="O517" s="238"/>
      <c r="P517" s="238"/>
      <c r="Q517" s="238"/>
      <c r="R517" s="238"/>
      <c r="S517" s="238"/>
      <c r="T517" s="238"/>
      <c r="U517" s="238"/>
      <c r="V517" s="240"/>
      <c r="W517" s="240"/>
      <c r="X517" s="238"/>
      <c r="Y517" s="238"/>
      <c r="Z517" s="238"/>
    </row>
    <row r="518" spans="1:26" ht="12.5">
      <c r="A518" s="238"/>
      <c r="B518" s="238"/>
      <c r="C518" s="238"/>
      <c r="D518" s="238"/>
      <c r="E518" s="238"/>
      <c r="F518" s="238"/>
      <c r="G518" s="238"/>
      <c r="H518" s="238"/>
      <c r="I518" s="238"/>
      <c r="J518" s="238"/>
      <c r="K518" s="237"/>
      <c r="L518" s="238"/>
      <c r="M518" s="238"/>
      <c r="N518" s="238"/>
      <c r="O518" s="238"/>
      <c r="P518" s="238"/>
      <c r="Q518" s="238"/>
      <c r="R518" s="238"/>
      <c r="S518" s="238"/>
      <c r="T518" s="238"/>
      <c r="U518" s="238"/>
      <c r="V518" s="240"/>
      <c r="W518" s="240"/>
      <c r="X518" s="238"/>
      <c r="Y518" s="238"/>
      <c r="Z518" s="238"/>
    </row>
    <row r="519" spans="1:26" ht="12.5">
      <c r="A519" s="238"/>
      <c r="B519" s="238"/>
      <c r="C519" s="238"/>
      <c r="D519" s="238"/>
      <c r="E519" s="238"/>
      <c r="F519" s="238"/>
      <c r="G519" s="238"/>
      <c r="H519" s="238"/>
      <c r="I519" s="238"/>
      <c r="J519" s="238"/>
      <c r="K519" s="237"/>
      <c r="L519" s="238"/>
      <c r="M519" s="238"/>
      <c r="N519" s="238"/>
      <c r="O519" s="238"/>
      <c r="P519" s="238"/>
      <c r="Q519" s="238"/>
      <c r="R519" s="238"/>
      <c r="S519" s="238"/>
      <c r="T519" s="238"/>
      <c r="U519" s="238"/>
      <c r="V519" s="240"/>
      <c r="W519" s="240"/>
      <c r="X519" s="238"/>
      <c r="Y519" s="238"/>
      <c r="Z519" s="238"/>
    </row>
    <row r="520" spans="1:26" ht="12.5">
      <c r="A520" s="238"/>
      <c r="B520" s="238"/>
      <c r="C520" s="238"/>
      <c r="D520" s="238"/>
      <c r="E520" s="238"/>
      <c r="F520" s="238"/>
      <c r="G520" s="238"/>
      <c r="H520" s="238"/>
      <c r="I520" s="238"/>
      <c r="J520" s="238"/>
      <c r="K520" s="237"/>
      <c r="L520" s="238"/>
      <c r="M520" s="238"/>
      <c r="N520" s="238"/>
      <c r="O520" s="238"/>
      <c r="P520" s="238"/>
      <c r="Q520" s="238"/>
      <c r="R520" s="238"/>
      <c r="S520" s="238"/>
      <c r="T520" s="238"/>
      <c r="U520" s="238"/>
      <c r="V520" s="240"/>
      <c r="W520" s="240"/>
      <c r="X520" s="238"/>
      <c r="Y520" s="238"/>
      <c r="Z520" s="238"/>
    </row>
    <row r="521" spans="1:26" ht="12.5">
      <c r="A521" s="238"/>
      <c r="B521" s="238"/>
      <c r="C521" s="238"/>
      <c r="D521" s="238"/>
      <c r="E521" s="238"/>
      <c r="F521" s="238"/>
      <c r="G521" s="238"/>
      <c r="H521" s="238"/>
      <c r="I521" s="238"/>
      <c r="J521" s="238"/>
      <c r="K521" s="237"/>
      <c r="L521" s="238"/>
      <c r="M521" s="238"/>
      <c r="N521" s="238"/>
      <c r="O521" s="238"/>
      <c r="P521" s="238"/>
      <c r="Q521" s="238"/>
      <c r="R521" s="238"/>
      <c r="S521" s="238"/>
      <c r="T521" s="238"/>
      <c r="U521" s="238"/>
      <c r="V521" s="240"/>
      <c r="W521" s="240"/>
      <c r="X521" s="238"/>
      <c r="Y521" s="238"/>
      <c r="Z521" s="238"/>
    </row>
    <row r="522" spans="1:26" ht="12.5">
      <c r="A522" s="238"/>
      <c r="B522" s="238"/>
      <c r="C522" s="238"/>
      <c r="D522" s="238"/>
      <c r="E522" s="238"/>
      <c r="F522" s="238"/>
      <c r="G522" s="238"/>
      <c r="H522" s="238"/>
      <c r="I522" s="238"/>
      <c r="J522" s="238"/>
      <c r="K522" s="237"/>
      <c r="L522" s="238"/>
      <c r="M522" s="238"/>
      <c r="N522" s="238"/>
      <c r="O522" s="238"/>
      <c r="P522" s="238"/>
      <c r="Q522" s="238"/>
      <c r="R522" s="238"/>
      <c r="S522" s="238"/>
      <c r="T522" s="238"/>
      <c r="U522" s="238"/>
      <c r="V522" s="240"/>
      <c r="W522" s="240"/>
      <c r="X522" s="238"/>
      <c r="Y522" s="238"/>
      <c r="Z522" s="238"/>
    </row>
    <row r="523" spans="1:26" ht="12.5">
      <c r="A523" s="238"/>
      <c r="B523" s="238"/>
      <c r="C523" s="238"/>
      <c r="D523" s="238"/>
      <c r="E523" s="238"/>
      <c r="F523" s="238"/>
      <c r="G523" s="238"/>
      <c r="H523" s="238"/>
      <c r="I523" s="238"/>
      <c r="J523" s="238"/>
      <c r="K523" s="237"/>
      <c r="L523" s="238"/>
      <c r="M523" s="238"/>
      <c r="N523" s="238"/>
      <c r="O523" s="238"/>
      <c r="P523" s="238"/>
      <c r="Q523" s="238"/>
      <c r="R523" s="238"/>
      <c r="S523" s="238"/>
      <c r="T523" s="238"/>
      <c r="U523" s="238"/>
      <c r="V523" s="240"/>
      <c r="W523" s="240"/>
      <c r="X523" s="238"/>
      <c r="Y523" s="238"/>
      <c r="Z523" s="238"/>
    </row>
    <row r="524" spans="1:26" ht="12.5">
      <c r="A524" s="238"/>
      <c r="B524" s="238"/>
      <c r="C524" s="238"/>
      <c r="D524" s="238"/>
      <c r="E524" s="238"/>
      <c r="F524" s="238"/>
      <c r="G524" s="238"/>
      <c r="H524" s="238"/>
      <c r="I524" s="238"/>
      <c r="J524" s="238"/>
      <c r="K524" s="237"/>
      <c r="L524" s="238"/>
      <c r="M524" s="238"/>
      <c r="N524" s="238"/>
      <c r="O524" s="238"/>
      <c r="P524" s="238"/>
      <c r="Q524" s="238"/>
      <c r="R524" s="238"/>
      <c r="S524" s="238"/>
      <c r="T524" s="238"/>
      <c r="U524" s="238"/>
      <c r="V524" s="240"/>
      <c r="W524" s="240"/>
      <c r="X524" s="238"/>
      <c r="Y524" s="238"/>
      <c r="Z524" s="238"/>
    </row>
    <row r="525" spans="1:26" ht="12.5">
      <c r="A525" s="238"/>
      <c r="B525" s="238"/>
      <c r="C525" s="238"/>
      <c r="D525" s="238"/>
      <c r="E525" s="238"/>
      <c r="F525" s="238"/>
      <c r="G525" s="238"/>
      <c r="H525" s="238"/>
      <c r="I525" s="238"/>
      <c r="J525" s="238"/>
      <c r="K525" s="237"/>
      <c r="L525" s="238"/>
      <c r="M525" s="238"/>
      <c r="N525" s="238"/>
      <c r="O525" s="238"/>
      <c r="P525" s="238"/>
      <c r="Q525" s="238"/>
      <c r="R525" s="238"/>
      <c r="S525" s="238"/>
      <c r="T525" s="238"/>
      <c r="U525" s="238"/>
      <c r="V525" s="240"/>
      <c r="W525" s="240"/>
      <c r="X525" s="238"/>
      <c r="Y525" s="238"/>
      <c r="Z525" s="238"/>
    </row>
    <row r="526" spans="1:26" ht="12.5">
      <c r="A526" s="238"/>
      <c r="B526" s="238"/>
      <c r="C526" s="238"/>
      <c r="D526" s="238"/>
      <c r="E526" s="238"/>
      <c r="F526" s="238"/>
      <c r="G526" s="238"/>
      <c r="H526" s="238"/>
      <c r="I526" s="238"/>
      <c r="J526" s="238"/>
      <c r="K526" s="237"/>
      <c r="L526" s="238"/>
      <c r="M526" s="238"/>
      <c r="N526" s="238"/>
      <c r="O526" s="238"/>
      <c r="P526" s="238"/>
      <c r="Q526" s="238"/>
      <c r="R526" s="238"/>
      <c r="S526" s="238"/>
      <c r="T526" s="238"/>
      <c r="U526" s="238"/>
      <c r="V526" s="240"/>
      <c r="W526" s="240"/>
      <c r="X526" s="238"/>
      <c r="Y526" s="238"/>
      <c r="Z526" s="238"/>
    </row>
    <row r="527" spans="1:26" ht="12.5">
      <c r="A527" s="238"/>
      <c r="B527" s="238"/>
      <c r="C527" s="238"/>
      <c r="D527" s="238"/>
      <c r="E527" s="238"/>
      <c r="F527" s="238"/>
      <c r="G527" s="238"/>
      <c r="H527" s="238"/>
      <c r="I527" s="238"/>
      <c r="J527" s="238"/>
      <c r="K527" s="237"/>
      <c r="L527" s="238"/>
      <c r="M527" s="238"/>
      <c r="N527" s="238"/>
      <c r="O527" s="238"/>
      <c r="P527" s="238"/>
      <c r="Q527" s="238"/>
      <c r="R527" s="238"/>
      <c r="S527" s="238"/>
      <c r="T527" s="238"/>
      <c r="U527" s="238"/>
      <c r="V527" s="240"/>
      <c r="W527" s="240"/>
      <c r="X527" s="238"/>
      <c r="Y527" s="238"/>
      <c r="Z527" s="238"/>
    </row>
    <row r="528" spans="1:26" ht="12.5">
      <c r="A528" s="238"/>
      <c r="B528" s="238"/>
      <c r="C528" s="238"/>
      <c r="D528" s="238"/>
      <c r="E528" s="238"/>
      <c r="F528" s="238"/>
      <c r="G528" s="238"/>
      <c r="H528" s="238"/>
      <c r="I528" s="238"/>
      <c r="J528" s="238"/>
      <c r="K528" s="237"/>
      <c r="L528" s="238"/>
      <c r="M528" s="238"/>
      <c r="N528" s="238"/>
      <c r="O528" s="238"/>
      <c r="P528" s="238"/>
      <c r="Q528" s="238"/>
      <c r="R528" s="238"/>
      <c r="S528" s="238"/>
      <c r="T528" s="238"/>
      <c r="U528" s="238"/>
      <c r="V528" s="240"/>
      <c r="W528" s="240"/>
      <c r="X528" s="238"/>
      <c r="Y528" s="238"/>
      <c r="Z528" s="238"/>
    </row>
    <row r="529" spans="1:26" ht="12.5">
      <c r="A529" s="238"/>
      <c r="B529" s="238"/>
      <c r="C529" s="238"/>
      <c r="D529" s="238"/>
      <c r="E529" s="238"/>
      <c r="F529" s="238"/>
      <c r="G529" s="238"/>
      <c r="H529" s="238"/>
      <c r="I529" s="238"/>
      <c r="J529" s="238"/>
      <c r="K529" s="237"/>
      <c r="L529" s="238"/>
      <c r="M529" s="238"/>
      <c r="N529" s="238"/>
      <c r="O529" s="238"/>
      <c r="P529" s="238"/>
      <c r="Q529" s="238"/>
      <c r="R529" s="238"/>
      <c r="S529" s="238"/>
      <c r="T529" s="238"/>
      <c r="U529" s="238"/>
      <c r="V529" s="240"/>
      <c r="W529" s="240"/>
      <c r="X529" s="238"/>
      <c r="Y529" s="238"/>
      <c r="Z529" s="238"/>
    </row>
    <row r="530" spans="1:26" ht="12.5">
      <c r="A530" s="238"/>
      <c r="B530" s="238"/>
      <c r="C530" s="238"/>
      <c r="D530" s="238"/>
      <c r="E530" s="238"/>
      <c r="F530" s="238"/>
      <c r="G530" s="238"/>
      <c r="H530" s="238"/>
      <c r="I530" s="238"/>
      <c r="J530" s="238"/>
      <c r="K530" s="237"/>
      <c r="L530" s="238"/>
      <c r="M530" s="238"/>
      <c r="N530" s="238"/>
      <c r="O530" s="238"/>
      <c r="P530" s="238"/>
      <c r="Q530" s="238"/>
      <c r="R530" s="238"/>
      <c r="S530" s="238"/>
      <c r="T530" s="238"/>
      <c r="U530" s="238"/>
      <c r="V530" s="240"/>
      <c r="W530" s="240"/>
      <c r="X530" s="238"/>
      <c r="Y530" s="238"/>
      <c r="Z530" s="238"/>
    </row>
    <row r="531" spans="1:26" ht="12.5">
      <c r="A531" s="238"/>
      <c r="B531" s="238"/>
      <c r="C531" s="238"/>
      <c r="D531" s="238"/>
      <c r="E531" s="238"/>
      <c r="F531" s="238"/>
      <c r="G531" s="238"/>
      <c r="H531" s="238"/>
      <c r="I531" s="238"/>
      <c r="J531" s="238"/>
      <c r="K531" s="237"/>
      <c r="L531" s="238"/>
      <c r="M531" s="238"/>
      <c r="N531" s="238"/>
      <c r="O531" s="238"/>
      <c r="P531" s="238"/>
      <c r="Q531" s="238"/>
      <c r="R531" s="238"/>
      <c r="S531" s="238"/>
      <c r="T531" s="238"/>
      <c r="U531" s="238"/>
      <c r="V531" s="240"/>
      <c r="W531" s="240"/>
      <c r="X531" s="238"/>
      <c r="Y531" s="238"/>
      <c r="Z531" s="238"/>
    </row>
    <row r="532" spans="1:26" ht="12.5">
      <c r="A532" s="238"/>
      <c r="B532" s="238"/>
      <c r="C532" s="238"/>
      <c r="D532" s="238"/>
      <c r="E532" s="238"/>
      <c r="F532" s="238"/>
      <c r="G532" s="238"/>
      <c r="H532" s="238"/>
      <c r="I532" s="238"/>
      <c r="J532" s="238"/>
      <c r="K532" s="237"/>
      <c r="L532" s="238"/>
      <c r="M532" s="238"/>
      <c r="N532" s="238"/>
      <c r="O532" s="238"/>
      <c r="P532" s="238"/>
      <c r="Q532" s="238"/>
      <c r="R532" s="238"/>
      <c r="S532" s="238"/>
      <c r="T532" s="238"/>
      <c r="U532" s="238"/>
      <c r="V532" s="240"/>
      <c r="W532" s="240"/>
      <c r="X532" s="238"/>
      <c r="Y532" s="238"/>
      <c r="Z532" s="238"/>
    </row>
    <row r="533" spans="1:26" ht="12.5">
      <c r="A533" s="238"/>
      <c r="B533" s="238"/>
      <c r="C533" s="238"/>
      <c r="D533" s="238"/>
      <c r="E533" s="238"/>
      <c r="F533" s="238"/>
      <c r="G533" s="238"/>
      <c r="H533" s="238"/>
      <c r="I533" s="238"/>
      <c r="J533" s="238"/>
      <c r="K533" s="237"/>
      <c r="L533" s="238"/>
      <c r="M533" s="238"/>
      <c r="N533" s="238"/>
      <c r="O533" s="238"/>
      <c r="P533" s="238"/>
      <c r="Q533" s="238"/>
      <c r="R533" s="238"/>
      <c r="S533" s="238"/>
      <c r="T533" s="238"/>
      <c r="U533" s="238"/>
      <c r="V533" s="240"/>
      <c r="W533" s="240"/>
      <c r="X533" s="238"/>
      <c r="Y533" s="238"/>
      <c r="Z533" s="238"/>
    </row>
    <row r="534" spans="1:26" ht="12.5">
      <c r="A534" s="238"/>
      <c r="B534" s="238"/>
      <c r="C534" s="238"/>
      <c r="D534" s="238"/>
      <c r="E534" s="238"/>
      <c r="F534" s="238"/>
      <c r="G534" s="238"/>
      <c r="H534" s="238"/>
      <c r="I534" s="238"/>
      <c r="J534" s="238"/>
      <c r="K534" s="237"/>
      <c r="L534" s="238"/>
      <c r="M534" s="238"/>
      <c r="N534" s="238"/>
      <c r="O534" s="238"/>
      <c r="P534" s="238"/>
      <c r="Q534" s="238"/>
      <c r="R534" s="238"/>
      <c r="S534" s="238"/>
      <c r="T534" s="238"/>
      <c r="U534" s="238"/>
      <c r="V534" s="240"/>
      <c r="W534" s="240"/>
      <c r="X534" s="238"/>
      <c r="Y534" s="238"/>
      <c r="Z534" s="238"/>
    </row>
    <row r="535" spans="1:26" ht="12.5">
      <c r="A535" s="238"/>
      <c r="B535" s="238"/>
      <c r="C535" s="238"/>
      <c r="D535" s="238"/>
      <c r="E535" s="238"/>
      <c r="F535" s="238"/>
      <c r="G535" s="238"/>
      <c r="H535" s="238"/>
      <c r="I535" s="238"/>
      <c r="J535" s="238"/>
      <c r="K535" s="237"/>
      <c r="L535" s="238"/>
      <c r="M535" s="238"/>
      <c r="N535" s="238"/>
      <c r="O535" s="238"/>
      <c r="P535" s="238"/>
      <c r="Q535" s="238"/>
      <c r="R535" s="238"/>
      <c r="S535" s="238"/>
      <c r="T535" s="238"/>
      <c r="U535" s="238"/>
      <c r="V535" s="240"/>
      <c r="W535" s="240"/>
      <c r="X535" s="238"/>
      <c r="Y535" s="238"/>
      <c r="Z535" s="238"/>
    </row>
    <row r="536" spans="1:26" ht="12.5">
      <c r="A536" s="238"/>
      <c r="B536" s="238"/>
      <c r="C536" s="238"/>
      <c r="D536" s="238"/>
      <c r="E536" s="238"/>
      <c r="F536" s="238"/>
      <c r="G536" s="238"/>
      <c r="H536" s="238"/>
      <c r="I536" s="238"/>
      <c r="J536" s="238"/>
      <c r="K536" s="237"/>
      <c r="L536" s="238"/>
      <c r="M536" s="238"/>
      <c r="N536" s="238"/>
      <c r="O536" s="238"/>
      <c r="P536" s="238"/>
      <c r="Q536" s="238"/>
      <c r="R536" s="238"/>
      <c r="S536" s="238"/>
      <c r="T536" s="238"/>
      <c r="U536" s="238"/>
      <c r="V536" s="240"/>
      <c r="W536" s="240"/>
      <c r="X536" s="238"/>
      <c r="Y536" s="238"/>
      <c r="Z536" s="238"/>
    </row>
    <row r="537" spans="1:26" ht="12.5">
      <c r="A537" s="238"/>
      <c r="B537" s="238"/>
      <c r="C537" s="238"/>
      <c r="D537" s="238"/>
      <c r="E537" s="238"/>
      <c r="F537" s="238"/>
      <c r="G537" s="238"/>
      <c r="H537" s="238"/>
      <c r="I537" s="238"/>
      <c r="J537" s="238"/>
      <c r="K537" s="237"/>
      <c r="L537" s="238"/>
      <c r="M537" s="238"/>
      <c r="N537" s="238"/>
      <c r="O537" s="238"/>
      <c r="P537" s="238"/>
      <c r="Q537" s="238"/>
      <c r="R537" s="238"/>
      <c r="S537" s="238"/>
      <c r="T537" s="238"/>
      <c r="U537" s="238"/>
      <c r="V537" s="240"/>
      <c r="W537" s="240"/>
      <c r="X537" s="238"/>
      <c r="Y537" s="238"/>
      <c r="Z537" s="238"/>
    </row>
    <row r="538" spans="1:26" ht="12.5">
      <c r="A538" s="238"/>
      <c r="B538" s="238"/>
      <c r="C538" s="238"/>
      <c r="D538" s="238"/>
      <c r="E538" s="238"/>
      <c r="F538" s="238"/>
      <c r="G538" s="238"/>
      <c r="H538" s="238"/>
      <c r="I538" s="238"/>
      <c r="J538" s="238"/>
      <c r="K538" s="237"/>
      <c r="L538" s="238"/>
      <c r="M538" s="238"/>
      <c r="N538" s="238"/>
      <c r="O538" s="238"/>
      <c r="P538" s="238"/>
      <c r="Q538" s="238"/>
      <c r="R538" s="238"/>
      <c r="S538" s="238"/>
      <c r="T538" s="238"/>
      <c r="U538" s="238"/>
      <c r="V538" s="240"/>
      <c r="W538" s="240"/>
      <c r="X538" s="238"/>
      <c r="Y538" s="238"/>
      <c r="Z538" s="238"/>
    </row>
    <row r="539" spans="1:26" ht="12.5">
      <c r="A539" s="238"/>
      <c r="B539" s="238"/>
      <c r="C539" s="238"/>
      <c r="D539" s="238"/>
      <c r="E539" s="238"/>
      <c r="F539" s="238"/>
      <c r="G539" s="238"/>
      <c r="H539" s="238"/>
      <c r="I539" s="238"/>
      <c r="J539" s="238"/>
      <c r="K539" s="237"/>
      <c r="L539" s="238"/>
      <c r="M539" s="238"/>
      <c r="N539" s="238"/>
      <c r="O539" s="238"/>
      <c r="P539" s="238"/>
      <c r="Q539" s="238"/>
      <c r="R539" s="238"/>
      <c r="S539" s="238"/>
      <c r="T539" s="238"/>
      <c r="U539" s="238"/>
      <c r="V539" s="240"/>
      <c r="W539" s="240"/>
      <c r="X539" s="238"/>
      <c r="Y539" s="238"/>
      <c r="Z539" s="238"/>
    </row>
    <row r="540" spans="1:26" ht="12.5">
      <c r="A540" s="238"/>
      <c r="B540" s="238"/>
      <c r="C540" s="238"/>
      <c r="D540" s="238"/>
      <c r="E540" s="238"/>
      <c r="F540" s="238"/>
      <c r="G540" s="238"/>
      <c r="H540" s="238"/>
      <c r="I540" s="238"/>
      <c r="J540" s="238"/>
      <c r="K540" s="237"/>
      <c r="L540" s="238"/>
      <c r="M540" s="238"/>
      <c r="N540" s="238"/>
      <c r="O540" s="238"/>
      <c r="P540" s="238"/>
      <c r="Q540" s="238"/>
      <c r="R540" s="238"/>
      <c r="S540" s="238"/>
      <c r="T540" s="238"/>
      <c r="U540" s="238"/>
      <c r="V540" s="240"/>
      <c r="W540" s="240"/>
      <c r="X540" s="238"/>
      <c r="Y540" s="238"/>
      <c r="Z540" s="238"/>
    </row>
    <row r="541" spans="1:26" ht="12.5">
      <c r="A541" s="238"/>
      <c r="B541" s="238"/>
      <c r="C541" s="238"/>
      <c r="D541" s="238"/>
      <c r="E541" s="238"/>
      <c r="F541" s="238"/>
      <c r="G541" s="238"/>
      <c r="H541" s="238"/>
      <c r="I541" s="238"/>
      <c r="J541" s="238"/>
      <c r="K541" s="237"/>
      <c r="L541" s="238"/>
      <c r="M541" s="238"/>
      <c r="N541" s="238"/>
      <c r="O541" s="238"/>
      <c r="P541" s="238"/>
      <c r="Q541" s="238"/>
      <c r="R541" s="238"/>
      <c r="S541" s="238"/>
      <c r="T541" s="238"/>
      <c r="U541" s="238"/>
      <c r="V541" s="240"/>
      <c r="W541" s="240"/>
      <c r="X541" s="238"/>
      <c r="Y541" s="238"/>
      <c r="Z541" s="238"/>
    </row>
    <row r="542" spans="1:26" ht="12.5">
      <c r="A542" s="238"/>
      <c r="B542" s="238"/>
      <c r="C542" s="238"/>
      <c r="D542" s="238"/>
      <c r="E542" s="238"/>
      <c r="F542" s="238"/>
      <c r="G542" s="238"/>
      <c r="H542" s="238"/>
      <c r="I542" s="238"/>
      <c r="J542" s="238"/>
      <c r="K542" s="237"/>
      <c r="L542" s="238"/>
      <c r="M542" s="238"/>
      <c r="N542" s="238"/>
      <c r="O542" s="238"/>
      <c r="P542" s="238"/>
      <c r="Q542" s="238"/>
      <c r="R542" s="238"/>
      <c r="S542" s="238"/>
      <c r="T542" s="238"/>
      <c r="U542" s="238"/>
      <c r="V542" s="240"/>
      <c r="W542" s="240"/>
      <c r="X542" s="238"/>
      <c r="Y542" s="238"/>
      <c r="Z542" s="238"/>
    </row>
    <row r="543" spans="1:26" ht="12.5">
      <c r="A543" s="238"/>
      <c r="B543" s="238"/>
      <c r="C543" s="238"/>
      <c r="D543" s="238"/>
      <c r="E543" s="238"/>
      <c r="F543" s="238"/>
      <c r="G543" s="238"/>
      <c r="H543" s="238"/>
      <c r="I543" s="238"/>
      <c r="J543" s="238"/>
      <c r="K543" s="237"/>
      <c r="L543" s="238"/>
      <c r="M543" s="238"/>
      <c r="N543" s="238"/>
      <c r="O543" s="238"/>
      <c r="P543" s="238"/>
      <c r="Q543" s="238"/>
      <c r="R543" s="238"/>
      <c r="S543" s="238"/>
      <c r="T543" s="238"/>
      <c r="U543" s="238"/>
      <c r="V543" s="240"/>
      <c r="W543" s="240"/>
      <c r="X543" s="238"/>
      <c r="Y543" s="238"/>
      <c r="Z543" s="238"/>
    </row>
    <row r="544" spans="1:26" ht="12.5">
      <c r="A544" s="238"/>
      <c r="B544" s="238"/>
      <c r="C544" s="238"/>
      <c r="D544" s="238"/>
      <c r="E544" s="238"/>
      <c r="F544" s="238"/>
      <c r="G544" s="238"/>
      <c r="H544" s="238"/>
      <c r="I544" s="238"/>
      <c r="J544" s="238"/>
      <c r="K544" s="237"/>
      <c r="L544" s="238"/>
      <c r="M544" s="238"/>
      <c r="N544" s="238"/>
      <c r="O544" s="238"/>
      <c r="P544" s="238"/>
      <c r="Q544" s="238"/>
      <c r="R544" s="238"/>
      <c r="S544" s="238"/>
      <c r="T544" s="238"/>
      <c r="U544" s="238"/>
      <c r="V544" s="240"/>
      <c r="W544" s="240"/>
      <c r="X544" s="238"/>
      <c r="Y544" s="238"/>
      <c r="Z544" s="238"/>
    </row>
    <row r="545" spans="1:26" ht="12.5">
      <c r="A545" s="238"/>
      <c r="B545" s="238"/>
      <c r="C545" s="238"/>
      <c r="D545" s="238"/>
      <c r="E545" s="238"/>
      <c r="F545" s="238"/>
      <c r="G545" s="238"/>
      <c r="H545" s="238"/>
      <c r="I545" s="238"/>
      <c r="J545" s="238"/>
      <c r="K545" s="237"/>
      <c r="L545" s="238"/>
      <c r="M545" s="238"/>
      <c r="N545" s="238"/>
      <c r="O545" s="238"/>
      <c r="P545" s="238"/>
      <c r="Q545" s="238"/>
      <c r="R545" s="238"/>
      <c r="S545" s="238"/>
      <c r="T545" s="238"/>
      <c r="U545" s="238"/>
      <c r="V545" s="240"/>
      <c r="W545" s="240"/>
      <c r="X545" s="238"/>
      <c r="Y545" s="238"/>
      <c r="Z545" s="238"/>
    </row>
    <row r="546" spans="1:26" ht="12.5">
      <c r="A546" s="238"/>
      <c r="B546" s="238"/>
      <c r="C546" s="238"/>
      <c r="D546" s="238"/>
      <c r="E546" s="238"/>
      <c r="F546" s="238"/>
      <c r="G546" s="238"/>
      <c r="H546" s="238"/>
      <c r="I546" s="238"/>
      <c r="J546" s="238"/>
      <c r="K546" s="237"/>
      <c r="L546" s="238"/>
      <c r="M546" s="238"/>
      <c r="N546" s="238"/>
      <c r="O546" s="238"/>
      <c r="P546" s="238"/>
      <c r="Q546" s="238"/>
      <c r="R546" s="238"/>
      <c r="S546" s="238"/>
      <c r="T546" s="238"/>
      <c r="U546" s="238"/>
      <c r="V546" s="240"/>
      <c r="W546" s="240"/>
      <c r="X546" s="238"/>
      <c r="Y546" s="238"/>
      <c r="Z546" s="238"/>
    </row>
    <row r="547" spans="1:26" ht="12.5">
      <c r="A547" s="238"/>
      <c r="B547" s="238"/>
      <c r="C547" s="238"/>
      <c r="D547" s="238"/>
      <c r="E547" s="238"/>
      <c r="F547" s="238"/>
      <c r="G547" s="238"/>
      <c r="H547" s="238"/>
      <c r="I547" s="238"/>
      <c r="J547" s="238"/>
      <c r="K547" s="237"/>
      <c r="L547" s="238"/>
      <c r="M547" s="238"/>
      <c r="N547" s="238"/>
      <c r="O547" s="238"/>
      <c r="P547" s="238"/>
      <c r="Q547" s="238"/>
      <c r="R547" s="238"/>
      <c r="S547" s="238"/>
      <c r="T547" s="238"/>
      <c r="U547" s="238"/>
      <c r="V547" s="240"/>
      <c r="W547" s="240"/>
      <c r="X547" s="238"/>
      <c r="Y547" s="238"/>
      <c r="Z547" s="238"/>
    </row>
    <row r="548" spans="1:26" ht="12.5">
      <c r="A548" s="238"/>
      <c r="B548" s="238"/>
      <c r="C548" s="238"/>
      <c r="D548" s="238"/>
      <c r="E548" s="238"/>
      <c r="F548" s="238"/>
      <c r="G548" s="238"/>
      <c r="H548" s="238"/>
      <c r="I548" s="238"/>
      <c r="J548" s="238"/>
      <c r="K548" s="237"/>
      <c r="L548" s="238"/>
      <c r="M548" s="238"/>
      <c r="N548" s="238"/>
      <c r="O548" s="238"/>
      <c r="P548" s="238"/>
      <c r="Q548" s="238"/>
      <c r="R548" s="238"/>
      <c r="S548" s="238"/>
      <c r="T548" s="238"/>
      <c r="U548" s="238"/>
      <c r="V548" s="240"/>
      <c r="W548" s="240"/>
      <c r="X548" s="238"/>
      <c r="Y548" s="238"/>
      <c r="Z548" s="238"/>
    </row>
    <row r="549" spans="1:26" ht="12.5">
      <c r="A549" s="238"/>
      <c r="B549" s="238"/>
      <c r="C549" s="238"/>
      <c r="D549" s="238"/>
      <c r="E549" s="238"/>
      <c r="F549" s="238"/>
      <c r="G549" s="238"/>
      <c r="H549" s="238"/>
      <c r="I549" s="238"/>
      <c r="J549" s="238"/>
      <c r="K549" s="237"/>
      <c r="L549" s="238"/>
      <c r="M549" s="238"/>
      <c r="N549" s="238"/>
      <c r="O549" s="238"/>
      <c r="P549" s="238"/>
      <c r="Q549" s="238"/>
      <c r="R549" s="238"/>
      <c r="S549" s="238"/>
      <c r="T549" s="238"/>
      <c r="U549" s="238"/>
      <c r="V549" s="240"/>
      <c r="W549" s="240"/>
      <c r="X549" s="238"/>
      <c r="Y549" s="238"/>
      <c r="Z549" s="238"/>
    </row>
    <row r="550" spans="1:26" ht="12.5">
      <c r="A550" s="238"/>
      <c r="B550" s="238"/>
      <c r="C550" s="238"/>
      <c r="D550" s="238"/>
      <c r="E550" s="238"/>
      <c r="F550" s="238"/>
      <c r="G550" s="238"/>
      <c r="H550" s="238"/>
      <c r="I550" s="238"/>
      <c r="J550" s="238"/>
      <c r="K550" s="237"/>
      <c r="L550" s="238"/>
      <c r="M550" s="238"/>
      <c r="N550" s="238"/>
      <c r="O550" s="238"/>
      <c r="P550" s="238"/>
      <c r="Q550" s="238"/>
      <c r="R550" s="238"/>
      <c r="S550" s="238"/>
      <c r="T550" s="238"/>
      <c r="U550" s="238"/>
      <c r="V550" s="240"/>
      <c r="W550" s="240"/>
      <c r="X550" s="238"/>
      <c r="Y550" s="238"/>
      <c r="Z550" s="238"/>
    </row>
    <row r="551" spans="1:26" ht="12.5">
      <c r="A551" s="238"/>
      <c r="B551" s="238"/>
      <c r="C551" s="238"/>
      <c r="D551" s="238"/>
      <c r="E551" s="238"/>
      <c r="F551" s="238"/>
      <c r="G551" s="238"/>
      <c r="H551" s="238"/>
      <c r="I551" s="238"/>
      <c r="J551" s="238"/>
      <c r="K551" s="237"/>
      <c r="L551" s="238"/>
      <c r="M551" s="238"/>
      <c r="N551" s="238"/>
      <c r="O551" s="238"/>
      <c r="P551" s="238"/>
      <c r="Q551" s="238"/>
      <c r="R551" s="238"/>
      <c r="S551" s="238"/>
      <c r="T551" s="238"/>
      <c r="U551" s="238"/>
      <c r="V551" s="240"/>
      <c r="W551" s="240"/>
      <c r="X551" s="238"/>
      <c r="Y551" s="238"/>
      <c r="Z551" s="238"/>
    </row>
    <row r="552" spans="1:26" ht="12.5">
      <c r="A552" s="238"/>
      <c r="B552" s="238"/>
      <c r="C552" s="238"/>
      <c r="D552" s="238"/>
      <c r="E552" s="238"/>
      <c r="F552" s="238"/>
      <c r="G552" s="238"/>
      <c r="H552" s="238"/>
      <c r="I552" s="238"/>
      <c r="J552" s="238"/>
      <c r="K552" s="237"/>
      <c r="L552" s="238"/>
      <c r="M552" s="238"/>
      <c r="N552" s="238"/>
      <c r="O552" s="238"/>
      <c r="P552" s="238"/>
      <c r="Q552" s="238"/>
      <c r="R552" s="238"/>
      <c r="S552" s="238"/>
      <c r="T552" s="238"/>
      <c r="U552" s="238"/>
      <c r="V552" s="240"/>
      <c r="W552" s="240"/>
      <c r="X552" s="238"/>
      <c r="Y552" s="238"/>
      <c r="Z552" s="238"/>
    </row>
    <row r="553" spans="1:26" ht="12.5">
      <c r="A553" s="238"/>
      <c r="B553" s="238"/>
      <c r="C553" s="238"/>
      <c r="D553" s="238"/>
      <c r="E553" s="238"/>
      <c r="F553" s="238"/>
      <c r="G553" s="238"/>
      <c r="H553" s="238"/>
      <c r="I553" s="238"/>
      <c r="J553" s="238"/>
      <c r="K553" s="237"/>
      <c r="L553" s="238"/>
      <c r="M553" s="238"/>
      <c r="N553" s="238"/>
      <c r="O553" s="238"/>
      <c r="P553" s="238"/>
      <c r="Q553" s="238"/>
      <c r="R553" s="238"/>
      <c r="S553" s="238"/>
      <c r="T553" s="238"/>
      <c r="U553" s="238"/>
      <c r="V553" s="240"/>
      <c r="W553" s="240"/>
      <c r="X553" s="238"/>
      <c r="Y553" s="238"/>
      <c r="Z553" s="238"/>
    </row>
    <row r="554" spans="1:26" ht="12.5">
      <c r="A554" s="238"/>
      <c r="B554" s="238"/>
      <c r="C554" s="238"/>
      <c r="D554" s="238"/>
      <c r="E554" s="238"/>
      <c r="F554" s="238"/>
      <c r="G554" s="238"/>
      <c r="H554" s="238"/>
      <c r="I554" s="238"/>
      <c r="J554" s="238"/>
      <c r="K554" s="237"/>
      <c r="L554" s="238"/>
      <c r="M554" s="238"/>
      <c r="N554" s="238"/>
      <c r="O554" s="238"/>
      <c r="P554" s="238"/>
      <c r="Q554" s="238"/>
      <c r="R554" s="238"/>
      <c r="S554" s="238"/>
      <c r="T554" s="238"/>
      <c r="U554" s="238"/>
      <c r="V554" s="240"/>
      <c r="W554" s="240"/>
      <c r="X554" s="238"/>
      <c r="Y554" s="238"/>
      <c r="Z554" s="238"/>
    </row>
    <row r="555" spans="1:26" ht="12.5">
      <c r="A555" s="238"/>
      <c r="B555" s="238"/>
      <c r="C555" s="238"/>
      <c r="D555" s="238"/>
      <c r="E555" s="238"/>
      <c r="F555" s="238"/>
      <c r="G555" s="238"/>
      <c r="H555" s="238"/>
      <c r="I555" s="238"/>
      <c r="J555" s="238"/>
      <c r="K555" s="237"/>
      <c r="L555" s="238"/>
      <c r="M555" s="238"/>
      <c r="N555" s="238"/>
      <c r="O555" s="238"/>
      <c r="P555" s="238"/>
      <c r="Q555" s="238"/>
      <c r="R555" s="238"/>
      <c r="S555" s="238"/>
      <c r="T555" s="238"/>
      <c r="U555" s="238"/>
      <c r="V555" s="240"/>
      <c r="W555" s="240"/>
      <c r="X555" s="238"/>
      <c r="Y555" s="238"/>
      <c r="Z555" s="238"/>
    </row>
    <row r="556" spans="1:26" ht="12.5">
      <c r="A556" s="238"/>
      <c r="B556" s="238"/>
      <c r="C556" s="238"/>
      <c r="D556" s="238"/>
      <c r="E556" s="238"/>
      <c r="F556" s="238"/>
      <c r="G556" s="238"/>
      <c r="H556" s="238"/>
      <c r="I556" s="238"/>
      <c r="J556" s="238"/>
      <c r="K556" s="237"/>
      <c r="L556" s="238"/>
      <c r="M556" s="238"/>
      <c r="N556" s="238"/>
      <c r="O556" s="238"/>
      <c r="P556" s="238"/>
      <c r="Q556" s="238"/>
      <c r="R556" s="238"/>
      <c r="S556" s="238"/>
      <c r="T556" s="238"/>
      <c r="U556" s="238"/>
      <c r="V556" s="240"/>
      <c r="W556" s="240"/>
      <c r="X556" s="238"/>
      <c r="Y556" s="238"/>
      <c r="Z556" s="238"/>
    </row>
    <row r="557" spans="1:26" ht="12.5">
      <c r="A557" s="238"/>
      <c r="B557" s="238"/>
      <c r="C557" s="238"/>
      <c r="D557" s="238"/>
      <c r="E557" s="238"/>
      <c r="F557" s="238"/>
      <c r="G557" s="238"/>
      <c r="H557" s="238"/>
      <c r="I557" s="238"/>
      <c r="J557" s="238"/>
      <c r="K557" s="237"/>
      <c r="L557" s="238"/>
      <c r="M557" s="238"/>
      <c r="N557" s="238"/>
      <c r="O557" s="238"/>
      <c r="P557" s="238"/>
      <c r="Q557" s="238"/>
      <c r="R557" s="238"/>
      <c r="S557" s="238"/>
      <c r="T557" s="238"/>
      <c r="U557" s="238"/>
      <c r="V557" s="240"/>
      <c r="W557" s="240"/>
      <c r="X557" s="238"/>
      <c r="Y557" s="238"/>
      <c r="Z557" s="238"/>
    </row>
    <row r="558" spans="1:26" ht="12.5">
      <c r="A558" s="238"/>
      <c r="B558" s="238"/>
      <c r="C558" s="238"/>
      <c r="D558" s="238"/>
      <c r="E558" s="238"/>
      <c r="F558" s="238"/>
      <c r="G558" s="238"/>
      <c r="H558" s="238"/>
      <c r="I558" s="238"/>
      <c r="J558" s="238"/>
      <c r="K558" s="237"/>
      <c r="L558" s="238"/>
      <c r="M558" s="238"/>
      <c r="N558" s="238"/>
      <c r="O558" s="238"/>
      <c r="P558" s="238"/>
      <c r="Q558" s="238"/>
      <c r="R558" s="238"/>
      <c r="S558" s="238"/>
      <c r="T558" s="238"/>
      <c r="U558" s="238"/>
      <c r="V558" s="240"/>
      <c r="W558" s="240"/>
      <c r="X558" s="238"/>
      <c r="Y558" s="238"/>
      <c r="Z558" s="238"/>
    </row>
    <row r="559" spans="1:26" ht="12.5">
      <c r="A559" s="238"/>
      <c r="B559" s="238"/>
      <c r="C559" s="238"/>
      <c r="D559" s="238"/>
      <c r="E559" s="238"/>
      <c r="F559" s="238"/>
      <c r="G559" s="238"/>
      <c r="H559" s="238"/>
      <c r="I559" s="238"/>
      <c r="J559" s="238"/>
      <c r="K559" s="237"/>
      <c r="L559" s="238"/>
      <c r="M559" s="238"/>
      <c r="N559" s="238"/>
      <c r="O559" s="238"/>
      <c r="P559" s="238"/>
      <c r="Q559" s="238"/>
      <c r="R559" s="238"/>
      <c r="S559" s="238"/>
      <c r="T559" s="238"/>
      <c r="U559" s="238"/>
      <c r="V559" s="240"/>
      <c r="W559" s="240"/>
      <c r="X559" s="238"/>
      <c r="Y559" s="238"/>
      <c r="Z559" s="238"/>
    </row>
    <row r="560" spans="1:26" ht="12.5">
      <c r="A560" s="238"/>
      <c r="B560" s="238"/>
      <c r="C560" s="238"/>
      <c r="D560" s="238"/>
      <c r="E560" s="238"/>
      <c r="F560" s="238"/>
      <c r="G560" s="238"/>
      <c r="H560" s="238"/>
      <c r="I560" s="238"/>
      <c r="J560" s="238"/>
      <c r="K560" s="237"/>
      <c r="L560" s="238"/>
      <c r="M560" s="238"/>
      <c r="N560" s="238"/>
      <c r="O560" s="238"/>
      <c r="P560" s="238"/>
      <c r="Q560" s="238"/>
      <c r="R560" s="238"/>
      <c r="S560" s="238"/>
      <c r="T560" s="238"/>
      <c r="U560" s="238"/>
      <c r="V560" s="240"/>
      <c r="W560" s="240"/>
      <c r="X560" s="238"/>
      <c r="Y560" s="238"/>
      <c r="Z560" s="238"/>
    </row>
    <row r="561" spans="1:26" ht="12.5">
      <c r="A561" s="238"/>
      <c r="B561" s="238"/>
      <c r="C561" s="238"/>
      <c r="D561" s="238"/>
      <c r="E561" s="238"/>
      <c r="F561" s="238"/>
      <c r="G561" s="238"/>
      <c r="H561" s="238"/>
      <c r="I561" s="238"/>
      <c r="J561" s="238"/>
      <c r="K561" s="237"/>
      <c r="L561" s="238"/>
      <c r="M561" s="238"/>
      <c r="N561" s="238"/>
      <c r="O561" s="238"/>
      <c r="P561" s="238"/>
      <c r="Q561" s="238"/>
      <c r="R561" s="238"/>
      <c r="S561" s="238"/>
      <c r="T561" s="238"/>
      <c r="U561" s="238"/>
      <c r="V561" s="240"/>
      <c r="W561" s="240"/>
      <c r="X561" s="238"/>
      <c r="Y561" s="238"/>
      <c r="Z561" s="238"/>
    </row>
    <row r="562" spans="1:26" ht="12.5">
      <c r="A562" s="238"/>
      <c r="B562" s="238"/>
      <c r="C562" s="238"/>
      <c r="D562" s="238"/>
      <c r="E562" s="238"/>
      <c r="F562" s="238"/>
      <c r="G562" s="238"/>
      <c r="H562" s="238"/>
      <c r="I562" s="238"/>
      <c r="J562" s="238"/>
      <c r="K562" s="237"/>
      <c r="L562" s="238"/>
      <c r="M562" s="238"/>
      <c r="N562" s="238"/>
      <c r="O562" s="238"/>
      <c r="P562" s="238"/>
      <c r="Q562" s="238"/>
      <c r="R562" s="238"/>
      <c r="S562" s="238"/>
      <c r="T562" s="238"/>
      <c r="U562" s="238"/>
      <c r="V562" s="240"/>
      <c r="W562" s="240"/>
      <c r="X562" s="238"/>
      <c r="Y562" s="238"/>
      <c r="Z562" s="238"/>
    </row>
    <row r="563" spans="1:26" ht="12.5">
      <c r="A563" s="238"/>
      <c r="B563" s="238"/>
      <c r="C563" s="238"/>
      <c r="D563" s="238"/>
      <c r="E563" s="238"/>
      <c r="F563" s="238"/>
      <c r="G563" s="238"/>
      <c r="H563" s="238"/>
      <c r="I563" s="238"/>
      <c r="J563" s="238"/>
      <c r="K563" s="237"/>
      <c r="L563" s="238"/>
      <c r="M563" s="238"/>
      <c r="N563" s="238"/>
      <c r="O563" s="238"/>
      <c r="P563" s="238"/>
      <c r="Q563" s="238"/>
      <c r="R563" s="238"/>
      <c r="S563" s="238"/>
      <c r="T563" s="238"/>
      <c r="U563" s="238"/>
      <c r="V563" s="240"/>
      <c r="W563" s="240"/>
      <c r="X563" s="238"/>
      <c r="Y563" s="238"/>
      <c r="Z563" s="238"/>
    </row>
    <row r="564" spans="1:26" ht="12.5">
      <c r="A564" s="238"/>
      <c r="B564" s="238"/>
      <c r="C564" s="238"/>
      <c r="D564" s="238"/>
      <c r="E564" s="238"/>
      <c r="F564" s="238"/>
      <c r="G564" s="238"/>
      <c r="H564" s="238"/>
      <c r="I564" s="238"/>
      <c r="J564" s="238"/>
      <c r="K564" s="237"/>
      <c r="L564" s="238"/>
      <c r="M564" s="238"/>
      <c r="N564" s="238"/>
      <c r="O564" s="238"/>
      <c r="P564" s="238"/>
      <c r="Q564" s="238"/>
      <c r="R564" s="238"/>
      <c r="S564" s="238"/>
      <c r="T564" s="238"/>
      <c r="U564" s="238"/>
      <c r="V564" s="240"/>
      <c r="W564" s="240"/>
      <c r="X564" s="238"/>
      <c r="Y564" s="238"/>
      <c r="Z564" s="238"/>
    </row>
    <row r="565" spans="1:26" ht="12.5">
      <c r="A565" s="238"/>
      <c r="B565" s="238"/>
      <c r="C565" s="238"/>
      <c r="D565" s="238"/>
      <c r="E565" s="238"/>
      <c r="F565" s="238"/>
      <c r="G565" s="238"/>
      <c r="H565" s="238"/>
      <c r="I565" s="238"/>
      <c r="J565" s="238"/>
      <c r="K565" s="237"/>
      <c r="L565" s="238"/>
      <c r="M565" s="238"/>
      <c r="N565" s="238"/>
      <c r="O565" s="238"/>
      <c r="P565" s="238"/>
      <c r="Q565" s="238"/>
      <c r="R565" s="238"/>
      <c r="S565" s="238"/>
      <c r="T565" s="238"/>
      <c r="U565" s="238"/>
      <c r="V565" s="240"/>
      <c r="W565" s="240"/>
      <c r="X565" s="238"/>
      <c r="Y565" s="238"/>
      <c r="Z565" s="238"/>
    </row>
    <row r="566" spans="1:26" ht="12.5">
      <c r="A566" s="238"/>
      <c r="B566" s="238"/>
      <c r="C566" s="238"/>
      <c r="D566" s="238"/>
      <c r="E566" s="238"/>
      <c r="F566" s="238"/>
      <c r="G566" s="238"/>
      <c r="H566" s="238"/>
      <c r="I566" s="238"/>
      <c r="J566" s="238"/>
      <c r="K566" s="237"/>
      <c r="L566" s="238"/>
      <c r="M566" s="238"/>
      <c r="N566" s="238"/>
      <c r="O566" s="238"/>
      <c r="P566" s="238"/>
      <c r="Q566" s="238"/>
      <c r="R566" s="238"/>
      <c r="S566" s="238"/>
      <c r="T566" s="238"/>
      <c r="U566" s="238"/>
      <c r="V566" s="240"/>
      <c r="W566" s="240"/>
      <c r="X566" s="238"/>
      <c r="Y566" s="238"/>
      <c r="Z566" s="238"/>
    </row>
    <row r="567" spans="1:26" ht="12.5">
      <c r="A567" s="238"/>
      <c r="B567" s="238"/>
      <c r="C567" s="238"/>
      <c r="D567" s="238"/>
      <c r="E567" s="238"/>
      <c r="F567" s="238"/>
      <c r="G567" s="238"/>
      <c r="H567" s="238"/>
      <c r="I567" s="238"/>
      <c r="J567" s="238"/>
      <c r="K567" s="237"/>
      <c r="L567" s="238"/>
      <c r="M567" s="238"/>
      <c r="N567" s="238"/>
      <c r="O567" s="238"/>
      <c r="P567" s="238"/>
      <c r="Q567" s="238"/>
      <c r="R567" s="238"/>
      <c r="S567" s="238"/>
      <c r="T567" s="238"/>
      <c r="U567" s="238"/>
      <c r="V567" s="240"/>
      <c r="W567" s="240"/>
      <c r="X567" s="238"/>
      <c r="Y567" s="238"/>
      <c r="Z567" s="238"/>
    </row>
    <row r="568" spans="1:26" ht="12.5">
      <c r="A568" s="238"/>
      <c r="B568" s="238"/>
      <c r="C568" s="238"/>
      <c r="D568" s="238"/>
      <c r="E568" s="238"/>
      <c r="F568" s="238"/>
      <c r="G568" s="238"/>
      <c r="H568" s="238"/>
      <c r="I568" s="238"/>
      <c r="J568" s="238"/>
      <c r="K568" s="237"/>
      <c r="L568" s="238"/>
      <c r="M568" s="238"/>
      <c r="N568" s="238"/>
      <c r="O568" s="238"/>
      <c r="P568" s="238"/>
      <c r="Q568" s="238"/>
      <c r="R568" s="238"/>
      <c r="S568" s="238"/>
      <c r="T568" s="238"/>
      <c r="U568" s="238"/>
      <c r="V568" s="240"/>
      <c r="W568" s="240"/>
      <c r="X568" s="238"/>
      <c r="Y568" s="238"/>
      <c r="Z568" s="238"/>
    </row>
    <row r="569" spans="1:26" ht="12.5">
      <c r="A569" s="238"/>
      <c r="B569" s="238"/>
      <c r="C569" s="238"/>
      <c r="D569" s="238"/>
      <c r="E569" s="238"/>
      <c r="F569" s="238"/>
      <c r="G569" s="238"/>
      <c r="H569" s="238"/>
      <c r="I569" s="238"/>
      <c r="J569" s="238"/>
      <c r="K569" s="237"/>
      <c r="L569" s="238"/>
      <c r="M569" s="238"/>
      <c r="N569" s="238"/>
      <c r="O569" s="238"/>
      <c r="P569" s="238"/>
      <c r="Q569" s="238"/>
      <c r="R569" s="238"/>
      <c r="S569" s="238"/>
      <c r="T569" s="238"/>
      <c r="U569" s="238"/>
      <c r="V569" s="240"/>
      <c r="W569" s="240"/>
      <c r="X569" s="238"/>
      <c r="Y569" s="238"/>
      <c r="Z569" s="238"/>
    </row>
    <row r="570" spans="1:26" ht="12.5">
      <c r="A570" s="238"/>
      <c r="B570" s="238"/>
      <c r="C570" s="238"/>
      <c r="D570" s="238"/>
      <c r="E570" s="238"/>
      <c r="F570" s="238"/>
      <c r="G570" s="238"/>
      <c r="H570" s="238"/>
      <c r="I570" s="238"/>
      <c r="J570" s="238"/>
      <c r="K570" s="237"/>
      <c r="L570" s="238"/>
      <c r="M570" s="238"/>
      <c r="N570" s="238"/>
      <c r="O570" s="238"/>
      <c r="P570" s="238"/>
      <c r="Q570" s="238"/>
      <c r="R570" s="238"/>
      <c r="S570" s="238"/>
      <c r="T570" s="238"/>
      <c r="U570" s="238"/>
      <c r="V570" s="240"/>
      <c r="W570" s="240"/>
      <c r="X570" s="238"/>
      <c r="Y570" s="238"/>
      <c r="Z570" s="238"/>
    </row>
    <row r="571" spans="1:26" ht="12.5">
      <c r="A571" s="238"/>
      <c r="B571" s="238"/>
      <c r="C571" s="238"/>
      <c r="D571" s="238"/>
      <c r="E571" s="238"/>
      <c r="F571" s="238"/>
      <c r="G571" s="238"/>
      <c r="H571" s="238"/>
      <c r="I571" s="238"/>
      <c r="J571" s="238"/>
      <c r="K571" s="237"/>
      <c r="L571" s="238"/>
      <c r="M571" s="238"/>
      <c r="N571" s="238"/>
      <c r="O571" s="238"/>
      <c r="P571" s="238"/>
      <c r="Q571" s="238"/>
      <c r="R571" s="238"/>
      <c r="S571" s="238"/>
      <c r="T571" s="238"/>
      <c r="U571" s="238"/>
      <c r="V571" s="240"/>
      <c r="W571" s="240"/>
      <c r="X571" s="238"/>
      <c r="Y571" s="238"/>
      <c r="Z571" s="238"/>
    </row>
    <row r="572" spans="1:26" ht="12.5">
      <c r="A572" s="238"/>
      <c r="B572" s="238"/>
      <c r="C572" s="238"/>
      <c r="D572" s="238"/>
      <c r="E572" s="238"/>
      <c r="F572" s="238"/>
      <c r="G572" s="238"/>
      <c r="H572" s="238"/>
      <c r="I572" s="238"/>
      <c r="J572" s="238"/>
      <c r="K572" s="237"/>
      <c r="L572" s="238"/>
      <c r="M572" s="238"/>
      <c r="N572" s="238"/>
      <c r="O572" s="238"/>
      <c r="P572" s="238"/>
      <c r="Q572" s="238"/>
      <c r="R572" s="238"/>
      <c r="S572" s="238"/>
      <c r="T572" s="238"/>
      <c r="U572" s="238"/>
      <c r="V572" s="240"/>
      <c r="W572" s="240"/>
      <c r="X572" s="238"/>
      <c r="Y572" s="238"/>
      <c r="Z572" s="238"/>
    </row>
    <row r="573" spans="1:26" ht="12.5">
      <c r="A573" s="238"/>
      <c r="B573" s="238"/>
      <c r="C573" s="238"/>
      <c r="D573" s="238"/>
      <c r="E573" s="238"/>
      <c r="F573" s="238"/>
      <c r="G573" s="238"/>
      <c r="H573" s="238"/>
      <c r="I573" s="238"/>
      <c r="J573" s="238"/>
      <c r="K573" s="237"/>
      <c r="L573" s="238"/>
      <c r="M573" s="238"/>
      <c r="N573" s="238"/>
      <c r="O573" s="238"/>
      <c r="P573" s="238"/>
      <c r="Q573" s="238"/>
      <c r="R573" s="238"/>
      <c r="S573" s="238"/>
      <c r="T573" s="238"/>
      <c r="U573" s="238"/>
      <c r="V573" s="240"/>
      <c r="W573" s="240"/>
      <c r="X573" s="238"/>
      <c r="Y573" s="238"/>
      <c r="Z573" s="238"/>
    </row>
    <row r="574" spans="1:26" ht="12.5">
      <c r="A574" s="238"/>
      <c r="B574" s="238"/>
      <c r="C574" s="238"/>
      <c r="D574" s="238"/>
      <c r="E574" s="238"/>
      <c r="F574" s="238"/>
      <c r="G574" s="238"/>
      <c r="H574" s="238"/>
      <c r="I574" s="238"/>
      <c r="J574" s="238"/>
      <c r="K574" s="237"/>
      <c r="L574" s="238"/>
      <c r="M574" s="238"/>
      <c r="N574" s="238"/>
      <c r="O574" s="238"/>
      <c r="P574" s="238"/>
      <c r="Q574" s="238"/>
      <c r="R574" s="238"/>
      <c r="S574" s="238"/>
      <c r="T574" s="238"/>
      <c r="U574" s="238"/>
      <c r="V574" s="240"/>
      <c r="W574" s="240"/>
      <c r="X574" s="238"/>
      <c r="Y574" s="238"/>
      <c r="Z574" s="238"/>
    </row>
    <row r="575" spans="1:26" ht="12.5">
      <c r="A575" s="238"/>
      <c r="B575" s="238"/>
      <c r="C575" s="238"/>
      <c r="D575" s="238"/>
      <c r="E575" s="238"/>
      <c r="F575" s="238"/>
      <c r="G575" s="238"/>
      <c r="H575" s="238"/>
      <c r="I575" s="238"/>
      <c r="J575" s="238"/>
      <c r="K575" s="237"/>
      <c r="L575" s="238"/>
      <c r="M575" s="238"/>
      <c r="N575" s="238"/>
      <c r="O575" s="238"/>
      <c r="P575" s="238"/>
      <c r="Q575" s="238"/>
      <c r="R575" s="238"/>
      <c r="S575" s="238"/>
      <c r="T575" s="238"/>
      <c r="U575" s="238"/>
      <c r="V575" s="240"/>
      <c r="W575" s="240"/>
      <c r="X575" s="238"/>
      <c r="Y575" s="238"/>
      <c r="Z575" s="238"/>
    </row>
    <row r="576" spans="1:26" ht="12.5">
      <c r="A576" s="238"/>
      <c r="B576" s="238"/>
      <c r="C576" s="238"/>
      <c r="D576" s="238"/>
      <c r="E576" s="238"/>
      <c r="F576" s="238"/>
      <c r="G576" s="238"/>
      <c r="H576" s="238"/>
      <c r="I576" s="238"/>
      <c r="J576" s="238"/>
      <c r="K576" s="237"/>
      <c r="L576" s="238"/>
      <c r="M576" s="238"/>
      <c r="N576" s="238"/>
      <c r="O576" s="238"/>
      <c r="P576" s="238"/>
      <c r="Q576" s="238"/>
      <c r="R576" s="238"/>
      <c r="S576" s="238"/>
      <c r="T576" s="238"/>
      <c r="U576" s="238"/>
      <c r="V576" s="240"/>
      <c r="W576" s="240"/>
      <c r="X576" s="238"/>
      <c r="Y576" s="238"/>
      <c r="Z576" s="238"/>
    </row>
    <row r="577" spans="1:26" ht="12.5">
      <c r="A577" s="238"/>
      <c r="B577" s="238"/>
      <c r="C577" s="238"/>
      <c r="D577" s="238"/>
      <c r="E577" s="238"/>
      <c r="F577" s="238"/>
      <c r="G577" s="238"/>
      <c r="H577" s="238"/>
      <c r="I577" s="238"/>
      <c r="J577" s="238"/>
      <c r="K577" s="237"/>
      <c r="L577" s="238"/>
      <c r="M577" s="238"/>
      <c r="N577" s="238"/>
      <c r="O577" s="238"/>
      <c r="P577" s="238"/>
      <c r="Q577" s="238"/>
      <c r="R577" s="238"/>
      <c r="S577" s="238"/>
      <c r="T577" s="238"/>
      <c r="U577" s="238"/>
      <c r="V577" s="240"/>
      <c r="W577" s="240"/>
      <c r="X577" s="238"/>
      <c r="Y577" s="238"/>
      <c r="Z577" s="238"/>
    </row>
    <row r="578" spans="1:26" ht="12.5">
      <c r="A578" s="238"/>
      <c r="B578" s="238"/>
      <c r="C578" s="238"/>
      <c r="D578" s="238"/>
      <c r="E578" s="238"/>
      <c r="F578" s="238"/>
      <c r="G578" s="238"/>
      <c r="H578" s="238"/>
      <c r="I578" s="238"/>
      <c r="J578" s="238"/>
      <c r="K578" s="237"/>
      <c r="L578" s="238"/>
      <c r="M578" s="238"/>
      <c r="N578" s="238"/>
      <c r="O578" s="238"/>
      <c r="P578" s="238"/>
      <c r="Q578" s="238"/>
      <c r="R578" s="238"/>
      <c r="S578" s="238"/>
      <c r="T578" s="238"/>
      <c r="U578" s="238"/>
      <c r="V578" s="240"/>
      <c r="W578" s="240"/>
      <c r="X578" s="238"/>
      <c r="Y578" s="238"/>
      <c r="Z578" s="238"/>
    </row>
    <row r="579" spans="1:26" ht="12.5">
      <c r="A579" s="238"/>
      <c r="B579" s="238"/>
      <c r="C579" s="238"/>
      <c r="D579" s="238"/>
      <c r="E579" s="238"/>
      <c r="F579" s="238"/>
      <c r="G579" s="238"/>
      <c r="H579" s="238"/>
      <c r="I579" s="238"/>
      <c r="J579" s="238"/>
      <c r="K579" s="237"/>
      <c r="L579" s="238"/>
      <c r="M579" s="238"/>
      <c r="N579" s="238"/>
      <c r="O579" s="238"/>
      <c r="P579" s="238"/>
      <c r="Q579" s="238"/>
      <c r="R579" s="238"/>
      <c r="S579" s="238"/>
      <c r="T579" s="238"/>
      <c r="U579" s="238"/>
      <c r="V579" s="240"/>
      <c r="W579" s="240"/>
      <c r="X579" s="238"/>
      <c r="Y579" s="238"/>
      <c r="Z579" s="238"/>
    </row>
    <row r="580" spans="1:26" ht="12.5">
      <c r="A580" s="238"/>
      <c r="B580" s="238"/>
      <c r="C580" s="238"/>
      <c r="D580" s="238"/>
      <c r="E580" s="238"/>
      <c r="F580" s="238"/>
      <c r="G580" s="238"/>
      <c r="H580" s="238"/>
      <c r="I580" s="238"/>
      <c r="J580" s="238"/>
      <c r="K580" s="237"/>
      <c r="L580" s="238"/>
      <c r="M580" s="238"/>
      <c r="N580" s="238"/>
      <c r="O580" s="238"/>
      <c r="P580" s="238"/>
      <c r="Q580" s="238"/>
      <c r="R580" s="238"/>
      <c r="S580" s="238"/>
      <c r="T580" s="238"/>
      <c r="U580" s="238"/>
      <c r="V580" s="240"/>
      <c r="W580" s="240"/>
      <c r="X580" s="238"/>
      <c r="Y580" s="238"/>
      <c r="Z580" s="238"/>
    </row>
    <row r="581" spans="1:26" ht="12.5">
      <c r="A581" s="238"/>
      <c r="B581" s="238"/>
      <c r="C581" s="238"/>
      <c r="D581" s="238"/>
      <c r="E581" s="238"/>
      <c r="F581" s="238"/>
      <c r="G581" s="238"/>
      <c r="H581" s="238"/>
      <c r="I581" s="238"/>
      <c r="J581" s="238"/>
      <c r="K581" s="237"/>
      <c r="L581" s="238"/>
      <c r="M581" s="238"/>
      <c r="N581" s="238"/>
      <c r="O581" s="238"/>
      <c r="P581" s="238"/>
      <c r="Q581" s="238"/>
      <c r="R581" s="238"/>
      <c r="S581" s="238"/>
      <c r="T581" s="238"/>
      <c r="U581" s="238"/>
      <c r="V581" s="240"/>
      <c r="W581" s="240"/>
      <c r="X581" s="238"/>
      <c r="Y581" s="238"/>
      <c r="Z581" s="238"/>
    </row>
    <row r="582" spans="1:26" ht="12.5">
      <c r="A582" s="238"/>
      <c r="B582" s="238"/>
      <c r="C582" s="238"/>
      <c r="D582" s="238"/>
      <c r="E582" s="238"/>
      <c r="F582" s="238"/>
      <c r="G582" s="238"/>
      <c r="H582" s="238"/>
      <c r="I582" s="238"/>
      <c r="J582" s="238"/>
      <c r="K582" s="237"/>
      <c r="L582" s="238"/>
      <c r="M582" s="238"/>
      <c r="N582" s="238"/>
      <c r="O582" s="238"/>
      <c r="P582" s="238"/>
      <c r="Q582" s="238"/>
      <c r="R582" s="238"/>
      <c r="S582" s="238"/>
      <c r="T582" s="238"/>
      <c r="U582" s="238"/>
      <c r="V582" s="240"/>
      <c r="W582" s="240"/>
      <c r="X582" s="238"/>
      <c r="Y582" s="238"/>
      <c r="Z582" s="238"/>
    </row>
    <row r="583" spans="1:26" ht="12.5">
      <c r="A583" s="238"/>
      <c r="B583" s="238"/>
      <c r="C583" s="238"/>
      <c r="D583" s="238"/>
      <c r="E583" s="238"/>
      <c r="F583" s="238"/>
      <c r="G583" s="238"/>
      <c r="H583" s="238"/>
      <c r="I583" s="238"/>
      <c r="J583" s="238"/>
      <c r="K583" s="237"/>
      <c r="L583" s="238"/>
      <c r="M583" s="238"/>
      <c r="N583" s="238"/>
      <c r="O583" s="238"/>
      <c r="P583" s="238"/>
      <c r="Q583" s="238"/>
      <c r="R583" s="238"/>
      <c r="S583" s="238"/>
      <c r="T583" s="238"/>
      <c r="U583" s="238"/>
      <c r="V583" s="240"/>
      <c r="W583" s="240"/>
      <c r="X583" s="238"/>
      <c r="Y583" s="238"/>
      <c r="Z583" s="238"/>
    </row>
    <row r="584" spans="1:26" ht="12.5">
      <c r="A584" s="238"/>
      <c r="B584" s="238"/>
      <c r="C584" s="238"/>
      <c r="D584" s="238"/>
      <c r="E584" s="238"/>
      <c r="F584" s="238"/>
      <c r="G584" s="238"/>
      <c r="H584" s="238"/>
      <c r="I584" s="238"/>
      <c r="J584" s="238"/>
      <c r="K584" s="237"/>
      <c r="L584" s="238"/>
      <c r="M584" s="238"/>
      <c r="N584" s="238"/>
      <c r="O584" s="238"/>
      <c r="P584" s="238"/>
      <c r="Q584" s="238"/>
      <c r="R584" s="238"/>
      <c r="S584" s="238"/>
      <c r="T584" s="238"/>
      <c r="U584" s="238"/>
      <c r="V584" s="240"/>
      <c r="W584" s="240"/>
      <c r="X584" s="238"/>
      <c r="Y584" s="238"/>
      <c r="Z584" s="238"/>
    </row>
    <row r="585" spans="1:26" ht="12.5">
      <c r="A585" s="238"/>
      <c r="B585" s="238"/>
      <c r="C585" s="238"/>
      <c r="D585" s="238"/>
      <c r="E585" s="238"/>
      <c r="F585" s="238"/>
      <c r="G585" s="238"/>
      <c r="H585" s="238"/>
      <c r="I585" s="238"/>
      <c r="J585" s="238"/>
      <c r="K585" s="237"/>
      <c r="L585" s="238"/>
      <c r="M585" s="238"/>
      <c r="N585" s="238"/>
      <c r="O585" s="238"/>
      <c r="P585" s="238"/>
      <c r="Q585" s="238"/>
      <c r="R585" s="238"/>
      <c r="S585" s="238"/>
      <c r="T585" s="238"/>
      <c r="U585" s="238"/>
      <c r="V585" s="240"/>
      <c r="W585" s="240"/>
      <c r="X585" s="238"/>
      <c r="Y585" s="238"/>
      <c r="Z585" s="238"/>
    </row>
    <row r="586" spans="1:26" ht="12.5">
      <c r="A586" s="238"/>
      <c r="B586" s="238"/>
      <c r="C586" s="238"/>
      <c r="D586" s="238"/>
      <c r="E586" s="238"/>
      <c r="F586" s="238"/>
      <c r="G586" s="238"/>
      <c r="H586" s="238"/>
      <c r="I586" s="238"/>
      <c r="J586" s="238"/>
      <c r="K586" s="237"/>
      <c r="L586" s="238"/>
      <c r="M586" s="238"/>
      <c r="N586" s="238"/>
      <c r="O586" s="238"/>
      <c r="P586" s="238"/>
      <c r="Q586" s="238"/>
      <c r="R586" s="238"/>
      <c r="S586" s="238"/>
      <c r="T586" s="238"/>
      <c r="U586" s="238"/>
      <c r="V586" s="240"/>
      <c r="W586" s="240"/>
      <c r="X586" s="238"/>
      <c r="Y586" s="238"/>
      <c r="Z586" s="238"/>
    </row>
    <row r="587" spans="1:26" ht="12.5">
      <c r="A587" s="238"/>
      <c r="B587" s="238"/>
      <c r="C587" s="238"/>
      <c r="D587" s="238"/>
      <c r="E587" s="238"/>
      <c r="F587" s="238"/>
      <c r="G587" s="238"/>
      <c r="H587" s="238"/>
      <c r="I587" s="238"/>
      <c r="J587" s="238"/>
      <c r="K587" s="237"/>
      <c r="L587" s="238"/>
      <c r="M587" s="238"/>
      <c r="N587" s="238"/>
      <c r="O587" s="238"/>
      <c r="P587" s="238"/>
      <c r="Q587" s="238"/>
      <c r="R587" s="238"/>
      <c r="S587" s="238"/>
      <c r="T587" s="238"/>
      <c r="U587" s="238"/>
      <c r="V587" s="240"/>
      <c r="W587" s="240"/>
      <c r="X587" s="238"/>
      <c r="Y587" s="238"/>
      <c r="Z587" s="238"/>
    </row>
    <row r="588" spans="1:26" ht="12.5">
      <c r="A588" s="238"/>
      <c r="B588" s="238"/>
      <c r="C588" s="238"/>
      <c r="D588" s="238"/>
      <c r="E588" s="238"/>
      <c r="F588" s="238"/>
      <c r="G588" s="238"/>
      <c r="H588" s="238"/>
      <c r="I588" s="238"/>
      <c r="J588" s="238"/>
      <c r="K588" s="237"/>
      <c r="L588" s="238"/>
      <c r="M588" s="238"/>
      <c r="N588" s="238"/>
      <c r="O588" s="238"/>
      <c r="P588" s="238"/>
      <c r="Q588" s="238"/>
      <c r="R588" s="238"/>
      <c r="S588" s="238"/>
      <c r="T588" s="238"/>
      <c r="U588" s="238"/>
      <c r="V588" s="240"/>
      <c r="W588" s="240"/>
      <c r="X588" s="238"/>
      <c r="Y588" s="238"/>
      <c r="Z588" s="238"/>
    </row>
    <row r="589" spans="1:26" ht="12.5">
      <c r="A589" s="238"/>
      <c r="B589" s="238"/>
      <c r="C589" s="238"/>
      <c r="D589" s="238"/>
      <c r="E589" s="238"/>
      <c r="F589" s="238"/>
      <c r="G589" s="238"/>
      <c r="H589" s="238"/>
      <c r="I589" s="238"/>
      <c r="J589" s="238"/>
      <c r="K589" s="237"/>
      <c r="L589" s="238"/>
      <c r="M589" s="238"/>
      <c r="N589" s="238"/>
      <c r="O589" s="238"/>
      <c r="P589" s="238"/>
      <c r="Q589" s="238"/>
      <c r="R589" s="238"/>
      <c r="S589" s="238"/>
      <c r="T589" s="238"/>
      <c r="U589" s="238"/>
      <c r="V589" s="240"/>
      <c r="W589" s="240"/>
      <c r="X589" s="238"/>
      <c r="Y589" s="238"/>
      <c r="Z589" s="238"/>
    </row>
    <row r="590" spans="1:26" ht="12.5">
      <c r="A590" s="238"/>
      <c r="B590" s="238"/>
      <c r="C590" s="238"/>
      <c r="D590" s="238"/>
      <c r="E590" s="238"/>
      <c r="F590" s="238"/>
      <c r="G590" s="238"/>
      <c r="H590" s="238"/>
      <c r="I590" s="238"/>
      <c r="J590" s="238"/>
      <c r="K590" s="237"/>
      <c r="L590" s="238"/>
      <c r="M590" s="238"/>
      <c r="N590" s="238"/>
      <c r="O590" s="238"/>
      <c r="P590" s="238"/>
      <c r="Q590" s="238"/>
      <c r="R590" s="238"/>
      <c r="S590" s="238"/>
      <c r="T590" s="238"/>
      <c r="U590" s="238"/>
      <c r="V590" s="240"/>
      <c r="W590" s="240"/>
      <c r="X590" s="238"/>
      <c r="Y590" s="238"/>
      <c r="Z590" s="238"/>
    </row>
    <row r="591" spans="1:26" ht="12.5">
      <c r="A591" s="238"/>
      <c r="B591" s="238"/>
      <c r="C591" s="238"/>
      <c r="D591" s="238"/>
      <c r="E591" s="238"/>
      <c r="F591" s="238"/>
      <c r="G591" s="238"/>
      <c r="H591" s="238"/>
      <c r="I591" s="238"/>
      <c r="J591" s="238"/>
      <c r="K591" s="237"/>
      <c r="L591" s="238"/>
      <c r="M591" s="238"/>
      <c r="N591" s="238"/>
      <c r="O591" s="238"/>
      <c r="P591" s="238"/>
      <c r="Q591" s="238"/>
      <c r="R591" s="238"/>
      <c r="S591" s="238"/>
      <c r="T591" s="238"/>
      <c r="U591" s="238"/>
      <c r="V591" s="240"/>
      <c r="W591" s="240"/>
      <c r="X591" s="238"/>
      <c r="Y591" s="238"/>
      <c r="Z591" s="238"/>
    </row>
    <row r="592" spans="1:26" ht="12.5">
      <c r="A592" s="238"/>
      <c r="B592" s="238"/>
      <c r="C592" s="238"/>
      <c r="D592" s="238"/>
      <c r="E592" s="238"/>
      <c r="F592" s="238"/>
      <c r="G592" s="238"/>
      <c r="H592" s="238"/>
      <c r="I592" s="238"/>
      <c r="J592" s="238"/>
      <c r="K592" s="237"/>
      <c r="L592" s="238"/>
      <c r="M592" s="238"/>
      <c r="N592" s="238"/>
      <c r="O592" s="238"/>
      <c r="P592" s="238"/>
      <c r="Q592" s="238"/>
      <c r="R592" s="238"/>
      <c r="S592" s="238"/>
      <c r="T592" s="238"/>
      <c r="U592" s="238"/>
      <c r="V592" s="240"/>
      <c r="W592" s="240"/>
      <c r="X592" s="238"/>
      <c r="Y592" s="238"/>
      <c r="Z592" s="238"/>
    </row>
    <row r="593" spans="1:26" ht="12.5">
      <c r="A593" s="238"/>
      <c r="B593" s="238"/>
      <c r="C593" s="238"/>
      <c r="D593" s="238"/>
      <c r="E593" s="238"/>
      <c r="F593" s="238"/>
      <c r="G593" s="238"/>
      <c r="H593" s="238"/>
      <c r="I593" s="238"/>
      <c r="J593" s="238"/>
      <c r="K593" s="237"/>
      <c r="L593" s="238"/>
      <c r="M593" s="238"/>
      <c r="N593" s="238"/>
      <c r="O593" s="238"/>
      <c r="P593" s="238"/>
      <c r="Q593" s="238"/>
      <c r="R593" s="238"/>
      <c r="S593" s="238"/>
      <c r="T593" s="238"/>
      <c r="U593" s="238"/>
      <c r="V593" s="240"/>
      <c r="W593" s="240"/>
      <c r="X593" s="238"/>
      <c r="Y593" s="238"/>
      <c r="Z593" s="238"/>
    </row>
    <row r="594" spans="1:26" ht="12.5">
      <c r="A594" s="238"/>
      <c r="B594" s="238"/>
      <c r="C594" s="238"/>
      <c r="D594" s="238"/>
      <c r="E594" s="238"/>
      <c r="F594" s="238"/>
      <c r="G594" s="238"/>
      <c r="H594" s="238"/>
      <c r="I594" s="238"/>
      <c r="J594" s="238"/>
      <c r="K594" s="237"/>
      <c r="L594" s="238"/>
      <c r="M594" s="238"/>
      <c r="N594" s="238"/>
      <c r="O594" s="238"/>
      <c r="P594" s="238"/>
      <c r="Q594" s="238"/>
      <c r="R594" s="238"/>
      <c r="S594" s="238"/>
      <c r="T594" s="238"/>
      <c r="U594" s="238"/>
      <c r="V594" s="240"/>
      <c r="W594" s="240"/>
      <c r="X594" s="238"/>
      <c r="Y594" s="238"/>
      <c r="Z594" s="238"/>
    </row>
    <row r="595" spans="1:26" ht="12.5">
      <c r="A595" s="238"/>
      <c r="B595" s="238"/>
      <c r="C595" s="238"/>
      <c r="D595" s="238"/>
      <c r="E595" s="238"/>
      <c r="F595" s="238"/>
      <c r="G595" s="238"/>
      <c r="H595" s="238"/>
      <c r="I595" s="238"/>
      <c r="J595" s="238"/>
      <c r="K595" s="237"/>
      <c r="L595" s="238"/>
      <c r="M595" s="238"/>
      <c r="N595" s="238"/>
      <c r="O595" s="238"/>
      <c r="P595" s="238"/>
      <c r="Q595" s="238"/>
      <c r="R595" s="238"/>
      <c r="S595" s="238"/>
      <c r="T595" s="238"/>
      <c r="U595" s="238"/>
      <c r="V595" s="240"/>
      <c r="W595" s="240"/>
      <c r="X595" s="238"/>
      <c r="Y595" s="238"/>
      <c r="Z595" s="238"/>
    </row>
    <row r="596" spans="1:26" ht="12.5">
      <c r="A596" s="238"/>
      <c r="B596" s="238"/>
      <c r="C596" s="238"/>
      <c r="D596" s="238"/>
      <c r="E596" s="238"/>
      <c r="F596" s="238"/>
      <c r="G596" s="238"/>
      <c r="H596" s="238"/>
      <c r="I596" s="238"/>
      <c r="J596" s="238"/>
      <c r="K596" s="237"/>
      <c r="L596" s="238"/>
      <c r="M596" s="238"/>
      <c r="N596" s="238"/>
      <c r="O596" s="238"/>
      <c r="P596" s="238"/>
      <c r="Q596" s="238"/>
      <c r="R596" s="238"/>
      <c r="S596" s="238"/>
      <c r="T596" s="238"/>
      <c r="U596" s="238"/>
      <c r="V596" s="240"/>
      <c r="W596" s="240"/>
      <c r="X596" s="238"/>
      <c r="Y596" s="238"/>
      <c r="Z596" s="238"/>
    </row>
    <row r="597" spans="1:26" ht="12.5">
      <c r="A597" s="238"/>
      <c r="B597" s="238"/>
      <c r="C597" s="238"/>
      <c r="D597" s="238"/>
      <c r="E597" s="238"/>
      <c r="F597" s="238"/>
      <c r="G597" s="238"/>
      <c r="H597" s="238"/>
      <c r="I597" s="238"/>
      <c r="J597" s="238"/>
      <c r="K597" s="237"/>
      <c r="L597" s="238"/>
      <c r="M597" s="238"/>
      <c r="N597" s="238"/>
      <c r="O597" s="238"/>
      <c r="P597" s="238"/>
      <c r="Q597" s="238"/>
      <c r="R597" s="238"/>
      <c r="S597" s="238"/>
      <c r="T597" s="238"/>
      <c r="U597" s="238"/>
      <c r="V597" s="240"/>
      <c r="W597" s="240"/>
      <c r="X597" s="238"/>
      <c r="Y597" s="238"/>
      <c r="Z597" s="238"/>
    </row>
    <row r="598" spans="1:26" ht="12.5">
      <c r="A598" s="238"/>
      <c r="B598" s="238"/>
      <c r="C598" s="238"/>
      <c r="D598" s="238"/>
      <c r="E598" s="238"/>
      <c r="F598" s="238"/>
      <c r="G598" s="238"/>
      <c r="H598" s="238"/>
      <c r="I598" s="238"/>
      <c r="J598" s="238"/>
      <c r="K598" s="237"/>
      <c r="L598" s="238"/>
      <c r="M598" s="238"/>
      <c r="N598" s="238"/>
      <c r="O598" s="238"/>
      <c r="P598" s="238"/>
      <c r="Q598" s="238"/>
      <c r="R598" s="238"/>
      <c r="S598" s="238"/>
      <c r="T598" s="238"/>
      <c r="U598" s="238"/>
      <c r="V598" s="240"/>
      <c r="W598" s="240"/>
      <c r="X598" s="238"/>
      <c r="Y598" s="238"/>
      <c r="Z598" s="238"/>
    </row>
    <row r="599" spans="1:26" ht="12.5">
      <c r="A599" s="238"/>
      <c r="B599" s="238"/>
      <c r="C599" s="238"/>
      <c r="D599" s="238"/>
      <c r="E599" s="238"/>
      <c r="F599" s="238"/>
      <c r="G599" s="238"/>
      <c r="H599" s="238"/>
      <c r="I599" s="238"/>
      <c r="J599" s="238"/>
      <c r="K599" s="237"/>
      <c r="L599" s="238"/>
      <c r="M599" s="238"/>
      <c r="N599" s="238"/>
      <c r="O599" s="238"/>
      <c r="P599" s="238"/>
      <c r="Q599" s="238"/>
      <c r="R599" s="238"/>
      <c r="S599" s="238"/>
      <c r="T599" s="238"/>
      <c r="U599" s="238"/>
      <c r="V599" s="240"/>
      <c r="W599" s="240"/>
      <c r="X599" s="238"/>
      <c r="Y599" s="238"/>
      <c r="Z599" s="238"/>
    </row>
    <row r="600" spans="1:26" ht="12.5">
      <c r="A600" s="238"/>
      <c r="B600" s="238"/>
      <c r="C600" s="238"/>
      <c r="D600" s="238"/>
      <c r="E600" s="238"/>
      <c r="F600" s="238"/>
      <c r="G600" s="238"/>
      <c r="H600" s="238"/>
      <c r="I600" s="238"/>
      <c r="J600" s="238"/>
      <c r="K600" s="237"/>
      <c r="L600" s="238"/>
      <c r="M600" s="238"/>
      <c r="N600" s="238"/>
      <c r="O600" s="238"/>
      <c r="P600" s="238"/>
      <c r="Q600" s="238"/>
      <c r="R600" s="238"/>
      <c r="S600" s="238"/>
      <c r="T600" s="238"/>
      <c r="U600" s="238"/>
      <c r="V600" s="240"/>
      <c r="W600" s="240"/>
      <c r="X600" s="238"/>
      <c r="Y600" s="238"/>
      <c r="Z600" s="238"/>
    </row>
    <row r="601" spans="1:26" ht="12.5">
      <c r="A601" s="238"/>
      <c r="B601" s="238"/>
      <c r="C601" s="238"/>
      <c r="D601" s="238"/>
      <c r="E601" s="238"/>
      <c r="F601" s="238"/>
      <c r="G601" s="238"/>
      <c r="H601" s="238"/>
      <c r="I601" s="238"/>
      <c r="J601" s="238"/>
      <c r="K601" s="237"/>
      <c r="L601" s="238"/>
      <c r="M601" s="238"/>
      <c r="N601" s="238"/>
      <c r="O601" s="238"/>
      <c r="P601" s="238"/>
      <c r="Q601" s="238"/>
      <c r="R601" s="238"/>
      <c r="S601" s="238"/>
      <c r="T601" s="238"/>
      <c r="U601" s="238"/>
      <c r="V601" s="240"/>
      <c r="W601" s="240"/>
      <c r="X601" s="238"/>
      <c r="Y601" s="238"/>
      <c r="Z601" s="238"/>
    </row>
    <row r="602" spans="1:26" ht="12.5">
      <c r="A602" s="238"/>
      <c r="B602" s="238"/>
      <c r="C602" s="238"/>
      <c r="D602" s="238"/>
      <c r="E602" s="238"/>
      <c r="F602" s="238"/>
      <c r="G602" s="238"/>
      <c r="H602" s="238"/>
      <c r="I602" s="238"/>
      <c r="J602" s="238"/>
      <c r="K602" s="237"/>
      <c r="L602" s="238"/>
      <c r="M602" s="238"/>
      <c r="N602" s="238"/>
      <c r="O602" s="238"/>
      <c r="P602" s="238"/>
      <c r="Q602" s="238"/>
      <c r="R602" s="238"/>
      <c r="S602" s="238"/>
      <c r="T602" s="238"/>
      <c r="U602" s="238"/>
      <c r="V602" s="240"/>
      <c r="W602" s="240"/>
      <c r="X602" s="238"/>
      <c r="Y602" s="238"/>
      <c r="Z602" s="238"/>
    </row>
    <row r="603" spans="1:26" ht="12.5">
      <c r="A603" s="238"/>
      <c r="B603" s="238"/>
      <c r="C603" s="238"/>
      <c r="D603" s="238"/>
      <c r="E603" s="238"/>
      <c r="F603" s="238"/>
      <c r="G603" s="238"/>
      <c r="H603" s="238"/>
      <c r="I603" s="238"/>
      <c r="J603" s="238"/>
      <c r="K603" s="237"/>
      <c r="L603" s="238"/>
      <c r="M603" s="238"/>
      <c r="N603" s="238"/>
      <c r="O603" s="238"/>
      <c r="P603" s="238"/>
      <c r="Q603" s="238"/>
      <c r="R603" s="238"/>
      <c r="S603" s="238"/>
      <c r="T603" s="238"/>
      <c r="U603" s="238"/>
      <c r="V603" s="240"/>
      <c r="W603" s="240"/>
      <c r="X603" s="238"/>
      <c r="Y603" s="238"/>
      <c r="Z603" s="238"/>
    </row>
    <row r="604" spans="1:26" ht="12.5">
      <c r="A604" s="238"/>
      <c r="B604" s="238"/>
      <c r="C604" s="238"/>
      <c r="D604" s="238"/>
      <c r="E604" s="238"/>
      <c r="F604" s="238"/>
      <c r="G604" s="238"/>
      <c r="H604" s="238"/>
      <c r="I604" s="238"/>
      <c r="J604" s="238"/>
      <c r="K604" s="237"/>
      <c r="L604" s="238"/>
      <c r="M604" s="238"/>
      <c r="N604" s="238"/>
      <c r="O604" s="238"/>
      <c r="P604" s="238"/>
      <c r="Q604" s="238"/>
      <c r="R604" s="238"/>
      <c r="S604" s="238"/>
      <c r="T604" s="238"/>
      <c r="U604" s="238"/>
      <c r="V604" s="240"/>
      <c r="W604" s="240"/>
      <c r="X604" s="238"/>
      <c r="Y604" s="238"/>
      <c r="Z604" s="238"/>
    </row>
    <row r="605" spans="1:26" ht="12.5">
      <c r="A605" s="238"/>
      <c r="B605" s="238"/>
      <c r="C605" s="238"/>
      <c r="D605" s="238"/>
      <c r="E605" s="238"/>
      <c r="F605" s="238"/>
      <c r="G605" s="238"/>
      <c r="H605" s="238"/>
      <c r="I605" s="238"/>
      <c r="J605" s="238"/>
      <c r="K605" s="237"/>
      <c r="L605" s="238"/>
      <c r="M605" s="238"/>
      <c r="N605" s="238"/>
      <c r="O605" s="238"/>
      <c r="P605" s="238"/>
      <c r="Q605" s="238"/>
      <c r="R605" s="238"/>
      <c r="S605" s="238"/>
      <c r="T605" s="238"/>
      <c r="U605" s="238"/>
      <c r="V605" s="240"/>
      <c r="W605" s="240"/>
      <c r="X605" s="238"/>
      <c r="Y605" s="238"/>
      <c r="Z605" s="238"/>
    </row>
    <row r="606" spans="1:26" ht="12.5">
      <c r="A606" s="238"/>
      <c r="B606" s="238"/>
      <c r="C606" s="238"/>
      <c r="D606" s="238"/>
      <c r="E606" s="238"/>
      <c r="F606" s="238"/>
      <c r="G606" s="238"/>
      <c r="H606" s="238"/>
      <c r="I606" s="238"/>
      <c r="J606" s="238"/>
      <c r="K606" s="237"/>
      <c r="L606" s="238"/>
      <c r="M606" s="238"/>
      <c r="N606" s="238"/>
      <c r="O606" s="238"/>
      <c r="P606" s="238"/>
      <c r="Q606" s="238"/>
      <c r="R606" s="238"/>
      <c r="S606" s="238"/>
      <c r="T606" s="238"/>
      <c r="U606" s="238"/>
      <c r="V606" s="240"/>
      <c r="W606" s="240"/>
      <c r="X606" s="238"/>
      <c r="Y606" s="238"/>
      <c r="Z606" s="238"/>
    </row>
    <row r="607" spans="1:26" ht="12.5">
      <c r="A607" s="238"/>
      <c r="B607" s="238"/>
      <c r="C607" s="238"/>
      <c r="D607" s="238"/>
      <c r="E607" s="238"/>
      <c r="F607" s="238"/>
      <c r="G607" s="238"/>
      <c r="H607" s="238"/>
      <c r="I607" s="238"/>
      <c r="J607" s="238"/>
      <c r="K607" s="237"/>
      <c r="L607" s="238"/>
      <c r="M607" s="238"/>
      <c r="N607" s="238"/>
      <c r="O607" s="238"/>
      <c r="P607" s="238"/>
      <c r="Q607" s="238"/>
      <c r="R607" s="238"/>
      <c r="S607" s="238"/>
      <c r="T607" s="238"/>
      <c r="U607" s="238"/>
      <c r="V607" s="240"/>
      <c r="W607" s="240"/>
      <c r="X607" s="238"/>
      <c r="Y607" s="238"/>
      <c r="Z607" s="238"/>
    </row>
    <row r="608" spans="1:26" ht="12.5">
      <c r="A608" s="238"/>
      <c r="B608" s="238"/>
      <c r="C608" s="238"/>
      <c r="D608" s="238"/>
      <c r="E608" s="238"/>
      <c r="F608" s="238"/>
      <c r="G608" s="238"/>
      <c r="H608" s="238"/>
      <c r="I608" s="238"/>
      <c r="J608" s="238"/>
      <c r="K608" s="237"/>
      <c r="L608" s="238"/>
      <c r="M608" s="238"/>
      <c r="N608" s="238"/>
      <c r="O608" s="238"/>
      <c r="P608" s="238"/>
      <c r="Q608" s="238"/>
      <c r="R608" s="238"/>
      <c r="S608" s="238"/>
      <c r="T608" s="238"/>
      <c r="U608" s="238"/>
      <c r="V608" s="240"/>
      <c r="W608" s="240"/>
      <c r="X608" s="238"/>
      <c r="Y608" s="238"/>
      <c r="Z608" s="238"/>
    </row>
    <row r="609" spans="1:26" ht="12.5">
      <c r="A609" s="238"/>
      <c r="B609" s="238"/>
      <c r="C609" s="238"/>
      <c r="D609" s="238"/>
      <c r="E609" s="238"/>
      <c r="F609" s="238"/>
      <c r="G609" s="238"/>
      <c r="H609" s="238"/>
      <c r="I609" s="238"/>
      <c r="J609" s="238"/>
      <c r="K609" s="237"/>
      <c r="L609" s="238"/>
      <c r="M609" s="238"/>
      <c r="N609" s="238"/>
      <c r="O609" s="238"/>
      <c r="P609" s="238"/>
      <c r="Q609" s="238"/>
      <c r="R609" s="238"/>
      <c r="S609" s="238"/>
      <c r="T609" s="238"/>
      <c r="U609" s="238"/>
      <c r="V609" s="240"/>
      <c r="W609" s="240"/>
      <c r="X609" s="238"/>
      <c r="Y609" s="238"/>
      <c r="Z609" s="238"/>
    </row>
    <row r="610" spans="1:26" ht="12.5">
      <c r="A610" s="238"/>
      <c r="B610" s="238"/>
      <c r="C610" s="238"/>
      <c r="D610" s="238"/>
      <c r="E610" s="238"/>
      <c r="F610" s="238"/>
      <c r="G610" s="238"/>
      <c r="H610" s="238"/>
      <c r="I610" s="238"/>
      <c r="J610" s="238"/>
      <c r="K610" s="237"/>
      <c r="L610" s="238"/>
      <c r="M610" s="238"/>
      <c r="N610" s="238"/>
      <c r="O610" s="238"/>
      <c r="P610" s="238"/>
      <c r="Q610" s="238"/>
      <c r="R610" s="238"/>
      <c r="S610" s="238"/>
      <c r="T610" s="238"/>
      <c r="U610" s="238"/>
      <c r="V610" s="240"/>
      <c r="W610" s="240"/>
      <c r="X610" s="238"/>
      <c r="Y610" s="238"/>
      <c r="Z610" s="238"/>
    </row>
    <row r="611" spans="1:26" ht="12.5">
      <c r="A611" s="238"/>
      <c r="B611" s="238"/>
      <c r="C611" s="238"/>
      <c r="D611" s="238"/>
      <c r="E611" s="238"/>
      <c r="F611" s="238"/>
      <c r="G611" s="238"/>
      <c r="H611" s="238"/>
      <c r="I611" s="238"/>
      <c r="J611" s="238"/>
      <c r="K611" s="237"/>
      <c r="L611" s="238"/>
      <c r="M611" s="238"/>
      <c r="N611" s="238"/>
      <c r="O611" s="238"/>
      <c r="P611" s="238"/>
      <c r="Q611" s="238"/>
      <c r="R611" s="238"/>
      <c r="S611" s="238"/>
      <c r="T611" s="238"/>
      <c r="U611" s="238"/>
      <c r="V611" s="240"/>
      <c r="W611" s="240"/>
      <c r="X611" s="238"/>
      <c r="Y611" s="238"/>
      <c r="Z611" s="238"/>
    </row>
    <row r="612" spans="1:26" ht="12.5">
      <c r="A612" s="238"/>
      <c r="B612" s="238"/>
      <c r="C612" s="238"/>
      <c r="D612" s="238"/>
      <c r="E612" s="238"/>
      <c r="F612" s="238"/>
      <c r="G612" s="238"/>
      <c r="H612" s="238"/>
      <c r="I612" s="238"/>
      <c r="J612" s="238"/>
      <c r="K612" s="237"/>
      <c r="L612" s="238"/>
      <c r="M612" s="238"/>
      <c r="N612" s="238"/>
      <c r="O612" s="238"/>
      <c r="P612" s="238"/>
      <c r="Q612" s="238"/>
      <c r="R612" s="238"/>
      <c r="S612" s="238"/>
      <c r="T612" s="238"/>
      <c r="U612" s="238"/>
      <c r="V612" s="240"/>
      <c r="W612" s="240"/>
      <c r="X612" s="238"/>
      <c r="Y612" s="238"/>
      <c r="Z612" s="238"/>
    </row>
    <row r="613" spans="1:26" ht="12.5">
      <c r="A613" s="238"/>
      <c r="B613" s="238"/>
      <c r="C613" s="238"/>
      <c r="D613" s="238"/>
      <c r="E613" s="238"/>
      <c r="F613" s="238"/>
      <c r="G613" s="238"/>
      <c r="H613" s="238"/>
      <c r="I613" s="238"/>
      <c r="J613" s="238"/>
      <c r="K613" s="237"/>
      <c r="L613" s="238"/>
      <c r="M613" s="238"/>
      <c r="N613" s="238"/>
      <c r="O613" s="238"/>
      <c r="P613" s="238"/>
      <c r="Q613" s="238"/>
      <c r="R613" s="238"/>
      <c r="S613" s="238"/>
      <c r="T613" s="238"/>
      <c r="U613" s="238"/>
      <c r="V613" s="240"/>
      <c r="W613" s="240"/>
      <c r="X613" s="238"/>
      <c r="Y613" s="238"/>
      <c r="Z613" s="238"/>
    </row>
    <row r="614" spans="1:26" ht="12.5">
      <c r="A614" s="238"/>
      <c r="B614" s="238"/>
      <c r="C614" s="238"/>
      <c r="D614" s="238"/>
      <c r="E614" s="238"/>
      <c r="F614" s="238"/>
      <c r="G614" s="238"/>
      <c r="H614" s="238"/>
      <c r="I614" s="238"/>
      <c r="J614" s="238"/>
      <c r="K614" s="237"/>
      <c r="L614" s="238"/>
      <c r="M614" s="238"/>
      <c r="N614" s="238"/>
      <c r="O614" s="238"/>
      <c r="P614" s="238"/>
      <c r="Q614" s="238"/>
      <c r="R614" s="238"/>
      <c r="S614" s="238"/>
      <c r="T614" s="238"/>
      <c r="U614" s="238"/>
      <c r="V614" s="240"/>
      <c r="W614" s="240"/>
      <c r="X614" s="238"/>
      <c r="Y614" s="238"/>
      <c r="Z614" s="238"/>
    </row>
    <row r="615" spans="1:26" ht="12.5">
      <c r="A615" s="238"/>
      <c r="B615" s="238"/>
      <c r="C615" s="238"/>
      <c r="D615" s="238"/>
      <c r="E615" s="238"/>
      <c r="F615" s="238"/>
      <c r="G615" s="238"/>
      <c r="H615" s="238"/>
      <c r="I615" s="238"/>
      <c r="J615" s="238"/>
      <c r="K615" s="237"/>
      <c r="L615" s="238"/>
      <c r="M615" s="238"/>
      <c r="N615" s="238"/>
      <c r="O615" s="238"/>
      <c r="P615" s="238"/>
      <c r="Q615" s="238"/>
      <c r="R615" s="238"/>
      <c r="S615" s="238"/>
      <c r="T615" s="238"/>
      <c r="U615" s="238"/>
      <c r="V615" s="240"/>
      <c r="W615" s="240"/>
      <c r="X615" s="238"/>
      <c r="Y615" s="238"/>
      <c r="Z615" s="238"/>
    </row>
    <row r="616" spans="1:26" ht="12.5">
      <c r="A616" s="238"/>
      <c r="B616" s="238"/>
      <c r="C616" s="238"/>
      <c r="D616" s="238"/>
      <c r="E616" s="238"/>
      <c r="F616" s="238"/>
      <c r="G616" s="238"/>
      <c r="H616" s="238"/>
      <c r="I616" s="238"/>
      <c r="J616" s="238"/>
      <c r="K616" s="237"/>
      <c r="L616" s="238"/>
      <c r="M616" s="238"/>
      <c r="N616" s="238"/>
      <c r="O616" s="238"/>
      <c r="P616" s="238"/>
      <c r="Q616" s="238"/>
      <c r="R616" s="238"/>
      <c r="S616" s="238"/>
      <c r="T616" s="238"/>
      <c r="U616" s="238"/>
      <c r="V616" s="240"/>
      <c r="W616" s="240"/>
      <c r="X616" s="238"/>
      <c r="Y616" s="238"/>
      <c r="Z616" s="238"/>
    </row>
    <row r="617" spans="1:26" ht="12.5">
      <c r="A617" s="238"/>
      <c r="B617" s="238"/>
      <c r="C617" s="238"/>
      <c r="D617" s="238"/>
      <c r="E617" s="238"/>
      <c r="F617" s="238"/>
      <c r="G617" s="238"/>
      <c r="H617" s="238"/>
      <c r="I617" s="238"/>
      <c r="J617" s="238"/>
      <c r="K617" s="237"/>
      <c r="L617" s="238"/>
      <c r="M617" s="238"/>
      <c r="N617" s="238"/>
      <c r="O617" s="238"/>
      <c r="P617" s="238"/>
      <c r="Q617" s="238"/>
      <c r="R617" s="238"/>
      <c r="S617" s="238"/>
      <c r="T617" s="238"/>
      <c r="U617" s="238"/>
      <c r="V617" s="240"/>
      <c r="W617" s="240"/>
      <c r="X617" s="238"/>
      <c r="Y617" s="238"/>
      <c r="Z617" s="238"/>
    </row>
    <row r="618" spans="1:26" ht="12.5">
      <c r="A618" s="238"/>
      <c r="B618" s="238"/>
      <c r="C618" s="238"/>
      <c r="D618" s="238"/>
      <c r="E618" s="238"/>
      <c r="F618" s="238"/>
      <c r="G618" s="238"/>
      <c r="H618" s="238"/>
      <c r="I618" s="238"/>
      <c r="J618" s="238"/>
      <c r="K618" s="237"/>
      <c r="L618" s="238"/>
      <c r="M618" s="238"/>
      <c r="N618" s="238"/>
      <c r="O618" s="238"/>
      <c r="P618" s="238"/>
      <c r="Q618" s="238"/>
      <c r="R618" s="238"/>
      <c r="S618" s="238"/>
      <c r="T618" s="238"/>
      <c r="U618" s="238"/>
      <c r="V618" s="240"/>
      <c r="W618" s="240"/>
      <c r="X618" s="238"/>
      <c r="Y618" s="238"/>
      <c r="Z618" s="238"/>
    </row>
    <row r="619" spans="1:26" ht="12.5">
      <c r="A619" s="238"/>
      <c r="B619" s="238"/>
      <c r="C619" s="238"/>
      <c r="D619" s="238"/>
      <c r="E619" s="238"/>
      <c r="F619" s="238"/>
      <c r="G619" s="238"/>
      <c r="H619" s="238"/>
      <c r="I619" s="238"/>
      <c r="J619" s="238"/>
      <c r="K619" s="237"/>
      <c r="L619" s="238"/>
      <c r="M619" s="238"/>
      <c r="N619" s="238"/>
      <c r="O619" s="238"/>
      <c r="P619" s="238"/>
      <c r="Q619" s="238"/>
      <c r="R619" s="238"/>
      <c r="S619" s="238"/>
      <c r="T619" s="238"/>
      <c r="U619" s="238"/>
      <c r="V619" s="240"/>
      <c r="W619" s="240"/>
      <c r="X619" s="238"/>
      <c r="Y619" s="238"/>
      <c r="Z619" s="238"/>
    </row>
    <row r="620" spans="1:26" ht="12.5">
      <c r="A620" s="238"/>
      <c r="B620" s="238"/>
      <c r="C620" s="238"/>
      <c r="D620" s="238"/>
      <c r="E620" s="238"/>
      <c r="F620" s="238"/>
      <c r="G620" s="238"/>
      <c r="H620" s="238"/>
      <c r="I620" s="238"/>
      <c r="J620" s="238"/>
      <c r="K620" s="237"/>
      <c r="L620" s="238"/>
      <c r="M620" s="238"/>
      <c r="N620" s="238"/>
      <c r="O620" s="238"/>
      <c r="P620" s="238"/>
      <c r="Q620" s="238"/>
      <c r="R620" s="238"/>
      <c r="S620" s="238"/>
      <c r="T620" s="238"/>
      <c r="U620" s="238"/>
      <c r="V620" s="240"/>
      <c r="W620" s="240"/>
      <c r="X620" s="238"/>
      <c r="Y620" s="238"/>
      <c r="Z620" s="238"/>
    </row>
    <row r="621" spans="1:26" ht="12.5">
      <c r="A621" s="238"/>
      <c r="B621" s="238"/>
      <c r="C621" s="238"/>
      <c r="D621" s="238"/>
      <c r="E621" s="238"/>
      <c r="F621" s="238"/>
      <c r="G621" s="238"/>
      <c r="H621" s="238"/>
      <c r="I621" s="238"/>
      <c r="J621" s="238"/>
      <c r="K621" s="237"/>
      <c r="L621" s="238"/>
      <c r="M621" s="238"/>
      <c r="N621" s="238"/>
      <c r="O621" s="238"/>
      <c r="P621" s="238"/>
      <c r="Q621" s="238"/>
      <c r="R621" s="238"/>
      <c r="S621" s="238"/>
      <c r="T621" s="238"/>
      <c r="U621" s="238"/>
      <c r="V621" s="240"/>
      <c r="W621" s="240"/>
      <c r="X621" s="238"/>
      <c r="Y621" s="238"/>
      <c r="Z621" s="238"/>
    </row>
    <row r="622" spans="1:26" ht="12.5">
      <c r="A622" s="238"/>
      <c r="B622" s="238"/>
      <c r="C622" s="238"/>
      <c r="D622" s="238"/>
      <c r="E622" s="238"/>
      <c r="F622" s="238"/>
      <c r="G622" s="238"/>
      <c r="H622" s="238"/>
      <c r="I622" s="238"/>
      <c r="J622" s="238"/>
      <c r="K622" s="237"/>
      <c r="L622" s="238"/>
      <c r="M622" s="238"/>
      <c r="N622" s="238"/>
      <c r="O622" s="238"/>
      <c r="P622" s="238"/>
      <c r="Q622" s="238"/>
      <c r="R622" s="238"/>
      <c r="S622" s="238"/>
      <c r="T622" s="238"/>
      <c r="U622" s="238"/>
      <c r="V622" s="240"/>
      <c r="W622" s="240"/>
      <c r="X622" s="238"/>
      <c r="Y622" s="238"/>
      <c r="Z622" s="238"/>
    </row>
    <row r="623" spans="1:26" ht="12.5">
      <c r="A623" s="238"/>
      <c r="B623" s="238"/>
      <c r="C623" s="238"/>
      <c r="D623" s="238"/>
      <c r="E623" s="238"/>
      <c r="F623" s="238"/>
      <c r="G623" s="238"/>
      <c r="H623" s="238"/>
      <c r="I623" s="238"/>
      <c r="J623" s="238"/>
      <c r="K623" s="237"/>
      <c r="L623" s="238"/>
      <c r="M623" s="238"/>
      <c r="N623" s="238"/>
      <c r="O623" s="238"/>
      <c r="P623" s="238"/>
      <c r="Q623" s="238"/>
      <c r="R623" s="238"/>
      <c r="S623" s="238"/>
      <c r="T623" s="238"/>
      <c r="U623" s="238"/>
      <c r="V623" s="240"/>
      <c r="W623" s="240"/>
      <c r="X623" s="238"/>
      <c r="Y623" s="238"/>
      <c r="Z623" s="238"/>
    </row>
    <row r="624" spans="1:26" ht="12.5">
      <c r="A624" s="238"/>
      <c r="B624" s="238"/>
      <c r="C624" s="238"/>
      <c r="D624" s="238"/>
      <c r="E624" s="238"/>
      <c r="F624" s="238"/>
      <c r="G624" s="238"/>
      <c r="H624" s="238"/>
      <c r="I624" s="238"/>
      <c r="J624" s="238"/>
      <c r="K624" s="237"/>
      <c r="L624" s="238"/>
      <c r="M624" s="238"/>
      <c r="N624" s="238"/>
      <c r="O624" s="238"/>
      <c r="P624" s="238"/>
      <c r="Q624" s="238"/>
      <c r="R624" s="238"/>
      <c r="S624" s="238"/>
      <c r="T624" s="238"/>
      <c r="U624" s="238"/>
      <c r="V624" s="240"/>
      <c r="W624" s="240"/>
      <c r="X624" s="238"/>
      <c r="Y624" s="238"/>
      <c r="Z624" s="238"/>
    </row>
    <row r="625" spans="1:26" ht="12.5">
      <c r="A625" s="238"/>
      <c r="B625" s="238"/>
      <c r="C625" s="238"/>
      <c r="D625" s="238"/>
      <c r="E625" s="238"/>
      <c r="F625" s="238"/>
      <c r="G625" s="238"/>
      <c r="H625" s="238"/>
      <c r="I625" s="238"/>
      <c r="J625" s="238"/>
      <c r="K625" s="237"/>
      <c r="L625" s="238"/>
      <c r="M625" s="238"/>
      <c r="N625" s="238"/>
      <c r="O625" s="238"/>
      <c r="P625" s="238"/>
      <c r="Q625" s="238"/>
      <c r="R625" s="238"/>
      <c r="S625" s="238"/>
      <c r="T625" s="238"/>
      <c r="U625" s="238"/>
      <c r="V625" s="240"/>
      <c r="W625" s="240"/>
      <c r="X625" s="238"/>
      <c r="Y625" s="238"/>
      <c r="Z625" s="238"/>
    </row>
    <row r="626" spans="1:26" ht="12.5">
      <c r="A626" s="238"/>
      <c r="B626" s="238"/>
      <c r="C626" s="238"/>
      <c r="D626" s="238"/>
      <c r="E626" s="238"/>
      <c r="F626" s="238"/>
      <c r="G626" s="238"/>
      <c r="H626" s="238"/>
      <c r="I626" s="238"/>
      <c r="J626" s="238"/>
      <c r="K626" s="237"/>
      <c r="L626" s="238"/>
      <c r="M626" s="238"/>
      <c r="N626" s="238"/>
      <c r="O626" s="238"/>
      <c r="P626" s="238"/>
      <c r="Q626" s="238"/>
      <c r="R626" s="238"/>
      <c r="S626" s="238"/>
      <c r="T626" s="238"/>
      <c r="U626" s="238"/>
      <c r="V626" s="240"/>
      <c r="W626" s="240"/>
      <c r="X626" s="238"/>
      <c r="Y626" s="238"/>
      <c r="Z626" s="238"/>
    </row>
    <row r="627" spans="1:26" ht="12.5">
      <c r="A627" s="238"/>
      <c r="B627" s="238"/>
      <c r="C627" s="238"/>
      <c r="D627" s="238"/>
      <c r="E627" s="238"/>
      <c r="F627" s="238"/>
      <c r="G627" s="238"/>
      <c r="H627" s="238"/>
      <c r="I627" s="238"/>
      <c r="J627" s="238"/>
      <c r="K627" s="237"/>
      <c r="L627" s="238"/>
      <c r="M627" s="238"/>
      <c r="N627" s="238"/>
      <c r="O627" s="238"/>
      <c r="P627" s="238"/>
      <c r="Q627" s="238"/>
      <c r="R627" s="238"/>
      <c r="S627" s="238"/>
      <c r="T627" s="238"/>
      <c r="U627" s="238"/>
      <c r="V627" s="240"/>
      <c r="W627" s="240"/>
      <c r="X627" s="238"/>
      <c r="Y627" s="238"/>
      <c r="Z627" s="238"/>
    </row>
    <row r="628" spans="1:26" ht="12.5">
      <c r="A628" s="238"/>
      <c r="B628" s="238"/>
      <c r="C628" s="238"/>
      <c r="D628" s="238"/>
      <c r="E628" s="238"/>
      <c r="F628" s="238"/>
      <c r="G628" s="238"/>
      <c r="H628" s="238"/>
      <c r="I628" s="238"/>
      <c r="J628" s="238"/>
      <c r="K628" s="237"/>
      <c r="L628" s="238"/>
      <c r="M628" s="238"/>
      <c r="N628" s="238"/>
      <c r="O628" s="238"/>
      <c r="P628" s="238"/>
      <c r="Q628" s="238"/>
      <c r="R628" s="238"/>
      <c r="S628" s="238"/>
      <c r="T628" s="238"/>
      <c r="U628" s="238"/>
      <c r="V628" s="240"/>
      <c r="W628" s="240"/>
      <c r="X628" s="238"/>
      <c r="Y628" s="238"/>
      <c r="Z628" s="238"/>
    </row>
    <row r="629" spans="1:26" ht="12.5">
      <c r="A629" s="238"/>
      <c r="B629" s="238"/>
      <c r="C629" s="238"/>
      <c r="D629" s="238"/>
      <c r="E629" s="238"/>
      <c r="F629" s="238"/>
      <c r="G629" s="238"/>
      <c r="H629" s="238"/>
      <c r="I629" s="238"/>
      <c r="J629" s="238"/>
      <c r="K629" s="237"/>
      <c r="L629" s="238"/>
      <c r="M629" s="238"/>
      <c r="N629" s="238"/>
      <c r="O629" s="238"/>
      <c r="P629" s="238"/>
      <c r="Q629" s="238"/>
      <c r="R629" s="238"/>
      <c r="S629" s="238"/>
      <c r="T629" s="238"/>
      <c r="U629" s="238"/>
      <c r="V629" s="240"/>
      <c r="W629" s="240"/>
      <c r="X629" s="238"/>
      <c r="Y629" s="238"/>
      <c r="Z629" s="238"/>
    </row>
    <row r="630" spans="1:26" ht="12.5">
      <c r="A630" s="238"/>
      <c r="B630" s="238"/>
      <c r="C630" s="238"/>
      <c r="D630" s="238"/>
      <c r="E630" s="238"/>
      <c r="F630" s="238"/>
      <c r="G630" s="238"/>
      <c r="H630" s="238"/>
      <c r="I630" s="238"/>
      <c r="J630" s="238"/>
      <c r="K630" s="237"/>
      <c r="L630" s="238"/>
      <c r="M630" s="238"/>
      <c r="N630" s="238"/>
      <c r="O630" s="238"/>
      <c r="P630" s="238"/>
      <c r="Q630" s="238"/>
      <c r="R630" s="238"/>
      <c r="S630" s="238"/>
      <c r="T630" s="238"/>
      <c r="U630" s="238"/>
      <c r="V630" s="240"/>
      <c r="W630" s="240"/>
      <c r="X630" s="238"/>
      <c r="Y630" s="238"/>
      <c r="Z630" s="238"/>
    </row>
    <row r="631" spans="1:26" ht="12.5">
      <c r="A631" s="238"/>
      <c r="B631" s="238"/>
      <c r="C631" s="238"/>
      <c r="D631" s="238"/>
      <c r="E631" s="238"/>
      <c r="F631" s="238"/>
      <c r="G631" s="238"/>
      <c r="H631" s="238"/>
      <c r="I631" s="238"/>
      <c r="J631" s="238"/>
      <c r="K631" s="237"/>
      <c r="L631" s="238"/>
      <c r="M631" s="238"/>
      <c r="N631" s="238"/>
      <c r="O631" s="238"/>
      <c r="P631" s="238"/>
      <c r="Q631" s="238"/>
      <c r="R631" s="238"/>
      <c r="S631" s="238"/>
      <c r="T631" s="238"/>
      <c r="U631" s="238"/>
      <c r="V631" s="240"/>
      <c r="W631" s="240"/>
      <c r="X631" s="238"/>
      <c r="Y631" s="238"/>
      <c r="Z631" s="238"/>
    </row>
    <row r="632" spans="1:26" ht="12.5">
      <c r="A632" s="238"/>
      <c r="B632" s="238"/>
      <c r="C632" s="238"/>
      <c r="D632" s="238"/>
      <c r="E632" s="238"/>
      <c r="F632" s="238"/>
      <c r="G632" s="238"/>
      <c r="H632" s="238"/>
      <c r="I632" s="238"/>
      <c r="J632" s="238"/>
      <c r="K632" s="237"/>
      <c r="L632" s="238"/>
      <c r="M632" s="238"/>
      <c r="N632" s="238"/>
      <c r="O632" s="238"/>
      <c r="P632" s="238"/>
      <c r="Q632" s="238"/>
      <c r="R632" s="238"/>
      <c r="S632" s="238"/>
      <c r="T632" s="238"/>
      <c r="U632" s="238"/>
      <c r="V632" s="240"/>
      <c r="W632" s="240"/>
      <c r="X632" s="238"/>
      <c r="Y632" s="238"/>
      <c r="Z632" s="238"/>
    </row>
    <row r="633" spans="1:26" ht="12.5">
      <c r="A633" s="238"/>
      <c r="B633" s="238"/>
      <c r="C633" s="238"/>
      <c r="D633" s="238"/>
      <c r="E633" s="238"/>
      <c r="F633" s="238"/>
      <c r="G633" s="238"/>
      <c r="H633" s="238"/>
      <c r="I633" s="238"/>
      <c r="J633" s="238"/>
      <c r="K633" s="237"/>
      <c r="L633" s="238"/>
      <c r="M633" s="238"/>
      <c r="N633" s="238"/>
      <c r="O633" s="238"/>
      <c r="P633" s="238"/>
      <c r="Q633" s="238"/>
      <c r="R633" s="238"/>
      <c r="S633" s="238"/>
      <c r="T633" s="238"/>
      <c r="U633" s="238"/>
      <c r="V633" s="240"/>
      <c r="W633" s="240"/>
      <c r="X633" s="238"/>
      <c r="Y633" s="238"/>
      <c r="Z633" s="238"/>
    </row>
    <row r="634" spans="1:26" ht="12.5">
      <c r="A634" s="238"/>
      <c r="B634" s="238"/>
      <c r="C634" s="238"/>
      <c r="D634" s="238"/>
      <c r="E634" s="238"/>
      <c r="F634" s="238"/>
      <c r="G634" s="238"/>
      <c r="H634" s="238"/>
      <c r="I634" s="238"/>
      <c r="J634" s="238"/>
      <c r="K634" s="237"/>
      <c r="L634" s="238"/>
      <c r="M634" s="238"/>
      <c r="N634" s="238"/>
      <c r="O634" s="238"/>
      <c r="P634" s="238"/>
      <c r="Q634" s="238"/>
      <c r="R634" s="238"/>
      <c r="S634" s="238"/>
      <c r="T634" s="238"/>
      <c r="U634" s="238"/>
      <c r="V634" s="240"/>
      <c r="W634" s="240"/>
      <c r="X634" s="238"/>
      <c r="Y634" s="238"/>
      <c r="Z634" s="238"/>
    </row>
    <row r="635" spans="1:26" ht="12.5">
      <c r="A635" s="238"/>
      <c r="B635" s="238"/>
      <c r="C635" s="238"/>
      <c r="D635" s="238"/>
      <c r="E635" s="238"/>
      <c r="F635" s="238"/>
      <c r="G635" s="238"/>
      <c r="H635" s="238"/>
      <c r="I635" s="238"/>
      <c r="J635" s="238"/>
      <c r="K635" s="237"/>
      <c r="L635" s="238"/>
      <c r="M635" s="238"/>
      <c r="N635" s="238"/>
      <c r="O635" s="238"/>
      <c r="P635" s="238"/>
      <c r="Q635" s="238"/>
      <c r="R635" s="238"/>
      <c r="S635" s="238"/>
      <c r="T635" s="238"/>
      <c r="U635" s="238"/>
      <c r="V635" s="240"/>
      <c r="W635" s="240"/>
      <c r="X635" s="238"/>
      <c r="Y635" s="238"/>
      <c r="Z635" s="238"/>
    </row>
    <row r="636" spans="1:26" ht="12.5">
      <c r="A636" s="238"/>
      <c r="B636" s="238"/>
      <c r="C636" s="238"/>
      <c r="D636" s="238"/>
      <c r="E636" s="238"/>
      <c r="F636" s="238"/>
      <c r="G636" s="238"/>
      <c r="H636" s="238"/>
      <c r="I636" s="238"/>
      <c r="J636" s="238"/>
      <c r="K636" s="237"/>
      <c r="L636" s="238"/>
      <c r="M636" s="238"/>
      <c r="N636" s="238"/>
      <c r="O636" s="238"/>
      <c r="P636" s="238"/>
      <c r="Q636" s="238"/>
      <c r="R636" s="238"/>
      <c r="S636" s="238"/>
      <c r="T636" s="238"/>
      <c r="U636" s="238"/>
      <c r="V636" s="240"/>
      <c r="W636" s="240"/>
      <c r="X636" s="238"/>
      <c r="Y636" s="238"/>
      <c r="Z636" s="238"/>
    </row>
    <row r="637" spans="1:26" ht="12.5">
      <c r="A637" s="238"/>
      <c r="B637" s="238"/>
      <c r="C637" s="238"/>
      <c r="D637" s="238"/>
      <c r="E637" s="238"/>
      <c r="F637" s="238"/>
      <c r="G637" s="238"/>
      <c r="H637" s="238"/>
      <c r="I637" s="238"/>
      <c r="J637" s="238"/>
      <c r="K637" s="237"/>
      <c r="L637" s="238"/>
      <c r="M637" s="238"/>
      <c r="N637" s="238"/>
      <c r="O637" s="238"/>
      <c r="P637" s="238"/>
      <c r="Q637" s="238"/>
      <c r="R637" s="238"/>
      <c r="S637" s="238"/>
      <c r="T637" s="238"/>
      <c r="U637" s="238"/>
      <c r="V637" s="240"/>
      <c r="W637" s="240"/>
      <c r="X637" s="238"/>
      <c r="Y637" s="238"/>
      <c r="Z637" s="238"/>
    </row>
    <row r="638" spans="1:26" ht="12.5">
      <c r="A638" s="238"/>
      <c r="B638" s="238"/>
      <c r="C638" s="238"/>
      <c r="D638" s="238"/>
      <c r="E638" s="238"/>
      <c r="F638" s="238"/>
      <c r="G638" s="238"/>
      <c r="H638" s="238"/>
      <c r="I638" s="238"/>
      <c r="J638" s="238"/>
      <c r="K638" s="237"/>
      <c r="L638" s="238"/>
      <c r="M638" s="238"/>
      <c r="N638" s="238"/>
      <c r="O638" s="238"/>
      <c r="P638" s="238"/>
      <c r="Q638" s="238"/>
      <c r="R638" s="238"/>
      <c r="S638" s="238"/>
      <c r="T638" s="238"/>
      <c r="U638" s="238"/>
      <c r="V638" s="240"/>
      <c r="W638" s="240"/>
      <c r="X638" s="238"/>
      <c r="Y638" s="238"/>
      <c r="Z638" s="238"/>
    </row>
    <row r="639" spans="1:26" ht="12.5">
      <c r="A639" s="238"/>
      <c r="B639" s="238"/>
      <c r="C639" s="238"/>
      <c r="D639" s="238"/>
      <c r="E639" s="238"/>
      <c r="F639" s="238"/>
      <c r="G639" s="238"/>
      <c r="H639" s="238"/>
      <c r="I639" s="238"/>
      <c r="J639" s="238"/>
      <c r="K639" s="237"/>
      <c r="L639" s="238"/>
      <c r="M639" s="238"/>
      <c r="N639" s="238"/>
      <c r="O639" s="238"/>
      <c r="P639" s="238"/>
      <c r="Q639" s="238"/>
      <c r="R639" s="238"/>
      <c r="S639" s="238"/>
      <c r="T639" s="238"/>
      <c r="U639" s="238"/>
      <c r="V639" s="240"/>
      <c r="W639" s="240"/>
      <c r="X639" s="238"/>
      <c r="Y639" s="238"/>
      <c r="Z639" s="238"/>
    </row>
    <row r="640" spans="1:26" ht="12.5">
      <c r="A640" s="238"/>
      <c r="B640" s="238"/>
      <c r="C640" s="238"/>
      <c r="D640" s="238"/>
      <c r="E640" s="238"/>
      <c r="F640" s="238"/>
      <c r="G640" s="238"/>
      <c r="H640" s="238"/>
      <c r="I640" s="238"/>
      <c r="J640" s="238"/>
      <c r="K640" s="237"/>
      <c r="L640" s="238"/>
      <c r="M640" s="238"/>
      <c r="N640" s="238"/>
      <c r="O640" s="238"/>
      <c r="P640" s="238"/>
      <c r="Q640" s="238"/>
      <c r="R640" s="238"/>
      <c r="S640" s="238"/>
      <c r="T640" s="238"/>
      <c r="U640" s="238"/>
      <c r="V640" s="240"/>
      <c r="W640" s="240"/>
      <c r="X640" s="238"/>
      <c r="Y640" s="238"/>
      <c r="Z640" s="238"/>
    </row>
    <row r="641" spans="1:26" ht="12.5">
      <c r="A641" s="238"/>
      <c r="B641" s="238"/>
      <c r="C641" s="238"/>
      <c r="D641" s="238"/>
      <c r="E641" s="238"/>
      <c r="F641" s="238"/>
      <c r="G641" s="238"/>
      <c r="H641" s="238"/>
      <c r="I641" s="238"/>
      <c r="J641" s="238"/>
      <c r="K641" s="237"/>
      <c r="L641" s="238"/>
      <c r="M641" s="238"/>
      <c r="N641" s="238"/>
      <c r="O641" s="238"/>
      <c r="P641" s="238"/>
      <c r="Q641" s="238"/>
      <c r="R641" s="238"/>
      <c r="S641" s="238"/>
      <c r="T641" s="238"/>
      <c r="U641" s="238"/>
      <c r="V641" s="240"/>
      <c r="W641" s="240"/>
      <c r="X641" s="238"/>
      <c r="Y641" s="238"/>
      <c r="Z641" s="238"/>
    </row>
    <row r="642" spans="1:26" ht="12.5">
      <c r="A642" s="238"/>
      <c r="B642" s="238"/>
      <c r="C642" s="238"/>
      <c r="D642" s="238"/>
      <c r="E642" s="238"/>
      <c r="F642" s="238"/>
      <c r="G642" s="238"/>
      <c r="H642" s="238"/>
      <c r="I642" s="238"/>
      <c r="J642" s="238"/>
      <c r="K642" s="237"/>
      <c r="L642" s="238"/>
      <c r="M642" s="238"/>
      <c r="N642" s="238"/>
      <c r="O642" s="238"/>
      <c r="P642" s="238"/>
      <c r="Q642" s="238"/>
      <c r="R642" s="238"/>
      <c r="S642" s="238"/>
      <c r="T642" s="238"/>
      <c r="U642" s="238"/>
      <c r="V642" s="240"/>
      <c r="W642" s="240"/>
      <c r="X642" s="238"/>
      <c r="Y642" s="238"/>
      <c r="Z642" s="238"/>
    </row>
    <row r="643" spans="1:26" ht="12.5">
      <c r="A643" s="238"/>
      <c r="B643" s="238"/>
      <c r="C643" s="238"/>
      <c r="D643" s="238"/>
      <c r="E643" s="238"/>
      <c r="F643" s="238"/>
      <c r="G643" s="238"/>
      <c r="H643" s="238"/>
      <c r="I643" s="238"/>
      <c r="J643" s="238"/>
      <c r="K643" s="237"/>
      <c r="L643" s="238"/>
      <c r="M643" s="238"/>
      <c r="N643" s="238"/>
      <c r="O643" s="238"/>
      <c r="P643" s="238"/>
      <c r="Q643" s="238"/>
      <c r="R643" s="238"/>
      <c r="S643" s="238"/>
      <c r="T643" s="238"/>
      <c r="U643" s="238"/>
      <c r="V643" s="240"/>
      <c r="W643" s="240"/>
      <c r="X643" s="238"/>
      <c r="Y643" s="238"/>
      <c r="Z643" s="238"/>
    </row>
    <row r="644" spans="1:26" ht="12.5">
      <c r="A644" s="238"/>
      <c r="B644" s="238"/>
      <c r="C644" s="238"/>
      <c r="D644" s="238"/>
      <c r="E644" s="238"/>
      <c r="F644" s="238"/>
      <c r="G644" s="238"/>
      <c r="H644" s="238"/>
      <c r="I644" s="238"/>
      <c r="J644" s="238"/>
      <c r="K644" s="237"/>
      <c r="L644" s="238"/>
      <c r="M644" s="238"/>
      <c r="N644" s="238"/>
      <c r="O644" s="238"/>
      <c r="P644" s="238"/>
      <c r="Q644" s="238"/>
      <c r="R644" s="238"/>
      <c r="S644" s="238"/>
      <c r="T644" s="238"/>
      <c r="U644" s="238"/>
      <c r="V644" s="240"/>
      <c r="W644" s="240"/>
      <c r="X644" s="238"/>
      <c r="Y644" s="238"/>
      <c r="Z644" s="238"/>
    </row>
    <row r="645" spans="1:26" ht="12.5">
      <c r="A645" s="238"/>
      <c r="B645" s="238"/>
      <c r="C645" s="238"/>
      <c r="D645" s="238"/>
      <c r="E645" s="238"/>
      <c r="F645" s="238"/>
      <c r="G645" s="238"/>
      <c r="H645" s="238"/>
      <c r="I645" s="238"/>
      <c r="J645" s="238"/>
      <c r="K645" s="237"/>
      <c r="L645" s="238"/>
      <c r="M645" s="238"/>
      <c r="N645" s="238"/>
      <c r="O645" s="238"/>
      <c r="P645" s="238"/>
      <c r="Q645" s="238"/>
      <c r="R645" s="238"/>
      <c r="S645" s="238"/>
      <c r="T645" s="238"/>
      <c r="U645" s="238"/>
      <c r="V645" s="240"/>
      <c r="W645" s="240"/>
      <c r="X645" s="238"/>
      <c r="Y645" s="238"/>
      <c r="Z645" s="238"/>
    </row>
    <row r="646" spans="1:26" ht="12.5">
      <c r="A646" s="238"/>
      <c r="B646" s="238"/>
      <c r="C646" s="238"/>
      <c r="D646" s="238"/>
      <c r="E646" s="238"/>
      <c r="F646" s="238"/>
      <c r="G646" s="238"/>
      <c r="H646" s="238"/>
      <c r="I646" s="238"/>
      <c r="J646" s="238"/>
      <c r="K646" s="237"/>
      <c r="L646" s="238"/>
      <c r="M646" s="238"/>
      <c r="N646" s="238"/>
      <c r="O646" s="238"/>
      <c r="P646" s="238"/>
      <c r="Q646" s="238"/>
      <c r="R646" s="238"/>
      <c r="S646" s="238"/>
      <c r="T646" s="238"/>
      <c r="U646" s="238"/>
      <c r="V646" s="240"/>
      <c r="W646" s="240"/>
      <c r="X646" s="238"/>
      <c r="Y646" s="238"/>
      <c r="Z646" s="238"/>
    </row>
    <row r="647" spans="1:26" ht="12.5">
      <c r="A647" s="238"/>
      <c r="B647" s="238"/>
      <c r="C647" s="238"/>
      <c r="D647" s="238"/>
      <c r="E647" s="238"/>
      <c r="F647" s="238"/>
      <c r="G647" s="238"/>
      <c r="H647" s="238"/>
      <c r="I647" s="238"/>
      <c r="J647" s="238"/>
      <c r="K647" s="237"/>
      <c r="L647" s="238"/>
      <c r="M647" s="238"/>
      <c r="N647" s="238"/>
      <c r="O647" s="238"/>
      <c r="P647" s="238"/>
      <c r="Q647" s="238"/>
      <c r="R647" s="238"/>
      <c r="S647" s="238"/>
      <c r="T647" s="238"/>
      <c r="U647" s="238"/>
      <c r="V647" s="240"/>
      <c r="W647" s="240"/>
      <c r="X647" s="238"/>
      <c r="Y647" s="238"/>
      <c r="Z647" s="238"/>
    </row>
    <row r="648" spans="1:26" ht="12.5">
      <c r="A648" s="238"/>
      <c r="B648" s="238"/>
      <c r="C648" s="238"/>
      <c r="D648" s="238"/>
      <c r="E648" s="238"/>
      <c r="F648" s="238"/>
      <c r="G648" s="238"/>
      <c r="H648" s="238"/>
      <c r="I648" s="238"/>
      <c r="J648" s="238"/>
      <c r="K648" s="237"/>
      <c r="L648" s="238"/>
      <c r="M648" s="238"/>
      <c r="N648" s="238"/>
      <c r="O648" s="238"/>
      <c r="P648" s="238"/>
      <c r="Q648" s="238"/>
      <c r="R648" s="238"/>
      <c r="S648" s="238"/>
      <c r="T648" s="238"/>
      <c r="U648" s="238"/>
      <c r="V648" s="240"/>
      <c r="W648" s="240"/>
      <c r="X648" s="238"/>
      <c r="Y648" s="238"/>
      <c r="Z648" s="238"/>
    </row>
    <row r="649" spans="1:26" ht="12.5">
      <c r="A649" s="238"/>
      <c r="B649" s="238"/>
      <c r="C649" s="238"/>
      <c r="D649" s="238"/>
      <c r="E649" s="238"/>
      <c r="F649" s="238"/>
      <c r="G649" s="238"/>
      <c r="H649" s="238"/>
      <c r="I649" s="238"/>
      <c r="J649" s="238"/>
      <c r="K649" s="237"/>
      <c r="L649" s="238"/>
      <c r="M649" s="238"/>
      <c r="N649" s="238"/>
      <c r="O649" s="238"/>
      <c r="P649" s="238"/>
      <c r="Q649" s="238"/>
      <c r="R649" s="238"/>
      <c r="S649" s="238"/>
      <c r="T649" s="238"/>
      <c r="U649" s="238"/>
      <c r="V649" s="240"/>
      <c r="W649" s="240"/>
      <c r="X649" s="238"/>
      <c r="Y649" s="238"/>
      <c r="Z649" s="238"/>
    </row>
    <row r="650" spans="1:26" ht="12.5">
      <c r="A650" s="238"/>
      <c r="B650" s="238"/>
      <c r="C650" s="238"/>
      <c r="D650" s="238"/>
      <c r="E650" s="238"/>
      <c r="F650" s="238"/>
      <c r="G650" s="238"/>
      <c r="H650" s="238"/>
      <c r="I650" s="238"/>
      <c r="J650" s="238"/>
      <c r="K650" s="237"/>
      <c r="L650" s="238"/>
      <c r="M650" s="238"/>
      <c r="N650" s="238"/>
      <c r="O650" s="238"/>
      <c r="P650" s="238"/>
      <c r="Q650" s="238"/>
      <c r="R650" s="238"/>
      <c r="S650" s="238"/>
      <c r="T650" s="238"/>
      <c r="U650" s="238"/>
      <c r="V650" s="240"/>
      <c r="W650" s="240"/>
      <c r="X650" s="238"/>
      <c r="Y650" s="238"/>
      <c r="Z650" s="238"/>
    </row>
    <row r="651" spans="1:26" ht="12.5">
      <c r="A651" s="238"/>
      <c r="B651" s="238"/>
      <c r="C651" s="238"/>
      <c r="D651" s="238"/>
      <c r="E651" s="238"/>
      <c r="F651" s="238"/>
      <c r="G651" s="238"/>
      <c r="H651" s="238"/>
      <c r="I651" s="238"/>
      <c r="J651" s="238"/>
      <c r="K651" s="237"/>
      <c r="L651" s="238"/>
      <c r="M651" s="238"/>
      <c r="N651" s="238"/>
      <c r="O651" s="238"/>
      <c r="P651" s="238"/>
      <c r="Q651" s="238"/>
      <c r="R651" s="238"/>
      <c r="S651" s="238"/>
      <c r="T651" s="238"/>
      <c r="U651" s="238"/>
      <c r="V651" s="240"/>
      <c r="W651" s="240"/>
      <c r="X651" s="238"/>
      <c r="Y651" s="238"/>
      <c r="Z651" s="238"/>
    </row>
    <row r="652" spans="1:26" ht="12.5">
      <c r="A652" s="238"/>
      <c r="B652" s="238"/>
      <c r="C652" s="238"/>
      <c r="D652" s="238"/>
      <c r="E652" s="238"/>
      <c r="F652" s="238"/>
      <c r="G652" s="238"/>
      <c r="H652" s="238"/>
      <c r="I652" s="238"/>
      <c r="J652" s="238"/>
      <c r="K652" s="237"/>
      <c r="L652" s="238"/>
      <c r="M652" s="238"/>
      <c r="N652" s="238"/>
      <c r="O652" s="238"/>
      <c r="P652" s="238"/>
      <c r="Q652" s="238"/>
      <c r="R652" s="238"/>
      <c r="S652" s="238"/>
      <c r="T652" s="238"/>
      <c r="U652" s="238"/>
      <c r="V652" s="240"/>
      <c r="W652" s="240"/>
      <c r="X652" s="238"/>
      <c r="Y652" s="238"/>
      <c r="Z652" s="238"/>
    </row>
    <row r="653" spans="1:26" ht="12.5">
      <c r="A653" s="238"/>
      <c r="B653" s="238"/>
      <c r="C653" s="238"/>
      <c r="D653" s="238"/>
      <c r="E653" s="238"/>
      <c r="F653" s="238"/>
      <c r="G653" s="238"/>
      <c r="H653" s="238"/>
      <c r="I653" s="238"/>
      <c r="J653" s="238"/>
      <c r="K653" s="237"/>
      <c r="L653" s="238"/>
      <c r="M653" s="238"/>
      <c r="N653" s="238"/>
      <c r="O653" s="238"/>
      <c r="P653" s="238"/>
      <c r="Q653" s="238"/>
      <c r="R653" s="238"/>
      <c r="S653" s="238"/>
      <c r="T653" s="238"/>
      <c r="U653" s="238"/>
      <c r="V653" s="240"/>
      <c r="W653" s="240"/>
      <c r="X653" s="238"/>
      <c r="Y653" s="238"/>
      <c r="Z653" s="238"/>
    </row>
    <row r="654" spans="1:26" ht="12.5">
      <c r="A654" s="238"/>
      <c r="B654" s="238"/>
      <c r="C654" s="238"/>
      <c r="D654" s="238"/>
      <c r="E654" s="238"/>
      <c r="F654" s="238"/>
      <c r="G654" s="238"/>
      <c r="H654" s="238"/>
      <c r="I654" s="238"/>
      <c r="J654" s="238"/>
      <c r="K654" s="237"/>
      <c r="L654" s="238"/>
      <c r="M654" s="238"/>
      <c r="N654" s="238"/>
      <c r="O654" s="238"/>
      <c r="P654" s="238"/>
      <c r="Q654" s="238"/>
      <c r="R654" s="238"/>
      <c r="S654" s="238"/>
      <c r="T654" s="238"/>
      <c r="U654" s="238"/>
      <c r="V654" s="240"/>
      <c r="W654" s="240"/>
      <c r="X654" s="238"/>
      <c r="Y654" s="238"/>
      <c r="Z654" s="238"/>
    </row>
    <row r="655" spans="1:26" ht="12.5">
      <c r="A655" s="238"/>
      <c r="B655" s="238"/>
      <c r="C655" s="238"/>
      <c r="D655" s="238"/>
      <c r="E655" s="238"/>
      <c r="F655" s="238"/>
      <c r="G655" s="238"/>
      <c r="H655" s="238"/>
      <c r="I655" s="238"/>
      <c r="J655" s="238"/>
      <c r="K655" s="237"/>
      <c r="L655" s="238"/>
      <c r="M655" s="238"/>
      <c r="N655" s="238"/>
      <c r="O655" s="238"/>
      <c r="P655" s="238"/>
      <c r="Q655" s="238"/>
      <c r="R655" s="238"/>
      <c r="S655" s="238"/>
      <c r="T655" s="238"/>
      <c r="U655" s="238"/>
      <c r="V655" s="240"/>
      <c r="W655" s="240"/>
      <c r="X655" s="238"/>
      <c r="Y655" s="238"/>
      <c r="Z655" s="238"/>
    </row>
    <row r="656" spans="1:26" ht="12.5">
      <c r="A656" s="238"/>
      <c r="B656" s="238"/>
      <c r="C656" s="238"/>
      <c r="D656" s="238"/>
      <c r="E656" s="238"/>
      <c r="F656" s="238"/>
      <c r="G656" s="238"/>
      <c r="H656" s="238"/>
      <c r="I656" s="238"/>
      <c r="J656" s="238"/>
      <c r="K656" s="237"/>
      <c r="L656" s="238"/>
      <c r="M656" s="238"/>
      <c r="N656" s="238"/>
      <c r="O656" s="238"/>
      <c r="P656" s="238"/>
      <c r="Q656" s="238"/>
      <c r="R656" s="238"/>
      <c r="S656" s="238"/>
      <c r="T656" s="238"/>
      <c r="U656" s="238"/>
      <c r="V656" s="240"/>
      <c r="W656" s="240"/>
      <c r="X656" s="238"/>
      <c r="Y656" s="238"/>
      <c r="Z656" s="238"/>
    </row>
    <row r="657" spans="1:26" ht="12.5">
      <c r="A657" s="238"/>
      <c r="B657" s="238"/>
      <c r="C657" s="238"/>
      <c r="D657" s="238"/>
      <c r="E657" s="238"/>
      <c r="F657" s="238"/>
      <c r="G657" s="238"/>
      <c r="H657" s="238"/>
      <c r="I657" s="238"/>
      <c r="J657" s="238"/>
      <c r="K657" s="237"/>
      <c r="L657" s="238"/>
      <c r="M657" s="238"/>
      <c r="N657" s="238"/>
      <c r="O657" s="238"/>
      <c r="P657" s="238"/>
      <c r="Q657" s="238"/>
      <c r="R657" s="238"/>
      <c r="S657" s="238"/>
      <c r="T657" s="238"/>
      <c r="U657" s="238"/>
      <c r="V657" s="240"/>
      <c r="W657" s="240"/>
      <c r="X657" s="238"/>
      <c r="Y657" s="238"/>
      <c r="Z657" s="238"/>
    </row>
    <row r="658" spans="1:26" ht="12.5">
      <c r="A658" s="238"/>
      <c r="B658" s="238"/>
      <c r="C658" s="238"/>
      <c r="D658" s="238"/>
      <c r="E658" s="238"/>
      <c r="F658" s="238"/>
      <c r="G658" s="238"/>
      <c r="H658" s="238"/>
      <c r="I658" s="238"/>
      <c r="J658" s="238"/>
      <c r="K658" s="237"/>
      <c r="L658" s="238"/>
      <c r="M658" s="238"/>
      <c r="N658" s="238"/>
      <c r="O658" s="238"/>
      <c r="P658" s="238"/>
      <c r="Q658" s="238"/>
      <c r="R658" s="238"/>
      <c r="S658" s="238"/>
      <c r="T658" s="238"/>
      <c r="U658" s="238"/>
      <c r="V658" s="240"/>
      <c r="W658" s="240"/>
      <c r="X658" s="238"/>
      <c r="Y658" s="238"/>
      <c r="Z658" s="238"/>
    </row>
    <row r="659" spans="1:26" ht="12.5">
      <c r="A659" s="238"/>
      <c r="B659" s="238"/>
      <c r="C659" s="238"/>
      <c r="D659" s="238"/>
      <c r="E659" s="238"/>
      <c r="F659" s="238"/>
      <c r="G659" s="238"/>
      <c r="H659" s="238"/>
      <c r="I659" s="238"/>
      <c r="J659" s="238"/>
      <c r="K659" s="237"/>
      <c r="L659" s="238"/>
      <c r="M659" s="238"/>
      <c r="N659" s="238"/>
      <c r="O659" s="238"/>
      <c r="P659" s="238"/>
      <c r="Q659" s="238"/>
      <c r="R659" s="238"/>
      <c r="S659" s="238"/>
      <c r="T659" s="238"/>
      <c r="U659" s="238"/>
      <c r="V659" s="240"/>
      <c r="W659" s="240"/>
      <c r="X659" s="238"/>
      <c r="Y659" s="238"/>
      <c r="Z659" s="238"/>
    </row>
    <row r="660" spans="1:26" ht="12.5">
      <c r="A660" s="238"/>
      <c r="B660" s="238"/>
      <c r="C660" s="238"/>
      <c r="D660" s="238"/>
      <c r="E660" s="238"/>
      <c r="F660" s="238"/>
      <c r="G660" s="238"/>
      <c r="H660" s="238"/>
      <c r="I660" s="238"/>
      <c r="J660" s="238"/>
      <c r="K660" s="237"/>
      <c r="L660" s="238"/>
      <c r="M660" s="238"/>
      <c r="N660" s="238"/>
      <c r="O660" s="238"/>
      <c r="P660" s="238"/>
      <c r="Q660" s="238"/>
      <c r="R660" s="238"/>
      <c r="S660" s="238"/>
      <c r="T660" s="238"/>
      <c r="U660" s="238"/>
      <c r="V660" s="240"/>
      <c r="W660" s="240"/>
      <c r="X660" s="238"/>
      <c r="Y660" s="238"/>
      <c r="Z660" s="238"/>
    </row>
    <row r="661" spans="1:26" ht="12.5">
      <c r="A661" s="238"/>
      <c r="B661" s="238"/>
      <c r="C661" s="238"/>
      <c r="D661" s="238"/>
      <c r="E661" s="238"/>
      <c r="F661" s="238"/>
      <c r="G661" s="238"/>
      <c r="H661" s="238"/>
      <c r="I661" s="238"/>
      <c r="J661" s="238"/>
      <c r="K661" s="237"/>
      <c r="L661" s="238"/>
      <c r="M661" s="238"/>
      <c r="N661" s="238"/>
      <c r="O661" s="238"/>
      <c r="P661" s="238"/>
      <c r="Q661" s="238"/>
      <c r="R661" s="238"/>
      <c r="S661" s="238"/>
      <c r="T661" s="238"/>
      <c r="U661" s="238"/>
      <c r="V661" s="240"/>
      <c r="W661" s="240"/>
      <c r="X661" s="238"/>
      <c r="Y661" s="238"/>
      <c r="Z661" s="238"/>
    </row>
    <row r="662" spans="1:26" ht="12.5">
      <c r="A662" s="238"/>
      <c r="B662" s="238"/>
      <c r="C662" s="238"/>
      <c r="D662" s="238"/>
      <c r="E662" s="238"/>
      <c r="F662" s="238"/>
      <c r="G662" s="238"/>
      <c r="H662" s="238"/>
      <c r="I662" s="238"/>
      <c r="J662" s="238"/>
      <c r="K662" s="237"/>
      <c r="L662" s="238"/>
      <c r="M662" s="238"/>
      <c r="N662" s="238"/>
      <c r="O662" s="238"/>
      <c r="P662" s="238"/>
      <c r="Q662" s="238"/>
      <c r="R662" s="238"/>
      <c r="S662" s="238"/>
      <c r="T662" s="238"/>
      <c r="U662" s="238"/>
      <c r="V662" s="240"/>
      <c r="W662" s="240"/>
      <c r="X662" s="238"/>
      <c r="Y662" s="238"/>
      <c r="Z662" s="238"/>
    </row>
    <row r="663" spans="1:26" ht="12.5">
      <c r="A663" s="238"/>
      <c r="B663" s="238"/>
      <c r="C663" s="238"/>
      <c r="D663" s="238"/>
      <c r="E663" s="238"/>
      <c r="F663" s="238"/>
      <c r="G663" s="238"/>
      <c r="H663" s="238"/>
      <c r="I663" s="238"/>
      <c r="J663" s="238"/>
      <c r="K663" s="237"/>
      <c r="L663" s="238"/>
      <c r="M663" s="238"/>
      <c r="N663" s="238"/>
      <c r="O663" s="238"/>
      <c r="P663" s="238"/>
      <c r="Q663" s="238"/>
      <c r="R663" s="238"/>
      <c r="S663" s="238"/>
      <c r="T663" s="238"/>
      <c r="U663" s="238"/>
      <c r="V663" s="240"/>
      <c r="W663" s="240"/>
      <c r="X663" s="238"/>
      <c r="Y663" s="238"/>
      <c r="Z663" s="238"/>
    </row>
    <row r="664" spans="1:26" ht="12.5">
      <c r="A664" s="238"/>
      <c r="B664" s="238"/>
      <c r="C664" s="238"/>
      <c r="D664" s="238"/>
      <c r="E664" s="238"/>
      <c r="F664" s="238"/>
      <c r="G664" s="238"/>
      <c r="H664" s="238"/>
      <c r="I664" s="238"/>
      <c r="J664" s="238"/>
      <c r="K664" s="237"/>
      <c r="L664" s="238"/>
      <c r="M664" s="238"/>
      <c r="N664" s="238"/>
      <c r="O664" s="238"/>
      <c r="P664" s="238"/>
      <c r="Q664" s="238"/>
      <c r="R664" s="238"/>
      <c r="S664" s="238"/>
      <c r="T664" s="238"/>
      <c r="U664" s="238"/>
      <c r="V664" s="240"/>
      <c r="W664" s="240"/>
      <c r="X664" s="238"/>
      <c r="Y664" s="238"/>
      <c r="Z664" s="238"/>
    </row>
    <row r="665" spans="1:26" ht="12.5">
      <c r="A665" s="238"/>
      <c r="B665" s="238"/>
      <c r="C665" s="238"/>
      <c r="D665" s="238"/>
      <c r="E665" s="238"/>
      <c r="F665" s="238"/>
      <c r="G665" s="238"/>
      <c r="H665" s="238"/>
      <c r="I665" s="238"/>
      <c r="J665" s="238"/>
      <c r="K665" s="237"/>
      <c r="L665" s="238"/>
      <c r="M665" s="238"/>
      <c r="N665" s="238"/>
      <c r="O665" s="238"/>
      <c r="P665" s="238"/>
      <c r="Q665" s="238"/>
      <c r="R665" s="238"/>
      <c r="S665" s="238"/>
      <c r="T665" s="238"/>
      <c r="U665" s="238"/>
      <c r="V665" s="240"/>
      <c r="W665" s="240"/>
      <c r="X665" s="238"/>
      <c r="Y665" s="238"/>
      <c r="Z665" s="238"/>
    </row>
    <row r="666" spans="1:26" ht="12.5">
      <c r="A666" s="238"/>
      <c r="B666" s="238"/>
      <c r="C666" s="238"/>
      <c r="D666" s="238"/>
      <c r="E666" s="238"/>
      <c r="F666" s="238"/>
      <c r="G666" s="238"/>
      <c r="H666" s="238"/>
      <c r="I666" s="238"/>
      <c r="J666" s="238"/>
      <c r="K666" s="237"/>
      <c r="L666" s="238"/>
      <c r="M666" s="238"/>
      <c r="N666" s="238"/>
      <c r="O666" s="238"/>
      <c r="P666" s="238"/>
      <c r="Q666" s="238"/>
      <c r="R666" s="238"/>
      <c r="S666" s="238"/>
      <c r="T666" s="238"/>
      <c r="U666" s="238"/>
      <c r="V666" s="240"/>
      <c r="W666" s="240"/>
      <c r="X666" s="238"/>
      <c r="Y666" s="238"/>
      <c r="Z666" s="238"/>
    </row>
    <row r="667" spans="1:26" ht="12.5">
      <c r="A667" s="238"/>
      <c r="B667" s="238"/>
      <c r="C667" s="238"/>
      <c r="D667" s="238"/>
      <c r="E667" s="238"/>
      <c r="F667" s="238"/>
      <c r="G667" s="238"/>
      <c r="H667" s="238"/>
      <c r="I667" s="238"/>
      <c r="J667" s="238"/>
      <c r="K667" s="237"/>
      <c r="L667" s="238"/>
      <c r="M667" s="238"/>
      <c r="N667" s="238"/>
      <c r="O667" s="238"/>
      <c r="P667" s="238"/>
      <c r="Q667" s="238"/>
      <c r="R667" s="238"/>
      <c r="S667" s="238"/>
      <c r="T667" s="238"/>
      <c r="U667" s="238"/>
      <c r="V667" s="240"/>
      <c r="W667" s="240"/>
      <c r="X667" s="238"/>
      <c r="Y667" s="238"/>
      <c r="Z667" s="238"/>
    </row>
    <row r="668" spans="1:26" ht="12.5">
      <c r="A668" s="238"/>
      <c r="B668" s="238"/>
      <c r="C668" s="238"/>
      <c r="D668" s="238"/>
      <c r="E668" s="238"/>
      <c r="F668" s="238"/>
      <c r="G668" s="238"/>
      <c r="H668" s="238"/>
      <c r="I668" s="238"/>
      <c r="J668" s="238"/>
      <c r="K668" s="237"/>
      <c r="L668" s="238"/>
      <c r="M668" s="238"/>
      <c r="N668" s="238"/>
      <c r="O668" s="238"/>
      <c r="P668" s="238"/>
      <c r="Q668" s="238"/>
      <c r="R668" s="238"/>
      <c r="S668" s="238"/>
      <c r="T668" s="238"/>
      <c r="U668" s="238"/>
      <c r="V668" s="240"/>
      <c r="W668" s="240"/>
      <c r="X668" s="238"/>
      <c r="Y668" s="238"/>
      <c r="Z668" s="238"/>
    </row>
    <row r="669" spans="1:26" ht="12.5">
      <c r="A669" s="238"/>
      <c r="B669" s="238"/>
      <c r="C669" s="238"/>
      <c r="D669" s="238"/>
      <c r="E669" s="238"/>
      <c r="F669" s="238"/>
      <c r="G669" s="238"/>
      <c r="H669" s="238"/>
      <c r="I669" s="238"/>
      <c r="J669" s="238"/>
      <c r="K669" s="237"/>
      <c r="L669" s="238"/>
      <c r="M669" s="238"/>
      <c r="N669" s="238"/>
      <c r="O669" s="238"/>
      <c r="P669" s="238"/>
      <c r="Q669" s="238"/>
      <c r="R669" s="238"/>
      <c r="S669" s="238"/>
      <c r="T669" s="238"/>
      <c r="U669" s="238"/>
      <c r="V669" s="240"/>
      <c r="W669" s="240"/>
      <c r="X669" s="238"/>
      <c r="Y669" s="238"/>
      <c r="Z669" s="238"/>
    </row>
    <row r="670" spans="1:26" ht="12.5">
      <c r="A670" s="238"/>
      <c r="B670" s="238"/>
      <c r="C670" s="238"/>
      <c r="D670" s="238"/>
      <c r="E670" s="238"/>
      <c r="F670" s="238"/>
      <c r="G670" s="238"/>
      <c r="H670" s="238"/>
      <c r="I670" s="238"/>
      <c r="J670" s="238"/>
      <c r="K670" s="237"/>
      <c r="L670" s="238"/>
      <c r="M670" s="238"/>
      <c r="N670" s="238"/>
      <c r="O670" s="238"/>
      <c r="P670" s="238"/>
      <c r="Q670" s="238"/>
      <c r="R670" s="238"/>
      <c r="S670" s="238"/>
      <c r="T670" s="238"/>
      <c r="U670" s="238"/>
      <c r="V670" s="240"/>
      <c r="W670" s="240"/>
      <c r="X670" s="238"/>
      <c r="Y670" s="238"/>
      <c r="Z670" s="238"/>
    </row>
    <row r="671" spans="1:26" ht="12.5">
      <c r="A671" s="238"/>
      <c r="B671" s="238"/>
      <c r="C671" s="238"/>
      <c r="D671" s="238"/>
      <c r="E671" s="238"/>
      <c r="F671" s="238"/>
      <c r="G671" s="238"/>
      <c r="H671" s="238"/>
      <c r="I671" s="238"/>
      <c r="J671" s="238"/>
      <c r="K671" s="237"/>
      <c r="L671" s="238"/>
      <c r="M671" s="238"/>
      <c r="N671" s="238"/>
      <c r="O671" s="238"/>
      <c r="P671" s="238"/>
      <c r="Q671" s="238"/>
      <c r="R671" s="238"/>
      <c r="S671" s="238"/>
      <c r="T671" s="238"/>
      <c r="U671" s="238"/>
      <c r="V671" s="240"/>
      <c r="W671" s="240"/>
      <c r="X671" s="238"/>
      <c r="Y671" s="238"/>
      <c r="Z671" s="238"/>
    </row>
    <row r="672" spans="1:26" ht="12.5">
      <c r="A672" s="238"/>
      <c r="B672" s="238"/>
      <c r="C672" s="238"/>
      <c r="D672" s="238"/>
      <c r="E672" s="238"/>
      <c r="F672" s="238"/>
      <c r="G672" s="238"/>
      <c r="H672" s="238"/>
      <c r="I672" s="238"/>
      <c r="J672" s="238"/>
      <c r="K672" s="237"/>
      <c r="L672" s="238"/>
      <c r="M672" s="238"/>
      <c r="N672" s="238"/>
      <c r="O672" s="238"/>
      <c r="P672" s="238"/>
      <c r="Q672" s="238"/>
      <c r="R672" s="238"/>
      <c r="S672" s="238"/>
      <c r="T672" s="238"/>
      <c r="U672" s="238"/>
      <c r="V672" s="240"/>
      <c r="W672" s="240"/>
      <c r="X672" s="238"/>
      <c r="Y672" s="238"/>
      <c r="Z672" s="238"/>
    </row>
    <row r="673" spans="1:26" ht="12.5">
      <c r="A673" s="238"/>
      <c r="B673" s="238"/>
      <c r="C673" s="238"/>
      <c r="D673" s="238"/>
      <c r="E673" s="238"/>
      <c r="F673" s="238"/>
      <c r="G673" s="238"/>
      <c r="H673" s="238"/>
      <c r="I673" s="238"/>
      <c r="J673" s="238"/>
      <c r="K673" s="237"/>
      <c r="L673" s="238"/>
      <c r="M673" s="238"/>
      <c r="N673" s="238"/>
      <c r="O673" s="238"/>
      <c r="P673" s="238"/>
      <c r="Q673" s="238"/>
      <c r="R673" s="238"/>
      <c r="S673" s="238"/>
      <c r="T673" s="238"/>
      <c r="U673" s="238"/>
      <c r="V673" s="240"/>
      <c r="W673" s="240"/>
      <c r="X673" s="238"/>
      <c r="Y673" s="238"/>
      <c r="Z673" s="238"/>
    </row>
    <row r="674" spans="1:26" ht="12.5">
      <c r="A674" s="238"/>
      <c r="B674" s="238"/>
      <c r="C674" s="238"/>
      <c r="D674" s="238"/>
      <c r="E674" s="238"/>
      <c r="F674" s="238"/>
      <c r="G674" s="238"/>
      <c r="H674" s="238"/>
      <c r="I674" s="238"/>
      <c r="J674" s="238"/>
      <c r="K674" s="237"/>
      <c r="L674" s="238"/>
      <c r="M674" s="238"/>
      <c r="N674" s="238"/>
      <c r="O674" s="238"/>
      <c r="P674" s="238"/>
      <c r="Q674" s="238"/>
      <c r="R674" s="238"/>
      <c r="S674" s="238"/>
      <c r="T674" s="238"/>
      <c r="U674" s="238"/>
      <c r="V674" s="240"/>
      <c r="W674" s="240"/>
      <c r="X674" s="238"/>
      <c r="Y674" s="238"/>
      <c r="Z674" s="238"/>
    </row>
    <row r="675" spans="1:26" ht="12.5">
      <c r="A675" s="238"/>
      <c r="B675" s="238"/>
      <c r="C675" s="238"/>
      <c r="D675" s="238"/>
      <c r="E675" s="238"/>
      <c r="F675" s="238"/>
      <c r="G675" s="238"/>
      <c r="H675" s="238"/>
      <c r="I675" s="238"/>
      <c r="J675" s="238"/>
      <c r="K675" s="237"/>
      <c r="L675" s="238"/>
      <c r="M675" s="238"/>
      <c r="N675" s="238"/>
      <c r="O675" s="238"/>
      <c r="P675" s="238"/>
      <c r="Q675" s="238"/>
      <c r="R675" s="238"/>
      <c r="S675" s="238"/>
      <c r="T675" s="238"/>
      <c r="U675" s="238"/>
      <c r="V675" s="240"/>
      <c r="W675" s="240"/>
      <c r="X675" s="238"/>
      <c r="Y675" s="238"/>
      <c r="Z675" s="238"/>
    </row>
    <row r="676" spans="1:26" ht="12.5">
      <c r="A676" s="238"/>
      <c r="B676" s="238"/>
      <c r="C676" s="238"/>
      <c r="D676" s="238"/>
      <c r="E676" s="238"/>
      <c r="F676" s="238"/>
      <c r="G676" s="238"/>
      <c r="H676" s="238"/>
      <c r="I676" s="238"/>
      <c r="J676" s="238"/>
      <c r="K676" s="237"/>
      <c r="L676" s="238"/>
      <c r="M676" s="238"/>
      <c r="N676" s="238"/>
      <c r="O676" s="238"/>
      <c r="P676" s="238"/>
      <c r="Q676" s="238"/>
      <c r="R676" s="238"/>
      <c r="S676" s="238"/>
      <c r="T676" s="238"/>
      <c r="U676" s="238"/>
      <c r="V676" s="240"/>
      <c r="W676" s="240"/>
      <c r="X676" s="238"/>
      <c r="Y676" s="238"/>
      <c r="Z676" s="238"/>
    </row>
    <row r="677" spans="1:26" ht="12.5">
      <c r="A677" s="238"/>
      <c r="B677" s="238"/>
      <c r="C677" s="238"/>
      <c r="D677" s="238"/>
      <c r="E677" s="238"/>
      <c r="F677" s="238"/>
      <c r="G677" s="238"/>
      <c r="H677" s="238"/>
      <c r="I677" s="238"/>
      <c r="J677" s="238"/>
      <c r="K677" s="237"/>
      <c r="L677" s="238"/>
      <c r="M677" s="238"/>
      <c r="N677" s="238"/>
      <c r="O677" s="238"/>
      <c r="P677" s="238"/>
      <c r="Q677" s="238"/>
      <c r="R677" s="238"/>
      <c r="S677" s="238"/>
      <c r="T677" s="238"/>
      <c r="U677" s="238"/>
      <c r="V677" s="240"/>
      <c r="W677" s="240"/>
      <c r="X677" s="238"/>
      <c r="Y677" s="238"/>
      <c r="Z677" s="238"/>
    </row>
    <row r="678" spans="1:26" ht="12.5">
      <c r="A678" s="238"/>
      <c r="B678" s="238"/>
      <c r="C678" s="238"/>
      <c r="D678" s="238"/>
      <c r="E678" s="238"/>
      <c r="F678" s="238"/>
      <c r="G678" s="238"/>
      <c r="H678" s="238"/>
      <c r="I678" s="238"/>
      <c r="J678" s="238"/>
      <c r="K678" s="237"/>
      <c r="L678" s="238"/>
      <c r="M678" s="238"/>
      <c r="N678" s="238"/>
      <c r="O678" s="238"/>
      <c r="P678" s="238"/>
      <c r="Q678" s="238"/>
      <c r="R678" s="238"/>
      <c r="S678" s="238"/>
      <c r="T678" s="238"/>
      <c r="U678" s="238"/>
      <c r="V678" s="240"/>
      <c r="W678" s="240"/>
      <c r="X678" s="238"/>
      <c r="Y678" s="238"/>
      <c r="Z678" s="238"/>
    </row>
    <row r="679" spans="1:26" ht="12.5">
      <c r="A679" s="238"/>
      <c r="B679" s="238"/>
      <c r="C679" s="238"/>
      <c r="D679" s="238"/>
      <c r="E679" s="238"/>
      <c r="F679" s="238"/>
      <c r="G679" s="238"/>
      <c r="H679" s="238"/>
      <c r="I679" s="238"/>
      <c r="J679" s="238"/>
      <c r="K679" s="237"/>
      <c r="L679" s="238"/>
      <c r="M679" s="238"/>
      <c r="N679" s="238"/>
      <c r="O679" s="238"/>
      <c r="P679" s="238"/>
      <c r="Q679" s="238"/>
      <c r="R679" s="238"/>
      <c r="S679" s="238"/>
      <c r="T679" s="238"/>
      <c r="U679" s="238"/>
      <c r="V679" s="240"/>
      <c r="W679" s="240"/>
      <c r="X679" s="238"/>
      <c r="Y679" s="238"/>
      <c r="Z679" s="238"/>
    </row>
    <row r="680" spans="1:26" ht="12.5">
      <c r="A680" s="238"/>
      <c r="B680" s="238"/>
      <c r="C680" s="238"/>
      <c r="D680" s="238"/>
      <c r="E680" s="238"/>
      <c r="F680" s="238"/>
      <c r="G680" s="238"/>
      <c r="H680" s="238"/>
      <c r="I680" s="238"/>
      <c r="J680" s="238"/>
      <c r="K680" s="237"/>
      <c r="L680" s="238"/>
      <c r="M680" s="238"/>
      <c r="N680" s="238"/>
      <c r="O680" s="238"/>
      <c r="P680" s="238"/>
      <c r="Q680" s="238"/>
      <c r="R680" s="238"/>
      <c r="S680" s="238"/>
      <c r="T680" s="238"/>
      <c r="U680" s="238"/>
      <c r="V680" s="240"/>
      <c r="W680" s="240"/>
      <c r="X680" s="238"/>
      <c r="Y680" s="238"/>
      <c r="Z680" s="238"/>
    </row>
    <row r="681" spans="1:26" ht="12.5">
      <c r="A681" s="238"/>
      <c r="B681" s="238"/>
      <c r="C681" s="238"/>
      <c r="D681" s="238"/>
      <c r="E681" s="238"/>
      <c r="F681" s="238"/>
      <c r="G681" s="238"/>
      <c r="H681" s="238"/>
      <c r="I681" s="238"/>
      <c r="J681" s="238"/>
      <c r="K681" s="237"/>
      <c r="L681" s="238"/>
      <c r="M681" s="238"/>
      <c r="N681" s="238"/>
      <c r="O681" s="238"/>
      <c r="P681" s="238"/>
      <c r="Q681" s="238"/>
      <c r="R681" s="238"/>
      <c r="S681" s="238"/>
      <c r="T681" s="238"/>
      <c r="U681" s="238"/>
      <c r="V681" s="240"/>
      <c r="W681" s="240"/>
      <c r="X681" s="238"/>
      <c r="Y681" s="238"/>
      <c r="Z681" s="238"/>
    </row>
    <row r="682" spans="1:26" ht="12.5">
      <c r="A682" s="238"/>
      <c r="B682" s="238"/>
      <c r="C682" s="238"/>
      <c r="D682" s="238"/>
      <c r="E682" s="238"/>
      <c r="F682" s="238"/>
      <c r="G682" s="238"/>
      <c r="H682" s="238"/>
      <c r="I682" s="238"/>
      <c r="J682" s="238"/>
      <c r="K682" s="237"/>
      <c r="L682" s="238"/>
      <c r="M682" s="238"/>
      <c r="N682" s="238"/>
      <c r="O682" s="238"/>
      <c r="P682" s="238"/>
      <c r="Q682" s="238"/>
      <c r="R682" s="238"/>
      <c r="S682" s="238"/>
      <c r="T682" s="238"/>
      <c r="U682" s="238"/>
      <c r="V682" s="240"/>
      <c r="W682" s="240"/>
      <c r="X682" s="238"/>
      <c r="Y682" s="238"/>
      <c r="Z682" s="238"/>
    </row>
    <row r="683" spans="1:26" ht="12.5">
      <c r="A683" s="238"/>
      <c r="B683" s="238"/>
      <c r="C683" s="238"/>
      <c r="D683" s="238"/>
      <c r="E683" s="238"/>
      <c r="F683" s="238"/>
      <c r="G683" s="238"/>
      <c r="H683" s="238"/>
      <c r="I683" s="238"/>
      <c r="J683" s="238"/>
      <c r="K683" s="237"/>
      <c r="L683" s="238"/>
      <c r="M683" s="238"/>
      <c r="N683" s="238"/>
      <c r="O683" s="238"/>
      <c r="P683" s="238"/>
      <c r="Q683" s="238"/>
      <c r="R683" s="238"/>
      <c r="S683" s="238"/>
      <c r="T683" s="238"/>
      <c r="U683" s="238"/>
      <c r="V683" s="240"/>
      <c r="W683" s="240"/>
      <c r="X683" s="238"/>
      <c r="Y683" s="238"/>
      <c r="Z683" s="238"/>
    </row>
    <row r="684" spans="1:26" ht="12.5">
      <c r="A684" s="238"/>
      <c r="B684" s="238"/>
      <c r="C684" s="238"/>
      <c r="D684" s="238"/>
      <c r="E684" s="238"/>
      <c r="F684" s="238"/>
      <c r="G684" s="238"/>
      <c r="H684" s="238"/>
      <c r="I684" s="238"/>
      <c r="J684" s="238"/>
      <c r="K684" s="237"/>
      <c r="L684" s="238"/>
      <c r="M684" s="238"/>
      <c r="N684" s="238"/>
      <c r="O684" s="238"/>
      <c r="P684" s="238"/>
      <c r="Q684" s="238"/>
      <c r="R684" s="238"/>
      <c r="S684" s="238"/>
      <c r="T684" s="238"/>
      <c r="U684" s="238"/>
      <c r="V684" s="240"/>
      <c r="W684" s="240"/>
      <c r="X684" s="238"/>
      <c r="Y684" s="238"/>
      <c r="Z684" s="238"/>
    </row>
    <row r="685" spans="1:26" ht="12.5">
      <c r="A685" s="238"/>
      <c r="B685" s="238"/>
      <c r="C685" s="238"/>
      <c r="D685" s="238"/>
      <c r="E685" s="238"/>
      <c r="F685" s="238"/>
      <c r="G685" s="238"/>
      <c r="H685" s="238"/>
      <c r="I685" s="238"/>
      <c r="J685" s="238"/>
      <c r="K685" s="237"/>
      <c r="L685" s="238"/>
      <c r="M685" s="238"/>
      <c r="N685" s="238"/>
      <c r="O685" s="238"/>
      <c r="P685" s="238"/>
      <c r="Q685" s="238"/>
      <c r="R685" s="238"/>
      <c r="S685" s="238"/>
      <c r="T685" s="238"/>
      <c r="U685" s="238"/>
      <c r="V685" s="240"/>
      <c r="W685" s="240"/>
      <c r="X685" s="238"/>
      <c r="Y685" s="238"/>
      <c r="Z685" s="238"/>
    </row>
    <row r="686" spans="1:26" ht="12.5">
      <c r="A686" s="238"/>
      <c r="B686" s="238"/>
      <c r="C686" s="238"/>
      <c r="D686" s="238"/>
      <c r="E686" s="238"/>
      <c r="F686" s="238"/>
      <c r="G686" s="238"/>
      <c r="H686" s="238"/>
      <c r="I686" s="238"/>
      <c r="J686" s="238"/>
      <c r="K686" s="237"/>
      <c r="L686" s="238"/>
      <c r="M686" s="238"/>
      <c r="N686" s="238"/>
      <c r="O686" s="238"/>
      <c r="P686" s="238"/>
      <c r="Q686" s="238"/>
      <c r="R686" s="238"/>
      <c r="S686" s="238"/>
      <c r="T686" s="238"/>
      <c r="U686" s="238"/>
      <c r="V686" s="240"/>
      <c r="W686" s="240"/>
      <c r="X686" s="238"/>
      <c r="Y686" s="238"/>
      <c r="Z686" s="238"/>
    </row>
    <row r="687" spans="1:26" ht="12.5">
      <c r="A687" s="238"/>
      <c r="B687" s="238"/>
      <c r="C687" s="238"/>
      <c r="D687" s="238"/>
      <c r="E687" s="238"/>
      <c r="F687" s="238"/>
      <c r="G687" s="238"/>
      <c r="H687" s="238"/>
      <c r="I687" s="238"/>
      <c r="J687" s="238"/>
      <c r="K687" s="237"/>
      <c r="L687" s="238"/>
      <c r="M687" s="238"/>
      <c r="N687" s="238"/>
      <c r="O687" s="238"/>
      <c r="P687" s="238"/>
      <c r="Q687" s="238"/>
      <c r="R687" s="238"/>
      <c r="S687" s="238"/>
      <c r="T687" s="238"/>
      <c r="U687" s="238"/>
      <c r="V687" s="240"/>
      <c r="W687" s="240"/>
      <c r="X687" s="238"/>
      <c r="Y687" s="238"/>
      <c r="Z687" s="238"/>
    </row>
    <row r="688" spans="1:26" ht="12.5">
      <c r="A688" s="238"/>
      <c r="B688" s="238"/>
      <c r="C688" s="238"/>
      <c r="D688" s="238"/>
      <c r="E688" s="238"/>
      <c r="F688" s="238"/>
      <c r="G688" s="238"/>
      <c r="H688" s="238"/>
      <c r="I688" s="238"/>
      <c r="J688" s="238"/>
      <c r="K688" s="237"/>
      <c r="L688" s="238"/>
      <c r="M688" s="238"/>
      <c r="N688" s="238"/>
      <c r="O688" s="238"/>
      <c r="P688" s="238"/>
      <c r="Q688" s="238"/>
      <c r="R688" s="238"/>
      <c r="S688" s="238"/>
      <c r="T688" s="238"/>
      <c r="U688" s="238"/>
      <c r="V688" s="240"/>
      <c r="W688" s="240"/>
      <c r="X688" s="238"/>
      <c r="Y688" s="238"/>
      <c r="Z688" s="238"/>
    </row>
    <row r="689" spans="1:26" ht="12.5">
      <c r="A689" s="238"/>
      <c r="B689" s="238"/>
      <c r="C689" s="238"/>
      <c r="D689" s="238"/>
      <c r="E689" s="238"/>
      <c r="F689" s="238"/>
      <c r="G689" s="238"/>
      <c r="H689" s="238"/>
      <c r="I689" s="238"/>
      <c r="J689" s="238"/>
      <c r="K689" s="237"/>
      <c r="L689" s="238"/>
      <c r="M689" s="238"/>
      <c r="N689" s="238"/>
      <c r="O689" s="238"/>
      <c r="P689" s="238"/>
      <c r="Q689" s="238"/>
      <c r="R689" s="238"/>
      <c r="S689" s="238"/>
      <c r="T689" s="238"/>
      <c r="U689" s="238"/>
      <c r="V689" s="240"/>
      <c r="W689" s="240"/>
      <c r="X689" s="238"/>
      <c r="Y689" s="238"/>
      <c r="Z689" s="238"/>
    </row>
    <row r="690" spans="1:26" ht="12.5">
      <c r="A690" s="238"/>
      <c r="B690" s="238"/>
      <c r="C690" s="238"/>
      <c r="D690" s="238"/>
      <c r="E690" s="238"/>
      <c r="F690" s="238"/>
      <c r="G690" s="238"/>
      <c r="H690" s="238"/>
      <c r="I690" s="238"/>
      <c r="J690" s="238"/>
      <c r="K690" s="237"/>
      <c r="L690" s="238"/>
      <c r="M690" s="238"/>
      <c r="N690" s="238"/>
      <c r="O690" s="238"/>
      <c r="P690" s="238"/>
      <c r="Q690" s="238"/>
      <c r="R690" s="238"/>
      <c r="S690" s="238"/>
      <c r="T690" s="238"/>
      <c r="U690" s="238"/>
      <c r="V690" s="240"/>
      <c r="W690" s="240"/>
      <c r="X690" s="238"/>
      <c r="Y690" s="238"/>
      <c r="Z690" s="238"/>
    </row>
    <row r="691" spans="1:26" ht="12.5">
      <c r="A691" s="238"/>
      <c r="B691" s="238"/>
      <c r="C691" s="238"/>
      <c r="D691" s="238"/>
      <c r="E691" s="238"/>
      <c r="F691" s="238"/>
      <c r="G691" s="238"/>
      <c r="H691" s="238"/>
      <c r="I691" s="238"/>
      <c r="J691" s="238"/>
      <c r="K691" s="237"/>
      <c r="L691" s="238"/>
      <c r="M691" s="238"/>
      <c r="N691" s="238"/>
      <c r="O691" s="238"/>
      <c r="P691" s="238"/>
      <c r="Q691" s="238"/>
      <c r="R691" s="238"/>
      <c r="S691" s="238"/>
      <c r="T691" s="238"/>
      <c r="U691" s="238"/>
      <c r="V691" s="240"/>
      <c r="W691" s="240"/>
      <c r="X691" s="238"/>
      <c r="Y691" s="238"/>
      <c r="Z691" s="238"/>
    </row>
    <row r="692" spans="1:26" ht="12.5">
      <c r="A692" s="238"/>
      <c r="B692" s="238"/>
      <c r="C692" s="238"/>
      <c r="D692" s="238"/>
      <c r="E692" s="238"/>
      <c r="F692" s="238"/>
      <c r="G692" s="238"/>
      <c r="H692" s="238"/>
      <c r="I692" s="238"/>
      <c r="J692" s="238"/>
      <c r="K692" s="237"/>
      <c r="L692" s="238"/>
      <c r="M692" s="238"/>
      <c r="N692" s="238"/>
      <c r="O692" s="238"/>
      <c r="P692" s="238"/>
      <c r="Q692" s="238"/>
      <c r="R692" s="238"/>
      <c r="S692" s="238"/>
      <c r="T692" s="238"/>
      <c r="U692" s="238"/>
      <c r="V692" s="240"/>
      <c r="W692" s="240"/>
      <c r="X692" s="238"/>
      <c r="Y692" s="238"/>
      <c r="Z692" s="238"/>
    </row>
    <row r="693" spans="1:26" ht="12.5">
      <c r="A693" s="238"/>
      <c r="B693" s="238"/>
      <c r="C693" s="238"/>
      <c r="D693" s="238"/>
      <c r="E693" s="238"/>
      <c r="F693" s="238"/>
      <c r="G693" s="238"/>
      <c r="H693" s="238"/>
      <c r="I693" s="238"/>
      <c r="J693" s="238"/>
      <c r="K693" s="237"/>
      <c r="L693" s="238"/>
      <c r="M693" s="238"/>
      <c r="N693" s="238"/>
      <c r="O693" s="238"/>
      <c r="P693" s="238"/>
      <c r="Q693" s="238"/>
      <c r="R693" s="238"/>
      <c r="S693" s="238"/>
      <c r="T693" s="238"/>
      <c r="U693" s="238"/>
      <c r="V693" s="240"/>
      <c r="W693" s="240"/>
      <c r="X693" s="238"/>
      <c r="Y693" s="238"/>
      <c r="Z693" s="238"/>
    </row>
    <row r="694" spans="1:26" ht="12.5">
      <c r="A694" s="238"/>
      <c r="B694" s="238"/>
      <c r="C694" s="238"/>
      <c r="D694" s="238"/>
      <c r="E694" s="238"/>
      <c r="F694" s="238"/>
      <c r="G694" s="238"/>
      <c r="H694" s="238"/>
      <c r="I694" s="238"/>
      <c r="J694" s="238"/>
      <c r="K694" s="237"/>
      <c r="L694" s="238"/>
      <c r="M694" s="238"/>
      <c r="N694" s="238"/>
      <c r="O694" s="238"/>
      <c r="P694" s="238"/>
      <c r="Q694" s="238"/>
      <c r="R694" s="238"/>
      <c r="S694" s="238"/>
      <c r="T694" s="238"/>
      <c r="U694" s="238"/>
      <c r="V694" s="240"/>
      <c r="W694" s="240"/>
      <c r="X694" s="238"/>
      <c r="Y694" s="238"/>
      <c r="Z694" s="238"/>
    </row>
    <row r="695" spans="1:26" ht="12.5">
      <c r="A695" s="238"/>
      <c r="B695" s="238"/>
      <c r="C695" s="238"/>
      <c r="D695" s="238"/>
      <c r="E695" s="238"/>
      <c r="F695" s="238"/>
      <c r="G695" s="238"/>
      <c r="H695" s="238"/>
      <c r="I695" s="238"/>
      <c r="J695" s="238"/>
      <c r="K695" s="237"/>
      <c r="L695" s="238"/>
      <c r="M695" s="238"/>
      <c r="N695" s="238"/>
      <c r="O695" s="238"/>
      <c r="P695" s="238"/>
      <c r="Q695" s="238"/>
      <c r="R695" s="238"/>
      <c r="S695" s="238"/>
      <c r="T695" s="238"/>
      <c r="U695" s="238"/>
      <c r="V695" s="240"/>
      <c r="W695" s="240"/>
      <c r="X695" s="238"/>
      <c r="Y695" s="238"/>
      <c r="Z695" s="238"/>
    </row>
    <row r="696" spans="1:26" ht="12.5">
      <c r="A696" s="238"/>
      <c r="B696" s="238"/>
      <c r="C696" s="238"/>
      <c r="D696" s="238"/>
      <c r="E696" s="238"/>
      <c r="F696" s="238"/>
      <c r="G696" s="238"/>
      <c r="H696" s="238"/>
      <c r="I696" s="238"/>
      <c r="J696" s="238"/>
      <c r="K696" s="237"/>
      <c r="L696" s="238"/>
      <c r="M696" s="238"/>
      <c r="N696" s="238"/>
      <c r="O696" s="238"/>
      <c r="P696" s="238"/>
      <c r="Q696" s="238"/>
      <c r="R696" s="238"/>
      <c r="S696" s="238"/>
      <c r="T696" s="238"/>
      <c r="U696" s="238"/>
      <c r="V696" s="240"/>
      <c r="W696" s="240"/>
      <c r="X696" s="238"/>
      <c r="Y696" s="238"/>
      <c r="Z696" s="238"/>
    </row>
    <row r="697" spans="1:26" ht="12.5">
      <c r="A697" s="238"/>
      <c r="B697" s="238"/>
      <c r="C697" s="238"/>
      <c r="D697" s="238"/>
      <c r="E697" s="238"/>
      <c r="F697" s="238"/>
      <c r="G697" s="238"/>
      <c r="H697" s="238"/>
      <c r="I697" s="238"/>
      <c r="J697" s="238"/>
      <c r="K697" s="237"/>
      <c r="L697" s="238"/>
      <c r="M697" s="238"/>
      <c r="N697" s="238"/>
      <c r="O697" s="238"/>
      <c r="P697" s="238"/>
      <c r="Q697" s="238"/>
      <c r="R697" s="238"/>
      <c r="S697" s="238"/>
      <c r="T697" s="238"/>
      <c r="U697" s="238"/>
      <c r="V697" s="240"/>
      <c r="W697" s="240"/>
      <c r="X697" s="238"/>
      <c r="Y697" s="238"/>
      <c r="Z697" s="238"/>
    </row>
    <row r="698" spans="1:26" ht="12.5">
      <c r="A698" s="238"/>
      <c r="B698" s="238"/>
      <c r="C698" s="238"/>
      <c r="D698" s="238"/>
      <c r="E698" s="238"/>
      <c r="F698" s="238"/>
      <c r="G698" s="238"/>
      <c r="H698" s="238"/>
      <c r="I698" s="238"/>
      <c r="J698" s="238"/>
      <c r="K698" s="237"/>
      <c r="L698" s="238"/>
      <c r="M698" s="238"/>
      <c r="N698" s="238"/>
      <c r="O698" s="238"/>
      <c r="P698" s="238"/>
      <c r="Q698" s="238"/>
      <c r="R698" s="238"/>
      <c r="S698" s="238"/>
      <c r="T698" s="238"/>
      <c r="U698" s="238"/>
      <c r="V698" s="240"/>
      <c r="W698" s="240"/>
      <c r="X698" s="238"/>
      <c r="Y698" s="238"/>
      <c r="Z698" s="238"/>
    </row>
    <row r="699" spans="1:26" ht="12.5">
      <c r="A699" s="238"/>
      <c r="B699" s="238"/>
      <c r="C699" s="238"/>
      <c r="D699" s="238"/>
      <c r="E699" s="238"/>
      <c r="F699" s="238"/>
      <c r="G699" s="238"/>
      <c r="H699" s="238"/>
      <c r="I699" s="238"/>
      <c r="J699" s="238"/>
      <c r="K699" s="237"/>
      <c r="L699" s="238"/>
      <c r="M699" s="238"/>
      <c r="N699" s="238"/>
      <c r="O699" s="238"/>
      <c r="P699" s="238"/>
      <c r="Q699" s="238"/>
      <c r="R699" s="238"/>
      <c r="S699" s="238"/>
      <c r="T699" s="238"/>
      <c r="U699" s="238"/>
      <c r="V699" s="240"/>
      <c r="W699" s="240"/>
      <c r="X699" s="238"/>
      <c r="Y699" s="238"/>
      <c r="Z699" s="238"/>
    </row>
    <row r="700" spans="1:26" ht="12.5">
      <c r="A700" s="238"/>
      <c r="B700" s="238"/>
      <c r="C700" s="238"/>
      <c r="D700" s="238"/>
      <c r="E700" s="238"/>
      <c r="F700" s="238"/>
      <c r="G700" s="238"/>
      <c r="H700" s="238"/>
      <c r="I700" s="238"/>
      <c r="J700" s="238"/>
      <c r="K700" s="237"/>
      <c r="L700" s="238"/>
      <c r="M700" s="238"/>
      <c r="N700" s="238"/>
      <c r="O700" s="238"/>
      <c r="P700" s="238"/>
      <c r="Q700" s="238"/>
      <c r="R700" s="238"/>
      <c r="S700" s="238"/>
      <c r="T700" s="238"/>
      <c r="U700" s="238"/>
      <c r="V700" s="240"/>
      <c r="W700" s="240"/>
      <c r="X700" s="238"/>
      <c r="Y700" s="238"/>
      <c r="Z700" s="238"/>
    </row>
    <row r="701" spans="1:26" ht="12.5">
      <c r="A701" s="238"/>
      <c r="B701" s="238"/>
      <c r="C701" s="238"/>
      <c r="D701" s="238"/>
      <c r="E701" s="238"/>
      <c r="F701" s="238"/>
      <c r="G701" s="238"/>
      <c r="H701" s="238"/>
      <c r="I701" s="238"/>
      <c r="J701" s="238"/>
      <c r="K701" s="237"/>
      <c r="L701" s="238"/>
      <c r="M701" s="238"/>
      <c r="N701" s="238"/>
      <c r="O701" s="238"/>
      <c r="P701" s="238"/>
      <c r="Q701" s="238"/>
      <c r="R701" s="238"/>
      <c r="S701" s="238"/>
      <c r="T701" s="238"/>
      <c r="U701" s="238"/>
      <c r="V701" s="240"/>
      <c r="W701" s="240"/>
      <c r="X701" s="238"/>
      <c r="Y701" s="238"/>
      <c r="Z701" s="238"/>
    </row>
    <row r="702" spans="1:26" ht="12.5">
      <c r="A702" s="238"/>
      <c r="B702" s="238"/>
      <c r="C702" s="238"/>
      <c r="D702" s="238"/>
      <c r="E702" s="238"/>
      <c r="F702" s="238"/>
      <c r="G702" s="238"/>
      <c r="H702" s="238"/>
      <c r="I702" s="238"/>
      <c r="J702" s="238"/>
      <c r="K702" s="237"/>
      <c r="L702" s="238"/>
      <c r="M702" s="238"/>
      <c r="N702" s="238"/>
      <c r="O702" s="238"/>
      <c r="P702" s="238"/>
      <c r="Q702" s="238"/>
      <c r="R702" s="238"/>
      <c r="S702" s="238"/>
      <c r="T702" s="238"/>
      <c r="U702" s="238"/>
      <c r="V702" s="240"/>
      <c r="W702" s="240"/>
      <c r="X702" s="238"/>
      <c r="Y702" s="238"/>
      <c r="Z702" s="238"/>
    </row>
    <row r="703" spans="1:26" ht="12.5">
      <c r="A703" s="238"/>
      <c r="B703" s="238"/>
      <c r="C703" s="238"/>
      <c r="D703" s="238"/>
      <c r="E703" s="238"/>
      <c r="F703" s="238"/>
      <c r="G703" s="238"/>
      <c r="H703" s="238"/>
      <c r="I703" s="238"/>
      <c r="J703" s="238"/>
      <c r="K703" s="237"/>
      <c r="L703" s="238"/>
      <c r="M703" s="238"/>
      <c r="N703" s="238"/>
      <c r="O703" s="238"/>
      <c r="P703" s="238"/>
      <c r="Q703" s="238"/>
      <c r="R703" s="238"/>
      <c r="S703" s="238"/>
      <c r="T703" s="238"/>
      <c r="U703" s="238"/>
      <c r="V703" s="240"/>
      <c r="W703" s="240"/>
      <c r="X703" s="238"/>
      <c r="Y703" s="238"/>
      <c r="Z703" s="238"/>
    </row>
    <row r="704" spans="1:26" ht="12.5">
      <c r="A704" s="238"/>
      <c r="B704" s="238"/>
      <c r="C704" s="238"/>
      <c r="D704" s="238"/>
      <c r="E704" s="238"/>
      <c r="F704" s="238"/>
      <c r="G704" s="238"/>
      <c r="H704" s="238"/>
      <c r="I704" s="238"/>
      <c r="J704" s="238"/>
      <c r="K704" s="237"/>
      <c r="L704" s="238"/>
      <c r="M704" s="238"/>
      <c r="N704" s="238"/>
      <c r="O704" s="238"/>
      <c r="P704" s="238"/>
      <c r="Q704" s="238"/>
      <c r="R704" s="238"/>
      <c r="S704" s="238"/>
      <c r="T704" s="238"/>
      <c r="U704" s="238"/>
      <c r="V704" s="240"/>
      <c r="W704" s="240"/>
      <c r="X704" s="238"/>
      <c r="Y704" s="238"/>
      <c r="Z704" s="238"/>
    </row>
    <row r="705" spans="1:26" ht="12.5">
      <c r="A705" s="238"/>
      <c r="B705" s="238"/>
      <c r="C705" s="238"/>
      <c r="D705" s="238"/>
      <c r="E705" s="238"/>
      <c r="F705" s="238"/>
      <c r="G705" s="238"/>
      <c r="H705" s="238"/>
      <c r="I705" s="238"/>
      <c r="J705" s="238"/>
      <c r="K705" s="237"/>
      <c r="L705" s="238"/>
      <c r="M705" s="238"/>
      <c r="N705" s="238"/>
      <c r="O705" s="238"/>
      <c r="P705" s="238"/>
      <c r="Q705" s="238"/>
      <c r="R705" s="238"/>
      <c r="S705" s="238"/>
      <c r="T705" s="238"/>
      <c r="U705" s="238"/>
      <c r="V705" s="240"/>
      <c r="W705" s="240"/>
      <c r="X705" s="238"/>
      <c r="Y705" s="238"/>
      <c r="Z705" s="238"/>
    </row>
    <row r="706" spans="1:26" ht="12.5">
      <c r="A706" s="238"/>
      <c r="B706" s="238"/>
      <c r="C706" s="238"/>
      <c r="D706" s="238"/>
      <c r="E706" s="238"/>
      <c r="F706" s="238"/>
      <c r="G706" s="238"/>
      <c r="H706" s="238"/>
      <c r="I706" s="238"/>
      <c r="J706" s="238"/>
      <c r="K706" s="237"/>
      <c r="L706" s="238"/>
      <c r="M706" s="238"/>
      <c r="N706" s="238"/>
      <c r="O706" s="238"/>
      <c r="P706" s="238"/>
      <c r="Q706" s="238"/>
      <c r="R706" s="238"/>
      <c r="S706" s="238"/>
      <c r="T706" s="238"/>
      <c r="U706" s="238"/>
      <c r="V706" s="240"/>
      <c r="W706" s="240"/>
      <c r="X706" s="238"/>
      <c r="Y706" s="238"/>
      <c r="Z706" s="238"/>
    </row>
    <row r="707" spans="1:26" ht="12.5">
      <c r="A707" s="238"/>
      <c r="B707" s="238"/>
      <c r="C707" s="238"/>
      <c r="D707" s="238"/>
      <c r="E707" s="238"/>
      <c r="F707" s="238"/>
      <c r="G707" s="238"/>
      <c r="H707" s="238"/>
      <c r="I707" s="238"/>
      <c r="J707" s="238"/>
      <c r="K707" s="237"/>
      <c r="L707" s="238"/>
      <c r="M707" s="238"/>
      <c r="N707" s="238"/>
      <c r="O707" s="238"/>
      <c r="P707" s="238"/>
      <c r="Q707" s="238"/>
      <c r="R707" s="238"/>
      <c r="S707" s="238"/>
      <c r="T707" s="238"/>
      <c r="U707" s="238"/>
      <c r="V707" s="240"/>
      <c r="W707" s="240"/>
      <c r="X707" s="238"/>
      <c r="Y707" s="238"/>
      <c r="Z707" s="238"/>
    </row>
    <row r="708" spans="1:26" ht="12.5">
      <c r="A708" s="238"/>
      <c r="B708" s="238"/>
      <c r="C708" s="238"/>
      <c r="D708" s="238"/>
      <c r="E708" s="238"/>
      <c r="F708" s="238"/>
      <c r="G708" s="238"/>
      <c r="H708" s="238"/>
      <c r="I708" s="238"/>
      <c r="J708" s="238"/>
      <c r="K708" s="237"/>
      <c r="L708" s="238"/>
      <c r="M708" s="238"/>
      <c r="N708" s="238"/>
      <c r="O708" s="238"/>
      <c r="P708" s="238"/>
      <c r="Q708" s="238"/>
      <c r="R708" s="238"/>
      <c r="S708" s="238"/>
      <c r="T708" s="238"/>
      <c r="U708" s="238"/>
      <c r="V708" s="240"/>
      <c r="W708" s="240"/>
      <c r="X708" s="238"/>
      <c r="Y708" s="238"/>
      <c r="Z708" s="238"/>
    </row>
    <row r="709" spans="1:26" ht="12.5">
      <c r="A709" s="238"/>
      <c r="B709" s="238"/>
      <c r="C709" s="238"/>
      <c r="D709" s="238"/>
      <c r="E709" s="238"/>
      <c r="F709" s="238"/>
      <c r="G709" s="238"/>
      <c r="H709" s="238"/>
      <c r="I709" s="238"/>
      <c r="J709" s="238"/>
      <c r="K709" s="237"/>
      <c r="L709" s="238"/>
      <c r="M709" s="238"/>
      <c r="N709" s="238"/>
      <c r="O709" s="238"/>
      <c r="P709" s="238"/>
      <c r="Q709" s="238"/>
      <c r="R709" s="238"/>
      <c r="S709" s="238"/>
      <c r="T709" s="238"/>
      <c r="U709" s="238"/>
      <c r="V709" s="240"/>
      <c r="W709" s="240"/>
      <c r="X709" s="238"/>
      <c r="Y709" s="238"/>
      <c r="Z709" s="238"/>
    </row>
    <row r="710" spans="1:26" ht="12.5">
      <c r="A710" s="238"/>
      <c r="B710" s="238"/>
      <c r="C710" s="238"/>
      <c r="D710" s="238"/>
      <c r="E710" s="238"/>
      <c r="F710" s="238"/>
      <c r="G710" s="238"/>
      <c r="H710" s="238"/>
      <c r="I710" s="238"/>
      <c r="J710" s="238"/>
      <c r="K710" s="237"/>
      <c r="L710" s="238"/>
      <c r="M710" s="238"/>
      <c r="N710" s="238"/>
      <c r="O710" s="238"/>
      <c r="P710" s="238"/>
      <c r="Q710" s="238"/>
      <c r="R710" s="238"/>
      <c r="S710" s="238"/>
      <c r="T710" s="238"/>
      <c r="U710" s="238"/>
      <c r="V710" s="240"/>
      <c r="W710" s="240"/>
      <c r="X710" s="238"/>
      <c r="Y710" s="238"/>
      <c r="Z710" s="238"/>
    </row>
    <row r="711" spans="1:26" ht="12.5">
      <c r="A711" s="238"/>
      <c r="B711" s="238"/>
      <c r="C711" s="238"/>
      <c r="D711" s="238"/>
      <c r="E711" s="238"/>
      <c r="F711" s="238"/>
      <c r="G711" s="238"/>
      <c r="H711" s="238"/>
      <c r="I711" s="238"/>
      <c r="J711" s="238"/>
      <c r="K711" s="237"/>
      <c r="L711" s="238"/>
      <c r="M711" s="238"/>
      <c r="N711" s="238"/>
      <c r="O711" s="238"/>
      <c r="P711" s="238"/>
      <c r="Q711" s="238"/>
      <c r="R711" s="238"/>
      <c r="S711" s="238"/>
      <c r="T711" s="238"/>
      <c r="U711" s="238"/>
      <c r="V711" s="240"/>
      <c r="W711" s="240"/>
      <c r="X711" s="238"/>
      <c r="Y711" s="238"/>
      <c r="Z711" s="238"/>
    </row>
    <row r="712" spans="1:26" ht="12.5">
      <c r="A712" s="238"/>
      <c r="B712" s="238"/>
      <c r="C712" s="238"/>
      <c r="D712" s="238"/>
      <c r="E712" s="238"/>
      <c r="F712" s="238"/>
      <c r="G712" s="238"/>
      <c r="H712" s="238"/>
      <c r="I712" s="238"/>
      <c r="J712" s="238"/>
      <c r="K712" s="237"/>
      <c r="L712" s="238"/>
      <c r="M712" s="238"/>
      <c r="N712" s="238"/>
      <c r="O712" s="238"/>
      <c r="P712" s="238"/>
      <c r="Q712" s="238"/>
      <c r="R712" s="238"/>
      <c r="S712" s="238"/>
      <c r="T712" s="238"/>
      <c r="U712" s="238"/>
      <c r="V712" s="240"/>
      <c r="W712" s="240"/>
      <c r="X712" s="238"/>
      <c r="Y712" s="238"/>
      <c r="Z712" s="238"/>
    </row>
    <row r="713" spans="1:26" ht="12.5">
      <c r="A713" s="238"/>
      <c r="B713" s="238"/>
      <c r="C713" s="238"/>
      <c r="D713" s="238"/>
      <c r="E713" s="238"/>
      <c r="F713" s="238"/>
      <c r="G713" s="238"/>
      <c r="H713" s="238"/>
      <c r="I713" s="238"/>
      <c r="J713" s="238"/>
      <c r="K713" s="237"/>
      <c r="L713" s="238"/>
      <c r="M713" s="238"/>
      <c r="N713" s="238"/>
      <c r="O713" s="238"/>
      <c r="P713" s="238"/>
      <c r="Q713" s="238"/>
      <c r="R713" s="238"/>
      <c r="S713" s="238"/>
      <c r="T713" s="238"/>
      <c r="U713" s="238"/>
      <c r="V713" s="240"/>
      <c r="W713" s="240"/>
      <c r="X713" s="238"/>
      <c r="Y713" s="238"/>
      <c r="Z713" s="238"/>
    </row>
    <row r="714" spans="1:26" ht="12.5">
      <c r="A714" s="238"/>
      <c r="B714" s="238"/>
      <c r="C714" s="238"/>
      <c r="D714" s="238"/>
      <c r="E714" s="238"/>
      <c r="F714" s="238"/>
      <c r="G714" s="238"/>
      <c r="H714" s="238"/>
      <c r="I714" s="238"/>
      <c r="J714" s="238"/>
      <c r="K714" s="237"/>
      <c r="L714" s="238"/>
      <c r="M714" s="238"/>
      <c r="N714" s="238"/>
      <c r="O714" s="238"/>
      <c r="P714" s="238"/>
      <c r="Q714" s="238"/>
      <c r="R714" s="238"/>
      <c r="S714" s="238"/>
      <c r="T714" s="238"/>
      <c r="U714" s="238"/>
      <c r="V714" s="240"/>
      <c r="W714" s="240"/>
      <c r="X714" s="238"/>
      <c r="Y714" s="238"/>
      <c r="Z714" s="238"/>
    </row>
    <row r="715" spans="1:26" ht="12.5">
      <c r="A715" s="238"/>
      <c r="B715" s="238"/>
      <c r="C715" s="238"/>
      <c r="D715" s="238"/>
      <c r="E715" s="238"/>
      <c r="F715" s="238"/>
      <c r="G715" s="238"/>
      <c r="H715" s="238"/>
      <c r="I715" s="238"/>
      <c r="J715" s="238"/>
      <c r="K715" s="237"/>
      <c r="L715" s="238"/>
      <c r="M715" s="238"/>
      <c r="N715" s="238"/>
      <c r="O715" s="238"/>
      <c r="P715" s="238"/>
      <c r="Q715" s="238"/>
      <c r="R715" s="238"/>
      <c r="S715" s="238"/>
      <c r="T715" s="238"/>
      <c r="U715" s="238"/>
      <c r="V715" s="240"/>
      <c r="W715" s="240"/>
      <c r="X715" s="238"/>
      <c r="Y715" s="238"/>
      <c r="Z715" s="238"/>
    </row>
    <row r="716" spans="1:26" ht="12.5">
      <c r="A716" s="238"/>
      <c r="B716" s="238"/>
      <c r="C716" s="238"/>
      <c r="D716" s="238"/>
      <c r="E716" s="238"/>
      <c r="F716" s="238"/>
      <c r="G716" s="238"/>
      <c r="H716" s="238"/>
      <c r="I716" s="238"/>
      <c r="J716" s="238"/>
      <c r="K716" s="237"/>
      <c r="L716" s="238"/>
      <c r="M716" s="238"/>
      <c r="N716" s="238"/>
      <c r="O716" s="238"/>
      <c r="P716" s="238"/>
      <c r="Q716" s="238"/>
      <c r="R716" s="238"/>
      <c r="S716" s="238"/>
      <c r="T716" s="238"/>
      <c r="U716" s="238"/>
      <c r="V716" s="240"/>
      <c r="W716" s="240"/>
      <c r="X716" s="238"/>
      <c r="Y716" s="238"/>
      <c r="Z716" s="238"/>
    </row>
    <row r="717" spans="1:26" ht="12.5">
      <c r="A717" s="238"/>
      <c r="B717" s="238"/>
      <c r="C717" s="238"/>
      <c r="D717" s="238"/>
      <c r="E717" s="238"/>
      <c r="F717" s="238"/>
      <c r="G717" s="238"/>
      <c r="H717" s="238"/>
      <c r="I717" s="238"/>
      <c r="J717" s="238"/>
      <c r="K717" s="237"/>
      <c r="L717" s="238"/>
      <c r="M717" s="238"/>
      <c r="N717" s="238"/>
      <c r="O717" s="238"/>
      <c r="P717" s="238"/>
      <c r="Q717" s="238"/>
      <c r="R717" s="238"/>
      <c r="S717" s="238"/>
      <c r="T717" s="238"/>
      <c r="U717" s="238"/>
      <c r="V717" s="240"/>
      <c r="W717" s="240"/>
      <c r="X717" s="238"/>
      <c r="Y717" s="238"/>
      <c r="Z717" s="238"/>
    </row>
    <row r="718" spans="1:26" ht="12.5">
      <c r="A718" s="238"/>
      <c r="B718" s="238"/>
      <c r="C718" s="238"/>
      <c r="D718" s="238"/>
      <c r="E718" s="238"/>
      <c r="F718" s="238"/>
      <c r="G718" s="238"/>
      <c r="H718" s="238"/>
      <c r="I718" s="238"/>
      <c r="J718" s="238"/>
      <c r="K718" s="237"/>
      <c r="L718" s="238"/>
      <c r="M718" s="238"/>
      <c r="N718" s="238"/>
      <c r="O718" s="238"/>
      <c r="P718" s="238"/>
      <c r="Q718" s="238"/>
      <c r="R718" s="238"/>
      <c r="S718" s="238"/>
      <c r="T718" s="238"/>
      <c r="U718" s="238"/>
      <c r="V718" s="240"/>
      <c r="W718" s="240"/>
      <c r="X718" s="238"/>
      <c r="Y718" s="238"/>
      <c r="Z718" s="238"/>
    </row>
    <row r="719" spans="1:26" ht="12.5">
      <c r="A719" s="238"/>
      <c r="B719" s="238"/>
      <c r="C719" s="238"/>
      <c r="D719" s="238"/>
      <c r="E719" s="238"/>
      <c r="F719" s="238"/>
      <c r="G719" s="238"/>
      <c r="H719" s="238"/>
      <c r="I719" s="238"/>
      <c r="J719" s="238"/>
      <c r="K719" s="237"/>
      <c r="L719" s="238"/>
      <c r="M719" s="238"/>
      <c r="N719" s="238"/>
      <c r="O719" s="238"/>
      <c r="P719" s="238"/>
      <c r="Q719" s="238"/>
      <c r="R719" s="238"/>
      <c r="S719" s="238"/>
      <c r="T719" s="238"/>
      <c r="U719" s="238"/>
      <c r="V719" s="240"/>
      <c r="W719" s="240"/>
      <c r="X719" s="238"/>
      <c r="Y719" s="238"/>
      <c r="Z719" s="238"/>
    </row>
    <row r="720" spans="1:26" ht="12.5">
      <c r="A720" s="238"/>
      <c r="B720" s="238"/>
      <c r="C720" s="238"/>
      <c r="D720" s="238"/>
      <c r="E720" s="238"/>
      <c r="F720" s="238"/>
      <c r="G720" s="238"/>
      <c r="H720" s="238"/>
      <c r="I720" s="238"/>
      <c r="J720" s="238"/>
      <c r="K720" s="237"/>
      <c r="L720" s="238"/>
      <c r="M720" s="238"/>
      <c r="N720" s="238"/>
      <c r="O720" s="238"/>
      <c r="P720" s="238"/>
      <c r="Q720" s="238"/>
      <c r="R720" s="238"/>
      <c r="S720" s="238"/>
      <c r="T720" s="238"/>
      <c r="U720" s="238"/>
      <c r="V720" s="240"/>
      <c r="W720" s="240"/>
      <c r="X720" s="238"/>
      <c r="Y720" s="238"/>
      <c r="Z720" s="238"/>
    </row>
    <row r="721" spans="1:26" ht="12.5">
      <c r="A721" s="238"/>
      <c r="B721" s="238"/>
      <c r="C721" s="238"/>
      <c r="D721" s="238"/>
      <c r="E721" s="238"/>
      <c r="F721" s="238"/>
      <c r="G721" s="238"/>
      <c r="H721" s="238"/>
      <c r="I721" s="238"/>
      <c r="J721" s="238"/>
      <c r="K721" s="237"/>
      <c r="L721" s="238"/>
      <c r="M721" s="238"/>
      <c r="N721" s="238"/>
      <c r="O721" s="238"/>
      <c r="P721" s="238"/>
      <c r="Q721" s="238"/>
      <c r="R721" s="238"/>
      <c r="S721" s="238"/>
      <c r="T721" s="238"/>
      <c r="U721" s="238"/>
      <c r="V721" s="240"/>
      <c r="W721" s="240"/>
      <c r="X721" s="238"/>
      <c r="Y721" s="238"/>
      <c r="Z721" s="238"/>
    </row>
    <row r="722" spans="1:26" ht="12.5">
      <c r="A722" s="238"/>
      <c r="B722" s="238"/>
      <c r="C722" s="238"/>
      <c r="D722" s="238"/>
      <c r="E722" s="238"/>
      <c r="F722" s="238"/>
      <c r="G722" s="238"/>
      <c r="H722" s="238"/>
      <c r="I722" s="238"/>
      <c r="J722" s="238"/>
      <c r="K722" s="237"/>
      <c r="L722" s="238"/>
      <c r="M722" s="238"/>
      <c r="N722" s="238"/>
      <c r="O722" s="238"/>
      <c r="P722" s="238"/>
      <c r="Q722" s="238"/>
      <c r="R722" s="238"/>
      <c r="S722" s="238"/>
      <c r="T722" s="238"/>
      <c r="U722" s="238"/>
      <c r="V722" s="240"/>
      <c r="W722" s="240"/>
      <c r="X722" s="238"/>
      <c r="Y722" s="238"/>
      <c r="Z722" s="238"/>
    </row>
    <row r="723" spans="1:26" ht="12.5">
      <c r="A723" s="238"/>
      <c r="B723" s="238"/>
      <c r="C723" s="238"/>
      <c r="D723" s="238"/>
      <c r="E723" s="238"/>
      <c r="F723" s="238"/>
      <c r="G723" s="238"/>
      <c r="H723" s="238"/>
      <c r="I723" s="238"/>
      <c r="J723" s="238"/>
      <c r="K723" s="237"/>
      <c r="L723" s="238"/>
      <c r="M723" s="238"/>
      <c r="N723" s="238"/>
      <c r="O723" s="238"/>
      <c r="P723" s="238"/>
      <c r="Q723" s="238"/>
      <c r="R723" s="238"/>
      <c r="S723" s="238"/>
      <c r="T723" s="238"/>
      <c r="U723" s="238"/>
      <c r="V723" s="240"/>
      <c r="W723" s="240"/>
      <c r="X723" s="238"/>
      <c r="Y723" s="238"/>
      <c r="Z723" s="238"/>
    </row>
    <row r="724" spans="1:26" ht="12.5">
      <c r="A724" s="238"/>
      <c r="B724" s="238"/>
      <c r="C724" s="238"/>
      <c r="D724" s="238"/>
      <c r="E724" s="238"/>
      <c r="F724" s="238"/>
      <c r="G724" s="238"/>
      <c r="H724" s="238"/>
      <c r="I724" s="238"/>
      <c r="J724" s="238"/>
      <c r="K724" s="237"/>
      <c r="L724" s="238"/>
      <c r="M724" s="238"/>
      <c r="N724" s="238"/>
      <c r="O724" s="238"/>
      <c r="P724" s="238"/>
      <c r="Q724" s="238"/>
      <c r="R724" s="238"/>
      <c r="S724" s="238"/>
      <c r="T724" s="238"/>
      <c r="U724" s="238"/>
      <c r="V724" s="240"/>
      <c r="W724" s="240"/>
      <c r="X724" s="238"/>
      <c r="Y724" s="238"/>
      <c r="Z724" s="238"/>
    </row>
    <row r="725" spans="1:26" ht="12.5">
      <c r="A725" s="238"/>
      <c r="B725" s="238"/>
      <c r="C725" s="238"/>
      <c r="D725" s="238"/>
      <c r="E725" s="238"/>
      <c r="F725" s="238"/>
      <c r="G725" s="238"/>
      <c r="H725" s="238"/>
      <c r="I725" s="238"/>
      <c r="J725" s="238"/>
      <c r="K725" s="237"/>
      <c r="L725" s="238"/>
      <c r="M725" s="238"/>
      <c r="N725" s="238"/>
      <c r="O725" s="238"/>
      <c r="P725" s="238"/>
      <c r="Q725" s="238"/>
      <c r="R725" s="238"/>
      <c r="S725" s="238"/>
      <c r="T725" s="238"/>
      <c r="U725" s="238"/>
      <c r="V725" s="240"/>
      <c r="W725" s="240"/>
      <c r="X725" s="238"/>
      <c r="Y725" s="238"/>
      <c r="Z725" s="238"/>
    </row>
    <row r="726" spans="1:26" ht="12.5">
      <c r="A726" s="238"/>
      <c r="B726" s="238"/>
      <c r="C726" s="238"/>
      <c r="D726" s="238"/>
      <c r="E726" s="238"/>
      <c r="F726" s="238"/>
      <c r="G726" s="238"/>
      <c r="H726" s="238"/>
      <c r="I726" s="238"/>
      <c r="J726" s="238"/>
      <c r="K726" s="237"/>
      <c r="L726" s="238"/>
      <c r="M726" s="238"/>
      <c r="N726" s="238"/>
      <c r="O726" s="238"/>
      <c r="P726" s="238"/>
      <c r="Q726" s="238"/>
      <c r="R726" s="238"/>
      <c r="S726" s="238"/>
      <c r="T726" s="238"/>
      <c r="U726" s="238"/>
      <c r="V726" s="240"/>
      <c r="W726" s="240"/>
      <c r="X726" s="238"/>
      <c r="Y726" s="238"/>
      <c r="Z726" s="238"/>
    </row>
    <row r="727" spans="1:26" ht="12.5">
      <c r="A727" s="238"/>
      <c r="B727" s="238"/>
      <c r="C727" s="238"/>
      <c r="D727" s="238"/>
      <c r="E727" s="238"/>
      <c r="F727" s="238"/>
      <c r="G727" s="238"/>
      <c r="H727" s="238"/>
      <c r="I727" s="238"/>
      <c r="J727" s="238"/>
      <c r="K727" s="237"/>
      <c r="L727" s="238"/>
      <c r="M727" s="238"/>
      <c r="N727" s="238"/>
      <c r="O727" s="238"/>
      <c r="P727" s="238"/>
      <c r="Q727" s="238"/>
      <c r="R727" s="238"/>
      <c r="S727" s="238"/>
      <c r="T727" s="238"/>
      <c r="U727" s="238"/>
      <c r="V727" s="240"/>
      <c r="W727" s="240"/>
      <c r="X727" s="238"/>
      <c r="Y727" s="238"/>
      <c r="Z727" s="238"/>
    </row>
    <row r="728" spans="1:26" ht="12.5">
      <c r="A728" s="238"/>
      <c r="B728" s="238"/>
      <c r="C728" s="238"/>
      <c r="D728" s="238"/>
      <c r="E728" s="238"/>
      <c r="F728" s="238"/>
      <c r="G728" s="238"/>
      <c r="H728" s="238"/>
      <c r="I728" s="238"/>
      <c r="J728" s="238"/>
      <c r="K728" s="237"/>
      <c r="L728" s="238"/>
      <c r="M728" s="238"/>
      <c r="N728" s="238"/>
      <c r="O728" s="238"/>
      <c r="P728" s="238"/>
      <c r="Q728" s="238"/>
      <c r="R728" s="238"/>
      <c r="S728" s="238"/>
      <c r="T728" s="238"/>
      <c r="U728" s="238"/>
      <c r="V728" s="240"/>
      <c r="W728" s="240"/>
      <c r="X728" s="238"/>
      <c r="Y728" s="238"/>
      <c r="Z728" s="238"/>
    </row>
    <row r="729" spans="1:26" ht="12.5">
      <c r="A729" s="238"/>
      <c r="B729" s="238"/>
      <c r="C729" s="238"/>
      <c r="D729" s="238"/>
      <c r="E729" s="238"/>
      <c r="F729" s="238"/>
      <c r="G729" s="238"/>
      <c r="H729" s="238"/>
      <c r="I729" s="238"/>
      <c r="J729" s="238"/>
      <c r="K729" s="237"/>
      <c r="L729" s="238"/>
      <c r="M729" s="238"/>
      <c r="N729" s="238"/>
      <c r="O729" s="238"/>
      <c r="P729" s="238"/>
      <c r="Q729" s="238"/>
      <c r="R729" s="238"/>
      <c r="S729" s="238"/>
      <c r="T729" s="238"/>
      <c r="U729" s="238"/>
      <c r="V729" s="240"/>
      <c r="W729" s="240"/>
      <c r="X729" s="238"/>
      <c r="Y729" s="238"/>
      <c r="Z729" s="238"/>
    </row>
    <row r="730" spans="1:26" ht="12.5">
      <c r="A730" s="238"/>
      <c r="B730" s="238"/>
      <c r="C730" s="238"/>
      <c r="D730" s="238"/>
      <c r="E730" s="238"/>
      <c r="F730" s="238"/>
      <c r="G730" s="238"/>
      <c r="H730" s="238"/>
      <c r="I730" s="238"/>
      <c r="J730" s="238"/>
      <c r="K730" s="237"/>
      <c r="L730" s="238"/>
      <c r="M730" s="238"/>
      <c r="N730" s="238"/>
      <c r="O730" s="238"/>
      <c r="P730" s="238"/>
      <c r="Q730" s="238"/>
      <c r="R730" s="238"/>
      <c r="S730" s="238"/>
      <c r="T730" s="238"/>
      <c r="U730" s="238"/>
      <c r="V730" s="240"/>
      <c r="W730" s="240"/>
      <c r="X730" s="238"/>
      <c r="Y730" s="238"/>
      <c r="Z730" s="238"/>
    </row>
    <row r="731" spans="1:26" ht="12.5">
      <c r="A731" s="238"/>
      <c r="B731" s="238"/>
      <c r="C731" s="238"/>
      <c r="D731" s="238"/>
      <c r="E731" s="238"/>
      <c r="F731" s="238"/>
      <c r="G731" s="238"/>
      <c r="H731" s="238"/>
      <c r="I731" s="238"/>
      <c r="J731" s="238"/>
      <c r="K731" s="237"/>
      <c r="L731" s="238"/>
      <c r="M731" s="238"/>
      <c r="N731" s="238"/>
      <c r="O731" s="238"/>
      <c r="P731" s="238"/>
      <c r="Q731" s="238"/>
      <c r="R731" s="238"/>
      <c r="S731" s="238"/>
      <c r="T731" s="238"/>
      <c r="U731" s="238"/>
      <c r="V731" s="240"/>
      <c r="W731" s="240"/>
      <c r="X731" s="238"/>
      <c r="Y731" s="238"/>
      <c r="Z731" s="238"/>
    </row>
    <row r="732" spans="1:26" ht="12.5">
      <c r="A732" s="238"/>
      <c r="B732" s="238"/>
      <c r="C732" s="238"/>
      <c r="D732" s="238"/>
      <c r="E732" s="238"/>
      <c r="F732" s="238"/>
      <c r="G732" s="238"/>
      <c r="H732" s="238"/>
      <c r="I732" s="238"/>
      <c r="J732" s="238"/>
      <c r="K732" s="237"/>
      <c r="L732" s="238"/>
      <c r="M732" s="238"/>
      <c r="N732" s="238"/>
      <c r="O732" s="238"/>
      <c r="P732" s="238"/>
      <c r="Q732" s="238"/>
      <c r="R732" s="238"/>
      <c r="S732" s="238"/>
      <c r="T732" s="238"/>
      <c r="U732" s="238"/>
      <c r="V732" s="240"/>
      <c r="W732" s="240"/>
      <c r="X732" s="238"/>
      <c r="Y732" s="238"/>
      <c r="Z732" s="238"/>
    </row>
    <row r="733" spans="1:26" ht="12.5">
      <c r="A733" s="238"/>
      <c r="B733" s="238"/>
      <c r="C733" s="238"/>
      <c r="D733" s="238"/>
      <c r="E733" s="238"/>
      <c r="F733" s="238"/>
      <c r="G733" s="238"/>
      <c r="H733" s="238"/>
      <c r="I733" s="238"/>
      <c r="J733" s="238"/>
      <c r="K733" s="237"/>
      <c r="L733" s="238"/>
      <c r="M733" s="238"/>
      <c r="N733" s="238"/>
      <c r="O733" s="238"/>
      <c r="P733" s="238"/>
      <c r="Q733" s="238"/>
      <c r="R733" s="238"/>
      <c r="S733" s="238"/>
      <c r="T733" s="238"/>
      <c r="U733" s="238"/>
      <c r="V733" s="240"/>
      <c r="W733" s="240"/>
      <c r="X733" s="238"/>
      <c r="Y733" s="238"/>
      <c r="Z733" s="238"/>
    </row>
    <row r="734" spans="1:26" ht="12.5">
      <c r="A734" s="238"/>
      <c r="B734" s="238"/>
      <c r="C734" s="238"/>
      <c r="D734" s="238"/>
      <c r="E734" s="238"/>
      <c r="F734" s="238"/>
      <c r="G734" s="238"/>
      <c r="H734" s="238"/>
      <c r="I734" s="238"/>
      <c r="J734" s="238"/>
      <c r="K734" s="237"/>
      <c r="L734" s="238"/>
      <c r="M734" s="238"/>
      <c r="N734" s="238"/>
      <c r="O734" s="238"/>
      <c r="P734" s="238"/>
      <c r="Q734" s="238"/>
      <c r="R734" s="238"/>
      <c r="S734" s="238"/>
      <c r="T734" s="238"/>
      <c r="U734" s="238"/>
      <c r="V734" s="240"/>
      <c r="W734" s="240"/>
      <c r="X734" s="238"/>
      <c r="Y734" s="238"/>
      <c r="Z734" s="238"/>
    </row>
    <row r="735" spans="1:26" ht="12.5">
      <c r="A735" s="238"/>
      <c r="B735" s="238"/>
      <c r="C735" s="238"/>
      <c r="D735" s="238"/>
      <c r="E735" s="238"/>
      <c r="F735" s="238"/>
      <c r="G735" s="238"/>
      <c r="H735" s="238"/>
      <c r="I735" s="238"/>
      <c r="J735" s="238"/>
      <c r="K735" s="237"/>
      <c r="L735" s="238"/>
      <c r="M735" s="238"/>
      <c r="N735" s="238"/>
      <c r="O735" s="238"/>
      <c r="P735" s="238"/>
      <c r="Q735" s="238"/>
      <c r="R735" s="238"/>
      <c r="S735" s="238"/>
      <c r="T735" s="238"/>
      <c r="U735" s="238"/>
      <c r="V735" s="240"/>
      <c r="W735" s="240"/>
      <c r="X735" s="238"/>
      <c r="Y735" s="238"/>
      <c r="Z735" s="238"/>
    </row>
    <row r="736" spans="1:26" ht="12.5">
      <c r="A736" s="238"/>
      <c r="B736" s="238"/>
      <c r="C736" s="238"/>
      <c r="D736" s="238"/>
      <c r="E736" s="238"/>
      <c r="F736" s="238"/>
      <c r="G736" s="238"/>
      <c r="H736" s="238"/>
      <c r="I736" s="238"/>
      <c r="J736" s="238"/>
      <c r="K736" s="237"/>
      <c r="L736" s="238"/>
      <c r="M736" s="238"/>
      <c r="N736" s="238"/>
      <c r="O736" s="238"/>
      <c r="P736" s="238"/>
      <c r="Q736" s="238"/>
      <c r="R736" s="238"/>
      <c r="S736" s="238"/>
      <c r="T736" s="238"/>
      <c r="U736" s="238"/>
      <c r="V736" s="240"/>
      <c r="W736" s="240"/>
      <c r="X736" s="238"/>
      <c r="Y736" s="238"/>
      <c r="Z736" s="238"/>
    </row>
    <row r="737" spans="1:26" ht="12.5">
      <c r="A737" s="238"/>
      <c r="B737" s="238"/>
      <c r="C737" s="238"/>
      <c r="D737" s="238"/>
      <c r="E737" s="238"/>
      <c r="F737" s="238"/>
      <c r="G737" s="238"/>
      <c r="H737" s="238"/>
      <c r="I737" s="238"/>
      <c r="J737" s="238"/>
      <c r="K737" s="237"/>
      <c r="L737" s="238"/>
      <c r="M737" s="238"/>
      <c r="N737" s="238"/>
      <c r="O737" s="238"/>
      <c r="P737" s="238"/>
      <c r="Q737" s="238"/>
      <c r="R737" s="238"/>
      <c r="S737" s="238"/>
      <c r="T737" s="238"/>
      <c r="U737" s="238"/>
      <c r="V737" s="240"/>
      <c r="W737" s="240"/>
      <c r="X737" s="238"/>
      <c r="Y737" s="238"/>
      <c r="Z737" s="238"/>
    </row>
    <row r="738" spans="1:26" ht="12.5">
      <c r="A738" s="238"/>
      <c r="B738" s="238"/>
      <c r="C738" s="238"/>
      <c r="D738" s="238"/>
      <c r="E738" s="238"/>
      <c r="F738" s="238"/>
      <c r="G738" s="238"/>
      <c r="H738" s="238"/>
      <c r="I738" s="238"/>
      <c r="J738" s="238"/>
      <c r="K738" s="237"/>
      <c r="L738" s="238"/>
      <c r="M738" s="238"/>
      <c r="N738" s="238"/>
      <c r="O738" s="238"/>
      <c r="P738" s="238"/>
      <c r="Q738" s="238"/>
      <c r="R738" s="238"/>
      <c r="S738" s="238"/>
      <c r="T738" s="238"/>
      <c r="U738" s="238"/>
      <c r="V738" s="240"/>
      <c r="W738" s="240"/>
      <c r="X738" s="238"/>
      <c r="Y738" s="238"/>
      <c r="Z738" s="238"/>
    </row>
    <row r="739" spans="1:26" ht="12.5">
      <c r="A739" s="238"/>
      <c r="B739" s="238"/>
      <c r="C739" s="238"/>
      <c r="D739" s="238"/>
      <c r="E739" s="238"/>
      <c r="F739" s="238"/>
      <c r="G739" s="238"/>
      <c r="H739" s="238"/>
      <c r="I739" s="238"/>
      <c r="J739" s="238"/>
      <c r="K739" s="237"/>
      <c r="L739" s="238"/>
      <c r="M739" s="238"/>
      <c r="N739" s="238"/>
      <c r="O739" s="238"/>
      <c r="P739" s="238"/>
      <c r="Q739" s="238"/>
      <c r="R739" s="238"/>
      <c r="S739" s="238"/>
      <c r="T739" s="238"/>
      <c r="U739" s="238"/>
      <c r="V739" s="240"/>
      <c r="W739" s="240"/>
      <c r="X739" s="238"/>
      <c r="Y739" s="238"/>
      <c r="Z739" s="238"/>
    </row>
    <row r="740" spans="1:26" ht="12.5">
      <c r="A740" s="238"/>
      <c r="B740" s="238"/>
      <c r="C740" s="238"/>
      <c r="D740" s="238"/>
      <c r="E740" s="238"/>
      <c r="F740" s="238"/>
      <c r="G740" s="238"/>
      <c r="H740" s="238"/>
      <c r="I740" s="238"/>
      <c r="J740" s="238"/>
      <c r="K740" s="237"/>
      <c r="L740" s="238"/>
      <c r="M740" s="238"/>
      <c r="N740" s="238"/>
      <c r="O740" s="238"/>
      <c r="P740" s="238"/>
      <c r="Q740" s="238"/>
      <c r="R740" s="238"/>
      <c r="S740" s="238"/>
      <c r="T740" s="238"/>
      <c r="U740" s="238"/>
      <c r="V740" s="240"/>
      <c r="W740" s="240"/>
      <c r="X740" s="238"/>
      <c r="Y740" s="238"/>
      <c r="Z740" s="238"/>
    </row>
    <row r="741" spans="1:26" ht="12.5">
      <c r="A741" s="238"/>
      <c r="B741" s="238"/>
      <c r="C741" s="238"/>
      <c r="D741" s="238"/>
      <c r="E741" s="238"/>
      <c r="F741" s="238"/>
      <c r="G741" s="238"/>
      <c r="H741" s="238"/>
      <c r="I741" s="238"/>
      <c r="J741" s="238"/>
      <c r="K741" s="237"/>
      <c r="L741" s="238"/>
      <c r="M741" s="238"/>
      <c r="N741" s="238"/>
      <c r="O741" s="238"/>
      <c r="P741" s="238"/>
      <c r="Q741" s="238"/>
      <c r="R741" s="238"/>
      <c r="S741" s="238"/>
      <c r="T741" s="238"/>
      <c r="U741" s="238"/>
      <c r="V741" s="240"/>
      <c r="W741" s="240"/>
      <c r="X741" s="238"/>
      <c r="Y741" s="238"/>
      <c r="Z741" s="238"/>
    </row>
    <row r="742" spans="1:26" ht="12.5">
      <c r="A742" s="238"/>
      <c r="B742" s="238"/>
      <c r="C742" s="238"/>
      <c r="D742" s="238"/>
      <c r="E742" s="238"/>
      <c r="F742" s="238"/>
      <c r="G742" s="238"/>
      <c r="H742" s="238"/>
      <c r="I742" s="238"/>
      <c r="J742" s="238"/>
      <c r="K742" s="237"/>
      <c r="L742" s="238"/>
      <c r="M742" s="238"/>
      <c r="N742" s="238"/>
      <c r="O742" s="238"/>
      <c r="P742" s="238"/>
      <c r="Q742" s="238"/>
      <c r="R742" s="238"/>
      <c r="S742" s="238"/>
      <c r="T742" s="238"/>
      <c r="U742" s="238"/>
      <c r="V742" s="240"/>
      <c r="W742" s="240"/>
      <c r="X742" s="238"/>
      <c r="Y742" s="238"/>
      <c r="Z742" s="238"/>
    </row>
    <row r="743" spans="1:26" ht="12.5">
      <c r="A743" s="238"/>
      <c r="B743" s="238"/>
      <c r="C743" s="238"/>
      <c r="D743" s="238"/>
      <c r="E743" s="238"/>
      <c r="F743" s="238"/>
      <c r="G743" s="238"/>
      <c r="H743" s="238"/>
      <c r="I743" s="238"/>
      <c r="J743" s="238"/>
      <c r="K743" s="237"/>
      <c r="L743" s="238"/>
      <c r="M743" s="238"/>
      <c r="N743" s="238"/>
      <c r="O743" s="238"/>
      <c r="P743" s="238"/>
      <c r="Q743" s="238"/>
      <c r="R743" s="238"/>
      <c r="S743" s="238"/>
      <c r="T743" s="238"/>
      <c r="U743" s="238"/>
      <c r="V743" s="240"/>
      <c r="W743" s="240"/>
      <c r="X743" s="238"/>
      <c r="Y743" s="238"/>
      <c r="Z743" s="238"/>
    </row>
    <row r="744" spans="1:26" ht="12.5">
      <c r="A744" s="238"/>
      <c r="B744" s="238"/>
      <c r="C744" s="238"/>
      <c r="D744" s="238"/>
      <c r="E744" s="238"/>
      <c r="F744" s="238"/>
      <c r="G744" s="238"/>
      <c r="H744" s="238"/>
      <c r="I744" s="238"/>
      <c r="J744" s="238"/>
      <c r="K744" s="237"/>
      <c r="L744" s="238"/>
      <c r="M744" s="238"/>
      <c r="N744" s="238"/>
      <c r="O744" s="238"/>
      <c r="P744" s="238"/>
      <c r="Q744" s="238"/>
      <c r="R744" s="238"/>
      <c r="S744" s="238"/>
      <c r="T744" s="238"/>
      <c r="U744" s="238"/>
      <c r="V744" s="240"/>
      <c r="W744" s="240"/>
      <c r="X744" s="238"/>
      <c r="Y744" s="238"/>
      <c r="Z744" s="238"/>
    </row>
    <row r="745" spans="1:26" ht="12.5">
      <c r="A745" s="238"/>
      <c r="B745" s="238"/>
      <c r="C745" s="238"/>
      <c r="D745" s="238"/>
      <c r="E745" s="238"/>
      <c r="F745" s="238"/>
      <c r="G745" s="238"/>
      <c r="H745" s="238"/>
      <c r="I745" s="238"/>
      <c r="J745" s="238"/>
      <c r="K745" s="237"/>
      <c r="L745" s="238"/>
      <c r="M745" s="238"/>
      <c r="N745" s="238"/>
      <c r="O745" s="238"/>
      <c r="P745" s="238"/>
      <c r="Q745" s="238"/>
      <c r="R745" s="238"/>
      <c r="S745" s="238"/>
      <c r="T745" s="238"/>
      <c r="U745" s="238"/>
      <c r="V745" s="240"/>
      <c r="W745" s="240"/>
      <c r="X745" s="238"/>
      <c r="Y745" s="238"/>
      <c r="Z745" s="238"/>
    </row>
    <row r="746" spans="1:26" ht="12.5">
      <c r="A746" s="238"/>
      <c r="B746" s="238"/>
      <c r="C746" s="238"/>
      <c r="D746" s="238"/>
      <c r="E746" s="238"/>
      <c r="F746" s="238"/>
      <c r="G746" s="238"/>
      <c r="H746" s="238"/>
      <c r="I746" s="238"/>
      <c r="J746" s="238"/>
      <c r="K746" s="237"/>
      <c r="L746" s="238"/>
      <c r="M746" s="238"/>
      <c r="N746" s="238"/>
      <c r="O746" s="238"/>
      <c r="P746" s="238"/>
      <c r="Q746" s="238"/>
      <c r="R746" s="238"/>
      <c r="S746" s="238"/>
      <c r="T746" s="238"/>
      <c r="U746" s="238"/>
      <c r="V746" s="240"/>
      <c r="W746" s="240"/>
      <c r="X746" s="238"/>
      <c r="Y746" s="238"/>
      <c r="Z746" s="238"/>
    </row>
    <row r="747" spans="1:26" ht="12.5">
      <c r="A747" s="238"/>
      <c r="B747" s="238"/>
      <c r="C747" s="238"/>
      <c r="D747" s="238"/>
      <c r="E747" s="238"/>
      <c r="F747" s="238"/>
      <c r="G747" s="238"/>
      <c r="H747" s="238"/>
      <c r="I747" s="238"/>
      <c r="J747" s="238"/>
      <c r="K747" s="237"/>
      <c r="L747" s="238"/>
      <c r="M747" s="238"/>
      <c r="N747" s="238"/>
      <c r="O747" s="238"/>
      <c r="P747" s="238"/>
      <c r="Q747" s="238"/>
      <c r="R747" s="238"/>
      <c r="S747" s="238"/>
      <c r="T747" s="238"/>
      <c r="U747" s="238"/>
      <c r="V747" s="240"/>
      <c r="W747" s="240"/>
      <c r="X747" s="238"/>
      <c r="Y747" s="238"/>
      <c r="Z747" s="238"/>
    </row>
    <row r="748" spans="1:26" ht="12.5">
      <c r="A748" s="238"/>
      <c r="B748" s="238"/>
      <c r="C748" s="238"/>
      <c r="D748" s="238"/>
      <c r="E748" s="238"/>
      <c r="F748" s="238"/>
      <c r="G748" s="238"/>
      <c r="H748" s="238"/>
      <c r="I748" s="238"/>
      <c r="J748" s="238"/>
      <c r="K748" s="237"/>
      <c r="L748" s="238"/>
      <c r="M748" s="238"/>
      <c r="N748" s="238"/>
      <c r="O748" s="238"/>
      <c r="P748" s="238"/>
      <c r="Q748" s="238"/>
      <c r="R748" s="238"/>
      <c r="S748" s="238"/>
      <c r="T748" s="238"/>
      <c r="U748" s="238"/>
      <c r="V748" s="240"/>
      <c r="W748" s="240"/>
      <c r="X748" s="238"/>
      <c r="Y748" s="238"/>
      <c r="Z748" s="238"/>
    </row>
    <row r="749" spans="1:26" ht="12.5">
      <c r="A749" s="238"/>
      <c r="B749" s="238"/>
      <c r="C749" s="238"/>
      <c r="D749" s="238"/>
      <c r="E749" s="238"/>
      <c r="F749" s="238"/>
      <c r="G749" s="238"/>
      <c r="H749" s="238"/>
      <c r="I749" s="238"/>
      <c r="J749" s="238"/>
      <c r="K749" s="237"/>
      <c r="L749" s="238"/>
      <c r="M749" s="238"/>
      <c r="N749" s="238"/>
      <c r="O749" s="238"/>
      <c r="P749" s="238"/>
      <c r="Q749" s="238"/>
      <c r="R749" s="238"/>
      <c r="S749" s="238"/>
      <c r="T749" s="238"/>
      <c r="U749" s="238"/>
      <c r="V749" s="240"/>
      <c r="W749" s="240"/>
      <c r="X749" s="238"/>
      <c r="Y749" s="238"/>
      <c r="Z749" s="238"/>
    </row>
    <row r="750" spans="1:26" ht="12.5">
      <c r="A750" s="238"/>
      <c r="B750" s="238"/>
      <c r="C750" s="238"/>
      <c r="D750" s="238"/>
      <c r="E750" s="238"/>
      <c r="F750" s="238"/>
      <c r="G750" s="238"/>
      <c r="H750" s="238"/>
      <c r="I750" s="238"/>
      <c r="J750" s="238"/>
      <c r="K750" s="237"/>
      <c r="L750" s="238"/>
      <c r="M750" s="238"/>
      <c r="N750" s="238"/>
      <c r="O750" s="238"/>
      <c r="P750" s="238"/>
      <c r="Q750" s="238"/>
      <c r="R750" s="238"/>
      <c r="S750" s="238"/>
      <c r="T750" s="238"/>
      <c r="U750" s="238"/>
      <c r="V750" s="240"/>
      <c r="W750" s="240"/>
      <c r="X750" s="238"/>
      <c r="Y750" s="238"/>
      <c r="Z750" s="238"/>
    </row>
    <row r="751" spans="1:26" ht="12.5">
      <c r="A751" s="238"/>
      <c r="B751" s="238"/>
      <c r="C751" s="238"/>
      <c r="D751" s="238"/>
      <c r="E751" s="238"/>
      <c r="F751" s="238"/>
      <c r="G751" s="238"/>
      <c r="H751" s="238"/>
      <c r="I751" s="238"/>
      <c r="J751" s="238"/>
      <c r="K751" s="237"/>
      <c r="L751" s="238"/>
      <c r="M751" s="238"/>
      <c r="N751" s="238"/>
      <c r="O751" s="238"/>
      <c r="P751" s="238"/>
      <c r="Q751" s="238"/>
      <c r="R751" s="238"/>
      <c r="S751" s="238"/>
      <c r="T751" s="238"/>
      <c r="U751" s="238"/>
      <c r="V751" s="240"/>
      <c r="W751" s="240"/>
      <c r="X751" s="238"/>
      <c r="Y751" s="238"/>
      <c r="Z751" s="238"/>
    </row>
    <row r="752" spans="1:26" ht="12.5">
      <c r="A752" s="238"/>
      <c r="B752" s="238"/>
      <c r="C752" s="238"/>
      <c r="D752" s="238"/>
      <c r="E752" s="238"/>
      <c r="F752" s="238"/>
      <c r="G752" s="238"/>
      <c r="H752" s="238"/>
      <c r="I752" s="238"/>
      <c r="J752" s="238"/>
      <c r="K752" s="237"/>
      <c r="L752" s="238"/>
      <c r="M752" s="238"/>
      <c r="N752" s="238"/>
      <c r="O752" s="238"/>
      <c r="P752" s="238"/>
      <c r="Q752" s="238"/>
      <c r="R752" s="238"/>
      <c r="S752" s="238"/>
      <c r="T752" s="238"/>
      <c r="U752" s="238"/>
      <c r="V752" s="240"/>
      <c r="W752" s="240"/>
      <c r="X752" s="238"/>
      <c r="Y752" s="238"/>
      <c r="Z752" s="238"/>
    </row>
    <row r="753" spans="1:26" ht="12.5">
      <c r="A753" s="238"/>
      <c r="B753" s="238"/>
      <c r="C753" s="238"/>
      <c r="D753" s="238"/>
      <c r="E753" s="238"/>
      <c r="F753" s="238"/>
      <c r="G753" s="238"/>
      <c r="H753" s="238"/>
      <c r="I753" s="238"/>
      <c r="J753" s="238"/>
      <c r="K753" s="237"/>
      <c r="L753" s="238"/>
      <c r="M753" s="238"/>
      <c r="N753" s="238"/>
      <c r="O753" s="238"/>
      <c r="P753" s="238"/>
      <c r="Q753" s="238"/>
      <c r="R753" s="238"/>
      <c r="S753" s="238"/>
      <c r="T753" s="238"/>
      <c r="U753" s="238"/>
      <c r="V753" s="240"/>
      <c r="W753" s="240"/>
      <c r="X753" s="238"/>
      <c r="Y753" s="238"/>
      <c r="Z753" s="238"/>
    </row>
    <row r="754" spans="1:26" ht="12.5">
      <c r="A754" s="238"/>
      <c r="B754" s="238"/>
      <c r="C754" s="238"/>
      <c r="D754" s="238"/>
      <c r="E754" s="238"/>
      <c r="F754" s="238"/>
      <c r="G754" s="238"/>
      <c r="H754" s="238"/>
      <c r="I754" s="238"/>
      <c r="J754" s="238"/>
      <c r="K754" s="237"/>
      <c r="L754" s="238"/>
      <c r="M754" s="238"/>
      <c r="N754" s="238"/>
      <c r="O754" s="238"/>
      <c r="P754" s="238"/>
      <c r="Q754" s="238"/>
      <c r="R754" s="238"/>
      <c r="S754" s="238"/>
      <c r="T754" s="238"/>
      <c r="U754" s="238"/>
      <c r="V754" s="240"/>
      <c r="W754" s="240"/>
      <c r="X754" s="238"/>
      <c r="Y754" s="238"/>
      <c r="Z754" s="238"/>
    </row>
    <row r="755" spans="1:26" ht="12.5">
      <c r="A755" s="238"/>
      <c r="B755" s="238"/>
      <c r="C755" s="238"/>
      <c r="D755" s="238"/>
      <c r="E755" s="238"/>
      <c r="F755" s="238"/>
      <c r="G755" s="238"/>
      <c r="H755" s="238"/>
      <c r="I755" s="238"/>
      <c r="J755" s="238"/>
      <c r="K755" s="237"/>
      <c r="L755" s="238"/>
      <c r="M755" s="238"/>
      <c r="N755" s="238"/>
      <c r="O755" s="238"/>
      <c r="P755" s="238"/>
      <c r="Q755" s="238"/>
      <c r="R755" s="238"/>
      <c r="S755" s="238"/>
      <c r="T755" s="238"/>
      <c r="U755" s="238"/>
      <c r="V755" s="240"/>
      <c r="W755" s="240"/>
      <c r="X755" s="238"/>
      <c r="Y755" s="238"/>
      <c r="Z755" s="238"/>
    </row>
    <row r="756" spans="1:26" ht="12.5">
      <c r="A756" s="238"/>
      <c r="B756" s="238"/>
      <c r="C756" s="238"/>
      <c r="D756" s="238"/>
      <c r="E756" s="238"/>
      <c r="F756" s="238"/>
      <c r="G756" s="238"/>
      <c r="H756" s="238"/>
      <c r="I756" s="238"/>
      <c r="J756" s="238"/>
      <c r="K756" s="237"/>
      <c r="L756" s="238"/>
      <c r="M756" s="238"/>
      <c r="N756" s="238"/>
      <c r="O756" s="238"/>
      <c r="P756" s="238"/>
      <c r="Q756" s="238"/>
      <c r="R756" s="238"/>
      <c r="S756" s="238"/>
      <c r="T756" s="238"/>
      <c r="U756" s="238"/>
      <c r="V756" s="240"/>
      <c r="W756" s="240"/>
      <c r="X756" s="238"/>
      <c r="Y756" s="238"/>
      <c r="Z756" s="238"/>
    </row>
    <row r="757" spans="1:26" ht="12.5">
      <c r="A757" s="238"/>
      <c r="B757" s="238"/>
      <c r="C757" s="238"/>
      <c r="D757" s="238"/>
      <c r="E757" s="238"/>
      <c r="F757" s="238"/>
      <c r="G757" s="238"/>
      <c r="H757" s="238"/>
      <c r="I757" s="238"/>
      <c r="J757" s="238"/>
      <c r="K757" s="237"/>
      <c r="L757" s="238"/>
      <c r="M757" s="238"/>
      <c r="N757" s="238"/>
      <c r="O757" s="238"/>
      <c r="P757" s="238"/>
      <c r="Q757" s="238"/>
      <c r="R757" s="238"/>
      <c r="S757" s="238"/>
      <c r="T757" s="238"/>
      <c r="U757" s="238"/>
      <c r="V757" s="240"/>
      <c r="W757" s="240"/>
      <c r="X757" s="238"/>
      <c r="Y757" s="238"/>
      <c r="Z757" s="238"/>
    </row>
    <row r="758" spans="1:26" ht="12.5">
      <c r="A758" s="238"/>
      <c r="B758" s="238"/>
      <c r="C758" s="238"/>
      <c r="D758" s="238"/>
      <c r="E758" s="238"/>
      <c r="F758" s="238"/>
      <c r="G758" s="238"/>
      <c r="H758" s="238"/>
      <c r="I758" s="238"/>
      <c r="J758" s="238"/>
      <c r="K758" s="237"/>
      <c r="L758" s="238"/>
      <c r="M758" s="238"/>
      <c r="N758" s="238"/>
      <c r="O758" s="238"/>
      <c r="P758" s="238"/>
      <c r="Q758" s="238"/>
      <c r="R758" s="238"/>
      <c r="S758" s="238"/>
      <c r="T758" s="238"/>
      <c r="U758" s="238"/>
      <c r="V758" s="240"/>
      <c r="W758" s="240"/>
      <c r="X758" s="238"/>
      <c r="Y758" s="238"/>
      <c r="Z758" s="238"/>
    </row>
    <row r="759" spans="1:26" ht="12.5">
      <c r="A759" s="238"/>
      <c r="B759" s="238"/>
      <c r="C759" s="238"/>
      <c r="D759" s="238"/>
      <c r="E759" s="238"/>
      <c r="F759" s="238"/>
      <c r="G759" s="238"/>
      <c r="H759" s="238"/>
      <c r="I759" s="238"/>
      <c r="J759" s="238"/>
      <c r="K759" s="237"/>
      <c r="L759" s="238"/>
      <c r="M759" s="238"/>
      <c r="N759" s="238"/>
      <c r="O759" s="238"/>
      <c r="P759" s="238"/>
      <c r="Q759" s="238"/>
      <c r="R759" s="238"/>
      <c r="S759" s="238"/>
      <c r="T759" s="238"/>
      <c r="U759" s="238"/>
      <c r="V759" s="240"/>
      <c r="W759" s="240"/>
      <c r="X759" s="238"/>
      <c r="Y759" s="238"/>
      <c r="Z759" s="238"/>
    </row>
    <row r="760" spans="1:26" ht="12.5">
      <c r="A760" s="238"/>
      <c r="B760" s="238"/>
      <c r="C760" s="238"/>
      <c r="D760" s="238"/>
      <c r="E760" s="238"/>
      <c r="F760" s="238"/>
      <c r="G760" s="238"/>
      <c r="H760" s="238"/>
      <c r="I760" s="238"/>
      <c r="J760" s="238"/>
      <c r="K760" s="237"/>
      <c r="L760" s="238"/>
      <c r="M760" s="238"/>
      <c r="N760" s="238"/>
      <c r="O760" s="238"/>
      <c r="P760" s="238"/>
      <c r="Q760" s="238"/>
      <c r="R760" s="238"/>
      <c r="S760" s="238"/>
      <c r="T760" s="238"/>
      <c r="U760" s="238"/>
      <c r="V760" s="240"/>
      <c r="W760" s="240"/>
      <c r="X760" s="238"/>
      <c r="Y760" s="238"/>
      <c r="Z760" s="238"/>
    </row>
    <row r="761" spans="1:26" ht="12.5">
      <c r="A761" s="238"/>
      <c r="B761" s="238"/>
      <c r="C761" s="238"/>
      <c r="D761" s="238"/>
      <c r="E761" s="238"/>
      <c r="F761" s="238"/>
      <c r="G761" s="238"/>
      <c r="H761" s="238"/>
      <c r="I761" s="238"/>
      <c r="J761" s="238"/>
      <c r="K761" s="237"/>
      <c r="L761" s="238"/>
      <c r="M761" s="238"/>
      <c r="N761" s="238"/>
      <c r="O761" s="238"/>
      <c r="P761" s="238"/>
      <c r="Q761" s="238"/>
      <c r="R761" s="238"/>
      <c r="S761" s="238"/>
      <c r="T761" s="238"/>
      <c r="U761" s="238"/>
      <c r="V761" s="240"/>
      <c r="W761" s="240"/>
      <c r="X761" s="238"/>
      <c r="Y761" s="238"/>
      <c r="Z761" s="238"/>
    </row>
    <row r="762" spans="1:26" ht="12.5">
      <c r="A762" s="238"/>
      <c r="B762" s="238"/>
      <c r="C762" s="238"/>
      <c r="D762" s="238"/>
      <c r="E762" s="238"/>
      <c r="F762" s="238"/>
      <c r="G762" s="238"/>
      <c r="H762" s="238"/>
      <c r="I762" s="238"/>
      <c r="J762" s="238"/>
      <c r="K762" s="237"/>
      <c r="L762" s="238"/>
      <c r="M762" s="238"/>
      <c r="N762" s="238"/>
      <c r="O762" s="238"/>
      <c r="P762" s="238"/>
      <c r="Q762" s="238"/>
      <c r="R762" s="238"/>
      <c r="S762" s="238"/>
      <c r="T762" s="238"/>
      <c r="U762" s="238"/>
      <c r="V762" s="240"/>
      <c r="W762" s="240"/>
      <c r="X762" s="238"/>
      <c r="Y762" s="238"/>
      <c r="Z762" s="238"/>
    </row>
    <row r="763" spans="1:26" ht="12.5">
      <c r="A763" s="238"/>
      <c r="B763" s="238"/>
      <c r="C763" s="238"/>
      <c r="D763" s="238"/>
      <c r="E763" s="238"/>
      <c r="F763" s="238"/>
      <c r="G763" s="238"/>
      <c r="H763" s="238"/>
      <c r="I763" s="238"/>
      <c r="J763" s="238"/>
      <c r="K763" s="237"/>
      <c r="L763" s="238"/>
      <c r="M763" s="238"/>
      <c r="N763" s="238"/>
      <c r="O763" s="238"/>
      <c r="P763" s="238"/>
      <c r="Q763" s="238"/>
      <c r="R763" s="238"/>
      <c r="S763" s="238"/>
      <c r="T763" s="238"/>
      <c r="U763" s="238"/>
      <c r="V763" s="240"/>
      <c r="W763" s="240"/>
      <c r="X763" s="238"/>
      <c r="Y763" s="238"/>
      <c r="Z763" s="238"/>
    </row>
    <row r="764" spans="1:26" ht="12.5">
      <c r="A764" s="238"/>
      <c r="B764" s="238"/>
      <c r="C764" s="238"/>
      <c r="D764" s="238"/>
      <c r="E764" s="238"/>
      <c r="F764" s="238"/>
      <c r="G764" s="238"/>
      <c r="H764" s="238"/>
      <c r="I764" s="238"/>
      <c r="J764" s="238"/>
      <c r="K764" s="237"/>
      <c r="L764" s="238"/>
      <c r="M764" s="238"/>
      <c r="N764" s="238"/>
      <c r="O764" s="238"/>
      <c r="P764" s="238"/>
      <c r="Q764" s="238"/>
      <c r="R764" s="238"/>
      <c r="S764" s="238"/>
      <c r="T764" s="238"/>
      <c r="U764" s="238"/>
      <c r="V764" s="240"/>
      <c r="W764" s="240"/>
      <c r="X764" s="238"/>
      <c r="Y764" s="238"/>
      <c r="Z764" s="238"/>
    </row>
    <row r="765" spans="1:26" ht="12.5">
      <c r="A765" s="238"/>
      <c r="B765" s="238"/>
      <c r="C765" s="238"/>
      <c r="D765" s="238"/>
      <c r="E765" s="238"/>
      <c r="F765" s="238"/>
      <c r="G765" s="238"/>
      <c r="H765" s="238"/>
      <c r="I765" s="238"/>
      <c r="J765" s="238"/>
      <c r="K765" s="237"/>
      <c r="L765" s="238"/>
      <c r="M765" s="238"/>
      <c r="N765" s="238"/>
      <c r="O765" s="238"/>
      <c r="P765" s="238"/>
      <c r="Q765" s="238"/>
      <c r="R765" s="238"/>
      <c r="S765" s="238"/>
      <c r="T765" s="238"/>
      <c r="U765" s="238"/>
      <c r="V765" s="240"/>
      <c r="W765" s="240"/>
      <c r="X765" s="238"/>
      <c r="Y765" s="238"/>
      <c r="Z765" s="238"/>
    </row>
    <row r="766" spans="1:26" ht="12.5">
      <c r="A766" s="238"/>
      <c r="B766" s="238"/>
      <c r="C766" s="238"/>
      <c r="D766" s="238"/>
      <c r="E766" s="238"/>
      <c r="F766" s="238"/>
      <c r="G766" s="238"/>
      <c r="H766" s="238"/>
      <c r="I766" s="238"/>
      <c r="J766" s="238"/>
      <c r="K766" s="237"/>
      <c r="L766" s="238"/>
      <c r="M766" s="238"/>
      <c r="N766" s="238"/>
      <c r="O766" s="238"/>
      <c r="P766" s="238"/>
      <c r="Q766" s="238"/>
      <c r="R766" s="238"/>
      <c r="S766" s="238"/>
      <c r="T766" s="238"/>
      <c r="U766" s="238"/>
      <c r="V766" s="240"/>
      <c r="W766" s="240"/>
      <c r="X766" s="238"/>
      <c r="Y766" s="238"/>
      <c r="Z766" s="238"/>
    </row>
    <row r="767" spans="1:26" ht="12.5">
      <c r="A767" s="238"/>
      <c r="B767" s="238"/>
      <c r="C767" s="238"/>
      <c r="D767" s="238"/>
      <c r="E767" s="238"/>
      <c r="F767" s="238"/>
      <c r="G767" s="238"/>
      <c r="H767" s="238"/>
      <c r="I767" s="238"/>
      <c r="J767" s="238"/>
      <c r="K767" s="237"/>
      <c r="L767" s="238"/>
      <c r="M767" s="238"/>
      <c r="N767" s="238"/>
      <c r="O767" s="238"/>
      <c r="P767" s="238"/>
      <c r="Q767" s="238"/>
      <c r="R767" s="238"/>
      <c r="S767" s="238"/>
      <c r="T767" s="238"/>
      <c r="U767" s="238"/>
      <c r="V767" s="240"/>
      <c r="W767" s="240"/>
      <c r="X767" s="238"/>
      <c r="Y767" s="238"/>
      <c r="Z767" s="238"/>
    </row>
    <row r="768" spans="1:26" ht="12.5">
      <c r="A768" s="238"/>
      <c r="B768" s="238"/>
      <c r="C768" s="238"/>
      <c r="D768" s="238"/>
      <c r="E768" s="238"/>
      <c r="F768" s="238"/>
      <c r="G768" s="238"/>
      <c r="H768" s="238"/>
      <c r="I768" s="238"/>
      <c r="J768" s="238"/>
      <c r="K768" s="237"/>
      <c r="L768" s="238"/>
      <c r="M768" s="238"/>
      <c r="N768" s="238"/>
      <c r="O768" s="238"/>
      <c r="P768" s="238"/>
      <c r="Q768" s="238"/>
      <c r="R768" s="238"/>
      <c r="S768" s="238"/>
      <c r="T768" s="238"/>
      <c r="U768" s="238"/>
      <c r="V768" s="240"/>
      <c r="W768" s="240"/>
      <c r="X768" s="238"/>
      <c r="Y768" s="238"/>
      <c r="Z768" s="238"/>
    </row>
    <row r="769" spans="1:26" ht="12.5">
      <c r="A769" s="238"/>
      <c r="B769" s="238"/>
      <c r="C769" s="238"/>
      <c r="D769" s="238"/>
      <c r="E769" s="238"/>
      <c r="F769" s="238"/>
      <c r="G769" s="238"/>
      <c r="H769" s="238"/>
      <c r="I769" s="238"/>
      <c r="J769" s="238"/>
      <c r="K769" s="237"/>
      <c r="L769" s="238"/>
      <c r="M769" s="238"/>
      <c r="N769" s="238"/>
      <c r="O769" s="238"/>
      <c r="P769" s="238"/>
      <c r="Q769" s="238"/>
      <c r="R769" s="238"/>
      <c r="S769" s="238"/>
      <c r="T769" s="238"/>
      <c r="U769" s="238"/>
      <c r="V769" s="240"/>
      <c r="W769" s="240"/>
      <c r="X769" s="238"/>
      <c r="Y769" s="238"/>
      <c r="Z769" s="238"/>
    </row>
    <row r="770" spans="1:26" ht="12.5">
      <c r="A770" s="238"/>
      <c r="B770" s="238"/>
      <c r="C770" s="238"/>
      <c r="D770" s="238"/>
      <c r="E770" s="238"/>
      <c r="F770" s="238"/>
      <c r="G770" s="238"/>
      <c r="H770" s="238"/>
      <c r="I770" s="238"/>
      <c r="J770" s="238"/>
      <c r="K770" s="237"/>
      <c r="L770" s="238"/>
      <c r="M770" s="238"/>
      <c r="N770" s="238"/>
      <c r="O770" s="238"/>
      <c r="P770" s="238"/>
      <c r="Q770" s="238"/>
      <c r="R770" s="238"/>
      <c r="S770" s="238"/>
      <c r="T770" s="238"/>
      <c r="U770" s="238"/>
      <c r="V770" s="240"/>
      <c r="W770" s="240"/>
      <c r="X770" s="238"/>
      <c r="Y770" s="238"/>
      <c r="Z770" s="238"/>
    </row>
    <row r="771" spans="1:26" ht="12.5">
      <c r="A771" s="238"/>
      <c r="B771" s="238"/>
      <c r="C771" s="238"/>
      <c r="D771" s="238"/>
      <c r="E771" s="238"/>
      <c r="F771" s="238"/>
      <c r="G771" s="238"/>
      <c r="H771" s="238"/>
      <c r="I771" s="238"/>
      <c r="J771" s="238"/>
      <c r="K771" s="237"/>
      <c r="L771" s="238"/>
      <c r="M771" s="238"/>
      <c r="N771" s="238"/>
      <c r="O771" s="238"/>
      <c r="P771" s="238"/>
      <c r="Q771" s="238"/>
      <c r="R771" s="238"/>
      <c r="S771" s="238"/>
      <c r="T771" s="238"/>
      <c r="U771" s="238"/>
      <c r="V771" s="240"/>
      <c r="W771" s="240"/>
      <c r="X771" s="238"/>
      <c r="Y771" s="238"/>
      <c r="Z771" s="238"/>
    </row>
    <row r="772" spans="1:26" ht="12.5">
      <c r="A772" s="238"/>
      <c r="B772" s="238"/>
      <c r="C772" s="238"/>
      <c r="D772" s="238"/>
      <c r="E772" s="238"/>
      <c r="F772" s="238"/>
      <c r="G772" s="238"/>
      <c r="H772" s="238"/>
      <c r="I772" s="238"/>
      <c r="J772" s="238"/>
      <c r="K772" s="237"/>
      <c r="L772" s="238"/>
      <c r="M772" s="238"/>
      <c r="N772" s="238"/>
      <c r="O772" s="238"/>
      <c r="P772" s="238"/>
      <c r="Q772" s="238"/>
      <c r="R772" s="238"/>
      <c r="S772" s="238"/>
      <c r="T772" s="238"/>
      <c r="U772" s="238"/>
      <c r="V772" s="240"/>
      <c r="W772" s="240"/>
      <c r="X772" s="238"/>
      <c r="Y772" s="238"/>
      <c r="Z772" s="238"/>
    </row>
    <row r="773" spans="1:26" ht="12.5">
      <c r="A773" s="238"/>
      <c r="B773" s="238"/>
      <c r="C773" s="238"/>
      <c r="D773" s="238"/>
      <c r="E773" s="238"/>
      <c r="F773" s="238"/>
      <c r="G773" s="238"/>
      <c r="H773" s="238"/>
      <c r="I773" s="238"/>
      <c r="J773" s="238"/>
      <c r="K773" s="237"/>
      <c r="L773" s="238"/>
      <c r="M773" s="238"/>
      <c r="N773" s="238"/>
      <c r="O773" s="238"/>
      <c r="P773" s="238"/>
      <c r="Q773" s="238"/>
      <c r="R773" s="238"/>
      <c r="S773" s="238"/>
      <c r="T773" s="238"/>
      <c r="U773" s="238"/>
      <c r="V773" s="240"/>
      <c r="W773" s="240"/>
      <c r="X773" s="238"/>
      <c r="Y773" s="238"/>
      <c r="Z773" s="238"/>
    </row>
    <row r="774" spans="1:26" ht="12.5">
      <c r="A774" s="238"/>
      <c r="B774" s="238"/>
      <c r="C774" s="238"/>
      <c r="D774" s="238"/>
      <c r="E774" s="238"/>
      <c r="F774" s="238"/>
      <c r="G774" s="238"/>
      <c r="H774" s="238"/>
      <c r="I774" s="238"/>
      <c r="J774" s="238"/>
      <c r="K774" s="237"/>
      <c r="L774" s="238"/>
      <c r="M774" s="238"/>
      <c r="N774" s="238"/>
      <c r="O774" s="238"/>
      <c r="P774" s="238"/>
      <c r="Q774" s="238"/>
      <c r="R774" s="238"/>
      <c r="S774" s="238"/>
      <c r="T774" s="238"/>
      <c r="U774" s="238"/>
      <c r="V774" s="240"/>
      <c r="W774" s="240"/>
      <c r="X774" s="238"/>
      <c r="Y774" s="238"/>
      <c r="Z774" s="238"/>
    </row>
    <row r="775" spans="1:26" ht="12.5">
      <c r="A775" s="238"/>
      <c r="B775" s="238"/>
      <c r="C775" s="238"/>
      <c r="D775" s="238"/>
      <c r="E775" s="238"/>
      <c r="F775" s="238"/>
      <c r="G775" s="238"/>
      <c r="H775" s="238"/>
      <c r="I775" s="238"/>
      <c r="J775" s="238"/>
      <c r="K775" s="237"/>
      <c r="L775" s="238"/>
      <c r="M775" s="238"/>
      <c r="N775" s="238"/>
      <c r="O775" s="238"/>
      <c r="P775" s="238"/>
      <c r="Q775" s="238"/>
      <c r="R775" s="238"/>
      <c r="S775" s="238"/>
      <c r="T775" s="238"/>
      <c r="U775" s="238"/>
      <c r="V775" s="240"/>
      <c r="W775" s="240"/>
      <c r="X775" s="238"/>
      <c r="Y775" s="238"/>
      <c r="Z775" s="238"/>
    </row>
    <row r="776" spans="1:26" ht="12.5">
      <c r="A776" s="238"/>
      <c r="B776" s="238"/>
      <c r="C776" s="238"/>
      <c r="D776" s="238"/>
      <c r="E776" s="238"/>
      <c r="F776" s="238"/>
      <c r="G776" s="238"/>
      <c r="H776" s="238"/>
      <c r="I776" s="238"/>
      <c r="J776" s="238"/>
      <c r="K776" s="237"/>
      <c r="L776" s="238"/>
      <c r="M776" s="238"/>
      <c r="N776" s="238"/>
      <c r="O776" s="238"/>
      <c r="P776" s="238"/>
      <c r="Q776" s="238"/>
      <c r="R776" s="238"/>
      <c r="S776" s="238"/>
      <c r="T776" s="238"/>
      <c r="U776" s="238"/>
      <c r="V776" s="240"/>
      <c r="W776" s="240"/>
      <c r="X776" s="238"/>
      <c r="Y776" s="238"/>
      <c r="Z776" s="238"/>
    </row>
    <row r="777" spans="1:26" ht="12.5">
      <c r="A777" s="238"/>
      <c r="B777" s="238"/>
      <c r="C777" s="238"/>
      <c r="D777" s="238"/>
      <c r="E777" s="238"/>
      <c r="F777" s="238"/>
      <c r="G777" s="238"/>
      <c r="H777" s="238"/>
      <c r="I777" s="238"/>
      <c r="J777" s="238"/>
      <c r="K777" s="237"/>
      <c r="L777" s="238"/>
      <c r="M777" s="238"/>
      <c r="N777" s="238"/>
      <c r="O777" s="238"/>
      <c r="P777" s="238"/>
      <c r="Q777" s="238"/>
      <c r="R777" s="238"/>
      <c r="S777" s="238"/>
      <c r="T777" s="238"/>
      <c r="U777" s="238"/>
      <c r="V777" s="240"/>
      <c r="W777" s="240"/>
      <c r="X777" s="238"/>
      <c r="Y777" s="238"/>
      <c r="Z777" s="238"/>
    </row>
    <row r="778" spans="1:26" ht="12.5">
      <c r="A778" s="238"/>
      <c r="B778" s="238"/>
      <c r="C778" s="238"/>
      <c r="D778" s="238"/>
      <c r="E778" s="238"/>
      <c r="F778" s="238"/>
      <c r="G778" s="238"/>
      <c r="H778" s="238"/>
      <c r="I778" s="238"/>
      <c r="J778" s="238"/>
      <c r="K778" s="237"/>
      <c r="L778" s="238"/>
      <c r="M778" s="238"/>
      <c r="N778" s="238"/>
      <c r="O778" s="238"/>
      <c r="P778" s="238"/>
      <c r="Q778" s="238"/>
      <c r="R778" s="238"/>
      <c r="S778" s="238"/>
      <c r="T778" s="238"/>
      <c r="U778" s="238"/>
      <c r="V778" s="240"/>
      <c r="W778" s="240"/>
      <c r="X778" s="238"/>
      <c r="Y778" s="238"/>
      <c r="Z778" s="238"/>
    </row>
    <row r="779" spans="1:26" ht="12.5">
      <c r="A779" s="238"/>
      <c r="B779" s="238"/>
      <c r="C779" s="238"/>
      <c r="D779" s="238"/>
      <c r="E779" s="238"/>
      <c r="F779" s="238"/>
      <c r="G779" s="238"/>
      <c r="H779" s="238"/>
      <c r="I779" s="238"/>
      <c r="J779" s="238"/>
      <c r="K779" s="237"/>
      <c r="L779" s="238"/>
      <c r="M779" s="238"/>
      <c r="N779" s="238"/>
      <c r="O779" s="238"/>
      <c r="P779" s="238"/>
      <c r="Q779" s="238"/>
      <c r="R779" s="238"/>
      <c r="S779" s="238"/>
      <c r="T779" s="238"/>
      <c r="U779" s="238"/>
      <c r="V779" s="240"/>
      <c r="W779" s="240"/>
      <c r="X779" s="238"/>
      <c r="Y779" s="238"/>
      <c r="Z779" s="238"/>
    </row>
    <row r="780" spans="1:26" ht="12.5">
      <c r="A780" s="238"/>
      <c r="B780" s="238"/>
      <c r="C780" s="238"/>
      <c r="D780" s="238"/>
      <c r="E780" s="238"/>
      <c r="F780" s="238"/>
      <c r="G780" s="238"/>
      <c r="H780" s="238"/>
      <c r="I780" s="238"/>
      <c r="J780" s="238"/>
      <c r="K780" s="237"/>
      <c r="L780" s="238"/>
      <c r="M780" s="238"/>
      <c r="N780" s="238"/>
      <c r="O780" s="238"/>
      <c r="P780" s="238"/>
      <c r="Q780" s="238"/>
      <c r="R780" s="238"/>
      <c r="S780" s="238"/>
      <c r="T780" s="238"/>
      <c r="U780" s="238"/>
      <c r="V780" s="240"/>
      <c r="W780" s="240"/>
      <c r="X780" s="238"/>
      <c r="Y780" s="238"/>
      <c r="Z780" s="238"/>
    </row>
    <row r="781" spans="1:26" ht="12.5">
      <c r="A781" s="238"/>
      <c r="B781" s="238"/>
      <c r="C781" s="238"/>
      <c r="D781" s="238"/>
      <c r="E781" s="238"/>
      <c r="F781" s="238"/>
      <c r="G781" s="238"/>
      <c r="H781" s="238"/>
      <c r="I781" s="238"/>
      <c r="J781" s="238"/>
      <c r="K781" s="237"/>
      <c r="L781" s="238"/>
      <c r="M781" s="238"/>
      <c r="N781" s="238"/>
      <c r="O781" s="238"/>
      <c r="P781" s="238"/>
      <c r="Q781" s="238"/>
      <c r="R781" s="238"/>
      <c r="S781" s="238"/>
      <c r="T781" s="238"/>
      <c r="U781" s="238"/>
      <c r="V781" s="240"/>
      <c r="W781" s="240"/>
      <c r="X781" s="238"/>
      <c r="Y781" s="238"/>
      <c r="Z781" s="238"/>
    </row>
    <row r="782" spans="1:26" ht="12.5">
      <c r="A782" s="238"/>
      <c r="B782" s="238"/>
      <c r="C782" s="238"/>
      <c r="D782" s="238"/>
      <c r="E782" s="238"/>
      <c r="F782" s="238"/>
      <c r="G782" s="238"/>
      <c r="H782" s="238"/>
      <c r="I782" s="238"/>
      <c r="J782" s="238"/>
      <c r="K782" s="237"/>
      <c r="L782" s="238"/>
      <c r="M782" s="238"/>
      <c r="N782" s="238"/>
      <c r="O782" s="238"/>
      <c r="P782" s="238"/>
      <c r="Q782" s="238"/>
      <c r="R782" s="238"/>
      <c r="S782" s="238"/>
      <c r="T782" s="238"/>
      <c r="U782" s="238"/>
      <c r="V782" s="240"/>
      <c r="W782" s="240"/>
      <c r="X782" s="238"/>
      <c r="Y782" s="238"/>
      <c r="Z782" s="238"/>
    </row>
    <row r="783" spans="1:26" ht="12.5">
      <c r="A783" s="238"/>
      <c r="B783" s="238"/>
      <c r="C783" s="238"/>
      <c r="D783" s="238"/>
      <c r="E783" s="238"/>
      <c r="F783" s="238"/>
      <c r="G783" s="238"/>
      <c r="H783" s="238"/>
      <c r="I783" s="238"/>
      <c r="J783" s="238"/>
      <c r="K783" s="237"/>
      <c r="L783" s="238"/>
      <c r="M783" s="238"/>
      <c r="N783" s="238"/>
      <c r="O783" s="238"/>
      <c r="P783" s="238"/>
      <c r="Q783" s="238"/>
      <c r="R783" s="238"/>
      <c r="S783" s="238"/>
      <c r="T783" s="238"/>
      <c r="U783" s="238"/>
      <c r="V783" s="240"/>
      <c r="W783" s="240"/>
      <c r="X783" s="238"/>
      <c r="Y783" s="238"/>
      <c r="Z783" s="238"/>
    </row>
    <row r="784" spans="1:26" ht="12.5">
      <c r="A784" s="238"/>
      <c r="B784" s="238"/>
      <c r="C784" s="238"/>
      <c r="D784" s="238"/>
      <c r="E784" s="238"/>
      <c r="F784" s="238"/>
      <c r="G784" s="238"/>
      <c r="H784" s="238"/>
      <c r="I784" s="238"/>
      <c r="J784" s="238"/>
      <c r="K784" s="237"/>
      <c r="L784" s="238"/>
      <c r="M784" s="238"/>
      <c r="N784" s="238"/>
      <c r="O784" s="238"/>
      <c r="P784" s="238"/>
      <c r="Q784" s="238"/>
      <c r="R784" s="238"/>
      <c r="S784" s="238"/>
      <c r="T784" s="238"/>
      <c r="U784" s="238"/>
      <c r="V784" s="240"/>
      <c r="W784" s="240"/>
      <c r="X784" s="238"/>
      <c r="Y784" s="238"/>
      <c r="Z784" s="238"/>
    </row>
    <row r="785" spans="1:26" ht="12.5">
      <c r="A785" s="238"/>
      <c r="B785" s="238"/>
      <c r="C785" s="238"/>
      <c r="D785" s="238"/>
      <c r="E785" s="238"/>
      <c r="F785" s="238"/>
      <c r="G785" s="238"/>
      <c r="H785" s="238"/>
      <c r="I785" s="238"/>
      <c r="J785" s="238"/>
      <c r="K785" s="237"/>
      <c r="L785" s="238"/>
      <c r="M785" s="238"/>
      <c r="N785" s="238"/>
      <c r="O785" s="238"/>
      <c r="P785" s="238"/>
      <c r="Q785" s="238"/>
      <c r="R785" s="238"/>
      <c r="S785" s="238"/>
      <c r="T785" s="238"/>
      <c r="U785" s="238"/>
      <c r="V785" s="240"/>
      <c r="W785" s="240"/>
      <c r="X785" s="238"/>
      <c r="Y785" s="238"/>
      <c r="Z785" s="238"/>
    </row>
    <row r="786" spans="1:26" ht="12.5">
      <c r="A786" s="238"/>
      <c r="B786" s="238"/>
      <c r="C786" s="238"/>
      <c r="D786" s="238"/>
      <c r="E786" s="238"/>
      <c r="F786" s="238"/>
      <c r="G786" s="238"/>
      <c r="H786" s="238"/>
      <c r="I786" s="238"/>
      <c r="J786" s="238"/>
      <c r="K786" s="237"/>
      <c r="L786" s="238"/>
      <c r="M786" s="238"/>
      <c r="N786" s="238"/>
      <c r="O786" s="238"/>
      <c r="P786" s="238"/>
      <c r="Q786" s="238"/>
      <c r="R786" s="238"/>
      <c r="S786" s="238"/>
      <c r="T786" s="238"/>
      <c r="U786" s="238"/>
      <c r="V786" s="240"/>
      <c r="W786" s="240"/>
      <c r="X786" s="238"/>
      <c r="Y786" s="238"/>
      <c r="Z786" s="238"/>
    </row>
    <row r="787" spans="1:26" ht="12.5">
      <c r="A787" s="238"/>
      <c r="B787" s="238"/>
      <c r="C787" s="238"/>
      <c r="D787" s="238"/>
      <c r="E787" s="238"/>
      <c r="F787" s="238"/>
      <c r="G787" s="238"/>
      <c r="H787" s="238"/>
      <c r="I787" s="238"/>
      <c r="J787" s="238"/>
      <c r="K787" s="237"/>
      <c r="L787" s="238"/>
      <c r="M787" s="238"/>
      <c r="N787" s="238"/>
      <c r="O787" s="238"/>
      <c r="P787" s="238"/>
      <c r="Q787" s="238"/>
      <c r="R787" s="238"/>
      <c r="S787" s="238"/>
      <c r="T787" s="238"/>
      <c r="U787" s="238"/>
      <c r="V787" s="240"/>
      <c r="W787" s="240"/>
      <c r="X787" s="238"/>
      <c r="Y787" s="238"/>
      <c r="Z787" s="238"/>
    </row>
    <row r="788" spans="1:26" ht="12.5">
      <c r="A788" s="238"/>
      <c r="B788" s="238"/>
      <c r="C788" s="238"/>
      <c r="D788" s="238"/>
      <c r="E788" s="238"/>
      <c r="F788" s="238"/>
      <c r="G788" s="238"/>
      <c r="H788" s="238"/>
      <c r="I788" s="238"/>
      <c r="J788" s="238"/>
      <c r="K788" s="237"/>
      <c r="L788" s="238"/>
      <c r="M788" s="238"/>
      <c r="N788" s="238"/>
      <c r="O788" s="238"/>
      <c r="P788" s="238"/>
      <c r="Q788" s="238"/>
      <c r="R788" s="238"/>
      <c r="S788" s="238"/>
      <c r="T788" s="238"/>
      <c r="U788" s="238"/>
      <c r="V788" s="240"/>
      <c r="W788" s="240"/>
      <c r="X788" s="238"/>
      <c r="Y788" s="238"/>
      <c r="Z788" s="238"/>
    </row>
    <row r="789" spans="1:26" ht="12.5">
      <c r="A789" s="238"/>
      <c r="B789" s="238"/>
      <c r="C789" s="238"/>
      <c r="D789" s="238"/>
      <c r="E789" s="238"/>
      <c r="F789" s="238"/>
      <c r="G789" s="238"/>
      <c r="H789" s="238"/>
      <c r="I789" s="238"/>
      <c r="J789" s="238"/>
      <c r="K789" s="237"/>
      <c r="L789" s="238"/>
      <c r="M789" s="238"/>
      <c r="N789" s="238"/>
      <c r="O789" s="238"/>
      <c r="P789" s="238"/>
      <c r="Q789" s="238"/>
      <c r="R789" s="238"/>
      <c r="S789" s="238"/>
      <c r="T789" s="238"/>
      <c r="U789" s="238"/>
      <c r="V789" s="240"/>
      <c r="W789" s="240"/>
      <c r="X789" s="238"/>
      <c r="Y789" s="238"/>
      <c r="Z789" s="238"/>
    </row>
    <row r="790" spans="1:26" ht="12.5">
      <c r="A790" s="238"/>
      <c r="B790" s="238"/>
      <c r="C790" s="238"/>
      <c r="D790" s="238"/>
      <c r="E790" s="238"/>
      <c r="F790" s="238"/>
      <c r="G790" s="238"/>
      <c r="H790" s="238"/>
      <c r="I790" s="238"/>
      <c r="J790" s="238"/>
      <c r="K790" s="237"/>
      <c r="L790" s="238"/>
      <c r="M790" s="238"/>
      <c r="N790" s="238"/>
      <c r="O790" s="238"/>
      <c r="P790" s="238"/>
      <c r="Q790" s="238"/>
      <c r="R790" s="238"/>
      <c r="S790" s="238"/>
      <c r="T790" s="238"/>
      <c r="U790" s="238"/>
      <c r="V790" s="240"/>
      <c r="W790" s="240"/>
      <c r="X790" s="238"/>
      <c r="Y790" s="238"/>
      <c r="Z790" s="238"/>
    </row>
    <row r="791" spans="1:26" ht="12.5">
      <c r="A791" s="238"/>
      <c r="B791" s="238"/>
      <c r="C791" s="238"/>
      <c r="D791" s="238"/>
      <c r="E791" s="238"/>
      <c r="F791" s="238"/>
      <c r="G791" s="238"/>
      <c r="H791" s="238"/>
      <c r="I791" s="238"/>
      <c r="J791" s="238"/>
      <c r="K791" s="237"/>
      <c r="L791" s="238"/>
      <c r="M791" s="238"/>
      <c r="N791" s="238"/>
      <c r="O791" s="238"/>
      <c r="P791" s="238"/>
      <c r="Q791" s="238"/>
      <c r="R791" s="238"/>
      <c r="S791" s="238"/>
      <c r="T791" s="238"/>
      <c r="U791" s="238"/>
      <c r="V791" s="240"/>
      <c r="W791" s="240"/>
      <c r="X791" s="238"/>
      <c r="Y791" s="238"/>
      <c r="Z791" s="238"/>
    </row>
    <row r="792" spans="1:26" ht="12.5">
      <c r="A792" s="238"/>
      <c r="B792" s="238"/>
      <c r="C792" s="238"/>
      <c r="D792" s="238"/>
      <c r="E792" s="238"/>
      <c r="F792" s="238"/>
      <c r="G792" s="238"/>
      <c r="H792" s="238"/>
      <c r="I792" s="238"/>
      <c r="J792" s="238"/>
      <c r="K792" s="237"/>
      <c r="L792" s="238"/>
      <c r="M792" s="238"/>
      <c r="N792" s="238"/>
      <c r="O792" s="238"/>
      <c r="P792" s="238"/>
      <c r="Q792" s="238"/>
      <c r="R792" s="238"/>
      <c r="S792" s="238"/>
      <c r="T792" s="238"/>
      <c r="U792" s="238"/>
      <c r="V792" s="240"/>
      <c r="W792" s="240"/>
      <c r="X792" s="238"/>
      <c r="Y792" s="238"/>
      <c r="Z792" s="238"/>
    </row>
    <row r="793" spans="1:26" ht="12.5">
      <c r="A793" s="238"/>
      <c r="B793" s="238"/>
      <c r="C793" s="238"/>
      <c r="D793" s="238"/>
      <c r="E793" s="238"/>
      <c r="F793" s="238"/>
      <c r="G793" s="238"/>
      <c r="H793" s="238"/>
      <c r="I793" s="238"/>
      <c r="J793" s="238"/>
      <c r="K793" s="237"/>
      <c r="L793" s="238"/>
      <c r="M793" s="238"/>
      <c r="N793" s="238"/>
      <c r="O793" s="238"/>
      <c r="P793" s="238"/>
      <c r="Q793" s="238"/>
      <c r="R793" s="238"/>
      <c r="S793" s="238"/>
      <c r="T793" s="238"/>
      <c r="U793" s="238"/>
      <c r="V793" s="240"/>
      <c r="W793" s="240"/>
      <c r="X793" s="238"/>
      <c r="Y793" s="238"/>
      <c r="Z793" s="238"/>
    </row>
    <row r="794" spans="1:26" ht="12.5">
      <c r="A794" s="238"/>
      <c r="B794" s="238"/>
      <c r="C794" s="238"/>
      <c r="D794" s="238"/>
      <c r="E794" s="238"/>
      <c r="F794" s="238"/>
      <c r="G794" s="238"/>
      <c r="H794" s="238"/>
      <c r="I794" s="238"/>
      <c r="J794" s="238"/>
      <c r="K794" s="237"/>
      <c r="L794" s="238"/>
      <c r="M794" s="238"/>
      <c r="N794" s="238"/>
      <c r="O794" s="238"/>
      <c r="P794" s="238"/>
      <c r="Q794" s="238"/>
      <c r="R794" s="238"/>
      <c r="S794" s="238"/>
      <c r="T794" s="238"/>
      <c r="U794" s="238"/>
      <c r="V794" s="240"/>
      <c r="W794" s="240"/>
      <c r="X794" s="238"/>
      <c r="Y794" s="238"/>
      <c r="Z794" s="238"/>
    </row>
    <row r="795" spans="1:26" ht="12.5">
      <c r="A795" s="238"/>
      <c r="B795" s="238"/>
      <c r="C795" s="238"/>
      <c r="D795" s="238"/>
      <c r="E795" s="238"/>
      <c r="F795" s="238"/>
      <c r="G795" s="238"/>
      <c r="H795" s="238"/>
      <c r="I795" s="238"/>
      <c r="J795" s="238"/>
      <c r="K795" s="237"/>
      <c r="L795" s="238"/>
      <c r="M795" s="238"/>
      <c r="N795" s="238"/>
      <c r="O795" s="238"/>
      <c r="P795" s="238"/>
      <c r="Q795" s="238"/>
      <c r="R795" s="238"/>
      <c r="S795" s="238"/>
      <c r="T795" s="238"/>
      <c r="U795" s="238"/>
      <c r="V795" s="240"/>
      <c r="W795" s="240"/>
      <c r="X795" s="238"/>
      <c r="Y795" s="238"/>
      <c r="Z795" s="238"/>
    </row>
    <row r="796" spans="1:26" ht="12.5">
      <c r="A796" s="238"/>
      <c r="B796" s="238"/>
      <c r="C796" s="238"/>
      <c r="D796" s="238"/>
      <c r="E796" s="238"/>
      <c r="F796" s="238"/>
      <c r="G796" s="238"/>
      <c r="H796" s="238"/>
      <c r="I796" s="238"/>
      <c r="J796" s="238"/>
      <c r="K796" s="237"/>
      <c r="L796" s="238"/>
      <c r="M796" s="238"/>
      <c r="N796" s="238"/>
      <c r="O796" s="238"/>
      <c r="P796" s="238"/>
      <c r="Q796" s="238"/>
      <c r="R796" s="238"/>
      <c r="S796" s="238"/>
      <c r="T796" s="238"/>
      <c r="U796" s="238"/>
      <c r="V796" s="240"/>
      <c r="W796" s="240"/>
      <c r="X796" s="238"/>
      <c r="Y796" s="238"/>
      <c r="Z796" s="238"/>
    </row>
    <row r="797" spans="1:26" ht="12.5">
      <c r="A797" s="238"/>
      <c r="B797" s="238"/>
      <c r="C797" s="238"/>
      <c r="D797" s="238"/>
      <c r="E797" s="238"/>
      <c r="F797" s="238"/>
      <c r="G797" s="238"/>
      <c r="H797" s="238"/>
      <c r="I797" s="238"/>
      <c r="J797" s="238"/>
      <c r="K797" s="237"/>
      <c r="L797" s="238"/>
      <c r="M797" s="238"/>
      <c r="N797" s="238"/>
      <c r="O797" s="238"/>
      <c r="P797" s="238"/>
      <c r="Q797" s="238"/>
      <c r="R797" s="238"/>
      <c r="S797" s="238"/>
      <c r="T797" s="238"/>
      <c r="U797" s="238"/>
      <c r="V797" s="240"/>
      <c r="W797" s="240"/>
      <c r="X797" s="238"/>
      <c r="Y797" s="238"/>
      <c r="Z797" s="238"/>
    </row>
    <row r="798" spans="1:26" ht="12.5">
      <c r="A798" s="238"/>
      <c r="B798" s="238"/>
      <c r="C798" s="238"/>
      <c r="D798" s="238"/>
      <c r="E798" s="238"/>
      <c r="F798" s="238"/>
      <c r="G798" s="238"/>
      <c r="H798" s="238"/>
      <c r="I798" s="238"/>
      <c r="J798" s="238"/>
      <c r="K798" s="237"/>
      <c r="L798" s="238"/>
      <c r="M798" s="238"/>
      <c r="N798" s="238"/>
      <c r="O798" s="238"/>
      <c r="P798" s="238"/>
      <c r="Q798" s="238"/>
      <c r="R798" s="238"/>
      <c r="S798" s="238"/>
      <c r="T798" s="238"/>
      <c r="U798" s="238"/>
      <c r="V798" s="240"/>
      <c r="W798" s="240"/>
      <c r="X798" s="238"/>
      <c r="Y798" s="238"/>
      <c r="Z798" s="238"/>
    </row>
    <row r="799" spans="1:26" ht="12.5">
      <c r="A799" s="238"/>
      <c r="B799" s="238"/>
      <c r="C799" s="238"/>
      <c r="D799" s="238"/>
      <c r="E799" s="238"/>
      <c r="F799" s="238"/>
      <c r="G799" s="238"/>
      <c r="H799" s="238"/>
      <c r="I799" s="238"/>
      <c r="J799" s="238"/>
      <c r="K799" s="237"/>
      <c r="L799" s="238"/>
      <c r="M799" s="238"/>
      <c r="N799" s="238"/>
      <c r="O799" s="238"/>
      <c r="P799" s="238"/>
      <c r="Q799" s="238"/>
      <c r="R799" s="238"/>
      <c r="S799" s="238"/>
      <c r="T799" s="238"/>
      <c r="U799" s="238"/>
      <c r="V799" s="240"/>
      <c r="W799" s="240"/>
      <c r="X799" s="238"/>
      <c r="Y799" s="238"/>
      <c r="Z799" s="238"/>
    </row>
    <row r="800" spans="1:26" ht="12.5">
      <c r="A800" s="238"/>
      <c r="B800" s="238"/>
      <c r="C800" s="238"/>
      <c r="D800" s="238"/>
      <c r="E800" s="238"/>
      <c r="F800" s="238"/>
      <c r="G800" s="238"/>
      <c r="H800" s="238"/>
      <c r="I800" s="238"/>
      <c r="J800" s="238"/>
      <c r="K800" s="237"/>
      <c r="L800" s="238"/>
      <c r="M800" s="238"/>
      <c r="N800" s="238"/>
      <c r="O800" s="238"/>
      <c r="P800" s="238"/>
      <c r="Q800" s="238"/>
      <c r="R800" s="238"/>
      <c r="S800" s="238"/>
      <c r="T800" s="238"/>
      <c r="U800" s="238"/>
      <c r="V800" s="240"/>
      <c r="W800" s="240"/>
      <c r="X800" s="238"/>
      <c r="Y800" s="238"/>
      <c r="Z800" s="238"/>
    </row>
    <row r="801" spans="1:26" ht="12.5">
      <c r="A801" s="238"/>
      <c r="B801" s="238"/>
      <c r="C801" s="238"/>
      <c r="D801" s="238"/>
      <c r="E801" s="238"/>
      <c r="F801" s="238"/>
      <c r="G801" s="238"/>
      <c r="H801" s="238"/>
      <c r="I801" s="238"/>
      <c r="J801" s="238"/>
      <c r="K801" s="237"/>
      <c r="L801" s="238"/>
      <c r="M801" s="238"/>
      <c r="N801" s="238"/>
      <c r="O801" s="238"/>
      <c r="P801" s="238"/>
      <c r="Q801" s="238"/>
      <c r="R801" s="238"/>
      <c r="S801" s="238"/>
      <c r="T801" s="238"/>
      <c r="U801" s="238"/>
      <c r="V801" s="240"/>
      <c r="W801" s="240"/>
      <c r="X801" s="238"/>
      <c r="Y801" s="238"/>
      <c r="Z801" s="238"/>
    </row>
    <row r="802" spans="1:26" ht="12.5">
      <c r="A802" s="238"/>
      <c r="B802" s="238"/>
      <c r="C802" s="238"/>
      <c r="D802" s="238"/>
      <c r="E802" s="238"/>
      <c r="F802" s="238"/>
      <c r="G802" s="238"/>
      <c r="H802" s="238"/>
      <c r="I802" s="238"/>
      <c r="J802" s="238"/>
      <c r="K802" s="237"/>
      <c r="L802" s="238"/>
      <c r="M802" s="238"/>
      <c r="N802" s="238"/>
      <c r="O802" s="238"/>
      <c r="P802" s="238"/>
      <c r="Q802" s="238"/>
      <c r="R802" s="238"/>
      <c r="S802" s="238"/>
      <c r="T802" s="238"/>
      <c r="U802" s="238"/>
      <c r="V802" s="240"/>
      <c r="W802" s="240"/>
      <c r="X802" s="238"/>
      <c r="Y802" s="238"/>
      <c r="Z802" s="238"/>
    </row>
    <row r="803" spans="1:26" ht="12.5">
      <c r="A803" s="238"/>
      <c r="B803" s="238"/>
      <c r="C803" s="238"/>
      <c r="D803" s="238"/>
      <c r="E803" s="238"/>
      <c r="F803" s="238"/>
      <c r="G803" s="238"/>
      <c r="H803" s="238"/>
      <c r="I803" s="238"/>
      <c r="J803" s="238"/>
      <c r="K803" s="237"/>
      <c r="L803" s="238"/>
      <c r="M803" s="238"/>
      <c r="N803" s="238"/>
      <c r="O803" s="238"/>
      <c r="P803" s="238"/>
      <c r="Q803" s="238"/>
      <c r="R803" s="238"/>
      <c r="S803" s="238"/>
      <c r="T803" s="238"/>
      <c r="U803" s="238"/>
      <c r="V803" s="240"/>
      <c r="W803" s="240"/>
      <c r="X803" s="238"/>
      <c r="Y803" s="238"/>
      <c r="Z803" s="238"/>
    </row>
    <row r="804" spans="1:26" ht="12.5">
      <c r="A804" s="238"/>
      <c r="B804" s="238"/>
      <c r="C804" s="238"/>
      <c r="D804" s="238"/>
      <c r="E804" s="238"/>
      <c r="F804" s="238"/>
      <c r="G804" s="238"/>
      <c r="H804" s="238"/>
      <c r="I804" s="238"/>
      <c r="J804" s="238"/>
      <c r="K804" s="237"/>
      <c r="L804" s="238"/>
      <c r="M804" s="238"/>
      <c r="N804" s="238"/>
      <c r="O804" s="238"/>
      <c r="P804" s="238"/>
      <c r="Q804" s="238"/>
      <c r="R804" s="238"/>
      <c r="S804" s="238"/>
      <c r="T804" s="238"/>
      <c r="U804" s="238"/>
      <c r="V804" s="240"/>
      <c r="W804" s="240"/>
      <c r="X804" s="238"/>
      <c r="Y804" s="238"/>
      <c r="Z804" s="238"/>
    </row>
    <row r="805" spans="1:26" ht="12.5">
      <c r="A805" s="238"/>
      <c r="B805" s="238"/>
      <c r="C805" s="238"/>
      <c r="D805" s="238"/>
      <c r="E805" s="238"/>
      <c r="F805" s="238"/>
      <c r="G805" s="238"/>
      <c r="H805" s="238"/>
      <c r="I805" s="238"/>
      <c r="J805" s="238"/>
      <c r="K805" s="237"/>
      <c r="L805" s="238"/>
      <c r="M805" s="238"/>
      <c r="N805" s="238"/>
      <c r="O805" s="238"/>
      <c r="P805" s="238"/>
      <c r="Q805" s="238"/>
      <c r="R805" s="238"/>
      <c r="S805" s="238"/>
      <c r="T805" s="238"/>
      <c r="U805" s="238"/>
      <c r="V805" s="240"/>
      <c r="W805" s="240"/>
      <c r="X805" s="238"/>
      <c r="Y805" s="238"/>
      <c r="Z805" s="238"/>
    </row>
    <row r="806" spans="1:26" ht="12.5">
      <c r="A806" s="238"/>
      <c r="B806" s="238"/>
      <c r="C806" s="238"/>
      <c r="D806" s="238"/>
      <c r="E806" s="238"/>
      <c r="F806" s="238"/>
      <c r="G806" s="238"/>
      <c r="H806" s="238"/>
      <c r="I806" s="238"/>
      <c r="J806" s="238"/>
      <c r="K806" s="237"/>
      <c r="L806" s="238"/>
      <c r="M806" s="238"/>
      <c r="N806" s="238"/>
      <c r="O806" s="238"/>
      <c r="P806" s="238"/>
      <c r="Q806" s="238"/>
      <c r="R806" s="238"/>
      <c r="S806" s="238"/>
      <c r="T806" s="238"/>
      <c r="U806" s="238"/>
      <c r="V806" s="240"/>
      <c r="W806" s="240"/>
      <c r="X806" s="238"/>
      <c r="Y806" s="238"/>
      <c r="Z806" s="238"/>
    </row>
    <row r="807" spans="1:26" ht="12.5">
      <c r="A807" s="238"/>
      <c r="B807" s="238"/>
      <c r="C807" s="238"/>
      <c r="D807" s="238"/>
      <c r="E807" s="238"/>
      <c r="F807" s="238"/>
      <c r="G807" s="238"/>
      <c r="H807" s="238"/>
      <c r="I807" s="238"/>
      <c r="J807" s="238"/>
      <c r="K807" s="237"/>
      <c r="L807" s="238"/>
      <c r="M807" s="238"/>
      <c r="N807" s="238"/>
      <c r="O807" s="238"/>
      <c r="P807" s="238"/>
      <c r="Q807" s="238"/>
      <c r="R807" s="238"/>
      <c r="S807" s="238"/>
      <c r="T807" s="238"/>
      <c r="U807" s="238"/>
      <c r="V807" s="240"/>
      <c r="W807" s="240"/>
      <c r="X807" s="238"/>
      <c r="Y807" s="238"/>
      <c r="Z807" s="238"/>
    </row>
    <row r="808" spans="1:26" ht="12.5">
      <c r="A808" s="238"/>
      <c r="B808" s="238"/>
      <c r="C808" s="238"/>
      <c r="D808" s="238"/>
      <c r="E808" s="238"/>
      <c r="F808" s="238"/>
      <c r="G808" s="238"/>
      <c r="H808" s="238"/>
      <c r="I808" s="238"/>
      <c r="J808" s="238"/>
      <c r="K808" s="237"/>
      <c r="L808" s="238"/>
      <c r="M808" s="238"/>
      <c r="N808" s="238"/>
      <c r="O808" s="238"/>
      <c r="P808" s="238"/>
      <c r="Q808" s="238"/>
      <c r="R808" s="238"/>
      <c r="S808" s="238"/>
      <c r="T808" s="238"/>
      <c r="U808" s="238"/>
      <c r="V808" s="240"/>
      <c r="W808" s="240"/>
      <c r="X808" s="238"/>
      <c r="Y808" s="238"/>
      <c r="Z808" s="238"/>
    </row>
    <row r="809" spans="1:26" ht="12.5">
      <c r="A809" s="238"/>
      <c r="B809" s="238"/>
      <c r="C809" s="238"/>
      <c r="D809" s="238"/>
      <c r="E809" s="238"/>
      <c r="F809" s="238"/>
      <c r="G809" s="238"/>
      <c r="H809" s="238"/>
      <c r="I809" s="238"/>
      <c r="J809" s="238"/>
      <c r="K809" s="237"/>
      <c r="L809" s="238"/>
      <c r="M809" s="238"/>
      <c r="N809" s="238"/>
      <c r="O809" s="238"/>
      <c r="P809" s="238"/>
      <c r="Q809" s="238"/>
      <c r="R809" s="238"/>
      <c r="S809" s="238"/>
      <c r="T809" s="238"/>
      <c r="U809" s="238"/>
      <c r="V809" s="240"/>
      <c r="W809" s="240"/>
      <c r="X809" s="238"/>
      <c r="Y809" s="238"/>
      <c r="Z809" s="238"/>
    </row>
    <row r="810" spans="1:26" ht="12.5">
      <c r="A810" s="238"/>
      <c r="B810" s="238"/>
      <c r="C810" s="238"/>
      <c r="D810" s="238"/>
      <c r="E810" s="238"/>
      <c r="F810" s="238"/>
      <c r="G810" s="238"/>
      <c r="H810" s="238"/>
      <c r="I810" s="238"/>
      <c r="J810" s="238"/>
      <c r="K810" s="237"/>
      <c r="L810" s="238"/>
      <c r="M810" s="238"/>
      <c r="N810" s="238"/>
      <c r="O810" s="238"/>
      <c r="P810" s="238"/>
      <c r="Q810" s="238"/>
      <c r="R810" s="238"/>
      <c r="S810" s="238"/>
      <c r="T810" s="238"/>
      <c r="U810" s="238"/>
      <c r="V810" s="240"/>
      <c r="W810" s="240"/>
      <c r="X810" s="238"/>
      <c r="Y810" s="238"/>
      <c r="Z810" s="238"/>
    </row>
    <row r="811" spans="1:26" ht="12.5">
      <c r="A811" s="238"/>
      <c r="B811" s="238"/>
      <c r="C811" s="238"/>
      <c r="D811" s="238"/>
      <c r="E811" s="238"/>
      <c r="F811" s="238"/>
      <c r="G811" s="238"/>
      <c r="H811" s="238"/>
      <c r="I811" s="238"/>
      <c r="J811" s="238"/>
      <c r="K811" s="237"/>
      <c r="L811" s="238"/>
      <c r="M811" s="238"/>
      <c r="N811" s="238"/>
      <c r="O811" s="238"/>
      <c r="P811" s="238"/>
      <c r="Q811" s="238"/>
      <c r="R811" s="238"/>
      <c r="S811" s="238"/>
      <c r="T811" s="238"/>
      <c r="U811" s="238"/>
      <c r="V811" s="240"/>
      <c r="W811" s="240"/>
      <c r="X811" s="238"/>
      <c r="Y811" s="238"/>
      <c r="Z811" s="238"/>
    </row>
    <row r="812" spans="1:26" ht="12.5">
      <c r="A812" s="238"/>
      <c r="B812" s="238"/>
      <c r="C812" s="238"/>
      <c r="D812" s="238"/>
      <c r="E812" s="238"/>
      <c r="F812" s="238"/>
      <c r="G812" s="238"/>
      <c r="H812" s="238"/>
      <c r="I812" s="238"/>
      <c r="J812" s="238"/>
      <c r="K812" s="237"/>
      <c r="L812" s="238"/>
      <c r="M812" s="238"/>
      <c r="N812" s="238"/>
      <c r="O812" s="238"/>
      <c r="P812" s="238"/>
      <c r="Q812" s="238"/>
      <c r="R812" s="238"/>
      <c r="S812" s="238"/>
      <c r="T812" s="238"/>
      <c r="U812" s="238"/>
      <c r="V812" s="240"/>
      <c r="W812" s="240"/>
      <c r="X812" s="238"/>
      <c r="Y812" s="238"/>
      <c r="Z812" s="238"/>
    </row>
    <row r="813" spans="1:26" ht="12.5">
      <c r="A813" s="238"/>
      <c r="B813" s="238"/>
      <c r="C813" s="238"/>
      <c r="D813" s="238"/>
      <c r="E813" s="238"/>
      <c r="F813" s="238"/>
      <c r="G813" s="238"/>
      <c r="H813" s="238"/>
      <c r="I813" s="238"/>
      <c r="J813" s="238"/>
      <c r="K813" s="237"/>
      <c r="L813" s="238"/>
      <c r="M813" s="238"/>
      <c r="N813" s="238"/>
      <c r="O813" s="238"/>
      <c r="P813" s="238"/>
      <c r="Q813" s="238"/>
      <c r="R813" s="238"/>
      <c r="S813" s="238"/>
      <c r="T813" s="238"/>
      <c r="U813" s="238"/>
      <c r="V813" s="240"/>
      <c r="W813" s="240"/>
      <c r="X813" s="238"/>
      <c r="Y813" s="238"/>
      <c r="Z813" s="238"/>
    </row>
    <row r="814" spans="1:26" ht="12.5">
      <c r="A814" s="238"/>
      <c r="B814" s="238"/>
      <c r="C814" s="238"/>
      <c r="D814" s="238"/>
      <c r="E814" s="238"/>
      <c r="F814" s="238"/>
      <c r="G814" s="238"/>
      <c r="H814" s="238"/>
      <c r="I814" s="238"/>
      <c r="J814" s="238"/>
      <c r="K814" s="237"/>
      <c r="L814" s="238"/>
      <c r="M814" s="238"/>
      <c r="N814" s="238"/>
      <c r="O814" s="238"/>
      <c r="P814" s="238"/>
      <c r="Q814" s="238"/>
      <c r="R814" s="238"/>
      <c r="S814" s="238"/>
      <c r="T814" s="238"/>
      <c r="U814" s="238"/>
      <c r="V814" s="240"/>
      <c r="W814" s="240"/>
      <c r="X814" s="238"/>
      <c r="Y814" s="238"/>
      <c r="Z814" s="238"/>
    </row>
    <row r="815" spans="1:26" ht="12.5">
      <c r="A815" s="238"/>
      <c r="B815" s="238"/>
      <c r="C815" s="238"/>
      <c r="D815" s="238"/>
      <c r="E815" s="238"/>
      <c r="F815" s="238"/>
      <c r="G815" s="238"/>
      <c r="H815" s="238"/>
      <c r="I815" s="238"/>
      <c r="J815" s="238"/>
      <c r="K815" s="237"/>
      <c r="L815" s="238"/>
      <c r="M815" s="238"/>
      <c r="N815" s="238"/>
      <c r="O815" s="238"/>
      <c r="P815" s="238"/>
      <c r="Q815" s="238"/>
      <c r="R815" s="238"/>
      <c r="S815" s="238"/>
      <c r="T815" s="238"/>
      <c r="U815" s="238"/>
      <c r="V815" s="240"/>
      <c r="W815" s="240"/>
      <c r="X815" s="238"/>
      <c r="Y815" s="238"/>
      <c r="Z815" s="238"/>
    </row>
    <row r="816" spans="1:26" ht="12.5">
      <c r="A816" s="238"/>
      <c r="B816" s="238"/>
      <c r="C816" s="238"/>
      <c r="D816" s="238"/>
      <c r="E816" s="238"/>
      <c r="F816" s="238"/>
      <c r="G816" s="238"/>
      <c r="H816" s="238"/>
      <c r="I816" s="238"/>
      <c r="J816" s="238"/>
      <c r="K816" s="237"/>
      <c r="L816" s="238"/>
      <c r="M816" s="238"/>
      <c r="N816" s="238"/>
      <c r="O816" s="238"/>
      <c r="P816" s="238"/>
      <c r="Q816" s="238"/>
      <c r="R816" s="238"/>
      <c r="S816" s="238"/>
      <c r="T816" s="238"/>
      <c r="U816" s="238"/>
      <c r="V816" s="240"/>
      <c r="W816" s="240"/>
      <c r="X816" s="238"/>
      <c r="Y816" s="238"/>
      <c r="Z816" s="238"/>
    </row>
    <row r="817" spans="1:26" ht="12.5">
      <c r="A817" s="238"/>
      <c r="B817" s="238"/>
      <c r="C817" s="238"/>
      <c r="D817" s="238"/>
      <c r="E817" s="238"/>
      <c r="F817" s="238"/>
      <c r="G817" s="238"/>
      <c r="H817" s="238"/>
      <c r="I817" s="238"/>
      <c r="J817" s="238"/>
      <c r="K817" s="237"/>
      <c r="L817" s="238"/>
      <c r="M817" s="238"/>
      <c r="N817" s="238"/>
      <c r="O817" s="238"/>
      <c r="P817" s="238"/>
      <c r="Q817" s="238"/>
      <c r="R817" s="238"/>
      <c r="S817" s="238"/>
      <c r="T817" s="238"/>
      <c r="U817" s="238"/>
      <c r="V817" s="240"/>
      <c r="W817" s="240"/>
      <c r="X817" s="238"/>
      <c r="Y817" s="238"/>
      <c r="Z817" s="238"/>
    </row>
    <row r="818" spans="1:26" ht="12.5">
      <c r="A818" s="238"/>
      <c r="B818" s="238"/>
      <c r="C818" s="238"/>
      <c r="D818" s="238"/>
      <c r="E818" s="238"/>
      <c r="F818" s="238"/>
      <c r="G818" s="238"/>
      <c r="H818" s="238"/>
      <c r="I818" s="238"/>
      <c r="J818" s="238"/>
      <c r="K818" s="237"/>
      <c r="L818" s="238"/>
      <c r="M818" s="238"/>
      <c r="N818" s="238"/>
      <c r="O818" s="238"/>
      <c r="P818" s="238"/>
      <c r="Q818" s="238"/>
      <c r="R818" s="238"/>
      <c r="S818" s="238"/>
      <c r="T818" s="238"/>
      <c r="U818" s="238"/>
      <c r="V818" s="240"/>
      <c r="W818" s="240"/>
      <c r="X818" s="238"/>
      <c r="Y818" s="238"/>
      <c r="Z818" s="238"/>
    </row>
    <row r="819" spans="1:26" ht="12.5">
      <c r="A819" s="238"/>
      <c r="B819" s="238"/>
      <c r="C819" s="238"/>
      <c r="D819" s="238"/>
      <c r="E819" s="238"/>
      <c r="F819" s="238"/>
      <c r="G819" s="238"/>
      <c r="H819" s="238"/>
      <c r="I819" s="238"/>
      <c r="J819" s="238"/>
      <c r="K819" s="237"/>
      <c r="L819" s="238"/>
      <c r="M819" s="238"/>
      <c r="N819" s="238"/>
      <c r="O819" s="238"/>
      <c r="P819" s="238"/>
      <c r="Q819" s="238"/>
      <c r="R819" s="238"/>
      <c r="S819" s="238"/>
      <c r="T819" s="238"/>
      <c r="U819" s="238"/>
      <c r="V819" s="240"/>
      <c r="W819" s="240"/>
      <c r="X819" s="238"/>
      <c r="Y819" s="238"/>
      <c r="Z819" s="238"/>
    </row>
    <row r="820" spans="1:26" ht="12.5">
      <c r="A820" s="238"/>
      <c r="B820" s="238"/>
      <c r="C820" s="238"/>
      <c r="D820" s="238"/>
      <c r="E820" s="238"/>
      <c r="F820" s="238"/>
      <c r="G820" s="238"/>
      <c r="H820" s="238"/>
      <c r="I820" s="238"/>
      <c r="J820" s="238"/>
      <c r="K820" s="237"/>
      <c r="L820" s="238"/>
      <c r="M820" s="238"/>
      <c r="N820" s="238"/>
      <c r="O820" s="238"/>
      <c r="P820" s="238"/>
      <c r="Q820" s="238"/>
      <c r="R820" s="238"/>
      <c r="S820" s="238"/>
      <c r="T820" s="238"/>
      <c r="U820" s="238"/>
      <c r="V820" s="240"/>
      <c r="W820" s="240"/>
      <c r="X820" s="238"/>
      <c r="Y820" s="238"/>
      <c r="Z820" s="238"/>
    </row>
    <row r="821" spans="1:26" ht="12.5">
      <c r="A821" s="238"/>
      <c r="B821" s="238"/>
      <c r="C821" s="238"/>
      <c r="D821" s="238"/>
      <c r="E821" s="238"/>
      <c r="F821" s="238"/>
      <c r="G821" s="238"/>
      <c r="H821" s="238"/>
      <c r="I821" s="238"/>
      <c r="J821" s="238"/>
      <c r="K821" s="237"/>
      <c r="L821" s="238"/>
      <c r="M821" s="238"/>
      <c r="N821" s="238"/>
      <c r="O821" s="238"/>
      <c r="P821" s="238"/>
      <c r="Q821" s="238"/>
      <c r="R821" s="238"/>
      <c r="S821" s="238"/>
      <c r="T821" s="238"/>
      <c r="U821" s="238"/>
      <c r="V821" s="240"/>
      <c r="W821" s="240"/>
      <c r="X821" s="238"/>
      <c r="Y821" s="238"/>
      <c r="Z821" s="238"/>
    </row>
    <row r="822" spans="1:26" ht="12.5">
      <c r="A822" s="238"/>
      <c r="B822" s="238"/>
      <c r="C822" s="238"/>
      <c r="D822" s="238"/>
      <c r="E822" s="238"/>
      <c r="F822" s="238"/>
      <c r="G822" s="238"/>
      <c r="H822" s="238"/>
      <c r="I822" s="238"/>
      <c r="J822" s="238"/>
      <c r="K822" s="237"/>
      <c r="L822" s="238"/>
      <c r="M822" s="238"/>
      <c r="N822" s="238"/>
      <c r="O822" s="238"/>
      <c r="P822" s="238"/>
      <c r="Q822" s="238"/>
      <c r="R822" s="238"/>
      <c r="S822" s="238"/>
      <c r="T822" s="238"/>
      <c r="U822" s="238"/>
      <c r="V822" s="240"/>
      <c r="W822" s="240"/>
      <c r="X822" s="238"/>
      <c r="Y822" s="238"/>
      <c r="Z822" s="238"/>
    </row>
    <row r="823" spans="1:26" ht="12.5">
      <c r="A823" s="238"/>
      <c r="B823" s="238"/>
      <c r="C823" s="238"/>
      <c r="D823" s="238"/>
      <c r="E823" s="238"/>
      <c r="F823" s="238"/>
      <c r="G823" s="238"/>
      <c r="H823" s="238"/>
      <c r="I823" s="238"/>
      <c r="J823" s="238"/>
      <c r="K823" s="237"/>
      <c r="L823" s="238"/>
      <c r="M823" s="238"/>
      <c r="N823" s="238"/>
      <c r="O823" s="238"/>
      <c r="P823" s="238"/>
      <c r="Q823" s="238"/>
      <c r="R823" s="238"/>
      <c r="S823" s="238"/>
      <c r="T823" s="238"/>
      <c r="U823" s="238"/>
      <c r="V823" s="240"/>
      <c r="W823" s="240"/>
      <c r="X823" s="238"/>
      <c r="Y823" s="238"/>
      <c r="Z823" s="238"/>
    </row>
    <row r="824" spans="1:26" ht="12.5">
      <c r="A824" s="238"/>
      <c r="B824" s="238"/>
      <c r="C824" s="238"/>
      <c r="D824" s="238"/>
      <c r="E824" s="238"/>
      <c r="F824" s="238"/>
      <c r="G824" s="238"/>
      <c r="H824" s="238"/>
      <c r="I824" s="238"/>
      <c r="J824" s="238"/>
      <c r="K824" s="237"/>
      <c r="L824" s="238"/>
      <c r="M824" s="238"/>
      <c r="N824" s="238"/>
      <c r="O824" s="238"/>
      <c r="P824" s="238"/>
      <c r="Q824" s="238"/>
      <c r="R824" s="238"/>
      <c r="S824" s="238"/>
      <c r="T824" s="238"/>
      <c r="U824" s="238"/>
      <c r="V824" s="240"/>
      <c r="W824" s="240"/>
      <c r="X824" s="238"/>
      <c r="Y824" s="238"/>
      <c r="Z824" s="238"/>
    </row>
    <row r="825" spans="1:26" ht="12.5">
      <c r="A825" s="238"/>
      <c r="B825" s="238"/>
      <c r="C825" s="238"/>
      <c r="D825" s="238"/>
      <c r="E825" s="238"/>
      <c r="F825" s="238"/>
      <c r="G825" s="238"/>
      <c r="H825" s="238"/>
      <c r="I825" s="238"/>
      <c r="J825" s="238"/>
      <c r="K825" s="237"/>
      <c r="L825" s="238"/>
      <c r="M825" s="238"/>
      <c r="N825" s="238"/>
      <c r="O825" s="238"/>
      <c r="P825" s="238"/>
      <c r="Q825" s="238"/>
      <c r="R825" s="238"/>
      <c r="S825" s="238"/>
      <c r="T825" s="238"/>
      <c r="U825" s="238"/>
      <c r="V825" s="240"/>
      <c r="W825" s="240"/>
      <c r="X825" s="238"/>
      <c r="Y825" s="238"/>
      <c r="Z825" s="238"/>
    </row>
    <row r="826" spans="1:26" ht="12.5">
      <c r="A826" s="238"/>
      <c r="B826" s="238"/>
      <c r="C826" s="238"/>
      <c r="D826" s="238"/>
      <c r="E826" s="238"/>
      <c r="F826" s="238"/>
      <c r="G826" s="238"/>
      <c r="H826" s="238"/>
      <c r="I826" s="238"/>
      <c r="J826" s="238"/>
      <c r="K826" s="237"/>
      <c r="L826" s="238"/>
      <c r="M826" s="238"/>
      <c r="N826" s="238"/>
      <c r="O826" s="238"/>
      <c r="P826" s="238"/>
      <c r="Q826" s="238"/>
      <c r="R826" s="238"/>
      <c r="S826" s="238"/>
      <c r="T826" s="238"/>
      <c r="U826" s="238"/>
      <c r="V826" s="240"/>
      <c r="W826" s="240"/>
      <c r="X826" s="238"/>
      <c r="Y826" s="238"/>
      <c r="Z826" s="238"/>
    </row>
    <row r="827" spans="1:26" ht="12.5">
      <c r="A827" s="238"/>
      <c r="B827" s="238"/>
      <c r="C827" s="238"/>
      <c r="D827" s="238"/>
      <c r="E827" s="238"/>
      <c r="F827" s="238"/>
      <c r="G827" s="238"/>
      <c r="H827" s="238"/>
      <c r="I827" s="238"/>
      <c r="J827" s="238"/>
      <c r="K827" s="237"/>
      <c r="L827" s="238"/>
      <c r="M827" s="238"/>
      <c r="N827" s="238"/>
      <c r="O827" s="238"/>
      <c r="P827" s="238"/>
      <c r="Q827" s="238"/>
      <c r="R827" s="238"/>
      <c r="S827" s="238"/>
      <c r="T827" s="238"/>
      <c r="U827" s="238"/>
      <c r="V827" s="240"/>
      <c r="W827" s="240"/>
      <c r="X827" s="238"/>
      <c r="Y827" s="238"/>
      <c r="Z827" s="238"/>
    </row>
    <row r="828" spans="1:26" ht="12.5">
      <c r="A828" s="238"/>
      <c r="B828" s="238"/>
      <c r="C828" s="238"/>
      <c r="D828" s="238"/>
      <c r="E828" s="238"/>
      <c r="F828" s="238"/>
      <c r="G828" s="238"/>
      <c r="H828" s="238"/>
      <c r="I828" s="238"/>
      <c r="J828" s="238"/>
      <c r="K828" s="237"/>
      <c r="L828" s="238"/>
      <c r="M828" s="238"/>
      <c r="N828" s="238"/>
      <c r="O828" s="238"/>
      <c r="P828" s="238"/>
      <c r="Q828" s="238"/>
      <c r="R828" s="238"/>
      <c r="S828" s="238"/>
      <c r="T828" s="238"/>
      <c r="U828" s="238"/>
      <c r="V828" s="240"/>
      <c r="W828" s="240"/>
      <c r="X828" s="238"/>
      <c r="Y828" s="238"/>
      <c r="Z828" s="238"/>
    </row>
    <row r="829" spans="1:26" ht="12.5">
      <c r="A829" s="238"/>
      <c r="B829" s="238"/>
      <c r="C829" s="238"/>
      <c r="D829" s="238"/>
      <c r="E829" s="238"/>
      <c r="F829" s="238"/>
      <c r="G829" s="238"/>
      <c r="H829" s="238"/>
      <c r="I829" s="238"/>
      <c r="J829" s="238"/>
      <c r="K829" s="237"/>
      <c r="L829" s="238"/>
      <c r="M829" s="238"/>
      <c r="N829" s="238"/>
      <c r="O829" s="238"/>
      <c r="P829" s="238"/>
      <c r="Q829" s="238"/>
      <c r="R829" s="238"/>
      <c r="S829" s="238"/>
      <c r="T829" s="238"/>
      <c r="U829" s="238"/>
      <c r="V829" s="240"/>
      <c r="W829" s="240"/>
      <c r="X829" s="238"/>
      <c r="Y829" s="238"/>
      <c r="Z829" s="238"/>
    </row>
    <row r="830" spans="1:26" ht="12.5">
      <c r="A830" s="238"/>
      <c r="B830" s="238"/>
      <c r="C830" s="238"/>
      <c r="D830" s="238"/>
      <c r="E830" s="238"/>
      <c r="F830" s="238"/>
      <c r="G830" s="238"/>
      <c r="H830" s="238"/>
      <c r="I830" s="238"/>
      <c r="J830" s="238"/>
      <c r="K830" s="237"/>
      <c r="L830" s="238"/>
      <c r="M830" s="238"/>
      <c r="N830" s="238"/>
      <c r="O830" s="238"/>
      <c r="P830" s="238"/>
      <c r="Q830" s="238"/>
      <c r="R830" s="238"/>
      <c r="S830" s="238"/>
      <c r="T830" s="238"/>
      <c r="U830" s="238"/>
      <c r="V830" s="240"/>
      <c r="W830" s="240"/>
      <c r="X830" s="238"/>
      <c r="Y830" s="238"/>
      <c r="Z830" s="238"/>
    </row>
    <row r="831" spans="1:26" ht="12.5">
      <c r="A831" s="238"/>
      <c r="B831" s="238"/>
      <c r="C831" s="238"/>
      <c r="D831" s="238"/>
      <c r="E831" s="238"/>
      <c r="F831" s="238"/>
      <c r="G831" s="238"/>
      <c r="H831" s="238"/>
      <c r="I831" s="238"/>
      <c r="J831" s="238"/>
      <c r="K831" s="237"/>
      <c r="L831" s="238"/>
      <c r="M831" s="238"/>
      <c r="N831" s="238"/>
      <c r="O831" s="238"/>
      <c r="P831" s="238"/>
      <c r="Q831" s="238"/>
      <c r="R831" s="238"/>
      <c r="S831" s="238"/>
      <c r="T831" s="238"/>
      <c r="U831" s="238"/>
      <c r="V831" s="240"/>
      <c r="W831" s="240"/>
      <c r="X831" s="238"/>
      <c r="Y831" s="238"/>
      <c r="Z831" s="238"/>
    </row>
    <row r="832" spans="1:26" ht="12.5">
      <c r="A832" s="238"/>
      <c r="B832" s="238"/>
      <c r="C832" s="238"/>
      <c r="D832" s="238"/>
      <c r="E832" s="238"/>
      <c r="F832" s="238"/>
      <c r="G832" s="238"/>
      <c r="H832" s="238"/>
      <c r="I832" s="238"/>
      <c r="J832" s="238"/>
      <c r="K832" s="237"/>
      <c r="L832" s="238"/>
      <c r="M832" s="238"/>
      <c r="N832" s="238"/>
      <c r="O832" s="238"/>
      <c r="P832" s="238"/>
      <c r="Q832" s="238"/>
      <c r="R832" s="238"/>
      <c r="S832" s="238"/>
      <c r="T832" s="238"/>
      <c r="U832" s="238"/>
      <c r="V832" s="240"/>
      <c r="W832" s="240"/>
      <c r="X832" s="238"/>
      <c r="Y832" s="238"/>
      <c r="Z832" s="238"/>
    </row>
    <row r="833" spans="1:26" ht="12.5">
      <c r="A833" s="238"/>
      <c r="B833" s="238"/>
      <c r="C833" s="238"/>
      <c r="D833" s="238"/>
      <c r="E833" s="238"/>
      <c r="F833" s="238"/>
      <c r="G833" s="238"/>
      <c r="H833" s="238"/>
      <c r="I833" s="238"/>
      <c r="J833" s="238"/>
      <c r="K833" s="237"/>
      <c r="L833" s="238"/>
      <c r="M833" s="238"/>
      <c r="N833" s="238"/>
      <c r="O833" s="238"/>
      <c r="P833" s="238"/>
      <c r="Q833" s="238"/>
      <c r="R833" s="238"/>
      <c r="S833" s="238"/>
      <c r="T833" s="238"/>
      <c r="U833" s="238"/>
      <c r="V833" s="240"/>
      <c r="W833" s="240"/>
      <c r="X833" s="238"/>
      <c r="Y833" s="238"/>
      <c r="Z833" s="238"/>
    </row>
    <row r="834" spans="1:26" ht="12.5">
      <c r="A834" s="238"/>
      <c r="B834" s="238"/>
      <c r="C834" s="238"/>
      <c r="D834" s="238"/>
      <c r="E834" s="238"/>
      <c r="F834" s="238"/>
      <c r="G834" s="238"/>
      <c r="H834" s="238"/>
      <c r="I834" s="238"/>
      <c r="J834" s="238"/>
      <c r="K834" s="237"/>
      <c r="L834" s="238"/>
      <c r="M834" s="238"/>
      <c r="N834" s="238"/>
      <c r="O834" s="238"/>
      <c r="P834" s="238"/>
      <c r="Q834" s="238"/>
      <c r="R834" s="238"/>
      <c r="S834" s="238"/>
      <c r="T834" s="238"/>
      <c r="U834" s="238"/>
      <c r="V834" s="240"/>
      <c r="W834" s="240"/>
      <c r="X834" s="238"/>
      <c r="Y834" s="238"/>
      <c r="Z834" s="238"/>
    </row>
    <row r="835" spans="1:26" ht="12.5">
      <c r="A835" s="238"/>
      <c r="B835" s="238"/>
      <c r="C835" s="238"/>
      <c r="D835" s="238"/>
      <c r="E835" s="238"/>
      <c r="F835" s="238"/>
      <c r="G835" s="238"/>
      <c r="H835" s="238"/>
      <c r="I835" s="238"/>
      <c r="J835" s="238"/>
      <c r="K835" s="237"/>
      <c r="L835" s="238"/>
      <c r="M835" s="238"/>
      <c r="N835" s="238"/>
      <c r="O835" s="238"/>
      <c r="P835" s="238"/>
      <c r="Q835" s="238"/>
      <c r="R835" s="238"/>
      <c r="S835" s="238"/>
      <c r="T835" s="238"/>
      <c r="U835" s="238"/>
      <c r="V835" s="240"/>
      <c r="W835" s="240"/>
      <c r="X835" s="238"/>
      <c r="Y835" s="238"/>
      <c r="Z835" s="238"/>
    </row>
    <row r="836" spans="1:26" ht="12.5">
      <c r="A836" s="238"/>
      <c r="B836" s="238"/>
      <c r="C836" s="238"/>
      <c r="D836" s="238"/>
      <c r="E836" s="238"/>
      <c r="F836" s="238"/>
      <c r="G836" s="238"/>
      <c r="H836" s="238"/>
      <c r="I836" s="238"/>
      <c r="J836" s="238"/>
      <c r="K836" s="237"/>
      <c r="L836" s="238"/>
      <c r="M836" s="238"/>
      <c r="N836" s="238"/>
      <c r="O836" s="238"/>
      <c r="P836" s="238"/>
      <c r="Q836" s="238"/>
      <c r="R836" s="238"/>
      <c r="S836" s="238"/>
      <c r="T836" s="238"/>
      <c r="U836" s="238"/>
      <c r="V836" s="240"/>
      <c r="W836" s="240"/>
      <c r="X836" s="238"/>
      <c r="Y836" s="238"/>
      <c r="Z836" s="238"/>
    </row>
    <row r="837" spans="1:26" ht="12.5">
      <c r="A837" s="238"/>
      <c r="B837" s="238"/>
      <c r="C837" s="238"/>
      <c r="D837" s="238"/>
      <c r="E837" s="238"/>
      <c r="F837" s="238"/>
      <c r="G837" s="238"/>
      <c r="H837" s="238"/>
      <c r="I837" s="238"/>
      <c r="J837" s="238"/>
      <c r="K837" s="237"/>
      <c r="L837" s="238"/>
      <c r="M837" s="238"/>
      <c r="N837" s="238"/>
      <c r="O837" s="238"/>
      <c r="P837" s="238"/>
      <c r="Q837" s="238"/>
      <c r="R837" s="238"/>
      <c r="S837" s="238"/>
      <c r="T837" s="238"/>
      <c r="U837" s="238"/>
      <c r="V837" s="240"/>
      <c r="W837" s="240"/>
      <c r="X837" s="238"/>
      <c r="Y837" s="238"/>
      <c r="Z837" s="238"/>
    </row>
    <row r="838" spans="1:26" ht="12.5">
      <c r="A838" s="238"/>
      <c r="B838" s="238"/>
      <c r="C838" s="238"/>
      <c r="D838" s="238"/>
      <c r="E838" s="238"/>
      <c r="F838" s="238"/>
      <c r="G838" s="238"/>
      <c r="H838" s="238"/>
      <c r="I838" s="238"/>
      <c r="J838" s="238"/>
      <c r="K838" s="237"/>
      <c r="L838" s="238"/>
      <c r="M838" s="238"/>
      <c r="N838" s="238"/>
      <c r="O838" s="238"/>
      <c r="P838" s="238"/>
      <c r="Q838" s="238"/>
      <c r="R838" s="238"/>
      <c r="S838" s="238"/>
      <c r="T838" s="238"/>
      <c r="U838" s="238"/>
      <c r="V838" s="240"/>
      <c r="W838" s="240"/>
      <c r="X838" s="238"/>
      <c r="Y838" s="238"/>
      <c r="Z838" s="238"/>
    </row>
    <row r="839" spans="1:26" ht="12.5">
      <c r="A839" s="238"/>
      <c r="B839" s="238"/>
      <c r="C839" s="238"/>
      <c r="D839" s="238"/>
      <c r="E839" s="238"/>
      <c r="F839" s="238"/>
      <c r="G839" s="238"/>
      <c r="H839" s="238"/>
      <c r="I839" s="238"/>
      <c r="J839" s="238"/>
      <c r="K839" s="237"/>
      <c r="L839" s="238"/>
      <c r="M839" s="238"/>
      <c r="N839" s="238"/>
      <c r="O839" s="238"/>
      <c r="P839" s="238"/>
      <c r="Q839" s="238"/>
      <c r="R839" s="238"/>
      <c r="S839" s="238"/>
      <c r="T839" s="238"/>
      <c r="U839" s="238"/>
      <c r="V839" s="240"/>
      <c r="W839" s="240"/>
      <c r="X839" s="238"/>
      <c r="Y839" s="238"/>
      <c r="Z839" s="238"/>
    </row>
    <row r="840" spans="1:26" ht="12.5">
      <c r="A840" s="238"/>
      <c r="B840" s="238"/>
      <c r="C840" s="238"/>
      <c r="D840" s="238"/>
      <c r="E840" s="238"/>
      <c r="F840" s="238"/>
      <c r="G840" s="238"/>
      <c r="H840" s="238"/>
      <c r="I840" s="238"/>
      <c r="J840" s="238"/>
      <c r="K840" s="237"/>
      <c r="L840" s="238"/>
      <c r="M840" s="238"/>
      <c r="N840" s="238"/>
      <c r="O840" s="238"/>
      <c r="P840" s="238"/>
      <c r="Q840" s="238"/>
      <c r="R840" s="238"/>
      <c r="S840" s="238"/>
      <c r="T840" s="238"/>
      <c r="U840" s="238"/>
      <c r="V840" s="240"/>
      <c r="W840" s="240"/>
      <c r="X840" s="238"/>
      <c r="Y840" s="238"/>
      <c r="Z840" s="238"/>
    </row>
    <row r="841" spans="1:26" ht="12.5">
      <c r="A841" s="238"/>
      <c r="B841" s="238"/>
      <c r="C841" s="238"/>
      <c r="D841" s="238"/>
      <c r="E841" s="238"/>
      <c r="F841" s="238"/>
      <c r="G841" s="238"/>
      <c r="H841" s="238"/>
      <c r="I841" s="238"/>
      <c r="J841" s="238"/>
      <c r="K841" s="237"/>
      <c r="L841" s="238"/>
      <c r="M841" s="238"/>
      <c r="N841" s="238"/>
      <c r="O841" s="238"/>
      <c r="P841" s="238"/>
      <c r="Q841" s="238"/>
      <c r="R841" s="238"/>
      <c r="S841" s="238"/>
      <c r="T841" s="238"/>
      <c r="U841" s="238"/>
      <c r="V841" s="240"/>
      <c r="W841" s="240"/>
      <c r="X841" s="238"/>
      <c r="Y841" s="238"/>
      <c r="Z841" s="238"/>
    </row>
    <row r="842" spans="1:26" ht="12.5">
      <c r="A842" s="238"/>
      <c r="B842" s="238"/>
      <c r="C842" s="238"/>
      <c r="D842" s="238"/>
      <c r="E842" s="238"/>
      <c r="F842" s="238"/>
      <c r="G842" s="238"/>
      <c r="H842" s="238"/>
      <c r="I842" s="238"/>
      <c r="J842" s="238"/>
      <c r="K842" s="237"/>
      <c r="L842" s="238"/>
      <c r="M842" s="238"/>
      <c r="N842" s="238"/>
      <c r="O842" s="238"/>
      <c r="P842" s="238"/>
      <c r="Q842" s="238"/>
      <c r="R842" s="238"/>
      <c r="S842" s="238"/>
      <c r="T842" s="238"/>
      <c r="U842" s="238"/>
      <c r="V842" s="240"/>
      <c r="W842" s="240"/>
      <c r="X842" s="238"/>
      <c r="Y842" s="238"/>
      <c r="Z842" s="238"/>
    </row>
    <row r="843" spans="1:26" ht="12.5">
      <c r="A843" s="238"/>
      <c r="B843" s="238"/>
      <c r="C843" s="238"/>
      <c r="D843" s="238"/>
      <c r="E843" s="238"/>
      <c r="F843" s="238"/>
      <c r="G843" s="238"/>
      <c r="H843" s="238"/>
      <c r="I843" s="238"/>
      <c r="J843" s="238"/>
      <c r="K843" s="237"/>
      <c r="L843" s="238"/>
      <c r="M843" s="238"/>
      <c r="N843" s="238"/>
      <c r="O843" s="238"/>
      <c r="P843" s="238"/>
      <c r="Q843" s="238"/>
      <c r="R843" s="238"/>
      <c r="S843" s="238"/>
      <c r="T843" s="238"/>
      <c r="U843" s="238"/>
      <c r="V843" s="240"/>
      <c r="W843" s="240"/>
      <c r="X843" s="238"/>
      <c r="Y843" s="238"/>
      <c r="Z843" s="238"/>
    </row>
    <row r="844" spans="1:26" ht="12.5">
      <c r="A844" s="238"/>
      <c r="B844" s="238"/>
      <c r="C844" s="238"/>
      <c r="D844" s="238"/>
      <c r="E844" s="238"/>
      <c r="F844" s="238"/>
      <c r="G844" s="238"/>
      <c r="H844" s="238"/>
      <c r="I844" s="238"/>
      <c r="J844" s="238"/>
      <c r="K844" s="237"/>
      <c r="L844" s="238"/>
      <c r="M844" s="238"/>
      <c r="N844" s="238"/>
      <c r="O844" s="238"/>
      <c r="P844" s="238"/>
      <c r="Q844" s="238"/>
      <c r="R844" s="238"/>
      <c r="S844" s="238"/>
      <c r="T844" s="238"/>
      <c r="U844" s="238"/>
      <c r="V844" s="240"/>
      <c r="W844" s="240"/>
      <c r="X844" s="238"/>
      <c r="Y844" s="238"/>
      <c r="Z844" s="238"/>
    </row>
    <row r="845" spans="1:26" ht="12.5">
      <c r="A845" s="238"/>
      <c r="B845" s="238"/>
      <c r="C845" s="238"/>
      <c r="D845" s="238"/>
      <c r="E845" s="238"/>
      <c r="F845" s="238"/>
      <c r="G845" s="238"/>
      <c r="H845" s="238"/>
      <c r="I845" s="238"/>
      <c r="J845" s="238"/>
      <c r="K845" s="237"/>
      <c r="L845" s="238"/>
      <c r="M845" s="238"/>
      <c r="N845" s="238"/>
      <c r="O845" s="238"/>
      <c r="P845" s="238"/>
      <c r="Q845" s="238"/>
      <c r="R845" s="238"/>
      <c r="S845" s="238"/>
      <c r="T845" s="238"/>
      <c r="U845" s="238"/>
      <c r="V845" s="240"/>
      <c r="W845" s="240"/>
      <c r="X845" s="238"/>
      <c r="Y845" s="238"/>
      <c r="Z845" s="238"/>
    </row>
    <row r="846" spans="1:26" ht="12.5">
      <c r="A846" s="238"/>
      <c r="B846" s="238"/>
      <c r="C846" s="238"/>
      <c r="D846" s="238"/>
      <c r="E846" s="238"/>
      <c r="F846" s="238"/>
      <c r="G846" s="238"/>
      <c r="H846" s="238"/>
      <c r="I846" s="238"/>
      <c r="J846" s="238"/>
      <c r="K846" s="237"/>
      <c r="L846" s="238"/>
      <c r="M846" s="238"/>
      <c r="N846" s="238"/>
      <c r="O846" s="238"/>
      <c r="P846" s="238"/>
      <c r="Q846" s="238"/>
      <c r="R846" s="238"/>
      <c r="S846" s="238"/>
      <c r="T846" s="238"/>
      <c r="U846" s="238"/>
      <c r="V846" s="240"/>
      <c r="W846" s="240"/>
      <c r="X846" s="238"/>
      <c r="Y846" s="238"/>
      <c r="Z846" s="238"/>
    </row>
    <row r="847" spans="1:26" ht="12.5">
      <c r="A847" s="238"/>
      <c r="B847" s="238"/>
      <c r="C847" s="238"/>
      <c r="D847" s="238"/>
      <c r="E847" s="238"/>
      <c r="F847" s="238"/>
      <c r="G847" s="238"/>
      <c r="H847" s="238"/>
      <c r="I847" s="238"/>
      <c r="J847" s="238"/>
      <c r="K847" s="237"/>
      <c r="L847" s="238"/>
      <c r="M847" s="238"/>
      <c r="N847" s="238"/>
      <c r="O847" s="238"/>
      <c r="P847" s="238"/>
      <c r="Q847" s="238"/>
      <c r="R847" s="238"/>
      <c r="S847" s="238"/>
      <c r="T847" s="238"/>
      <c r="U847" s="238"/>
      <c r="V847" s="240"/>
      <c r="W847" s="240"/>
      <c r="X847" s="238"/>
      <c r="Y847" s="238"/>
      <c r="Z847" s="238"/>
    </row>
    <row r="848" spans="1:26" ht="12.5">
      <c r="A848" s="238"/>
      <c r="B848" s="238"/>
      <c r="C848" s="238"/>
      <c r="D848" s="238"/>
      <c r="E848" s="238"/>
      <c r="F848" s="238"/>
      <c r="G848" s="238"/>
      <c r="H848" s="238"/>
      <c r="I848" s="238"/>
      <c r="J848" s="238"/>
      <c r="K848" s="237"/>
      <c r="L848" s="238"/>
      <c r="M848" s="238"/>
      <c r="N848" s="238"/>
      <c r="O848" s="238"/>
      <c r="P848" s="238"/>
      <c r="Q848" s="238"/>
      <c r="R848" s="238"/>
      <c r="S848" s="238"/>
      <c r="T848" s="238"/>
      <c r="U848" s="238"/>
      <c r="V848" s="240"/>
      <c r="W848" s="240"/>
      <c r="X848" s="238"/>
      <c r="Y848" s="238"/>
      <c r="Z848" s="238"/>
    </row>
    <row r="849" spans="1:26" ht="12.5">
      <c r="A849" s="238"/>
      <c r="B849" s="238"/>
      <c r="C849" s="238"/>
      <c r="D849" s="238"/>
      <c r="E849" s="238"/>
      <c r="F849" s="238"/>
      <c r="G849" s="238"/>
      <c r="H849" s="238"/>
      <c r="I849" s="238"/>
      <c r="J849" s="238"/>
      <c r="K849" s="237"/>
      <c r="L849" s="238"/>
      <c r="M849" s="238"/>
      <c r="N849" s="238"/>
      <c r="O849" s="238"/>
      <c r="P849" s="238"/>
      <c r="Q849" s="238"/>
      <c r="R849" s="238"/>
      <c r="S849" s="238"/>
      <c r="T849" s="238"/>
      <c r="U849" s="238"/>
      <c r="V849" s="240"/>
      <c r="W849" s="240"/>
      <c r="X849" s="238"/>
      <c r="Y849" s="238"/>
      <c r="Z849" s="238"/>
    </row>
    <row r="850" spans="1:26" ht="12.5">
      <c r="A850" s="238"/>
      <c r="B850" s="238"/>
      <c r="C850" s="238"/>
      <c r="D850" s="238"/>
      <c r="E850" s="238"/>
      <c r="F850" s="238"/>
      <c r="G850" s="238"/>
      <c r="H850" s="238"/>
      <c r="I850" s="238"/>
      <c r="J850" s="238"/>
      <c r="K850" s="237"/>
      <c r="L850" s="238"/>
      <c r="M850" s="238"/>
      <c r="N850" s="238"/>
      <c r="O850" s="238"/>
      <c r="P850" s="238"/>
      <c r="Q850" s="238"/>
      <c r="R850" s="238"/>
      <c r="S850" s="238"/>
      <c r="T850" s="238"/>
      <c r="U850" s="238"/>
      <c r="V850" s="240"/>
      <c r="W850" s="240"/>
      <c r="X850" s="238"/>
      <c r="Y850" s="238"/>
      <c r="Z850" s="238"/>
    </row>
    <row r="851" spans="1:26" ht="12.5">
      <c r="A851" s="238"/>
      <c r="B851" s="238"/>
      <c r="C851" s="238"/>
      <c r="D851" s="238"/>
      <c r="E851" s="238"/>
      <c r="F851" s="238"/>
      <c r="G851" s="238"/>
      <c r="H851" s="238"/>
      <c r="I851" s="238"/>
      <c r="J851" s="238"/>
      <c r="K851" s="237"/>
      <c r="L851" s="238"/>
      <c r="M851" s="238"/>
      <c r="N851" s="238"/>
      <c r="O851" s="238"/>
      <c r="P851" s="238"/>
      <c r="Q851" s="238"/>
      <c r="R851" s="238"/>
      <c r="S851" s="238"/>
      <c r="T851" s="238"/>
      <c r="U851" s="238"/>
      <c r="V851" s="240"/>
      <c r="W851" s="240"/>
      <c r="X851" s="238"/>
      <c r="Y851" s="238"/>
      <c r="Z851" s="238"/>
    </row>
    <row r="852" spans="1:26" ht="12.5">
      <c r="A852" s="238"/>
      <c r="B852" s="238"/>
      <c r="C852" s="238"/>
      <c r="D852" s="238"/>
      <c r="E852" s="238"/>
      <c r="F852" s="238"/>
      <c r="G852" s="238"/>
      <c r="H852" s="238"/>
      <c r="I852" s="238"/>
      <c r="J852" s="238"/>
      <c r="K852" s="237"/>
      <c r="L852" s="238"/>
      <c r="M852" s="238"/>
      <c r="N852" s="238"/>
      <c r="O852" s="238"/>
      <c r="P852" s="238"/>
      <c r="Q852" s="238"/>
      <c r="R852" s="238"/>
      <c r="S852" s="238"/>
      <c r="T852" s="238"/>
      <c r="U852" s="238"/>
      <c r="V852" s="240"/>
      <c r="W852" s="240"/>
      <c r="X852" s="238"/>
      <c r="Y852" s="238"/>
      <c r="Z852" s="238"/>
    </row>
    <row r="853" spans="1:26" ht="12.5">
      <c r="A853" s="238"/>
      <c r="B853" s="238"/>
      <c r="C853" s="238"/>
      <c r="D853" s="238"/>
      <c r="E853" s="238"/>
      <c r="F853" s="238"/>
      <c r="G853" s="238"/>
      <c r="H853" s="238"/>
      <c r="I853" s="238"/>
      <c r="J853" s="238"/>
      <c r="K853" s="237"/>
      <c r="L853" s="238"/>
      <c r="M853" s="238"/>
      <c r="N853" s="238"/>
      <c r="O853" s="238"/>
      <c r="P853" s="238"/>
      <c r="Q853" s="238"/>
      <c r="R853" s="238"/>
      <c r="S853" s="238"/>
      <c r="T853" s="238"/>
      <c r="U853" s="238"/>
      <c r="V853" s="240"/>
      <c r="W853" s="240"/>
      <c r="X853" s="238"/>
      <c r="Y853" s="238"/>
      <c r="Z853" s="238"/>
    </row>
    <row r="854" spans="1:26" ht="12.5">
      <c r="A854" s="238"/>
      <c r="B854" s="238"/>
      <c r="C854" s="238"/>
      <c r="D854" s="238"/>
      <c r="E854" s="238"/>
      <c r="F854" s="238"/>
      <c r="G854" s="238"/>
      <c r="H854" s="238"/>
      <c r="I854" s="238"/>
      <c r="J854" s="238"/>
      <c r="K854" s="237"/>
      <c r="L854" s="238"/>
      <c r="M854" s="238"/>
      <c r="N854" s="238"/>
      <c r="O854" s="238"/>
      <c r="P854" s="238"/>
      <c r="Q854" s="238"/>
      <c r="R854" s="238"/>
      <c r="S854" s="238"/>
      <c r="T854" s="238"/>
      <c r="U854" s="238"/>
      <c r="V854" s="240"/>
      <c r="W854" s="240"/>
      <c r="X854" s="238"/>
      <c r="Y854" s="238"/>
      <c r="Z854" s="238"/>
    </row>
    <row r="855" spans="1:26" ht="12.5">
      <c r="A855" s="238"/>
      <c r="B855" s="238"/>
      <c r="C855" s="238"/>
      <c r="D855" s="238"/>
      <c r="E855" s="238"/>
      <c r="F855" s="238"/>
      <c r="G855" s="238"/>
      <c r="H855" s="238"/>
      <c r="I855" s="238"/>
      <c r="J855" s="238"/>
      <c r="K855" s="237"/>
      <c r="L855" s="238"/>
      <c r="M855" s="238"/>
      <c r="N855" s="238"/>
      <c r="O855" s="238"/>
      <c r="P855" s="238"/>
      <c r="Q855" s="238"/>
      <c r="R855" s="238"/>
      <c r="S855" s="238"/>
      <c r="T855" s="238"/>
      <c r="U855" s="238"/>
      <c r="V855" s="240"/>
      <c r="W855" s="240"/>
      <c r="X855" s="238"/>
      <c r="Y855" s="238"/>
      <c r="Z855" s="238"/>
    </row>
    <row r="856" spans="1:26" ht="12.5">
      <c r="A856" s="238"/>
      <c r="B856" s="238"/>
      <c r="C856" s="238"/>
      <c r="D856" s="238"/>
      <c r="E856" s="238"/>
      <c r="F856" s="238"/>
      <c r="G856" s="238"/>
      <c r="H856" s="238"/>
      <c r="I856" s="238"/>
      <c r="J856" s="238"/>
      <c r="K856" s="237"/>
      <c r="L856" s="238"/>
      <c r="M856" s="238"/>
      <c r="N856" s="238"/>
      <c r="O856" s="238"/>
      <c r="P856" s="238"/>
      <c r="Q856" s="238"/>
      <c r="R856" s="238"/>
      <c r="S856" s="238"/>
      <c r="T856" s="238"/>
      <c r="U856" s="238"/>
      <c r="V856" s="240"/>
      <c r="W856" s="240"/>
      <c r="X856" s="238"/>
      <c r="Y856" s="238"/>
      <c r="Z856" s="238"/>
    </row>
    <row r="857" spans="1:26" ht="12.5">
      <c r="A857" s="238"/>
      <c r="B857" s="238"/>
      <c r="C857" s="238"/>
      <c r="D857" s="238"/>
      <c r="E857" s="238"/>
      <c r="F857" s="238"/>
      <c r="G857" s="238"/>
      <c r="H857" s="238"/>
      <c r="I857" s="238"/>
      <c r="J857" s="238"/>
      <c r="K857" s="237"/>
      <c r="L857" s="238"/>
      <c r="M857" s="238"/>
      <c r="N857" s="238"/>
      <c r="O857" s="238"/>
      <c r="P857" s="238"/>
      <c r="Q857" s="238"/>
      <c r="R857" s="238"/>
      <c r="S857" s="238"/>
      <c r="T857" s="238"/>
      <c r="U857" s="238"/>
      <c r="V857" s="240"/>
      <c r="W857" s="240"/>
      <c r="X857" s="238"/>
      <c r="Y857" s="238"/>
      <c r="Z857" s="238"/>
    </row>
    <row r="858" spans="1:26" ht="12.5">
      <c r="A858" s="238"/>
      <c r="B858" s="238"/>
      <c r="C858" s="238"/>
      <c r="D858" s="238"/>
      <c r="E858" s="238"/>
      <c r="F858" s="238"/>
      <c r="G858" s="238"/>
      <c r="H858" s="238"/>
      <c r="I858" s="238"/>
      <c r="J858" s="238"/>
      <c r="K858" s="237"/>
      <c r="L858" s="238"/>
      <c r="M858" s="238"/>
      <c r="N858" s="238"/>
      <c r="O858" s="238"/>
      <c r="P858" s="238"/>
      <c r="Q858" s="238"/>
      <c r="R858" s="238"/>
      <c r="S858" s="238"/>
      <c r="T858" s="238"/>
      <c r="U858" s="238"/>
      <c r="V858" s="240"/>
      <c r="W858" s="240"/>
      <c r="X858" s="238"/>
      <c r="Y858" s="238"/>
      <c r="Z858" s="238"/>
    </row>
    <row r="859" spans="1:26" ht="12.5">
      <c r="A859" s="238"/>
      <c r="B859" s="238"/>
      <c r="C859" s="238"/>
      <c r="D859" s="238"/>
      <c r="E859" s="238"/>
      <c r="F859" s="238"/>
      <c r="G859" s="238"/>
      <c r="H859" s="238"/>
      <c r="I859" s="238"/>
      <c r="J859" s="238"/>
      <c r="K859" s="237"/>
      <c r="L859" s="238"/>
      <c r="M859" s="238"/>
      <c r="N859" s="238"/>
      <c r="O859" s="238"/>
      <c r="P859" s="238"/>
      <c r="Q859" s="238"/>
      <c r="R859" s="238"/>
      <c r="S859" s="238"/>
      <c r="T859" s="238"/>
      <c r="U859" s="238"/>
      <c r="V859" s="240"/>
      <c r="W859" s="240"/>
      <c r="X859" s="238"/>
      <c r="Y859" s="238"/>
      <c r="Z859" s="238"/>
    </row>
    <row r="860" spans="1:26" ht="12.5">
      <c r="A860" s="238"/>
      <c r="B860" s="238"/>
      <c r="C860" s="238"/>
      <c r="D860" s="238"/>
      <c r="E860" s="238"/>
      <c r="F860" s="238"/>
      <c r="G860" s="238"/>
      <c r="H860" s="238"/>
      <c r="I860" s="238"/>
      <c r="J860" s="238"/>
      <c r="K860" s="237"/>
      <c r="L860" s="238"/>
      <c r="M860" s="238"/>
      <c r="N860" s="238"/>
      <c r="O860" s="238"/>
      <c r="P860" s="238"/>
      <c r="Q860" s="238"/>
      <c r="R860" s="238"/>
      <c r="S860" s="238"/>
      <c r="T860" s="238"/>
      <c r="U860" s="238"/>
      <c r="V860" s="240"/>
      <c r="W860" s="240"/>
      <c r="X860" s="238"/>
      <c r="Y860" s="238"/>
      <c r="Z860" s="238"/>
    </row>
    <row r="861" spans="1:26" ht="12.5">
      <c r="A861" s="238"/>
      <c r="B861" s="238"/>
      <c r="C861" s="238"/>
      <c r="D861" s="238"/>
      <c r="E861" s="238"/>
      <c r="F861" s="238"/>
      <c r="G861" s="238"/>
      <c r="H861" s="238"/>
      <c r="I861" s="238"/>
      <c r="J861" s="238"/>
      <c r="K861" s="237"/>
      <c r="L861" s="238"/>
      <c r="M861" s="238"/>
      <c r="N861" s="238"/>
      <c r="O861" s="238"/>
      <c r="P861" s="238"/>
      <c r="Q861" s="238"/>
      <c r="R861" s="238"/>
      <c r="S861" s="238"/>
      <c r="T861" s="238"/>
      <c r="U861" s="238"/>
      <c r="V861" s="240"/>
      <c r="W861" s="240"/>
      <c r="X861" s="238"/>
      <c r="Y861" s="238"/>
      <c r="Z861" s="238"/>
    </row>
    <row r="862" spans="1:26" ht="12.5">
      <c r="A862" s="238"/>
      <c r="B862" s="238"/>
      <c r="C862" s="238"/>
      <c r="D862" s="238"/>
      <c r="E862" s="238"/>
      <c r="F862" s="238"/>
      <c r="G862" s="238"/>
      <c r="H862" s="238"/>
      <c r="I862" s="238"/>
      <c r="J862" s="238"/>
      <c r="K862" s="237"/>
      <c r="L862" s="238"/>
      <c r="M862" s="238"/>
      <c r="N862" s="238"/>
      <c r="O862" s="238"/>
      <c r="P862" s="238"/>
      <c r="Q862" s="238"/>
      <c r="R862" s="238"/>
      <c r="S862" s="238"/>
      <c r="T862" s="238"/>
      <c r="U862" s="238"/>
      <c r="V862" s="240"/>
      <c r="W862" s="240"/>
      <c r="X862" s="238"/>
      <c r="Y862" s="238"/>
      <c r="Z862" s="238"/>
    </row>
    <row r="863" spans="1:26" ht="12.5">
      <c r="A863" s="238"/>
      <c r="B863" s="238"/>
      <c r="C863" s="238"/>
      <c r="D863" s="238"/>
      <c r="E863" s="238"/>
      <c r="F863" s="238"/>
      <c r="G863" s="238"/>
      <c r="H863" s="238"/>
      <c r="I863" s="238"/>
      <c r="J863" s="238"/>
      <c r="K863" s="237"/>
      <c r="L863" s="238"/>
      <c r="M863" s="238"/>
      <c r="N863" s="238"/>
      <c r="O863" s="238"/>
      <c r="P863" s="238"/>
      <c r="Q863" s="238"/>
      <c r="R863" s="238"/>
      <c r="S863" s="238"/>
      <c r="T863" s="238"/>
      <c r="U863" s="238"/>
      <c r="V863" s="240"/>
      <c r="W863" s="240"/>
      <c r="X863" s="238"/>
      <c r="Y863" s="238"/>
      <c r="Z863" s="238"/>
    </row>
    <row r="864" spans="1:26" ht="12.5">
      <c r="A864" s="238"/>
      <c r="B864" s="238"/>
      <c r="C864" s="238"/>
      <c r="D864" s="238"/>
      <c r="E864" s="238"/>
      <c r="F864" s="238"/>
      <c r="G864" s="238"/>
      <c r="H864" s="238"/>
      <c r="I864" s="238"/>
      <c r="J864" s="238"/>
      <c r="K864" s="237"/>
      <c r="L864" s="238"/>
      <c r="M864" s="238"/>
      <c r="N864" s="238"/>
      <c r="O864" s="238"/>
      <c r="P864" s="238"/>
      <c r="Q864" s="238"/>
      <c r="R864" s="238"/>
      <c r="S864" s="238"/>
      <c r="T864" s="238"/>
      <c r="U864" s="238"/>
      <c r="V864" s="240"/>
      <c r="W864" s="240"/>
      <c r="X864" s="238"/>
      <c r="Y864" s="238"/>
      <c r="Z864" s="238"/>
    </row>
    <row r="865" spans="1:26" ht="12.5">
      <c r="A865" s="238"/>
      <c r="B865" s="238"/>
      <c r="C865" s="238"/>
      <c r="D865" s="238"/>
      <c r="E865" s="238"/>
      <c r="F865" s="238"/>
      <c r="G865" s="238"/>
      <c r="H865" s="238"/>
      <c r="I865" s="238"/>
      <c r="J865" s="238"/>
      <c r="K865" s="237"/>
      <c r="L865" s="238"/>
      <c r="M865" s="238"/>
      <c r="N865" s="238"/>
      <c r="O865" s="238"/>
      <c r="P865" s="238"/>
      <c r="Q865" s="238"/>
      <c r="R865" s="238"/>
      <c r="S865" s="238"/>
      <c r="T865" s="238"/>
      <c r="U865" s="238"/>
      <c r="V865" s="240"/>
      <c r="W865" s="240"/>
      <c r="X865" s="238"/>
      <c r="Y865" s="238"/>
      <c r="Z865" s="238"/>
    </row>
    <row r="866" spans="1:26" ht="12.5">
      <c r="A866" s="238"/>
      <c r="B866" s="238"/>
      <c r="C866" s="238"/>
      <c r="D866" s="238"/>
      <c r="E866" s="238"/>
      <c r="F866" s="238"/>
      <c r="G866" s="238"/>
      <c r="H866" s="238"/>
      <c r="I866" s="238"/>
      <c r="J866" s="238"/>
      <c r="K866" s="237"/>
      <c r="L866" s="238"/>
      <c r="M866" s="238"/>
      <c r="N866" s="238"/>
      <c r="O866" s="238"/>
      <c r="P866" s="238"/>
      <c r="Q866" s="238"/>
      <c r="R866" s="238"/>
      <c r="S866" s="238"/>
      <c r="T866" s="238"/>
      <c r="U866" s="238"/>
      <c r="V866" s="240"/>
      <c r="W866" s="240"/>
      <c r="X866" s="238"/>
      <c r="Y866" s="238"/>
      <c r="Z866" s="238"/>
    </row>
    <row r="867" spans="1:26" ht="12.5">
      <c r="A867" s="238"/>
      <c r="B867" s="238"/>
      <c r="C867" s="238"/>
      <c r="D867" s="238"/>
      <c r="E867" s="238"/>
      <c r="F867" s="238"/>
      <c r="G867" s="238"/>
      <c r="H867" s="238"/>
      <c r="I867" s="238"/>
      <c r="J867" s="238"/>
      <c r="K867" s="237"/>
      <c r="L867" s="238"/>
      <c r="M867" s="238"/>
      <c r="N867" s="238"/>
      <c r="O867" s="238"/>
      <c r="P867" s="238"/>
      <c r="Q867" s="238"/>
      <c r="R867" s="238"/>
      <c r="S867" s="238"/>
      <c r="T867" s="238"/>
      <c r="U867" s="238"/>
      <c r="V867" s="240"/>
      <c r="W867" s="240"/>
      <c r="X867" s="238"/>
      <c r="Y867" s="238"/>
      <c r="Z867" s="238"/>
    </row>
    <row r="868" spans="1:26" ht="12.5">
      <c r="A868" s="238"/>
      <c r="B868" s="238"/>
      <c r="C868" s="238"/>
      <c r="D868" s="238"/>
      <c r="E868" s="238"/>
      <c r="F868" s="238"/>
      <c r="G868" s="238"/>
      <c r="H868" s="238"/>
      <c r="I868" s="238"/>
      <c r="J868" s="238"/>
      <c r="K868" s="237"/>
      <c r="L868" s="238"/>
      <c r="M868" s="238"/>
      <c r="N868" s="238"/>
      <c r="O868" s="238"/>
      <c r="P868" s="238"/>
      <c r="Q868" s="238"/>
      <c r="R868" s="238"/>
      <c r="S868" s="238"/>
      <c r="T868" s="238"/>
      <c r="U868" s="238"/>
      <c r="V868" s="240"/>
      <c r="W868" s="240"/>
      <c r="X868" s="238"/>
      <c r="Y868" s="238"/>
      <c r="Z868" s="238"/>
    </row>
    <row r="869" spans="1:26" ht="12.5">
      <c r="A869" s="238"/>
      <c r="B869" s="238"/>
      <c r="C869" s="238"/>
      <c r="D869" s="238"/>
      <c r="E869" s="238"/>
      <c r="F869" s="238"/>
      <c r="G869" s="238"/>
      <c r="H869" s="238"/>
      <c r="I869" s="238"/>
      <c r="J869" s="238"/>
      <c r="K869" s="237"/>
      <c r="L869" s="238"/>
      <c r="M869" s="238"/>
      <c r="N869" s="238"/>
      <c r="O869" s="238"/>
      <c r="P869" s="238"/>
      <c r="Q869" s="238"/>
      <c r="R869" s="238"/>
      <c r="S869" s="238"/>
      <c r="T869" s="238"/>
      <c r="U869" s="238"/>
      <c r="V869" s="240"/>
      <c r="W869" s="240"/>
      <c r="X869" s="238"/>
      <c r="Y869" s="238"/>
      <c r="Z869" s="238"/>
    </row>
    <row r="870" spans="1:26" ht="12.5">
      <c r="A870" s="238"/>
      <c r="B870" s="238"/>
      <c r="C870" s="238"/>
      <c r="D870" s="238"/>
      <c r="E870" s="238"/>
      <c r="F870" s="238"/>
      <c r="G870" s="238"/>
      <c r="H870" s="238"/>
      <c r="I870" s="238"/>
      <c r="J870" s="238"/>
      <c r="K870" s="237"/>
      <c r="L870" s="238"/>
      <c r="M870" s="238"/>
      <c r="N870" s="238"/>
      <c r="O870" s="238"/>
      <c r="P870" s="238"/>
      <c r="Q870" s="238"/>
      <c r="R870" s="238"/>
      <c r="S870" s="238"/>
      <c r="T870" s="238"/>
      <c r="U870" s="238"/>
      <c r="V870" s="240"/>
      <c r="W870" s="240"/>
      <c r="X870" s="238"/>
      <c r="Y870" s="238"/>
      <c r="Z870" s="238"/>
    </row>
    <row r="871" spans="1:26" ht="12.5">
      <c r="A871" s="238"/>
      <c r="B871" s="238"/>
      <c r="C871" s="238"/>
      <c r="D871" s="238"/>
      <c r="E871" s="238"/>
      <c r="F871" s="238"/>
      <c r="G871" s="238"/>
      <c r="H871" s="238"/>
      <c r="I871" s="238"/>
      <c r="J871" s="238"/>
      <c r="K871" s="237"/>
      <c r="L871" s="238"/>
      <c r="M871" s="238"/>
      <c r="N871" s="238"/>
      <c r="O871" s="238"/>
      <c r="P871" s="238"/>
      <c r="Q871" s="238"/>
      <c r="R871" s="238"/>
      <c r="S871" s="238"/>
      <c r="T871" s="238"/>
      <c r="U871" s="238"/>
      <c r="V871" s="240"/>
      <c r="W871" s="240"/>
      <c r="X871" s="238"/>
      <c r="Y871" s="238"/>
      <c r="Z871" s="238"/>
    </row>
    <row r="872" spans="1:26" ht="12.5">
      <c r="A872" s="238"/>
      <c r="B872" s="238"/>
      <c r="C872" s="238"/>
      <c r="D872" s="238"/>
      <c r="E872" s="238"/>
      <c r="F872" s="238"/>
      <c r="G872" s="238"/>
      <c r="H872" s="238"/>
      <c r="I872" s="238"/>
      <c r="J872" s="238"/>
      <c r="K872" s="237"/>
      <c r="L872" s="238"/>
      <c r="M872" s="238"/>
      <c r="N872" s="238"/>
      <c r="O872" s="238"/>
      <c r="P872" s="238"/>
      <c r="Q872" s="238"/>
      <c r="R872" s="238"/>
      <c r="S872" s="238"/>
      <c r="T872" s="238"/>
      <c r="U872" s="238"/>
      <c r="V872" s="240"/>
      <c r="W872" s="240"/>
      <c r="X872" s="238"/>
      <c r="Y872" s="238"/>
      <c r="Z872" s="238"/>
    </row>
    <row r="873" spans="1:26" ht="12.5">
      <c r="A873" s="238"/>
      <c r="B873" s="238"/>
      <c r="C873" s="238"/>
      <c r="D873" s="238"/>
      <c r="E873" s="238"/>
      <c r="F873" s="238"/>
      <c r="G873" s="238"/>
      <c r="H873" s="238"/>
      <c r="I873" s="238"/>
      <c r="J873" s="238"/>
      <c r="K873" s="237"/>
      <c r="L873" s="238"/>
      <c r="M873" s="238"/>
      <c r="N873" s="238"/>
      <c r="O873" s="238"/>
      <c r="P873" s="238"/>
      <c r="Q873" s="238"/>
      <c r="R873" s="238"/>
      <c r="S873" s="238"/>
      <c r="T873" s="238"/>
      <c r="U873" s="238"/>
      <c r="V873" s="240"/>
      <c r="W873" s="240"/>
      <c r="X873" s="238"/>
      <c r="Y873" s="238"/>
      <c r="Z873" s="238"/>
    </row>
    <row r="874" spans="1:26" ht="12.5">
      <c r="A874" s="238"/>
      <c r="B874" s="238"/>
      <c r="C874" s="238"/>
      <c r="D874" s="238"/>
      <c r="E874" s="238"/>
      <c r="F874" s="238"/>
      <c r="G874" s="238"/>
      <c r="H874" s="238"/>
      <c r="I874" s="238"/>
      <c r="J874" s="238"/>
      <c r="K874" s="237"/>
      <c r="L874" s="238"/>
      <c r="M874" s="238"/>
      <c r="N874" s="238"/>
      <c r="O874" s="238"/>
      <c r="P874" s="238"/>
      <c r="Q874" s="238"/>
      <c r="R874" s="238"/>
      <c r="S874" s="238"/>
      <c r="T874" s="238"/>
      <c r="U874" s="238"/>
      <c r="V874" s="240"/>
      <c r="W874" s="240"/>
      <c r="X874" s="238"/>
      <c r="Y874" s="238"/>
      <c r="Z874" s="238"/>
    </row>
    <row r="875" spans="1:26" ht="12.5">
      <c r="A875" s="238"/>
      <c r="B875" s="238"/>
      <c r="C875" s="238"/>
      <c r="D875" s="238"/>
      <c r="E875" s="238"/>
      <c r="F875" s="238"/>
      <c r="G875" s="238"/>
      <c r="H875" s="238"/>
      <c r="I875" s="238"/>
      <c r="J875" s="238"/>
      <c r="K875" s="237"/>
      <c r="L875" s="238"/>
      <c r="M875" s="238"/>
      <c r="N875" s="238"/>
      <c r="O875" s="238"/>
      <c r="P875" s="238"/>
      <c r="Q875" s="238"/>
      <c r="R875" s="238"/>
      <c r="S875" s="238"/>
      <c r="T875" s="238"/>
      <c r="U875" s="238"/>
      <c r="V875" s="240"/>
      <c r="W875" s="240"/>
      <c r="X875" s="238"/>
      <c r="Y875" s="238"/>
      <c r="Z875" s="238"/>
    </row>
    <row r="876" spans="1:26" ht="12.5">
      <c r="A876" s="238"/>
      <c r="B876" s="238"/>
      <c r="C876" s="238"/>
      <c r="D876" s="238"/>
      <c r="E876" s="238"/>
      <c r="F876" s="238"/>
      <c r="G876" s="238"/>
      <c r="H876" s="238"/>
      <c r="I876" s="238"/>
      <c r="J876" s="238"/>
      <c r="K876" s="237"/>
      <c r="L876" s="238"/>
      <c r="M876" s="238"/>
      <c r="N876" s="238"/>
      <c r="O876" s="238"/>
      <c r="P876" s="238"/>
      <c r="Q876" s="238"/>
      <c r="R876" s="238"/>
      <c r="S876" s="238"/>
      <c r="T876" s="238"/>
      <c r="U876" s="238"/>
      <c r="V876" s="240"/>
      <c r="W876" s="240"/>
      <c r="X876" s="238"/>
      <c r="Y876" s="238"/>
      <c r="Z876" s="238"/>
    </row>
    <row r="877" spans="1:26" ht="12.5">
      <c r="A877" s="238"/>
      <c r="B877" s="238"/>
      <c r="C877" s="238"/>
      <c r="D877" s="238"/>
      <c r="E877" s="238"/>
      <c r="F877" s="238"/>
      <c r="G877" s="238"/>
      <c r="H877" s="238"/>
      <c r="I877" s="238"/>
      <c r="J877" s="238"/>
      <c r="K877" s="237"/>
      <c r="L877" s="238"/>
      <c r="M877" s="238"/>
      <c r="N877" s="238"/>
      <c r="O877" s="238"/>
      <c r="P877" s="238"/>
      <c r="Q877" s="238"/>
      <c r="R877" s="238"/>
      <c r="S877" s="238"/>
      <c r="T877" s="238"/>
      <c r="U877" s="238"/>
      <c r="V877" s="240"/>
      <c r="W877" s="240"/>
      <c r="X877" s="238"/>
      <c r="Y877" s="238"/>
      <c r="Z877" s="238"/>
    </row>
    <row r="878" spans="1:26" ht="12.5">
      <c r="A878" s="238"/>
      <c r="B878" s="238"/>
      <c r="C878" s="238"/>
      <c r="D878" s="238"/>
      <c r="E878" s="238"/>
      <c r="F878" s="238"/>
      <c r="G878" s="238"/>
      <c r="H878" s="238"/>
      <c r="I878" s="238"/>
      <c r="J878" s="238"/>
      <c r="K878" s="237"/>
      <c r="L878" s="238"/>
      <c r="M878" s="238"/>
      <c r="N878" s="238"/>
      <c r="O878" s="238"/>
      <c r="P878" s="238"/>
      <c r="Q878" s="238"/>
      <c r="R878" s="238"/>
      <c r="S878" s="238"/>
      <c r="T878" s="238"/>
      <c r="U878" s="238"/>
      <c r="V878" s="240"/>
      <c r="W878" s="240"/>
      <c r="X878" s="238"/>
      <c r="Y878" s="238"/>
      <c r="Z878" s="238"/>
    </row>
    <row r="879" spans="1:26" ht="12.5">
      <c r="A879" s="238"/>
      <c r="B879" s="238"/>
      <c r="C879" s="238"/>
      <c r="D879" s="238"/>
      <c r="E879" s="238"/>
      <c r="F879" s="238"/>
      <c r="G879" s="238"/>
      <c r="H879" s="238"/>
      <c r="I879" s="238"/>
      <c r="J879" s="238"/>
      <c r="K879" s="237"/>
      <c r="L879" s="238"/>
      <c r="M879" s="238"/>
      <c r="N879" s="238"/>
      <c r="O879" s="238"/>
      <c r="P879" s="238"/>
      <c r="Q879" s="238"/>
      <c r="R879" s="238"/>
      <c r="S879" s="238"/>
      <c r="T879" s="238"/>
      <c r="U879" s="238"/>
      <c r="V879" s="240"/>
      <c r="W879" s="240"/>
      <c r="X879" s="238"/>
      <c r="Y879" s="238"/>
      <c r="Z879" s="238"/>
    </row>
    <row r="880" spans="1:26" ht="12.5">
      <c r="A880" s="238"/>
      <c r="B880" s="238"/>
      <c r="C880" s="238"/>
      <c r="D880" s="238"/>
      <c r="E880" s="238"/>
      <c r="F880" s="238"/>
      <c r="G880" s="238"/>
      <c r="H880" s="238"/>
      <c r="I880" s="238"/>
      <c r="J880" s="238"/>
      <c r="K880" s="237"/>
      <c r="L880" s="238"/>
      <c r="M880" s="238"/>
      <c r="N880" s="238"/>
      <c r="O880" s="238"/>
      <c r="P880" s="238"/>
      <c r="Q880" s="238"/>
      <c r="R880" s="238"/>
      <c r="S880" s="238"/>
      <c r="T880" s="238"/>
      <c r="U880" s="238"/>
      <c r="V880" s="240"/>
      <c r="W880" s="240"/>
      <c r="X880" s="238"/>
      <c r="Y880" s="238"/>
      <c r="Z880" s="238"/>
    </row>
    <row r="881" spans="1:26" ht="12.5">
      <c r="A881" s="238"/>
      <c r="B881" s="238"/>
      <c r="C881" s="238"/>
      <c r="D881" s="238"/>
      <c r="E881" s="238"/>
      <c r="F881" s="238"/>
      <c r="G881" s="238"/>
      <c r="H881" s="238"/>
      <c r="I881" s="238"/>
      <c r="J881" s="238"/>
      <c r="K881" s="237"/>
      <c r="L881" s="238"/>
      <c r="M881" s="238"/>
      <c r="N881" s="238"/>
      <c r="O881" s="238"/>
      <c r="P881" s="238"/>
      <c r="Q881" s="238"/>
      <c r="R881" s="238"/>
      <c r="S881" s="238"/>
      <c r="T881" s="238"/>
      <c r="U881" s="238"/>
      <c r="V881" s="240"/>
      <c r="W881" s="240"/>
      <c r="X881" s="238"/>
      <c r="Y881" s="238"/>
      <c r="Z881" s="238"/>
    </row>
    <row r="882" spans="1:26" ht="12.5">
      <c r="A882" s="238"/>
      <c r="B882" s="238"/>
      <c r="C882" s="238"/>
      <c r="D882" s="238"/>
      <c r="E882" s="238"/>
      <c r="F882" s="238"/>
      <c r="G882" s="238"/>
      <c r="H882" s="238"/>
      <c r="I882" s="238"/>
      <c r="J882" s="238"/>
      <c r="K882" s="237"/>
      <c r="L882" s="238"/>
      <c r="M882" s="238"/>
      <c r="N882" s="238"/>
      <c r="O882" s="238"/>
      <c r="P882" s="238"/>
      <c r="Q882" s="238"/>
      <c r="R882" s="238"/>
      <c r="S882" s="238"/>
      <c r="T882" s="238"/>
      <c r="U882" s="238"/>
      <c r="V882" s="240"/>
      <c r="W882" s="240"/>
      <c r="X882" s="238"/>
      <c r="Y882" s="238"/>
      <c r="Z882" s="238"/>
    </row>
    <row r="883" spans="1:26" ht="12.5">
      <c r="A883" s="238"/>
      <c r="B883" s="238"/>
      <c r="C883" s="238"/>
      <c r="D883" s="238"/>
      <c r="E883" s="238"/>
      <c r="F883" s="238"/>
      <c r="G883" s="238"/>
      <c r="H883" s="238"/>
      <c r="I883" s="238"/>
      <c r="J883" s="238"/>
      <c r="K883" s="237"/>
      <c r="L883" s="238"/>
      <c r="M883" s="238"/>
      <c r="N883" s="238"/>
      <c r="O883" s="238"/>
      <c r="P883" s="238"/>
      <c r="Q883" s="238"/>
      <c r="R883" s="238"/>
      <c r="S883" s="238"/>
      <c r="T883" s="238"/>
      <c r="U883" s="238"/>
      <c r="V883" s="240"/>
      <c r="W883" s="240"/>
      <c r="X883" s="238"/>
      <c r="Y883" s="238"/>
      <c r="Z883" s="238"/>
    </row>
    <row r="884" spans="1:26" ht="12.5">
      <c r="A884" s="238"/>
      <c r="B884" s="238"/>
      <c r="C884" s="238"/>
      <c r="D884" s="238"/>
      <c r="E884" s="238"/>
      <c r="F884" s="238"/>
      <c r="G884" s="238"/>
      <c r="H884" s="238"/>
      <c r="I884" s="238"/>
      <c r="J884" s="238"/>
      <c r="K884" s="237"/>
      <c r="L884" s="238"/>
      <c r="M884" s="238"/>
      <c r="N884" s="238"/>
      <c r="O884" s="238"/>
      <c r="P884" s="238"/>
      <c r="Q884" s="238"/>
      <c r="R884" s="238"/>
      <c r="S884" s="238"/>
      <c r="T884" s="238"/>
      <c r="U884" s="238"/>
      <c r="V884" s="240"/>
      <c r="W884" s="240"/>
      <c r="X884" s="238"/>
      <c r="Y884" s="238"/>
      <c r="Z884" s="238"/>
    </row>
    <row r="885" spans="1:26" ht="12.5">
      <c r="A885" s="238"/>
      <c r="B885" s="238"/>
      <c r="C885" s="238"/>
      <c r="D885" s="238"/>
      <c r="E885" s="238"/>
      <c r="F885" s="238"/>
      <c r="G885" s="238"/>
      <c r="H885" s="238"/>
      <c r="I885" s="238"/>
      <c r="J885" s="238"/>
      <c r="K885" s="237"/>
      <c r="L885" s="238"/>
      <c r="M885" s="238"/>
      <c r="N885" s="238"/>
      <c r="O885" s="238"/>
      <c r="P885" s="238"/>
      <c r="Q885" s="238"/>
      <c r="R885" s="238"/>
      <c r="S885" s="238"/>
      <c r="T885" s="238"/>
      <c r="U885" s="238"/>
      <c r="V885" s="240"/>
      <c r="W885" s="240"/>
      <c r="X885" s="238"/>
      <c r="Y885" s="238"/>
      <c r="Z885" s="238"/>
    </row>
    <row r="886" spans="1:26" ht="12.5">
      <c r="A886" s="238"/>
      <c r="B886" s="238"/>
      <c r="C886" s="238"/>
      <c r="D886" s="238"/>
      <c r="E886" s="238"/>
      <c r="F886" s="238"/>
      <c r="G886" s="238"/>
      <c r="H886" s="238"/>
      <c r="I886" s="238"/>
      <c r="J886" s="238"/>
      <c r="K886" s="237"/>
      <c r="L886" s="238"/>
      <c r="M886" s="238"/>
      <c r="N886" s="238"/>
      <c r="O886" s="238"/>
      <c r="P886" s="238"/>
      <c r="Q886" s="238"/>
      <c r="R886" s="238"/>
      <c r="S886" s="238"/>
      <c r="T886" s="238"/>
      <c r="U886" s="238"/>
      <c r="V886" s="240"/>
      <c r="W886" s="240"/>
      <c r="X886" s="238"/>
      <c r="Y886" s="238"/>
      <c r="Z886" s="238"/>
    </row>
    <row r="887" spans="1:26" ht="12.5">
      <c r="A887" s="238"/>
      <c r="B887" s="238"/>
      <c r="C887" s="238"/>
      <c r="D887" s="238"/>
      <c r="E887" s="238"/>
      <c r="F887" s="238"/>
      <c r="G887" s="238"/>
      <c r="H887" s="238"/>
      <c r="I887" s="238"/>
      <c r="J887" s="238"/>
      <c r="K887" s="237"/>
      <c r="L887" s="238"/>
      <c r="M887" s="238"/>
      <c r="N887" s="238"/>
      <c r="O887" s="238"/>
      <c r="P887" s="238"/>
      <c r="Q887" s="238"/>
      <c r="R887" s="238"/>
      <c r="S887" s="238"/>
      <c r="T887" s="238"/>
      <c r="U887" s="238"/>
      <c r="V887" s="240"/>
      <c r="W887" s="240"/>
      <c r="X887" s="238"/>
      <c r="Y887" s="238"/>
      <c r="Z887" s="238"/>
    </row>
    <row r="888" spans="1:26" ht="12.5">
      <c r="A888" s="238"/>
      <c r="B888" s="238"/>
      <c r="C888" s="238"/>
      <c r="D888" s="238"/>
      <c r="E888" s="238"/>
      <c r="F888" s="238"/>
      <c r="G888" s="238"/>
      <c r="H888" s="238"/>
      <c r="I888" s="238"/>
      <c r="J888" s="238"/>
      <c r="K888" s="237"/>
      <c r="L888" s="238"/>
      <c r="M888" s="238"/>
      <c r="N888" s="238"/>
      <c r="O888" s="238"/>
      <c r="P888" s="238"/>
      <c r="Q888" s="238"/>
      <c r="R888" s="238"/>
      <c r="S888" s="238"/>
      <c r="T888" s="238"/>
      <c r="U888" s="238"/>
      <c r="V888" s="240"/>
      <c r="W888" s="240"/>
      <c r="X888" s="238"/>
      <c r="Y888" s="238"/>
      <c r="Z888" s="238"/>
    </row>
    <row r="889" spans="1:26" ht="12.5">
      <c r="A889" s="238"/>
      <c r="B889" s="238"/>
      <c r="C889" s="238"/>
      <c r="D889" s="238"/>
      <c r="E889" s="238"/>
      <c r="F889" s="238"/>
      <c r="G889" s="238"/>
      <c r="H889" s="238"/>
      <c r="I889" s="238"/>
      <c r="J889" s="238"/>
      <c r="K889" s="237"/>
      <c r="L889" s="238"/>
      <c r="M889" s="238"/>
      <c r="N889" s="238"/>
      <c r="O889" s="238"/>
      <c r="P889" s="238"/>
      <c r="Q889" s="238"/>
      <c r="R889" s="238"/>
      <c r="S889" s="238"/>
      <c r="T889" s="238"/>
      <c r="U889" s="238"/>
      <c r="V889" s="240"/>
      <c r="W889" s="240"/>
      <c r="X889" s="238"/>
      <c r="Y889" s="238"/>
      <c r="Z889" s="238"/>
    </row>
    <row r="890" spans="1:26" ht="12.5">
      <c r="A890" s="238"/>
      <c r="B890" s="238"/>
      <c r="C890" s="238"/>
      <c r="D890" s="238"/>
      <c r="E890" s="238"/>
      <c r="F890" s="238"/>
      <c r="G890" s="238"/>
      <c r="H890" s="238"/>
      <c r="I890" s="238"/>
      <c r="J890" s="238"/>
      <c r="K890" s="237"/>
      <c r="L890" s="238"/>
      <c r="M890" s="238"/>
      <c r="N890" s="238"/>
      <c r="O890" s="238"/>
      <c r="P890" s="238"/>
      <c r="Q890" s="238"/>
      <c r="R890" s="238"/>
      <c r="S890" s="238"/>
      <c r="T890" s="238"/>
      <c r="U890" s="238"/>
      <c r="V890" s="240"/>
      <c r="W890" s="240"/>
      <c r="X890" s="238"/>
      <c r="Y890" s="238"/>
      <c r="Z890" s="238"/>
    </row>
    <row r="891" spans="1:26" ht="12.5">
      <c r="A891" s="238"/>
      <c r="B891" s="238"/>
      <c r="C891" s="238"/>
      <c r="D891" s="238"/>
      <c r="E891" s="238"/>
      <c r="F891" s="238"/>
      <c r="G891" s="238"/>
      <c r="H891" s="238"/>
      <c r="I891" s="238"/>
      <c r="J891" s="238"/>
      <c r="K891" s="237"/>
      <c r="L891" s="238"/>
      <c r="M891" s="238"/>
      <c r="N891" s="238"/>
      <c r="O891" s="238"/>
      <c r="P891" s="238"/>
      <c r="Q891" s="238"/>
      <c r="R891" s="238"/>
      <c r="S891" s="238"/>
      <c r="T891" s="238"/>
      <c r="U891" s="238"/>
      <c r="V891" s="240"/>
      <c r="W891" s="240"/>
      <c r="X891" s="238"/>
      <c r="Y891" s="238"/>
      <c r="Z891" s="238"/>
    </row>
    <row r="892" spans="1:26" ht="12.5">
      <c r="A892" s="238"/>
      <c r="B892" s="238"/>
      <c r="C892" s="238"/>
      <c r="D892" s="238"/>
      <c r="E892" s="238"/>
      <c r="F892" s="238"/>
      <c r="G892" s="238"/>
      <c r="H892" s="238"/>
      <c r="I892" s="238"/>
      <c r="J892" s="238"/>
      <c r="K892" s="237"/>
      <c r="L892" s="238"/>
      <c r="M892" s="238"/>
      <c r="N892" s="238"/>
      <c r="O892" s="238"/>
      <c r="P892" s="238"/>
      <c r="Q892" s="238"/>
      <c r="R892" s="238"/>
      <c r="S892" s="238"/>
      <c r="T892" s="238"/>
      <c r="U892" s="238"/>
      <c r="V892" s="240"/>
      <c r="W892" s="240"/>
      <c r="X892" s="238"/>
      <c r="Y892" s="238"/>
      <c r="Z892" s="238"/>
    </row>
    <row r="893" spans="1:26" ht="12.5">
      <c r="A893" s="238"/>
      <c r="B893" s="238"/>
      <c r="C893" s="238"/>
      <c r="D893" s="238"/>
      <c r="E893" s="238"/>
      <c r="F893" s="238"/>
      <c r="G893" s="238"/>
      <c r="H893" s="238"/>
      <c r="I893" s="238"/>
      <c r="J893" s="238"/>
      <c r="K893" s="237"/>
      <c r="L893" s="238"/>
      <c r="M893" s="238"/>
      <c r="N893" s="238"/>
      <c r="O893" s="238"/>
      <c r="P893" s="238"/>
      <c r="Q893" s="238"/>
      <c r="R893" s="238"/>
      <c r="S893" s="238"/>
      <c r="T893" s="238"/>
      <c r="U893" s="238"/>
      <c r="V893" s="240"/>
      <c r="W893" s="240"/>
      <c r="X893" s="238"/>
      <c r="Y893" s="238"/>
      <c r="Z893" s="238"/>
    </row>
    <row r="894" spans="1:26" ht="12.5">
      <c r="A894" s="238"/>
      <c r="B894" s="238"/>
      <c r="C894" s="238"/>
      <c r="D894" s="238"/>
      <c r="E894" s="238"/>
      <c r="F894" s="238"/>
      <c r="G894" s="238"/>
      <c r="H894" s="238"/>
      <c r="I894" s="238"/>
      <c r="J894" s="238"/>
      <c r="K894" s="237"/>
      <c r="L894" s="238"/>
      <c r="M894" s="238"/>
      <c r="N894" s="238"/>
      <c r="O894" s="238"/>
      <c r="P894" s="238"/>
      <c r="Q894" s="238"/>
      <c r="R894" s="238"/>
      <c r="S894" s="238"/>
      <c r="T894" s="238"/>
      <c r="U894" s="238"/>
      <c r="V894" s="240"/>
      <c r="W894" s="240"/>
      <c r="X894" s="238"/>
      <c r="Y894" s="238"/>
      <c r="Z894" s="238"/>
    </row>
    <row r="895" spans="1:26" ht="12.5">
      <c r="A895" s="238"/>
      <c r="B895" s="238"/>
      <c r="C895" s="238"/>
      <c r="D895" s="238"/>
      <c r="E895" s="238"/>
      <c r="F895" s="238"/>
      <c r="G895" s="238"/>
      <c r="H895" s="238"/>
      <c r="I895" s="238"/>
      <c r="J895" s="238"/>
      <c r="K895" s="237"/>
      <c r="L895" s="238"/>
      <c r="M895" s="238"/>
      <c r="N895" s="238"/>
      <c r="O895" s="238"/>
      <c r="P895" s="238"/>
      <c r="Q895" s="238"/>
      <c r="R895" s="238"/>
      <c r="S895" s="238"/>
      <c r="T895" s="238"/>
      <c r="U895" s="238"/>
      <c r="V895" s="240"/>
      <c r="W895" s="240"/>
      <c r="X895" s="238"/>
      <c r="Y895" s="238"/>
      <c r="Z895" s="238"/>
    </row>
    <row r="896" spans="1:26" ht="12.5">
      <c r="A896" s="238"/>
      <c r="B896" s="238"/>
      <c r="C896" s="238"/>
      <c r="D896" s="238"/>
      <c r="E896" s="238"/>
      <c r="F896" s="238"/>
      <c r="G896" s="238"/>
      <c r="H896" s="238"/>
      <c r="I896" s="238"/>
      <c r="J896" s="238"/>
      <c r="K896" s="237"/>
      <c r="L896" s="238"/>
      <c r="M896" s="238"/>
      <c r="N896" s="238"/>
      <c r="O896" s="238"/>
      <c r="P896" s="238"/>
      <c r="Q896" s="238"/>
      <c r="R896" s="238"/>
      <c r="S896" s="238"/>
      <c r="T896" s="238"/>
      <c r="U896" s="238"/>
      <c r="V896" s="240"/>
      <c r="W896" s="240"/>
      <c r="X896" s="238"/>
      <c r="Y896" s="238"/>
      <c r="Z896" s="238"/>
    </row>
    <row r="897" spans="1:26" ht="12.5">
      <c r="A897" s="238"/>
      <c r="B897" s="238"/>
      <c r="C897" s="238"/>
      <c r="D897" s="238"/>
      <c r="E897" s="238"/>
      <c r="F897" s="238"/>
      <c r="G897" s="238"/>
      <c r="H897" s="238"/>
      <c r="I897" s="238"/>
      <c r="J897" s="238"/>
      <c r="K897" s="237"/>
      <c r="L897" s="238"/>
      <c r="M897" s="238"/>
      <c r="N897" s="238"/>
      <c r="O897" s="238"/>
      <c r="P897" s="238"/>
      <c r="Q897" s="238"/>
      <c r="R897" s="238"/>
      <c r="S897" s="238"/>
      <c r="T897" s="238"/>
      <c r="U897" s="238"/>
      <c r="V897" s="240"/>
      <c r="W897" s="240"/>
      <c r="X897" s="238"/>
      <c r="Y897" s="238"/>
      <c r="Z897" s="238"/>
    </row>
    <row r="898" spans="1:26" ht="12.5">
      <c r="A898" s="238"/>
      <c r="B898" s="238"/>
      <c r="C898" s="238"/>
      <c r="D898" s="238"/>
      <c r="E898" s="238"/>
      <c r="F898" s="238"/>
      <c r="G898" s="238"/>
      <c r="H898" s="238"/>
      <c r="I898" s="238"/>
      <c r="J898" s="238"/>
      <c r="K898" s="237"/>
      <c r="L898" s="238"/>
      <c r="M898" s="238"/>
      <c r="N898" s="238"/>
      <c r="O898" s="238"/>
      <c r="P898" s="238"/>
      <c r="Q898" s="238"/>
      <c r="R898" s="238"/>
      <c r="S898" s="238"/>
      <c r="T898" s="238"/>
      <c r="U898" s="238"/>
      <c r="V898" s="240"/>
      <c r="W898" s="240"/>
      <c r="X898" s="238"/>
      <c r="Y898" s="238"/>
      <c r="Z898" s="238"/>
    </row>
    <row r="899" spans="1:26" ht="12.5">
      <c r="A899" s="238"/>
      <c r="B899" s="238"/>
      <c r="C899" s="238"/>
      <c r="D899" s="238"/>
      <c r="E899" s="238"/>
      <c r="F899" s="238"/>
      <c r="G899" s="238"/>
      <c r="H899" s="238"/>
      <c r="I899" s="238"/>
      <c r="J899" s="238"/>
      <c r="K899" s="237"/>
      <c r="L899" s="238"/>
      <c r="M899" s="238"/>
      <c r="N899" s="238"/>
      <c r="O899" s="238"/>
      <c r="P899" s="238"/>
      <c r="Q899" s="238"/>
      <c r="R899" s="238"/>
      <c r="S899" s="238"/>
      <c r="T899" s="238"/>
      <c r="U899" s="238"/>
      <c r="V899" s="240"/>
      <c r="W899" s="240"/>
      <c r="X899" s="238"/>
      <c r="Y899" s="238"/>
      <c r="Z899" s="238"/>
    </row>
    <row r="900" spans="1:26" ht="12.5">
      <c r="A900" s="238"/>
      <c r="B900" s="238"/>
      <c r="C900" s="238"/>
      <c r="D900" s="238"/>
      <c r="E900" s="238"/>
      <c r="F900" s="238"/>
      <c r="G900" s="238"/>
      <c r="H900" s="238"/>
      <c r="I900" s="238"/>
      <c r="J900" s="238"/>
      <c r="K900" s="237"/>
      <c r="L900" s="238"/>
      <c r="M900" s="238"/>
      <c r="N900" s="238"/>
      <c r="O900" s="238"/>
      <c r="P900" s="238"/>
      <c r="Q900" s="238"/>
      <c r="R900" s="238"/>
      <c r="S900" s="238"/>
      <c r="T900" s="238"/>
      <c r="U900" s="238"/>
      <c r="V900" s="240"/>
      <c r="W900" s="240"/>
      <c r="X900" s="238"/>
      <c r="Y900" s="238"/>
      <c r="Z900" s="238"/>
    </row>
    <row r="901" spans="1:26" ht="12.5">
      <c r="A901" s="238"/>
      <c r="B901" s="238"/>
      <c r="C901" s="238"/>
      <c r="D901" s="238"/>
      <c r="E901" s="238"/>
      <c r="F901" s="238"/>
      <c r="G901" s="238"/>
      <c r="H901" s="238"/>
      <c r="I901" s="238"/>
      <c r="J901" s="238"/>
      <c r="K901" s="237"/>
      <c r="L901" s="238"/>
      <c r="M901" s="238"/>
      <c r="N901" s="238"/>
      <c r="O901" s="238"/>
      <c r="P901" s="238"/>
      <c r="Q901" s="238"/>
      <c r="R901" s="238"/>
      <c r="S901" s="238"/>
      <c r="T901" s="238"/>
      <c r="U901" s="238"/>
      <c r="V901" s="240"/>
      <c r="W901" s="240"/>
      <c r="X901" s="238"/>
      <c r="Y901" s="238"/>
      <c r="Z901" s="238"/>
    </row>
    <row r="902" spans="1:26" ht="12.5">
      <c r="A902" s="238"/>
      <c r="B902" s="238"/>
      <c r="C902" s="238"/>
      <c r="D902" s="238"/>
      <c r="E902" s="238"/>
      <c r="F902" s="238"/>
      <c r="G902" s="238"/>
      <c r="H902" s="238"/>
      <c r="I902" s="238"/>
      <c r="J902" s="238"/>
      <c r="K902" s="237"/>
      <c r="L902" s="238"/>
      <c r="M902" s="238"/>
      <c r="N902" s="238"/>
      <c r="O902" s="238"/>
      <c r="P902" s="238"/>
      <c r="Q902" s="238"/>
      <c r="R902" s="238"/>
      <c r="S902" s="238"/>
      <c r="T902" s="238"/>
      <c r="U902" s="238"/>
      <c r="V902" s="240"/>
      <c r="W902" s="240"/>
      <c r="X902" s="238"/>
      <c r="Y902" s="238"/>
      <c r="Z902" s="238"/>
    </row>
    <row r="903" spans="1:26" ht="12.5">
      <c r="A903" s="238"/>
      <c r="B903" s="238"/>
      <c r="C903" s="238"/>
      <c r="D903" s="238"/>
      <c r="E903" s="238"/>
      <c r="F903" s="238"/>
      <c r="G903" s="238"/>
      <c r="H903" s="238"/>
      <c r="I903" s="238"/>
      <c r="J903" s="238"/>
      <c r="K903" s="237"/>
      <c r="L903" s="238"/>
      <c r="M903" s="238"/>
      <c r="N903" s="238"/>
      <c r="O903" s="238"/>
      <c r="P903" s="238"/>
      <c r="Q903" s="238"/>
      <c r="R903" s="238"/>
      <c r="S903" s="238"/>
      <c r="T903" s="238"/>
      <c r="U903" s="238"/>
      <c r="V903" s="240"/>
      <c r="W903" s="240"/>
      <c r="X903" s="238"/>
      <c r="Y903" s="238"/>
      <c r="Z903" s="238"/>
    </row>
    <row r="904" spans="1:26" ht="12.5">
      <c r="A904" s="238"/>
      <c r="B904" s="238"/>
      <c r="C904" s="238"/>
      <c r="D904" s="238"/>
      <c r="E904" s="238"/>
      <c r="F904" s="238"/>
      <c r="G904" s="238"/>
      <c r="H904" s="238"/>
      <c r="I904" s="238"/>
      <c r="J904" s="238"/>
      <c r="K904" s="237"/>
      <c r="L904" s="238"/>
      <c r="M904" s="238"/>
      <c r="N904" s="238"/>
      <c r="O904" s="238"/>
      <c r="P904" s="238"/>
      <c r="Q904" s="238"/>
      <c r="R904" s="238"/>
      <c r="S904" s="238"/>
      <c r="T904" s="238"/>
      <c r="U904" s="238"/>
      <c r="V904" s="240"/>
      <c r="W904" s="240"/>
      <c r="X904" s="238"/>
      <c r="Y904" s="238"/>
      <c r="Z904" s="238"/>
    </row>
    <row r="905" spans="1:26" ht="12.5">
      <c r="A905" s="238"/>
      <c r="B905" s="238"/>
      <c r="C905" s="238"/>
      <c r="D905" s="238"/>
      <c r="E905" s="238"/>
      <c r="F905" s="238"/>
      <c r="G905" s="238"/>
      <c r="H905" s="238"/>
      <c r="I905" s="238"/>
      <c r="J905" s="238"/>
      <c r="K905" s="237"/>
      <c r="L905" s="238"/>
      <c r="M905" s="238"/>
      <c r="N905" s="238"/>
      <c r="O905" s="238"/>
      <c r="P905" s="238"/>
      <c r="Q905" s="238"/>
      <c r="R905" s="238"/>
      <c r="S905" s="238"/>
      <c r="T905" s="238"/>
      <c r="U905" s="238"/>
      <c r="V905" s="240"/>
      <c r="W905" s="240"/>
      <c r="X905" s="238"/>
      <c r="Y905" s="238"/>
      <c r="Z905" s="238"/>
    </row>
    <row r="906" spans="1:26" ht="12.5">
      <c r="A906" s="238"/>
      <c r="B906" s="238"/>
      <c r="C906" s="238"/>
      <c r="D906" s="238"/>
      <c r="E906" s="238"/>
      <c r="F906" s="238"/>
      <c r="G906" s="238"/>
      <c r="H906" s="238"/>
      <c r="I906" s="238"/>
      <c r="J906" s="238"/>
      <c r="K906" s="237"/>
      <c r="L906" s="238"/>
      <c r="M906" s="238"/>
      <c r="N906" s="238"/>
      <c r="O906" s="238"/>
      <c r="P906" s="238"/>
      <c r="Q906" s="238"/>
      <c r="R906" s="238"/>
      <c r="S906" s="238"/>
      <c r="T906" s="238"/>
      <c r="U906" s="238"/>
      <c r="V906" s="240"/>
      <c r="W906" s="240"/>
      <c r="X906" s="238"/>
      <c r="Y906" s="238"/>
      <c r="Z906" s="238"/>
    </row>
    <row r="907" spans="1:26" ht="12.5">
      <c r="A907" s="238"/>
      <c r="B907" s="238"/>
      <c r="C907" s="238"/>
      <c r="D907" s="238"/>
      <c r="E907" s="238"/>
      <c r="F907" s="238"/>
      <c r="G907" s="238"/>
      <c r="H907" s="238"/>
      <c r="I907" s="238"/>
      <c r="J907" s="238"/>
      <c r="K907" s="237"/>
      <c r="L907" s="238"/>
      <c r="M907" s="238"/>
      <c r="N907" s="238"/>
      <c r="O907" s="238"/>
      <c r="P907" s="238"/>
      <c r="Q907" s="238"/>
      <c r="R907" s="238"/>
      <c r="S907" s="238"/>
      <c r="T907" s="238"/>
      <c r="U907" s="238"/>
      <c r="V907" s="240"/>
      <c r="W907" s="240"/>
      <c r="X907" s="238"/>
      <c r="Y907" s="238"/>
      <c r="Z907" s="238"/>
    </row>
    <row r="908" spans="1:26" ht="12.5">
      <c r="A908" s="238"/>
      <c r="B908" s="238"/>
      <c r="C908" s="238"/>
      <c r="D908" s="238"/>
      <c r="E908" s="238"/>
      <c r="F908" s="238"/>
      <c r="G908" s="238"/>
      <c r="H908" s="238"/>
      <c r="I908" s="238"/>
      <c r="J908" s="238"/>
      <c r="K908" s="237"/>
      <c r="L908" s="238"/>
      <c r="M908" s="238"/>
      <c r="N908" s="238"/>
      <c r="O908" s="238"/>
      <c r="P908" s="238"/>
      <c r="Q908" s="238"/>
      <c r="R908" s="238"/>
      <c r="S908" s="238"/>
      <c r="T908" s="238"/>
      <c r="U908" s="238"/>
      <c r="V908" s="240"/>
      <c r="W908" s="240"/>
      <c r="X908" s="238"/>
      <c r="Y908" s="238"/>
      <c r="Z908" s="238"/>
    </row>
    <row r="909" spans="1:26" ht="12.5">
      <c r="A909" s="238"/>
      <c r="B909" s="238"/>
      <c r="C909" s="238"/>
      <c r="D909" s="238"/>
      <c r="E909" s="238"/>
      <c r="F909" s="238"/>
      <c r="G909" s="238"/>
      <c r="H909" s="238"/>
      <c r="I909" s="238"/>
      <c r="J909" s="238"/>
      <c r="K909" s="237"/>
      <c r="L909" s="238"/>
      <c r="M909" s="238"/>
      <c r="N909" s="238"/>
      <c r="O909" s="238"/>
      <c r="P909" s="238"/>
      <c r="Q909" s="238"/>
      <c r="R909" s="238"/>
      <c r="S909" s="238"/>
      <c r="T909" s="238"/>
      <c r="U909" s="238"/>
      <c r="V909" s="240"/>
      <c r="W909" s="240"/>
      <c r="X909" s="238"/>
      <c r="Y909" s="238"/>
      <c r="Z909" s="238"/>
    </row>
    <row r="910" spans="1:26" ht="12.5">
      <c r="A910" s="238"/>
      <c r="B910" s="238"/>
      <c r="C910" s="238"/>
      <c r="D910" s="238"/>
      <c r="E910" s="238"/>
      <c r="F910" s="238"/>
      <c r="G910" s="238"/>
      <c r="H910" s="238"/>
      <c r="I910" s="238"/>
      <c r="J910" s="238"/>
      <c r="K910" s="237"/>
      <c r="L910" s="238"/>
      <c r="M910" s="238"/>
      <c r="N910" s="238"/>
      <c r="O910" s="238"/>
      <c r="P910" s="238"/>
      <c r="Q910" s="238"/>
      <c r="R910" s="238"/>
      <c r="S910" s="238"/>
      <c r="T910" s="238"/>
      <c r="U910" s="238"/>
      <c r="V910" s="240"/>
      <c r="W910" s="240"/>
      <c r="X910" s="238"/>
      <c r="Y910" s="238"/>
      <c r="Z910" s="238"/>
    </row>
    <row r="911" spans="1:26" ht="12.5">
      <c r="A911" s="238"/>
      <c r="B911" s="238"/>
      <c r="C911" s="238"/>
      <c r="D911" s="238"/>
      <c r="E911" s="238"/>
      <c r="F911" s="238"/>
      <c r="G911" s="238"/>
      <c r="H911" s="238"/>
      <c r="I911" s="238"/>
      <c r="J911" s="238"/>
      <c r="K911" s="237"/>
      <c r="L911" s="238"/>
      <c r="M911" s="238"/>
      <c r="N911" s="238"/>
      <c r="O911" s="238"/>
      <c r="P911" s="238"/>
      <c r="Q911" s="238"/>
      <c r="R911" s="238"/>
      <c r="S911" s="238"/>
      <c r="T911" s="238"/>
      <c r="U911" s="238"/>
      <c r="V911" s="240"/>
      <c r="W911" s="240"/>
      <c r="X911" s="238"/>
      <c r="Y911" s="238"/>
      <c r="Z911" s="238"/>
    </row>
    <row r="912" spans="1:26" ht="12.5">
      <c r="A912" s="238"/>
      <c r="B912" s="238"/>
      <c r="C912" s="238"/>
      <c r="D912" s="238"/>
      <c r="E912" s="238"/>
      <c r="F912" s="238"/>
      <c r="G912" s="238"/>
      <c r="H912" s="238"/>
      <c r="I912" s="238"/>
      <c r="J912" s="238"/>
      <c r="K912" s="237"/>
      <c r="L912" s="238"/>
      <c r="M912" s="238"/>
      <c r="N912" s="238"/>
      <c r="O912" s="238"/>
      <c r="P912" s="238"/>
      <c r="Q912" s="238"/>
      <c r="R912" s="238"/>
      <c r="S912" s="238"/>
      <c r="T912" s="238"/>
      <c r="U912" s="238"/>
      <c r="V912" s="240"/>
      <c r="W912" s="240"/>
      <c r="X912" s="238"/>
      <c r="Y912" s="238"/>
      <c r="Z912" s="238"/>
    </row>
    <row r="913" spans="1:26" ht="12.5">
      <c r="A913" s="238"/>
      <c r="B913" s="238"/>
      <c r="C913" s="238"/>
      <c r="D913" s="238"/>
      <c r="E913" s="238"/>
      <c r="F913" s="238"/>
      <c r="G913" s="238"/>
      <c r="H913" s="238"/>
      <c r="I913" s="238"/>
      <c r="J913" s="238"/>
      <c r="K913" s="237"/>
      <c r="L913" s="238"/>
      <c r="M913" s="238"/>
      <c r="N913" s="238"/>
      <c r="O913" s="238"/>
      <c r="P913" s="238"/>
      <c r="Q913" s="238"/>
      <c r="R913" s="238"/>
      <c r="S913" s="238"/>
      <c r="T913" s="238"/>
      <c r="U913" s="238"/>
      <c r="V913" s="240"/>
      <c r="W913" s="240"/>
      <c r="X913" s="238"/>
      <c r="Y913" s="238"/>
      <c r="Z913" s="238"/>
    </row>
    <row r="914" spans="1:26" ht="12.5">
      <c r="A914" s="238"/>
      <c r="B914" s="238"/>
      <c r="C914" s="238"/>
      <c r="D914" s="238"/>
      <c r="E914" s="238"/>
      <c r="F914" s="238"/>
      <c r="G914" s="238"/>
      <c r="H914" s="238"/>
      <c r="I914" s="238"/>
      <c r="J914" s="238"/>
      <c r="K914" s="237"/>
      <c r="L914" s="238"/>
      <c r="M914" s="238"/>
      <c r="N914" s="238"/>
      <c r="O914" s="238"/>
      <c r="P914" s="238"/>
      <c r="Q914" s="238"/>
      <c r="R914" s="238"/>
      <c r="S914" s="238"/>
      <c r="T914" s="238"/>
      <c r="U914" s="238"/>
      <c r="V914" s="240"/>
      <c r="W914" s="240"/>
      <c r="X914" s="238"/>
      <c r="Y914" s="238"/>
      <c r="Z914" s="238"/>
    </row>
    <row r="915" spans="1:26" ht="12.5">
      <c r="A915" s="238"/>
      <c r="B915" s="238"/>
      <c r="C915" s="238"/>
      <c r="D915" s="238"/>
      <c r="E915" s="238"/>
      <c r="F915" s="238"/>
      <c r="G915" s="238"/>
      <c r="H915" s="238"/>
      <c r="I915" s="238"/>
      <c r="J915" s="238"/>
      <c r="K915" s="237"/>
      <c r="L915" s="238"/>
      <c r="M915" s="238"/>
      <c r="N915" s="238"/>
      <c r="O915" s="238"/>
      <c r="P915" s="238"/>
      <c r="Q915" s="238"/>
      <c r="R915" s="238"/>
      <c r="S915" s="238"/>
      <c r="T915" s="238"/>
      <c r="U915" s="238"/>
      <c r="V915" s="240"/>
      <c r="W915" s="240"/>
      <c r="X915" s="238"/>
      <c r="Y915" s="238"/>
      <c r="Z915" s="238"/>
    </row>
    <row r="916" spans="1:26" ht="12.5">
      <c r="A916" s="238"/>
      <c r="B916" s="238"/>
      <c r="C916" s="238"/>
      <c r="D916" s="238"/>
      <c r="E916" s="238"/>
      <c r="F916" s="238"/>
      <c r="G916" s="238"/>
      <c r="H916" s="238"/>
      <c r="I916" s="238"/>
      <c r="J916" s="238"/>
      <c r="K916" s="237"/>
      <c r="L916" s="238"/>
      <c r="M916" s="238"/>
      <c r="N916" s="238"/>
      <c r="O916" s="238"/>
      <c r="P916" s="238"/>
      <c r="Q916" s="238"/>
      <c r="R916" s="238"/>
      <c r="S916" s="238"/>
      <c r="T916" s="238"/>
      <c r="U916" s="238"/>
      <c r="V916" s="240"/>
      <c r="W916" s="240"/>
      <c r="X916" s="238"/>
      <c r="Y916" s="238"/>
      <c r="Z916" s="238"/>
    </row>
    <row r="917" spans="1:26" ht="12.5">
      <c r="A917" s="238"/>
      <c r="B917" s="238"/>
      <c r="C917" s="238"/>
      <c r="D917" s="238"/>
      <c r="E917" s="238"/>
      <c r="F917" s="238"/>
      <c r="G917" s="238"/>
      <c r="H917" s="238"/>
      <c r="I917" s="238"/>
      <c r="J917" s="238"/>
      <c r="K917" s="237"/>
      <c r="L917" s="238"/>
      <c r="M917" s="238"/>
      <c r="N917" s="238"/>
      <c r="O917" s="238"/>
      <c r="P917" s="238"/>
      <c r="Q917" s="238"/>
      <c r="R917" s="238"/>
      <c r="S917" s="238"/>
      <c r="T917" s="238"/>
      <c r="U917" s="238"/>
      <c r="V917" s="240"/>
      <c r="W917" s="240"/>
      <c r="X917" s="238"/>
      <c r="Y917" s="238"/>
      <c r="Z917" s="238"/>
    </row>
    <row r="918" spans="1:26" ht="12.5">
      <c r="A918" s="238"/>
      <c r="B918" s="238"/>
      <c r="C918" s="238"/>
      <c r="D918" s="238"/>
      <c r="E918" s="238"/>
      <c r="F918" s="238"/>
      <c r="G918" s="238"/>
      <c r="H918" s="238"/>
      <c r="I918" s="238"/>
      <c r="J918" s="238"/>
      <c r="K918" s="237"/>
      <c r="L918" s="238"/>
      <c r="M918" s="238"/>
      <c r="N918" s="238"/>
      <c r="O918" s="238"/>
      <c r="P918" s="238"/>
      <c r="Q918" s="238"/>
      <c r="R918" s="238"/>
      <c r="S918" s="238"/>
      <c r="T918" s="238"/>
      <c r="U918" s="238"/>
      <c r="V918" s="240"/>
      <c r="W918" s="240"/>
      <c r="X918" s="238"/>
      <c r="Y918" s="238"/>
      <c r="Z918" s="238"/>
    </row>
    <row r="919" spans="1:26" ht="12.5">
      <c r="A919" s="238"/>
      <c r="B919" s="238"/>
      <c r="C919" s="238"/>
      <c r="D919" s="238"/>
      <c r="E919" s="238"/>
      <c r="F919" s="238"/>
      <c r="G919" s="238"/>
      <c r="H919" s="238"/>
      <c r="I919" s="238"/>
      <c r="J919" s="238"/>
      <c r="K919" s="237"/>
      <c r="L919" s="238"/>
      <c r="M919" s="238"/>
      <c r="N919" s="238"/>
      <c r="O919" s="238"/>
      <c r="P919" s="238"/>
      <c r="Q919" s="238"/>
      <c r="R919" s="238"/>
      <c r="S919" s="238"/>
      <c r="T919" s="238"/>
      <c r="U919" s="238"/>
      <c r="V919" s="240"/>
      <c r="W919" s="240"/>
      <c r="X919" s="238"/>
      <c r="Y919" s="238"/>
      <c r="Z919" s="238"/>
    </row>
    <row r="920" spans="1:26" ht="12.5">
      <c r="A920" s="238"/>
      <c r="B920" s="238"/>
      <c r="C920" s="238"/>
      <c r="D920" s="238"/>
      <c r="E920" s="238"/>
      <c r="F920" s="238"/>
      <c r="G920" s="238"/>
      <c r="H920" s="238"/>
      <c r="I920" s="238"/>
      <c r="J920" s="238"/>
      <c r="K920" s="237"/>
      <c r="L920" s="238"/>
      <c r="M920" s="238"/>
      <c r="N920" s="238"/>
      <c r="O920" s="238"/>
      <c r="P920" s="238"/>
      <c r="Q920" s="238"/>
      <c r="R920" s="238"/>
      <c r="S920" s="238"/>
      <c r="T920" s="238"/>
      <c r="U920" s="238"/>
      <c r="V920" s="240"/>
      <c r="W920" s="240"/>
      <c r="X920" s="238"/>
      <c r="Y920" s="238"/>
      <c r="Z920" s="238"/>
    </row>
    <row r="921" spans="1:26" ht="12.5">
      <c r="A921" s="238"/>
      <c r="B921" s="238"/>
      <c r="C921" s="238"/>
      <c r="D921" s="238"/>
      <c r="E921" s="238"/>
      <c r="F921" s="238"/>
      <c r="G921" s="238"/>
      <c r="H921" s="238"/>
      <c r="I921" s="238"/>
      <c r="J921" s="238"/>
      <c r="K921" s="237"/>
      <c r="L921" s="238"/>
      <c r="M921" s="238"/>
      <c r="N921" s="238"/>
      <c r="O921" s="238"/>
      <c r="P921" s="238"/>
      <c r="Q921" s="238"/>
      <c r="R921" s="238"/>
      <c r="S921" s="238"/>
      <c r="T921" s="238"/>
      <c r="U921" s="238"/>
      <c r="V921" s="240"/>
      <c r="W921" s="240"/>
      <c r="X921" s="238"/>
      <c r="Y921" s="238"/>
      <c r="Z921" s="238"/>
    </row>
    <row r="922" spans="1:26" ht="12.5">
      <c r="A922" s="238"/>
      <c r="B922" s="238"/>
      <c r="C922" s="238"/>
      <c r="D922" s="238"/>
      <c r="E922" s="238"/>
      <c r="F922" s="238"/>
      <c r="G922" s="238"/>
      <c r="H922" s="238"/>
      <c r="I922" s="238"/>
      <c r="J922" s="238"/>
      <c r="K922" s="237"/>
      <c r="L922" s="238"/>
      <c r="M922" s="238"/>
      <c r="N922" s="238"/>
      <c r="O922" s="238"/>
      <c r="P922" s="238"/>
      <c r="Q922" s="238"/>
      <c r="R922" s="238"/>
      <c r="S922" s="238"/>
      <c r="T922" s="238"/>
      <c r="U922" s="238"/>
      <c r="V922" s="240"/>
      <c r="W922" s="240"/>
      <c r="X922" s="238"/>
      <c r="Y922" s="238"/>
      <c r="Z922" s="238"/>
    </row>
    <row r="923" spans="1:26" ht="12.5">
      <c r="A923" s="238"/>
      <c r="B923" s="238"/>
      <c r="C923" s="238"/>
      <c r="D923" s="238"/>
      <c r="E923" s="238"/>
      <c r="F923" s="238"/>
      <c r="G923" s="238"/>
      <c r="H923" s="238"/>
      <c r="I923" s="238"/>
      <c r="J923" s="238"/>
      <c r="K923" s="237"/>
      <c r="L923" s="238"/>
      <c r="M923" s="238"/>
      <c r="N923" s="238"/>
      <c r="O923" s="238"/>
      <c r="P923" s="238"/>
      <c r="Q923" s="238"/>
      <c r="R923" s="238"/>
      <c r="S923" s="238"/>
      <c r="T923" s="238"/>
      <c r="U923" s="238"/>
      <c r="V923" s="240"/>
      <c r="W923" s="240"/>
      <c r="X923" s="238"/>
      <c r="Y923" s="238"/>
      <c r="Z923" s="238"/>
    </row>
    <row r="924" spans="1:26" ht="12.5">
      <c r="A924" s="238"/>
      <c r="B924" s="238"/>
      <c r="C924" s="238"/>
      <c r="D924" s="238"/>
      <c r="E924" s="238"/>
      <c r="F924" s="238"/>
      <c r="G924" s="238"/>
      <c r="H924" s="238"/>
      <c r="I924" s="238"/>
      <c r="J924" s="238"/>
      <c r="K924" s="237"/>
      <c r="L924" s="238"/>
      <c r="M924" s="238"/>
      <c r="N924" s="238"/>
      <c r="O924" s="238"/>
      <c r="P924" s="238"/>
      <c r="Q924" s="238"/>
      <c r="R924" s="238"/>
      <c r="S924" s="238"/>
      <c r="T924" s="238"/>
      <c r="U924" s="238"/>
      <c r="V924" s="240"/>
      <c r="W924" s="240"/>
      <c r="X924" s="238"/>
      <c r="Y924" s="238"/>
      <c r="Z924" s="238"/>
    </row>
    <row r="925" spans="1:26" ht="12.5">
      <c r="A925" s="238"/>
      <c r="B925" s="238"/>
      <c r="C925" s="238"/>
      <c r="D925" s="238"/>
      <c r="E925" s="238"/>
      <c r="F925" s="238"/>
      <c r="G925" s="238"/>
      <c r="H925" s="238"/>
      <c r="I925" s="238"/>
      <c r="J925" s="238"/>
      <c r="K925" s="237"/>
      <c r="L925" s="238"/>
      <c r="M925" s="238"/>
      <c r="N925" s="238"/>
      <c r="O925" s="238"/>
      <c r="P925" s="238"/>
      <c r="Q925" s="238"/>
      <c r="R925" s="238"/>
      <c r="S925" s="238"/>
      <c r="T925" s="238"/>
      <c r="U925" s="238"/>
      <c r="V925" s="240"/>
      <c r="W925" s="240"/>
      <c r="X925" s="238"/>
      <c r="Y925" s="238"/>
      <c r="Z925" s="238"/>
    </row>
    <row r="926" spans="1:26" ht="12.5">
      <c r="A926" s="238"/>
      <c r="B926" s="238"/>
      <c r="C926" s="238"/>
      <c r="D926" s="238"/>
      <c r="E926" s="238"/>
      <c r="F926" s="238"/>
      <c r="G926" s="238"/>
      <c r="H926" s="238"/>
      <c r="I926" s="238"/>
      <c r="J926" s="238"/>
      <c r="K926" s="237"/>
      <c r="L926" s="238"/>
      <c r="M926" s="238"/>
      <c r="N926" s="238"/>
      <c r="O926" s="238"/>
      <c r="P926" s="238"/>
      <c r="Q926" s="238"/>
      <c r="R926" s="238"/>
      <c r="S926" s="238"/>
      <c r="T926" s="238"/>
      <c r="U926" s="238"/>
      <c r="V926" s="240"/>
      <c r="W926" s="240"/>
      <c r="X926" s="238"/>
      <c r="Y926" s="238"/>
      <c r="Z926" s="238"/>
    </row>
    <row r="927" spans="1:26" ht="12.5">
      <c r="A927" s="238"/>
      <c r="B927" s="238"/>
      <c r="C927" s="238"/>
      <c r="D927" s="238"/>
      <c r="E927" s="238"/>
      <c r="F927" s="238"/>
      <c r="G927" s="238"/>
      <c r="H927" s="238"/>
      <c r="I927" s="238"/>
      <c r="J927" s="238"/>
      <c r="K927" s="237"/>
      <c r="L927" s="238"/>
      <c r="M927" s="238"/>
      <c r="N927" s="238"/>
      <c r="O927" s="238"/>
      <c r="P927" s="238"/>
      <c r="Q927" s="238"/>
      <c r="R927" s="238"/>
      <c r="S927" s="238"/>
      <c r="T927" s="238"/>
      <c r="U927" s="238"/>
      <c r="V927" s="240"/>
      <c r="W927" s="240"/>
      <c r="X927" s="238"/>
      <c r="Y927" s="238"/>
      <c r="Z927" s="238"/>
    </row>
    <row r="928" spans="1:26" ht="12.5">
      <c r="A928" s="238"/>
      <c r="B928" s="238"/>
      <c r="C928" s="238"/>
      <c r="D928" s="238"/>
      <c r="E928" s="238"/>
      <c r="F928" s="238"/>
      <c r="G928" s="238"/>
      <c r="H928" s="238"/>
      <c r="I928" s="238"/>
      <c r="J928" s="238"/>
      <c r="K928" s="237"/>
      <c r="L928" s="238"/>
      <c r="M928" s="238"/>
      <c r="N928" s="238"/>
      <c r="O928" s="238"/>
      <c r="P928" s="238"/>
      <c r="Q928" s="238"/>
      <c r="R928" s="238"/>
      <c r="S928" s="238"/>
      <c r="T928" s="238"/>
      <c r="U928" s="238"/>
      <c r="V928" s="240"/>
      <c r="W928" s="240"/>
      <c r="X928" s="238"/>
      <c r="Y928" s="238"/>
      <c r="Z928" s="238"/>
    </row>
    <row r="929" spans="1:26" ht="12.5">
      <c r="A929" s="238"/>
      <c r="B929" s="238"/>
      <c r="C929" s="238"/>
      <c r="D929" s="238"/>
      <c r="E929" s="238"/>
      <c r="F929" s="238"/>
      <c r="G929" s="238"/>
      <c r="H929" s="238"/>
      <c r="I929" s="238"/>
      <c r="J929" s="238"/>
      <c r="K929" s="237"/>
      <c r="L929" s="238"/>
      <c r="M929" s="238"/>
      <c r="N929" s="238"/>
      <c r="O929" s="238"/>
      <c r="P929" s="238"/>
      <c r="Q929" s="238"/>
      <c r="R929" s="238"/>
      <c r="S929" s="238"/>
      <c r="T929" s="238"/>
      <c r="U929" s="238"/>
      <c r="V929" s="240"/>
      <c r="W929" s="240"/>
      <c r="X929" s="238"/>
      <c r="Y929" s="238"/>
      <c r="Z929" s="238"/>
    </row>
    <row r="930" spans="1:26" ht="12.5">
      <c r="A930" s="238"/>
      <c r="B930" s="238"/>
      <c r="C930" s="238"/>
      <c r="D930" s="238"/>
      <c r="E930" s="238"/>
      <c r="F930" s="238"/>
      <c r="G930" s="238"/>
      <c r="H930" s="238"/>
      <c r="I930" s="238"/>
      <c r="J930" s="238"/>
      <c r="K930" s="237"/>
      <c r="L930" s="238"/>
      <c r="M930" s="238"/>
      <c r="N930" s="238"/>
      <c r="O930" s="238"/>
      <c r="P930" s="238"/>
      <c r="Q930" s="238"/>
      <c r="R930" s="238"/>
      <c r="S930" s="238"/>
      <c r="T930" s="238"/>
      <c r="U930" s="238"/>
      <c r="V930" s="240"/>
      <c r="W930" s="240"/>
      <c r="X930" s="238"/>
      <c r="Y930" s="238"/>
      <c r="Z930" s="238"/>
    </row>
    <row r="931" spans="1:26" ht="12.5">
      <c r="A931" s="238"/>
      <c r="B931" s="238"/>
      <c r="C931" s="238"/>
      <c r="D931" s="238"/>
      <c r="E931" s="238"/>
      <c r="F931" s="238"/>
      <c r="G931" s="238"/>
      <c r="H931" s="238"/>
      <c r="I931" s="238"/>
      <c r="J931" s="238"/>
      <c r="K931" s="237"/>
      <c r="L931" s="238"/>
      <c r="M931" s="238"/>
      <c r="N931" s="238"/>
      <c r="O931" s="238"/>
      <c r="P931" s="238"/>
      <c r="Q931" s="238"/>
      <c r="R931" s="238"/>
      <c r="S931" s="238"/>
      <c r="T931" s="238"/>
      <c r="U931" s="238"/>
      <c r="V931" s="240"/>
      <c r="W931" s="240"/>
      <c r="X931" s="238"/>
      <c r="Y931" s="238"/>
      <c r="Z931" s="238"/>
    </row>
    <row r="932" spans="1:26" ht="12.5">
      <c r="A932" s="238"/>
      <c r="B932" s="238"/>
      <c r="C932" s="238"/>
      <c r="D932" s="238"/>
      <c r="E932" s="238"/>
      <c r="F932" s="238"/>
      <c r="G932" s="238"/>
      <c r="H932" s="238"/>
      <c r="I932" s="238"/>
      <c r="J932" s="238"/>
      <c r="K932" s="237"/>
      <c r="L932" s="238"/>
      <c r="M932" s="238"/>
      <c r="N932" s="238"/>
      <c r="O932" s="238"/>
      <c r="P932" s="238"/>
      <c r="Q932" s="238"/>
      <c r="R932" s="238"/>
      <c r="S932" s="238"/>
      <c r="T932" s="238"/>
      <c r="U932" s="238"/>
      <c r="V932" s="240"/>
      <c r="W932" s="240"/>
      <c r="X932" s="238"/>
      <c r="Y932" s="238"/>
      <c r="Z932" s="238"/>
    </row>
    <row r="933" spans="1:26" ht="12.5">
      <c r="A933" s="238"/>
      <c r="B933" s="238"/>
      <c r="C933" s="238"/>
      <c r="D933" s="238"/>
      <c r="E933" s="238"/>
      <c r="F933" s="238"/>
      <c r="G933" s="238"/>
      <c r="H933" s="238"/>
      <c r="I933" s="238"/>
      <c r="J933" s="238"/>
      <c r="K933" s="237"/>
      <c r="L933" s="238"/>
      <c r="M933" s="238"/>
      <c r="N933" s="238"/>
      <c r="O933" s="238"/>
      <c r="P933" s="238"/>
      <c r="Q933" s="238"/>
      <c r="R933" s="238"/>
      <c r="S933" s="238"/>
      <c r="T933" s="238"/>
      <c r="U933" s="238"/>
      <c r="V933" s="240"/>
      <c r="W933" s="240"/>
      <c r="X933" s="238"/>
      <c r="Y933" s="238"/>
      <c r="Z933" s="238"/>
    </row>
    <row r="934" spans="1:26" ht="12.5">
      <c r="A934" s="238"/>
      <c r="B934" s="238"/>
      <c r="C934" s="238"/>
      <c r="D934" s="238"/>
      <c r="E934" s="238"/>
      <c r="F934" s="238"/>
      <c r="G934" s="238"/>
      <c r="H934" s="238"/>
      <c r="I934" s="238"/>
      <c r="J934" s="238"/>
      <c r="K934" s="237"/>
      <c r="L934" s="238"/>
      <c r="M934" s="238"/>
      <c r="N934" s="238"/>
      <c r="O934" s="238"/>
      <c r="P934" s="238"/>
      <c r="Q934" s="238"/>
      <c r="R934" s="238"/>
      <c r="S934" s="238"/>
      <c r="T934" s="238"/>
      <c r="U934" s="238"/>
      <c r="V934" s="240"/>
      <c r="W934" s="240"/>
      <c r="X934" s="238"/>
      <c r="Y934" s="238"/>
      <c r="Z934" s="238"/>
    </row>
    <row r="935" spans="1:26" ht="12.5">
      <c r="A935" s="238"/>
      <c r="B935" s="238"/>
      <c r="C935" s="238"/>
      <c r="D935" s="238"/>
      <c r="E935" s="238"/>
      <c r="F935" s="238"/>
      <c r="G935" s="238"/>
      <c r="H935" s="238"/>
      <c r="I935" s="238"/>
      <c r="J935" s="238"/>
      <c r="K935" s="237"/>
      <c r="L935" s="238"/>
      <c r="M935" s="238"/>
      <c r="N935" s="238"/>
      <c r="O935" s="238"/>
      <c r="P935" s="238"/>
      <c r="Q935" s="238"/>
      <c r="R935" s="238"/>
      <c r="S935" s="238"/>
      <c r="T935" s="238"/>
      <c r="U935" s="238"/>
      <c r="V935" s="240"/>
      <c r="W935" s="240"/>
      <c r="X935" s="238"/>
      <c r="Y935" s="238"/>
      <c r="Z935" s="238"/>
    </row>
    <row r="936" spans="1:26" ht="12.5">
      <c r="A936" s="238"/>
      <c r="B936" s="238"/>
      <c r="C936" s="238"/>
      <c r="D936" s="238"/>
      <c r="E936" s="238"/>
      <c r="F936" s="238"/>
      <c r="G936" s="238"/>
      <c r="H936" s="238"/>
      <c r="I936" s="238"/>
      <c r="J936" s="238"/>
      <c r="K936" s="237"/>
      <c r="L936" s="238"/>
      <c r="M936" s="238"/>
      <c r="N936" s="238"/>
      <c r="O936" s="238"/>
      <c r="P936" s="238"/>
      <c r="Q936" s="238"/>
      <c r="R936" s="238"/>
      <c r="S936" s="238"/>
      <c r="T936" s="238"/>
      <c r="U936" s="238"/>
      <c r="V936" s="240"/>
      <c r="W936" s="240"/>
      <c r="X936" s="238"/>
      <c r="Y936" s="238"/>
      <c r="Z936" s="238"/>
    </row>
    <row r="937" spans="1:26" ht="12.5">
      <c r="A937" s="238"/>
      <c r="B937" s="238"/>
      <c r="C937" s="238"/>
      <c r="D937" s="238"/>
      <c r="E937" s="238"/>
      <c r="F937" s="238"/>
      <c r="G937" s="238"/>
      <c r="H937" s="238"/>
      <c r="I937" s="238"/>
      <c r="J937" s="238"/>
      <c r="K937" s="237"/>
      <c r="L937" s="238"/>
      <c r="M937" s="238"/>
      <c r="N937" s="238"/>
      <c r="O937" s="238"/>
      <c r="P937" s="238"/>
      <c r="Q937" s="238"/>
      <c r="R937" s="238"/>
      <c r="S937" s="238"/>
      <c r="T937" s="238"/>
      <c r="U937" s="238"/>
      <c r="V937" s="240"/>
      <c r="W937" s="240"/>
      <c r="X937" s="238"/>
      <c r="Y937" s="238"/>
      <c r="Z937" s="238"/>
    </row>
    <row r="938" spans="1:26" ht="12.5">
      <c r="A938" s="238"/>
      <c r="B938" s="238"/>
      <c r="C938" s="238"/>
      <c r="D938" s="238"/>
      <c r="E938" s="238"/>
      <c r="F938" s="238"/>
      <c r="G938" s="238"/>
      <c r="H938" s="238"/>
      <c r="I938" s="238"/>
      <c r="J938" s="238"/>
      <c r="K938" s="237"/>
      <c r="L938" s="238"/>
      <c r="M938" s="238"/>
      <c r="N938" s="238"/>
      <c r="O938" s="238"/>
      <c r="P938" s="238"/>
      <c r="Q938" s="238"/>
      <c r="R938" s="238"/>
      <c r="S938" s="238"/>
      <c r="T938" s="238"/>
      <c r="U938" s="238"/>
      <c r="V938" s="240"/>
      <c r="W938" s="240"/>
      <c r="X938" s="238"/>
      <c r="Y938" s="238"/>
      <c r="Z938" s="238"/>
    </row>
    <row r="939" spans="1:26" ht="12.5">
      <c r="A939" s="238"/>
      <c r="B939" s="238"/>
      <c r="C939" s="238"/>
      <c r="D939" s="238"/>
      <c r="E939" s="238"/>
      <c r="F939" s="238"/>
      <c r="G939" s="238"/>
      <c r="H939" s="238"/>
      <c r="I939" s="238"/>
      <c r="J939" s="238"/>
      <c r="K939" s="237"/>
      <c r="L939" s="238"/>
      <c r="M939" s="238"/>
      <c r="N939" s="238"/>
      <c r="O939" s="238"/>
      <c r="P939" s="238"/>
      <c r="Q939" s="238"/>
      <c r="R939" s="238"/>
      <c r="S939" s="238"/>
      <c r="T939" s="238"/>
      <c r="U939" s="238"/>
      <c r="V939" s="240"/>
      <c r="W939" s="240"/>
      <c r="X939" s="238"/>
      <c r="Y939" s="238"/>
      <c r="Z939" s="238"/>
    </row>
    <row r="940" spans="1:26" ht="12.5">
      <c r="A940" s="238"/>
      <c r="B940" s="238"/>
      <c r="C940" s="238"/>
      <c r="D940" s="238"/>
      <c r="E940" s="238"/>
      <c r="F940" s="238"/>
      <c r="G940" s="238"/>
      <c r="H940" s="238"/>
      <c r="I940" s="238"/>
      <c r="J940" s="238"/>
      <c r="K940" s="237"/>
      <c r="L940" s="238"/>
      <c r="M940" s="238"/>
      <c r="N940" s="238"/>
      <c r="O940" s="238"/>
      <c r="P940" s="238"/>
      <c r="Q940" s="238"/>
      <c r="R940" s="238"/>
      <c r="S940" s="238"/>
      <c r="T940" s="238"/>
      <c r="U940" s="238"/>
      <c r="V940" s="240"/>
      <c r="W940" s="240"/>
      <c r="X940" s="238"/>
      <c r="Y940" s="238"/>
      <c r="Z940" s="238"/>
    </row>
    <row r="941" spans="1:26" ht="12.5">
      <c r="A941" s="238"/>
      <c r="B941" s="238"/>
      <c r="C941" s="238"/>
      <c r="D941" s="238"/>
      <c r="E941" s="238"/>
      <c r="F941" s="238"/>
      <c r="G941" s="238"/>
      <c r="H941" s="238"/>
      <c r="I941" s="238"/>
      <c r="J941" s="238"/>
      <c r="K941" s="237"/>
      <c r="L941" s="238"/>
      <c r="M941" s="238"/>
      <c r="N941" s="238"/>
      <c r="O941" s="238"/>
      <c r="P941" s="238"/>
      <c r="Q941" s="238"/>
      <c r="R941" s="238"/>
      <c r="S941" s="238"/>
      <c r="T941" s="238"/>
      <c r="U941" s="238"/>
      <c r="V941" s="240"/>
      <c r="W941" s="240"/>
      <c r="X941" s="238"/>
      <c r="Y941" s="238"/>
      <c r="Z941" s="238"/>
    </row>
    <row r="942" spans="1:26" ht="12.5">
      <c r="A942" s="238"/>
      <c r="B942" s="238"/>
      <c r="C942" s="238"/>
      <c r="D942" s="238"/>
      <c r="E942" s="238"/>
      <c r="F942" s="238"/>
      <c r="G942" s="238"/>
      <c r="H942" s="238"/>
      <c r="I942" s="238"/>
      <c r="J942" s="238"/>
      <c r="K942" s="237"/>
      <c r="L942" s="238"/>
      <c r="M942" s="238"/>
      <c r="N942" s="238"/>
      <c r="O942" s="238"/>
      <c r="P942" s="238"/>
      <c r="Q942" s="238"/>
      <c r="R942" s="238"/>
      <c r="S942" s="238"/>
      <c r="T942" s="238"/>
      <c r="U942" s="238"/>
      <c r="V942" s="240"/>
      <c r="W942" s="240"/>
      <c r="X942" s="238"/>
      <c r="Y942" s="238"/>
      <c r="Z942" s="238"/>
    </row>
    <row r="943" spans="1:26" ht="12.5">
      <c r="A943" s="238"/>
      <c r="B943" s="238"/>
      <c r="C943" s="238"/>
      <c r="D943" s="238"/>
      <c r="E943" s="238"/>
      <c r="F943" s="238"/>
      <c r="G943" s="238"/>
      <c r="H943" s="238"/>
      <c r="I943" s="238"/>
      <c r="J943" s="238"/>
      <c r="K943" s="237"/>
      <c r="L943" s="238"/>
      <c r="M943" s="238"/>
      <c r="N943" s="238"/>
      <c r="O943" s="238"/>
      <c r="P943" s="238"/>
      <c r="Q943" s="238"/>
      <c r="R943" s="238"/>
      <c r="S943" s="238"/>
      <c r="T943" s="238"/>
      <c r="U943" s="238"/>
      <c r="V943" s="240"/>
      <c r="W943" s="240"/>
      <c r="X943" s="238"/>
      <c r="Y943" s="238"/>
      <c r="Z943" s="238"/>
    </row>
    <row r="944" spans="1:26" ht="12.5">
      <c r="A944" s="238"/>
      <c r="B944" s="238"/>
      <c r="C944" s="238"/>
      <c r="D944" s="238"/>
      <c r="E944" s="238"/>
      <c r="F944" s="238"/>
      <c r="G944" s="238"/>
      <c r="H944" s="238"/>
      <c r="I944" s="238"/>
      <c r="J944" s="238"/>
      <c r="K944" s="237"/>
      <c r="L944" s="238"/>
      <c r="M944" s="238"/>
      <c r="N944" s="238"/>
      <c r="O944" s="238"/>
      <c r="P944" s="238"/>
      <c r="Q944" s="238"/>
      <c r="R944" s="238"/>
      <c r="S944" s="238"/>
      <c r="T944" s="238"/>
      <c r="U944" s="238"/>
      <c r="V944" s="240"/>
      <c r="W944" s="240"/>
      <c r="X944" s="238"/>
      <c r="Y944" s="238"/>
      <c r="Z944" s="238"/>
    </row>
    <row r="945" spans="1:26" ht="12.5">
      <c r="A945" s="238"/>
      <c r="B945" s="238"/>
      <c r="C945" s="238"/>
      <c r="D945" s="238"/>
      <c r="E945" s="238"/>
      <c r="F945" s="238"/>
      <c r="G945" s="238"/>
      <c r="H945" s="238"/>
      <c r="I945" s="238"/>
      <c r="J945" s="238"/>
      <c r="K945" s="237"/>
      <c r="L945" s="238"/>
      <c r="M945" s="238"/>
      <c r="N945" s="238"/>
      <c r="O945" s="238"/>
      <c r="P945" s="238"/>
      <c r="Q945" s="238"/>
      <c r="R945" s="238"/>
      <c r="S945" s="238"/>
      <c r="T945" s="238"/>
      <c r="U945" s="238"/>
      <c r="V945" s="240"/>
      <c r="W945" s="240"/>
      <c r="X945" s="238"/>
      <c r="Y945" s="238"/>
      <c r="Z945" s="238"/>
    </row>
    <row r="946" spans="1:26" ht="12.5">
      <c r="A946" s="238"/>
      <c r="B946" s="238"/>
      <c r="C946" s="238"/>
      <c r="D946" s="238"/>
      <c r="E946" s="238"/>
      <c r="F946" s="238"/>
      <c r="G946" s="238"/>
      <c r="H946" s="238"/>
      <c r="I946" s="238"/>
      <c r="J946" s="238"/>
      <c r="K946" s="237"/>
      <c r="L946" s="238"/>
      <c r="M946" s="238"/>
      <c r="N946" s="238"/>
      <c r="O946" s="238"/>
      <c r="P946" s="238"/>
      <c r="Q946" s="238"/>
      <c r="R946" s="238"/>
      <c r="S946" s="238"/>
      <c r="T946" s="238"/>
      <c r="U946" s="238"/>
      <c r="V946" s="240"/>
      <c r="W946" s="240"/>
      <c r="X946" s="238"/>
      <c r="Y946" s="238"/>
      <c r="Z946" s="238"/>
    </row>
    <row r="947" spans="1:26" ht="12.5">
      <c r="A947" s="238"/>
      <c r="B947" s="238"/>
      <c r="C947" s="238"/>
      <c r="D947" s="238"/>
      <c r="E947" s="238"/>
      <c r="F947" s="238"/>
      <c r="G947" s="238"/>
      <c r="H947" s="238"/>
      <c r="I947" s="238"/>
      <c r="J947" s="238"/>
      <c r="K947" s="237"/>
      <c r="L947" s="238"/>
      <c r="M947" s="238"/>
      <c r="N947" s="238"/>
      <c r="O947" s="238"/>
      <c r="P947" s="238"/>
      <c r="Q947" s="238"/>
      <c r="R947" s="238"/>
      <c r="S947" s="238"/>
      <c r="T947" s="238"/>
      <c r="U947" s="238"/>
      <c r="V947" s="240"/>
      <c r="W947" s="240"/>
      <c r="X947" s="238"/>
      <c r="Y947" s="238"/>
      <c r="Z947" s="238"/>
    </row>
    <row r="948" spans="1:26" ht="12.5">
      <c r="A948" s="238"/>
      <c r="B948" s="238"/>
      <c r="C948" s="238"/>
      <c r="D948" s="238"/>
      <c r="E948" s="238"/>
      <c r="F948" s="238"/>
      <c r="G948" s="238"/>
      <c r="H948" s="238"/>
      <c r="I948" s="238"/>
      <c r="J948" s="238"/>
      <c r="K948" s="237"/>
      <c r="L948" s="238"/>
      <c r="M948" s="238"/>
      <c r="N948" s="238"/>
      <c r="O948" s="238"/>
      <c r="P948" s="238"/>
      <c r="Q948" s="238"/>
      <c r="R948" s="238"/>
      <c r="S948" s="238"/>
      <c r="T948" s="238"/>
      <c r="U948" s="238"/>
      <c r="V948" s="240"/>
      <c r="W948" s="240"/>
      <c r="X948" s="238"/>
      <c r="Y948" s="238"/>
      <c r="Z948" s="238"/>
    </row>
    <row r="949" spans="1:26" ht="12.5">
      <c r="A949" s="238"/>
      <c r="B949" s="238"/>
      <c r="C949" s="238"/>
      <c r="D949" s="238"/>
      <c r="E949" s="238"/>
      <c r="F949" s="238"/>
      <c r="G949" s="238"/>
      <c r="H949" s="238"/>
      <c r="I949" s="238"/>
      <c r="J949" s="238"/>
      <c r="K949" s="237"/>
      <c r="L949" s="238"/>
      <c r="M949" s="238"/>
      <c r="N949" s="238"/>
      <c r="O949" s="238"/>
      <c r="P949" s="238"/>
      <c r="Q949" s="238"/>
      <c r="R949" s="238"/>
      <c r="S949" s="238"/>
      <c r="T949" s="238"/>
      <c r="U949" s="238"/>
      <c r="V949" s="240"/>
      <c r="W949" s="240"/>
      <c r="X949" s="238"/>
      <c r="Y949" s="238"/>
      <c r="Z949" s="238"/>
    </row>
    <row r="950" spans="1:26" ht="12.5">
      <c r="A950" s="238"/>
      <c r="B950" s="238"/>
      <c r="C950" s="238"/>
      <c r="D950" s="238"/>
      <c r="E950" s="238"/>
      <c r="F950" s="238"/>
      <c r="G950" s="238"/>
      <c r="H950" s="238"/>
      <c r="I950" s="238"/>
      <c r="J950" s="238"/>
      <c r="K950" s="237"/>
      <c r="L950" s="238"/>
      <c r="M950" s="238"/>
      <c r="N950" s="238"/>
      <c r="O950" s="238"/>
      <c r="P950" s="238"/>
      <c r="Q950" s="238"/>
      <c r="R950" s="238"/>
      <c r="S950" s="238"/>
      <c r="T950" s="238"/>
      <c r="U950" s="238"/>
      <c r="V950" s="240"/>
      <c r="W950" s="240"/>
      <c r="X950" s="238"/>
      <c r="Y950" s="238"/>
      <c r="Z950" s="238"/>
    </row>
    <row r="951" spans="1:26" ht="12.5">
      <c r="A951" s="238"/>
      <c r="B951" s="238"/>
      <c r="C951" s="238"/>
      <c r="D951" s="238"/>
      <c r="E951" s="238"/>
      <c r="F951" s="238"/>
      <c r="G951" s="238"/>
      <c r="H951" s="238"/>
      <c r="I951" s="238"/>
      <c r="J951" s="238"/>
      <c r="K951" s="237"/>
      <c r="L951" s="238"/>
      <c r="M951" s="238"/>
      <c r="N951" s="238"/>
      <c r="O951" s="238"/>
      <c r="P951" s="238"/>
      <c r="Q951" s="238"/>
      <c r="R951" s="238"/>
      <c r="S951" s="238"/>
      <c r="T951" s="238"/>
      <c r="U951" s="238"/>
      <c r="V951" s="240"/>
      <c r="W951" s="240"/>
      <c r="X951" s="238"/>
      <c r="Y951" s="238"/>
      <c r="Z951" s="238"/>
    </row>
    <row r="952" spans="1:26" ht="12.5">
      <c r="A952" s="238"/>
      <c r="B952" s="238"/>
      <c r="C952" s="238"/>
      <c r="D952" s="238"/>
      <c r="E952" s="238"/>
      <c r="F952" s="238"/>
      <c r="G952" s="238"/>
      <c r="H952" s="238"/>
      <c r="I952" s="238"/>
      <c r="J952" s="238"/>
      <c r="K952" s="237"/>
      <c r="L952" s="238"/>
      <c r="M952" s="238"/>
      <c r="N952" s="238"/>
      <c r="O952" s="238"/>
      <c r="P952" s="238"/>
      <c r="Q952" s="238"/>
      <c r="R952" s="238"/>
      <c r="S952" s="238"/>
      <c r="T952" s="238"/>
      <c r="U952" s="238"/>
      <c r="V952" s="240"/>
      <c r="W952" s="240"/>
      <c r="X952" s="238"/>
      <c r="Y952" s="238"/>
      <c r="Z952" s="238"/>
    </row>
    <row r="953" spans="1:26" ht="12.5">
      <c r="A953" s="238"/>
      <c r="B953" s="238"/>
      <c r="C953" s="238"/>
      <c r="D953" s="238"/>
      <c r="E953" s="238"/>
      <c r="F953" s="238"/>
      <c r="G953" s="238"/>
      <c r="H953" s="238"/>
      <c r="I953" s="238"/>
      <c r="J953" s="238"/>
      <c r="K953" s="237"/>
      <c r="L953" s="238"/>
      <c r="M953" s="238"/>
      <c r="N953" s="238"/>
      <c r="O953" s="238"/>
      <c r="P953" s="238"/>
      <c r="Q953" s="238"/>
      <c r="R953" s="238"/>
      <c r="S953" s="238"/>
      <c r="T953" s="238"/>
      <c r="U953" s="238"/>
      <c r="V953" s="240"/>
      <c r="W953" s="240"/>
      <c r="X953" s="238"/>
      <c r="Y953" s="238"/>
      <c r="Z953" s="238"/>
    </row>
    <row r="954" spans="1:26" ht="12.5">
      <c r="A954" s="238"/>
      <c r="B954" s="238"/>
      <c r="C954" s="238"/>
      <c r="D954" s="238"/>
      <c r="E954" s="238"/>
      <c r="F954" s="238"/>
      <c r="G954" s="238"/>
      <c r="H954" s="238"/>
      <c r="I954" s="238"/>
      <c r="J954" s="238"/>
      <c r="K954" s="237"/>
      <c r="L954" s="238"/>
      <c r="M954" s="238"/>
      <c r="N954" s="238"/>
      <c r="O954" s="238"/>
      <c r="P954" s="238"/>
      <c r="Q954" s="238"/>
      <c r="R954" s="238"/>
      <c r="S954" s="238"/>
      <c r="T954" s="238"/>
      <c r="U954" s="238"/>
      <c r="V954" s="240"/>
      <c r="W954" s="240"/>
      <c r="X954" s="238"/>
      <c r="Y954" s="238"/>
      <c r="Z954" s="238"/>
    </row>
    <row r="955" spans="1:26" ht="12.5">
      <c r="A955" s="238"/>
      <c r="B955" s="238"/>
      <c r="C955" s="238"/>
      <c r="D955" s="238"/>
      <c r="E955" s="238"/>
      <c r="F955" s="238"/>
      <c r="G955" s="238"/>
      <c r="H955" s="238"/>
      <c r="I955" s="238"/>
      <c r="J955" s="238"/>
      <c r="K955" s="237"/>
      <c r="L955" s="238"/>
      <c r="M955" s="238"/>
      <c r="N955" s="238"/>
      <c r="O955" s="238"/>
      <c r="P955" s="238"/>
      <c r="Q955" s="238"/>
      <c r="R955" s="238"/>
      <c r="S955" s="238"/>
      <c r="T955" s="238"/>
      <c r="U955" s="238"/>
      <c r="V955" s="240"/>
      <c r="W955" s="240"/>
      <c r="X955" s="238"/>
      <c r="Y955" s="238"/>
      <c r="Z955" s="238"/>
    </row>
    <row r="956" spans="1:26" ht="12.5">
      <c r="A956" s="238"/>
      <c r="B956" s="238"/>
      <c r="C956" s="238"/>
      <c r="D956" s="238"/>
      <c r="E956" s="238"/>
      <c r="F956" s="238"/>
      <c r="G956" s="238"/>
      <c r="H956" s="238"/>
      <c r="I956" s="238"/>
      <c r="J956" s="238"/>
      <c r="K956" s="237"/>
      <c r="L956" s="238"/>
      <c r="M956" s="238"/>
      <c r="N956" s="238"/>
      <c r="O956" s="238"/>
      <c r="P956" s="238"/>
      <c r="Q956" s="238"/>
      <c r="R956" s="238"/>
      <c r="S956" s="238"/>
      <c r="T956" s="238"/>
      <c r="U956" s="238"/>
      <c r="V956" s="240"/>
      <c r="W956" s="240"/>
      <c r="X956" s="238"/>
      <c r="Y956" s="238"/>
      <c r="Z956" s="238"/>
    </row>
    <row r="957" spans="1:26" ht="12.5">
      <c r="A957" s="238"/>
      <c r="B957" s="238"/>
      <c r="C957" s="238"/>
      <c r="D957" s="238"/>
      <c r="E957" s="238"/>
      <c r="F957" s="238"/>
      <c r="G957" s="238"/>
      <c r="H957" s="238"/>
      <c r="I957" s="238"/>
      <c r="J957" s="238"/>
      <c r="K957" s="237"/>
      <c r="L957" s="238"/>
      <c r="M957" s="238"/>
      <c r="N957" s="238"/>
      <c r="O957" s="238"/>
      <c r="P957" s="238"/>
      <c r="Q957" s="238"/>
      <c r="R957" s="238"/>
      <c r="S957" s="238"/>
      <c r="T957" s="238"/>
      <c r="U957" s="238"/>
      <c r="V957" s="240"/>
      <c r="W957" s="240"/>
      <c r="X957" s="238"/>
      <c r="Y957" s="238"/>
      <c r="Z957" s="238"/>
    </row>
    <row r="958" spans="1:26" ht="12.5">
      <c r="A958" s="238"/>
      <c r="B958" s="238"/>
      <c r="C958" s="238"/>
      <c r="D958" s="238"/>
      <c r="E958" s="238"/>
      <c r="F958" s="238"/>
      <c r="G958" s="238"/>
      <c r="H958" s="238"/>
      <c r="I958" s="238"/>
      <c r="J958" s="238"/>
      <c r="K958" s="237"/>
      <c r="L958" s="238"/>
      <c r="M958" s="238"/>
      <c r="N958" s="238"/>
      <c r="O958" s="238"/>
      <c r="P958" s="238"/>
      <c r="Q958" s="238"/>
      <c r="R958" s="238"/>
      <c r="S958" s="238"/>
      <c r="T958" s="238"/>
      <c r="U958" s="238"/>
      <c r="V958" s="240"/>
      <c r="W958" s="240"/>
      <c r="X958" s="238"/>
      <c r="Y958" s="238"/>
      <c r="Z958" s="238"/>
    </row>
    <row r="959" spans="1:26" ht="12.5">
      <c r="A959" s="238"/>
      <c r="B959" s="238"/>
      <c r="C959" s="238"/>
      <c r="D959" s="238"/>
      <c r="E959" s="238"/>
      <c r="F959" s="238"/>
      <c r="G959" s="238"/>
      <c r="H959" s="238"/>
      <c r="I959" s="238"/>
      <c r="J959" s="238"/>
      <c r="K959" s="237"/>
      <c r="L959" s="238"/>
      <c r="M959" s="238"/>
      <c r="N959" s="238"/>
      <c r="O959" s="238"/>
      <c r="P959" s="238"/>
      <c r="Q959" s="238"/>
      <c r="R959" s="238"/>
      <c r="S959" s="238"/>
      <c r="T959" s="238"/>
      <c r="U959" s="238"/>
      <c r="V959" s="240"/>
      <c r="W959" s="240"/>
      <c r="X959" s="238"/>
      <c r="Y959" s="238"/>
      <c r="Z959" s="238"/>
    </row>
    <row r="960" spans="1:26" ht="12.5">
      <c r="A960" s="238"/>
      <c r="B960" s="238"/>
      <c r="C960" s="238"/>
      <c r="D960" s="238"/>
      <c r="E960" s="238"/>
      <c r="F960" s="238"/>
      <c r="G960" s="238"/>
      <c r="H960" s="238"/>
      <c r="I960" s="238"/>
      <c r="J960" s="238"/>
      <c r="K960" s="237"/>
      <c r="L960" s="238"/>
      <c r="M960" s="238"/>
      <c r="N960" s="238"/>
      <c r="O960" s="238"/>
      <c r="P960" s="238"/>
      <c r="Q960" s="238"/>
      <c r="R960" s="238"/>
      <c r="S960" s="238"/>
      <c r="T960" s="238"/>
      <c r="U960" s="238"/>
      <c r="V960" s="240"/>
      <c r="W960" s="240"/>
      <c r="X960" s="238"/>
      <c r="Y960" s="238"/>
      <c r="Z960" s="238"/>
    </row>
    <row r="961" spans="1:26" ht="12.5">
      <c r="A961" s="238"/>
      <c r="B961" s="238"/>
      <c r="C961" s="238"/>
      <c r="D961" s="238"/>
      <c r="E961" s="238"/>
      <c r="F961" s="238"/>
      <c r="G961" s="238"/>
      <c r="H961" s="238"/>
      <c r="I961" s="238"/>
      <c r="J961" s="238"/>
      <c r="K961" s="237"/>
      <c r="L961" s="238"/>
      <c r="M961" s="238"/>
      <c r="N961" s="238"/>
      <c r="O961" s="238"/>
      <c r="P961" s="238"/>
      <c r="Q961" s="238"/>
      <c r="R961" s="238"/>
      <c r="S961" s="238"/>
      <c r="T961" s="238"/>
      <c r="U961" s="238"/>
      <c r="V961" s="240"/>
      <c r="W961" s="240"/>
      <c r="X961" s="238"/>
      <c r="Y961" s="238"/>
      <c r="Z961" s="238"/>
    </row>
    <row r="962" spans="1:26" ht="12.5">
      <c r="A962" s="238"/>
      <c r="B962" s="238"/>
      <c r="C962" s="238"/>
      <c r="D962" s="238"/>
      <c r="E962" s="238"/>
      <c r="F962" s="238"/>
      <c r="G962" s="238"/>
      <c r="H962" s="238"/>
      <c r="I962" s="238"/>
      <c r="J962" s="238"/>
      <c r="K962" s="237"/>
      <c r="L962" s="238"/>
      <c r="M962" s="238"/>
      <c r="N962" s="238"/>
      <c r="O962" s="238"/>
      <c r="P962" s="238"/>
      <c r="Q962" s="238"/>
      <c r="R962" s="238"/>
      <c r="S962" s="238"/>
      <c r="T962" s="238"/>
      <c r="U962" s="238"/>
      <c r="V962" s="240"/>
      <c r="W962" s="240"/>
      <c r="X962" s="238"/>
      <c r="Y962" s="238"/>
      <c r="Z962" s="238"/>
    </row>
    <row r="963" spans="1:26" ht="12.5">
      <c r="A963" s="238"/>
      <c r="B963" s="238"/>
      <c r="C963" s="238"/>
      <c r="D963" s="238"/>
      <c r="E963" s="238"/>
      <c r="F963" s="238"/>
      <c r="G963" s="238"/>
      <c r="H963" s="238"/>
      <c r="I963" s="238"/>
      <c r="J963" s="238"/>
      <c r="K963" s="237"/>
      <c r="L963" s="238"/>
      <c r="M963" s="238"/>
      <c r="N963" s="238"/>
      <c r="O963" s="238"/>
      <c r="P963" s="238"/>
      <c r="Q963" s="238"/>
      <c r="R963" s="238"/>
      <c r="S963" s="238"/>
      <c r="T963" s="238"/>
      <c r="U963" s="238"/>
      <c r="V963" s="240"/>
      <c r="W963" s="240"/>
      <c r="X963" s="238"/>
      <c r="Y963" s="238"/>
      <c r="Z963" s="238"/>
    </row>
    <row r="964" spans="1:26" ht="12.5">
      <c r="A964" s="238"/>
      <c r="B964" s="238"/>
      <c r="C964" s="238"/>
      <c r="D964" s="238"/>
      <c r="E964" s="238"/>
      <c r="F964" s="238"/>
      <c r="G964" s="238"/>
      <c r="H964" s="238"/>
      <c r="I964" s="238"/>
      <c r="J964" s="238"/>
      <c r="K964" s="237"/>
      <c r="L964" s="238"/>
      <c r="M964" s="238"/>
      <c r="N964" s="238"/>
      <c r="O964" s="238"/>
      <c r="P964" s="238"/>
      <c r="Q964" s="238"/>
      <c r="R964" s="238"/>
      <c r="S964" s="238"/>
      <c r="T964" s="238"/>
      <c r="U964" s="238"/>
      <c r="V964" s="240"/>
      <c r="W964" s="240"/>
      <c r="X964" s="238"/>
      <c r="Y964" s="238"/>
      <c r="Z964" s="238"/>
    </row>
    <row r="965" spans="1:26" ht="12.5">
      <c r="A965" s="238"/>
      <c r="B965" s="238"/>
      <c r="C965" s="238"/>
      <c r="D965" s="238"/>
      <c r="E965" s="238"/>
      <c r="F965" s="238"/>
      <c r="G965" s="238"/>
      <c r="H965" s="238"/>
      <c r="I965" s="238"/>
      <c r="J965" s="238"/>
      <c r="K965" s="237"/>
      <c r="L965" s="238"/>
      <c r="M965" s="238"/>
      <c r="N965" s="238"/>
      <c r="O965" s="238"/>
      <c r="P965" s="238"/>
      <c r="Q965" s="238"/>
      <c r="R965" s="238"/>
      <c r="S965" s="238"/>
      <c r="T965" s="238"/>
      <c r="U965" s="238"/>
      <c r="V965" s="240"/>
      <c r="W965" s="240"/>
      <c r="X965" s="238"/>
      <c r="Y965" s="238"/>
      <c r="Z965" s="238"/>
    </row>
    <row r="966" spans="1:26" ht="12.5">
      <c r="A966" s="238"/>
      <c r="B966" s="238"/>
      <c r="C966" s="238"/>
      <c r="D966" s="238"/>
      <c r="E966" s="238"/>
      <c r="F966" s="238"/>
      <c r="G966" s="238"/>
      <c r="H966" s="238"/>
      <c r="I966" s="238"/>
      <c r="J966" s="238"/>
      <c r="K966" s="237"/>
      <c r="L966" s="238"/>
      <c r="M966" s="238"/>
      <c r="N966" s="238"/>
      <c r="O966" s="238"/>
      <c r="P966" s="238"/>
      <c r="Q966" s="238"/>
      <c r="R966" s="238"/>
      <c r="S966" s="238"/>
      <c r="T966" s="238"/>
      <c r="U966" s="238"/>
      <c r="V966" s="240"/>
      <c r="W966" s="240"/>
      <c r="X966" s="238"/>
      <c r="Y966" s="238"/>
      <c r="Z966" s="238"/>
    </row>
    <row r="967" spans="1:26" ht="12.5">
      <c r="A967" s="238"/>
      <c r="B967" s="238"/>
      <c r="C967" s="238"/>
      <c r="D967" s="238"/>
      <c r="E967" s="238"/>
      <c r="F967" s="238"/>
      <c r="G967" s="238"/>
      <c r="H967" s="238"/>
      <c r="I967" s="238"/>
      <c r="J967" s="238"/>
      <c r="K967" s="237"/>
      <c r="L967" s="238"/>
      <c r="M967" s="238"/>
      <c r="N967" s="238"/>
      <c r="O967" s="238"/>
      <c r="P967" s="238"/>
      <c r="Q967" s="238"/>
      <c r="R967" s="238"/>
      <c r="S967" s="238"/>
      <c r="T967" s="238"/>
      <c r="U967" s="238"/>
      <c r="V967" s="240"/>
      <c r="W967" s="240"/>
      <c r="X967" s="238"/>
      <c r="Y967" s="238"/>
      <c r="Z967" s="238"/>
    </row>
    <row r="968" spans="1:26" ht="12.5">
      <c r="A968" s="238"/>
      <c r="B968" s="238"/>
      <c r="C968" s="238"/>
      <c r="D968" s="238"/>
      <c r="E968" s="238"/>
      <c r="F968" s="238"/>
      <c r="G968" s="238"/>
      <c r="H968" s="238"/>
      <c r="I968" s="238"/>
      <c r="J968" s="238"/>
      <c r="K968" s="237"/>
      <c r="L968" s="238"/>
      <c r="M968" s="238"/>
      <c r="N968" s="238"/>
      <c r="O968" s="238"/>
      <c r="P968" s="238"/>
      <c r="Q968" s="238"/>
      <c r="R968" s="238"/>
      <c r="S968" s="238"/>
      <c r="T968" s="238"/>
      <c r="U968" s="238"/>
      <c r="V968" s="240"/>
      <c r="W968" s="240"/>
      <c r="X968" s="238"/>
      <c r="Y968" s="238"/>
      <c r="Z968" s="238"/>
    </row>
    <row r="969" spans="1:26" ht="12.5">
      <c r="A969" s="238"/>
      <c r="B969" s="238"/>
      <c r="C969" s="238"/>
      <c r="D969" s="238"/>
      <c r="E969" s="238"/>
      <c r="F969" s="238"/>
      <c r="G969" s="238"/>
      <c r="H969" s="238"/>
      <c r="I969" s="238"/>
      <c r="J969" s="238"/>
      <c r="K969" s="237"/>
      <c r="L969" s="238"/>
      <c r="M969" s="238"/>
      <c r="N969" s="238"/>
      <c r="O969" s="238"/>
      <c r="P969" s="238"/>
      <c r="Q969" s="238"/>
      <c r="R969" s="238"/>
      <c r="S969" s="238"/>
      <c r="T969" s="238"/>
      <c r="U969" s="238"/>
      <c r="V969" s="240"/>
      <c r="W969" s="240"/>
      <c r="X969" s="238"/>
      <c r="Y969" s="238"/>
      <c r="Z969" s="238"/>
    </row>
    <row r="970" spans="1:26" ht="12.5">
      <c r="A970" s="238"/>
      <c r="B970" s="238"/>
      <c r="C970" s="238"/>
      <c r="D970" s="238"/>
      <c r="E970" s="238"/>
      <c r="F970" s="238"/>
      <c r="G970" s="238"/>
      <c r="H970" s="238"/>
      <c r="I970" s="238"/>
      <c r="J970" s="238"/>
      <c r="K970" s="237"/>
      <c r="L970" s="238"/>
      <c r="M970" s="238"/>
      <c r="N970" s="238"/>
      <c r="O970" s="238"/>
      <c r="P970" s="238"/>
      <c r="Q970" s="238"/>
      <c r="R970" s="238"/>
      <c r="S970" s="238"/>
      <c r="T970" s="238"/>
      <c r="U970" s="238"/>
      <c r="V970" s="240"/>
      <c r="W970" s="240"/>
      <c r="X970" s="238"/>
      <c r="Y970" s="238"/>
      <c r="Z970" s="238"/>
    </row>
    <row r="971" spans="1:26" ht="12.5">
      <c r="A971" s="238"/>
      <c r="B971" s="238"/>
      <c r="C971" s="238"/>
      <c r="D971" s="238"/>
      <c r="E971" s="238"/>
      <c r="F971" s="238"/>
      <c r="G971" s="238"/>
      <c r="H971" s="238"/>
      <c r="I971" s="238"/>
      <c r="J971" s="238"/>
      <c r="K971" s="237"/>
      <c r="L971" s="238"/>
      <c r="M971" s="238"/>
      <c r="N971" s="238"/>
      <c r="O971" s="238"/>
      <c r="P971" s="238"/>
      <c r="Q971" s="238"/>
      <c r="R971" s="238"/>
      <c r="S971" s="238"/>
      <c r="T971" s="238"/>
      <c r="U971" s="238"/>
      <c r="V971" s="240"/>
      <c r="W971" s="240"/>
      <c r="X971" s="238"/>
      <c r="Y971" s="238"/>
      <c r="Z971" s="238"/>
    </row>
    <row r="972" spans="1:26" ht="12.5">
      <c r="A972" s="238"/>
      <c r="B972" s="238"/>
      <c r="C972" s="238"/>
      <c r="D972" s="238"/>
      <c r="E972" s="238"/>
      <c r="F972" s="238"/>
      <c r="G972" s="238"/>
      <c r="H972" s="238"/>
      <c r="I972" s="238"/>
      <c r="J972" s="238"/>
      <c r="K972" s="237"/>
      <c r="L972" s="238"/>
      <c r="M972" s="238"/>
      <c r="N972" s="238"/>
      <c r="O972" s="238"/>
      <c r="P972" s="238"/>
      <c r="Q972" s="238"/>
      <c r="R972" s="238"/>
      <c r="S972" s="238"/>
      <c r="T972" s="238"/>
      <c r="U972" s="238"/>
      <c r="V972" s="240"/>
      <c r="W972" s="240"/>
      <c r="X972" s="238"/>
      <c r="Y972" s="238"/>
      <c r="Z972" s="238"/>
    </row>
    <row r="973" spans="1:26" ht="12.5">
      <c r="A973" s="238"/>
      <c r="B973" s="238"/>
      <c r="C973" s="238"/>
      <c r="D973" s="238"/>
      <c r="E973" s="238"/>
      <c r="F973" s="238"/>
      <c r="G973" s="238"/>
      <c r="H973" s="238"/>
      <c r="I973" s="238"/>
      <c r="J973" s="238"/>
      <c r="K973" s="237"/>
      <c r="L973" s="238"/>
      <c r="M973" s="238"/>
      <c r="N973" s="238"/>
      <c r="O973" s="238"/>
      <c r="P973" s="238"/>
      <c r="Q973" s="238"/>
      <c r="R973" s="238"/>
      <c r="S973" s="238"/>
      <c r="T973" s="238"/>
      <c r="U973" s="238"/>
      <c r="V973" s="240"/>
      <c r="W973" s="240"/>
      <c r="X973" s="238"/>
      <c r="Y973" s="238"/>
      <c r="Z973" s="238"/>
    </row>
    <row r="974" spans="1:26" ht="12.5">
      <c r="A974" s="238"/>
      <c r="B974" s="238"/>
      <c r="C974" s="238"/>
      <c r="D974" s="238"/>
      <c r="E974" s="238"/>
      <c r="F974" s="238"/>
      <c r="G974" s="238"/>
      <c r="H974" s="238"/>
      <c r="I974" s="238"/>
      <c r="J974" s="238"/>
      <c r="K974" s="237"/>
      <c r="L974" s="238"/>
      <c r="M974" s="238"/>
      <c r="N974" s="238"/>
      <c r="O974" s="238"/>
      <c r="P974" s="238"/>
      <c r="Q974" s="238"/>
      <c r="R974" s="238"/>
      <c r="S974" s="238"/>
      <c r="T974" s="238"/>
      <c r="U974" s="238"/>
      <c r="V974" s="240"/>
      <c r="W974" s="240"/>
      <c r="X974" s="238"/>
      <c r="Y974" s="238"/>
      <c r="Z974" s="238"/>
    </row>
    <row r="975" spans="1:26" ht="12.5">
      <c r="A975" s="238"/>
      <c r="B975" s="238"/>
      <c r="C975" s="238"/>
      <c r="D975" s="238"/>
      <c r="E975" s="238"/>
      <c r="F975" s="238"/>
      <c r="G975" s="238"/>
      <c r="H975" s="238"/>
      <c r="I975" s="238"/>
      <c r="J975" s="238"/>
      <c r="K975" s="237"/>
      <c r="L975" s="238"/>
      <c r="M975" s="238"/>
      <c r="N975" s="238"/>
      <c r="O975" s="238"/>
      <c r="P975" s="238"/>
      <c r="Q975" s="238"/>
      <c r="R975" s="238"/>
      <c r="S975" s="238"/>
      <c r="T975" s="238"/>
      <c r="U975" s="238"/>
      <c r="V975" s="240"/>
      <c r="W975" s="240"/>
      <c r="X975" s="238"/>
      <c r="Y975" s="238"/>
      <c r="Z975" s="238"/>
    </row>
    <row r="976" spans="1:26" ht="12.5">
      <c r="A976" s="238"/>
      <c r="B976" s="238"/>
      <c r="C976" s="238"/>
      <c r="D976" s="238"/>
      <c r="E976" s="238"/>
      <c r="F976" s="238"/>
      <c r="G976" s="238"/>
      <c r="H976" s="238"/>
      <c r="I976" s="238"/>
      <c r="J976" s="238"/>
      <c r="K976" s="237"/>
      <c r="L976" s="238"/>
      <c r="M976" s="238"/>
      <c r="N976" s="238"/>
      <c r="O976" s="238"/>
      <c r="P976" s="238"/>
      <c r="Q976" s="238"/>
      <c r="R976" s="238"/>
      <c r="S976" s="238"/>
      <c r="T976" s="238"/>
      <c r="U976" s="238"/>
      <c r="V976" s="240"/>
      <c r="W976" s="240"/>
      <c r="X976" s="238"/>
      <c r="Y976" s="238"/>
      <c r="Z976" s="238"/>
    </row>
    <row r="977" spans="1:26" ht="12.5">
      <c r="A977" s="238"/>
      <c r="B977" s="238"/>
      <c r="C977" s="238"/>
      <c r="D977" s="238"/>
      <c r="E977" s="238"/>
      <c r="F977" s="238"/>
      <c r="G977" s="238"/>
      <c r="H977" s="238"/>
      <c r="I977" s="238"/>
      <c r="J977" s="238"/>
      <c r="K977" s="237"/>
      <c r="L977" s="238"/>
      <c r="M977" s="238"/>
      <c r="N977" s="238"/>
      <c r="O977" s="238"/>
      <c r="P977" s="238"/>
      <c r="Q977" s="238"/>
      <c r="R977" s="238"/>
      <c r="S977" s="238"/>
      <c r="T977" s="238"/>
      <c r="U977" s="238"/>
      <c r="V977" s="240"/>
      <c r="W977" s="240"/>
      <c r="X977" s="238"/>
      <c r="Y977" s="238"/>
      <c r="Z977" s="238"/>
    </row>
    <row r="978" spans="1:26" ht="12.5">
      <c r="A978" s="238"/>
      <c r="B978" s="238"/>
      <c r="C978" s="238"/>
      <c r="D978" s="238"/>
      <c r="E978" s="238"/>
      <c r="F978" s="238"/>
      <c r="G978" s="238"/>
      <c r="H978" s="238"/>
      <c r="I978" s="238"/>
      <c r="J978" s="238"/>
      <c r="K978" s="237"/>
      <c r="L978" s="238"/>
      <c r="M978" s="238"/>
      <c r="N978" s="238"/>
      <c r="O978" s="238"/>
      <c r="P978" s="238"/>
      <c r="Q978" s="238"/>
      <c r="R978" s="238"/>
      <c r="S978" s="238"/>
      <c r="T978" s="238"/>
      <c r="U978" s="238"/>
      <c r="V978" s="240"/>
      <c r="W978" s="240"/>
      <c r="X978" s="238"/>
      <c r="Y978" s="238"/>
      <c r="Z978" s="238"/>
    </row>
    <row r="979" spans="1:26" ht="12.5">
      <c r="A979" s="238"/>
      <c r="B979" s="238"/>
      <c r="C979" s="238"/>
      <c r="D979" s="238"/>
      <c r="E979" s="238"/>
      <c r="F979" s="238"/>
      <c r="G979" s="238"/>
      <c r="H979" s="238"/>
      <c r="I979" s="238"/>
      <c r="J979" s="238"/>
      <c r="K979" s="237"/>
      <c r="L979" s="238"/>
      <c r="M979" s="238"/>
      <c r="N979" s="238"/>
      <c r="O979" s="238"/>
      <c r="P979" s="238"/>
      <c r="Q979" s="238"/>
      <c r="R979" s="238"/>
      <c r="S979" s="238"/>
      <c r="T979" s="238"/>
      <c r="U979" s="238"/>
      <c r="V979" s="240"/>
      <c r="W979" s="240"/>
      <c r="X979" s="238"/>
      <c r="Y979" s="238"/>
      <c r="Z979" s="238"/>
    </row>
    <row r="980" spans="1:26" ht="12.5">
      <c r="A980" s="238"/>
      <c r="B980" s="238"/>
      <c r="C980" s="238"/>
      <c r="D980" s="238"/>
      <c r="E980" s="238"/>
      <c r="F980" s="238"/>
      <c r="G980" s="238"/>
      <c r="H980" s="238"/>
      <c r="I980" s="238"/>
      <c r="J980" s="238"/>
      <c r="K980" s="237"/>
      <c r="L980" s="238"/>
      <c r="M980" s="238"/>
      <c r="N980" s="238"/>
      <c r="O980" s="238"/>
      <c r="P980" s="238"/>
      <c r="Q980" s="238"/>
      <c r="R980" s="238"/>
      <c r="S980" s="238"/>
      <c r="T980" s="238"/>
      <c r="U980" s="238"/>
      <c r="V980" s="240"/>
      <c r="W980" s="240"/>
      <c r="X980" s="238"/>
      <c r="Y980" s="238"/>
      <c r="Z980" s="238"/>
    </row>
    <row r="981" spans="1:26" ht="12.5">
      <c r="A981" s="238"/>
      <c r="B981" s="238"/>
      <c r="C981" s="238"/>
      <c r="D981" s="238"/>
      <c r="E981" s="238"/>
      <c r="F981" s="238"/>
      <c r="G981" s="238"/>
      <c r="H981" s="238"/>
      <c r="I981" s="238"/>
      <c r="J981" s="238"/>
      <c r="K981" s="237"/>
      <c r="L981" s="238"/>
      <c r="M981" s="238"/>
      <c r="N981" s="238"/>
      <c r="O981" s="238"/>
      <c r="P981" s="238"/>
      <c r="Q981" s="238"/>
      <c r="R981" s="238"/>
      <c r="S981" s="238"/>
      <c r="T981" s="238"/>
      <c r="U981" s="238"/>
      <c r="V981" s="240"/>
      <c r="W981" s="240"/>
      <c r="X981" s="238"/>
      <c r="Y981" s="238"/>
      <c r="Z981" s="238"/>
    </row>
    <row r="982" spans="1:26" ht="12.5">
      <c r="A982" s="238"/>
      <c r="B982" s="238"/>
      <c r="C982" s="238"/>
      <c r="D982" s="238"/>
      <c r="E982" s="238"/>
      <c r="F982" s="238"/>
      <c r="G982" s="238"/>
      <c r="H982" s="238"/>
      <c r="I982" s="238"/>
      <c r="J982" s="238"/>
      <c r="K982" s="237"/>
      <c r="L982" s="238"/>
      <c r="M982" s="238"/>
      <c r="N982" s="238"/>
      <c r="O982" s="238"/>
      <c r="P982" s="238"/>
      <c r="Q982" s="238"/>
      <c r="R982" s="238"/>
      <c r="S982" s="238"/>
      <c r="T982" s="238"/>
      <c r="U982" s="238"/>
      <c r="V982" s="240"/>
      <c r="W982" s="240"/>
      <c r="X982" s="238"/>
      <c r="Y982" s="238"/>
      <c r="Z982" s="238"/>
    </row>
    <row r="983" spans="1:26" ht="12.5">
      <c r="A983" s="238"/>
      <c r="B983" s="238"/>
      <c r="C983" s="238"/>
      <c r="D983" s="238"/>
      <c r="E983" s="238"/>
      <c r="F983" s="238"/>
      <c r="G983" s="238"/>
      <c r="H983" s="238"/>
      <c r="I983" s="238"/>
      <c r="J983" s="238"/>
      <c r="K983" s="237"/>
      <c r="L983" s="238"/>
      <c r="M983" s="238"/>
      <c r="N983" s="238"/>
      <c r="O983" s="238"/>
      <c r="P983" s="238"/>
      <c r="Q983" s="238"/>
      <c r="R983" s="238"/>
      <c r="S983" s="238"/>
      <c r="T983" s="238"/>
      <c r="U983" s="238"/>
      <c r="V983" s="240"/>
      <c r="W983" s="240"/>
      <c r="X983" s="238"/>
      <c r="Y983" s="238"/>
      <c r="Z983" s="238"/>
    </row>
    <row r="984" spans="1:26" ht="12.5">
      <c r="A984" s="238"/>
      <c r="B984" s="238"/>
      <c r="C984" s="238"/>
      <c r="D984" s="238"/>
      <c r="E984" s="238"/>
      <c r="F984" s="238"/>
      <c r="G984" s="238"/>
      <c r="H984" s="238"/>
      <c r="I984" s="238"/>
      <c r="J984" s="238"/>
      <c r="K984" s="237"/>
      <c r="L984" s="238"/>
      <c r="M984" s="238"/>
      <c r="N984" s="238"/>
      <c r="O984" s="238"/>
      <c r="P984" s="238"/>
      <c r="Q984" s="238"/>
      <c r="R984" s="238"/>
      <c r="S984" s="238"/>
      <c r="T984" s="238"/>
      <c r="U984" s="238"/>
      <c r="V984" s="240"/>
      <c r="W984" s="240"/>
      <c r="X984" s="238"/>
      <c r="Y984" s="238"/>
      <c r="Z984" s="238"/>
    </row>
    <row r="985" spans="1:26" ht="12.5">
      <c r="A985" s="238"/>
      <c r="B985" s="238"/>
      <c r="C985" s="238"/>
      <c r="D985" s="238"/>
      <c r="E985" s="238"/>
      <c r="F985" s="238"/>
      <c r="G985" s="238"/>
      <c r="H985" s="238"/>
      <c r="I985" s="238"/>
      <c r="J985" s="238"/>
      <c r="K985" s="237"/>
      <c r="L985" s="238"/>
      <c r="M985" s="238"/>
      <c r="N985" s="238"/>
      <c r="O985" s="238"/>
      <c r="P985" s="238"/>
      <c r="Q985" s="238"/>
      <c r="R985" s="238"/>
      <c r="S985" s="238"/>
      <c r="T985" s="238"/>
      <c r="U985" s="238"/>
      <c r="V985" s="240"/>
      <c r="W985" s="240"/>
      <c r="X985" s="238"/>
      <c r="Y985" s="238"/>
      <c r="Z985" s="238"/>
    </row>
    <row r="986" spans="1:26" ht="12.5">
      <c r="A986" s="238"/>
      <c r="B986" s="238"/>
      <c r="C986" s="238"/>
      <c r="D986" s="238"/>
      <c r="E986" s="238"/>
      <c r="F986" s="238"/>
      <c r="G986" s="238"/>
      <c r="H986" s="238"/>
      <c r="I986" s="238"/>
      <c r="J986" s="238"/>
      <c r="K986" s="237"/>
      <c r="L986" s="238"/>
      <c r="M986" s="238"/>
      <c r="N986" s="238"/>
      <c r="O986" s="238"/>
      <c r="P986" s="238"/>
      <c r="Q986" s="238"/>
      <c r="R986" s="238"/>
      <c r="S986" s="238"/>
      <c r="T986" s="238"/>
      <c r="U986" s="238"/>
      <c r="V986" s="240"/>
      <c r="W986" s="240"/>
      <c r="X986" s="238"/>
      <c r="Y986" s="238"/>
      <c r="Z986" s="238"/>
    </row>
    <row r="987" spans="1:26" ht="12.5">
      <c r="A987" s="238"/>
      <c r="B987" s="238"/>
      <c r="C987" s="238"/>
      <c r="D987" s="238"/>
      <c r="E987" s="238"/>
      <c r="F987" s="238"/>
      <c r="G987" s="238"/>
      <c r="H987" s="238"/>
      <c r="I987" s="238"/>
      <c r="J987" s="238"/>
      <c r="K987" s="237"/>
      <c r="L987" s="238"/>
      <c r="M987" s="238"/>
      <c r="N987" s="238"/>
      <c r="O987" s="238"/>
      <c r="P987" s="238"/>
      <c r="Q987" s="238"/>
      <c r="R987" s="238"/>
      <c r="S987" s="238"/>
      <c r="T987" s="238"/>
      <c r="U987" s="238"/>
      <c r="V987" s="240"/>
      <c r="W987" s="240"/>
      <c r="X987" s="238"/>
      <c r="Y987" s="238"/>
      <c r="Z987" s="238"/>
    </row>
    <row r="988" spans="1:26" ht="12.5">
      <c r="A988" s="238"/>
      <c r="B988" s="238"/>
      <c r="C988" s="238"/>
      <c r="D988" s="238"/>
      <c r="E988" s="238"/>
      <c r="F988" s="238"/>
      <c r="G988" s="238"/>
      <c r="H988" s="238"/>
      <c r="I988" s="238"/>
      <c r="J988" s="238"/>
      <c r="K988" s="237"/>
      <c r="L988" s="238"/>
      <c r="M988" s="238"/>
      <c r="N988" s="238"/>
      <c r="O988" s="238"/>
      <c r="P988" s="238"/>
      <c r="Q988" s="238"/>
      <c r="R988" s="238"/>
      <c r="S988" s="238"/>
      <c r="T988" s="238"/>
      <c r="U988" s="238"/>
      <c r="V988" s="240"/>
      <c r="W988" s="240"/>
      <c r="X988" s="238"/>
      <c r="Y988" s="238"/>
      <c r="Z988" s="238"/>
    </row>
    <row r="989" spans="1:26" ht="12.5">
      <c r="A989" s="238"/>
      <c r="B989" s="238"/>
      <c r="C989" s="238"/>
      <c r="D989" s="238"/>
      <c r="E989" s="238"/>
      <c r="F989" s="238"/>
      <c r="G989" s="238"/>
      <c r="H989" s="238"/>
      <c r="I989" s="238"/>
      <c r="J989" s="238"/>
      <c r="K989" s="237"/>
      <c r="L989" s="238"/>
      <c r="M989" s="238"/>
      <c r="N989" s="238"/>
      <c r="O989" s="238"/>
      <c r="P989" s="238"/>
      <c r="Q989" s="238"/>
      <c r="R989" s="238"/>
      <c r="S989" s="238"/>
      <c r="T989" s="238"/>
      <c r="U989" s="238"/>
      <c r="V989" s="240"/>
      <c r="W989" s="240"/>
      <c r="X989" s="238"/>
      <c r="Y989" s="238"/>
      <c r="Z989" s="238"/>
    </row>
    <row r="990" spans="1:26" ht="12.5">
      <c r="A990" s="238"/>
      <c r="B990" s="238"/>
      <c r="C990" s="238"/>
      <c r="D990" s="238"/>
      <c r="E990" s="238"/>
      <c r="F990" s="238"/>
      <c r="G990" s="238"/>
      <c r="H990" s="238"/>
      <c r="I990" s="238"/>
      <c r="J990" s="238"/>
      <c r="K990" s="237"/>
      <c r="L990" s="238"/>
      <c r="M990" s="238"/>
      <c r="N990" s="238"/>
      <c r="O990" s="238"/>
      <c r="P990" s="238"/>
      <c r="Q990" s="238"/>
      <c r="R990" s="238"/>
      <c r="S990" s="238"/>
      <c r="T990" s="238"/>
      <c r="U990" s="238"/>
      <c r="V990" s="240"/>
      <c r="W990" s="240"/>
      <c r="X990" s="238"/>
      <c r="Y990" s="238"/>
      <c r="Z990" s="238"/>
    </row>
    <row r="991" spans="1:26" ht="12.5">
      <c r="A991" s="238"/>
      <c r="B991" s="238"/>
      <c r="C991" s="238"/>
      <c r="D991" s="238"/>
      <c r="E991" s="238"/>
      <c r="F991" s="238"/>
      <c r="G991" s="238"/>
      <c r="H991" s="238"/>
      <c r="I991" s="238"/>
      <c r="J991" s="238"/>
      <c r="K991" s="237"/>
      <c r="L991" s="238"/>
      <c r="M991" s="238"/>
      <c r="N991" s="238"/>
      <c r="O991" s="238"/>
      <c r="P991" s="238"/>
      <c r="Q991" s="238"/>
      <c r="R991" s="238"/>
      <c r="S991" s="238"/>
      <c r="T991" s="238"/>
      <c r="U991" s="238"/>
      <c r="V991" s="240"/>
      <c r="W991" s="240"/>
      <c r="X991" s="238"/>
      <c r="Y991" s="238"/>
      <c r="Z991" s="238"/>
    </row>
    <row r="992" spans="1:26" ht="12.5">
      <c r="A992" s="238"/>
      <c r="B992" s="238"/>
      <c r="C992" s="238"/>
      <c r="D992" s="238"/>
      <c r="E992" s="238"/>
      <c r="F992" s="238"/>
      <c r="G992" s="238"/>
      <c r="H992" s="238"/>
      <c r="I992" s="238"/>
      <c r="J992" s="238"/>
      <c r="K992" s="237"/>
      <c r="L992" s="238"/>
      <c r="M992" s="238"/>
      <c r="N992" s="238"/>
      <c r="O992" s="238"/>
      <c r="P992" s="238"/>
      <c r="Q992" s="238"/>
      <c r="R992" s="238"/>
      <c r="S992" s="238"/>
      <c r="T992" s="238"/>
      <c r="U992" s="238"/>
      <c r="V992" s="240"/>
      <c r="W992" s="240"/>
      <c r="X992" s="238"/>
      <c r="Y992" s="238"/>
      <c r="Z992" s="238"/>
    </row>
    <row r="993" spans="1:26" ht="12.5">
      <c r="A993" s="238"/>
      <c r="B993" s="238"/>
      <c r="C993" s="238"/>
      <c r="D993" s="238"/>
      <c r="E993" s="238"/>
      <c r="F993" s="238"/>
      <c r="G993" s="238"/>
      <c r="H993" s="238"/>
      <c r="I993" s="238"/>
      <c r="J993" s="238"/>
      <c r="K993" s="237"/>
      <c r="L993" s="238"/>
      <c r="M993" s="238"/>
      <c r="N993" s="238"/>
      <c r="O993" s="238"/>
      <c r="P993" s="238"/>
      <c r="Q993" s="238"/>
      <c r="R993" s="238"/>
      <c r="S993" s="238"/>
      <c r="T993" s="238"/>
      <c r="U993" s="238"/>
      <c r="V993" s="240"/>
      <c r="W993" s="240"/>
      <c r="X993" s="238"/>
      <c r="Y993" s="238"/>
      <c r="Z993" s="238"/>
    </row>
    <row r="994" spans="1:26" ht="12.5">
      <c r="A994" s="238"/>
      <c r="B994" s="238"/>
      <c r="C994" s="238"/>
      <c r="D994" s="238"/>
      <c r="E994" s="238"/>
      <c r="F994" s="238"/>
      <c r="G994" s="238"/>
      <c r="H994" s="238"/>
      <c r="I994" s="238"/>
      <c r="J994" s="238"/>
      <c r="K994" s="237"/>
      <c r="L994" s="238"/>
      <c r="M994" s="238"/>
      <c r="N994" s="238"/>
      <c r="O994" s="238"/>
      <c r="P994" s="238"/>
      <c r="Q994" s="238"/>
      <c r="R994" s="238"/>
      <c r="S994" s="238"/>
      <c r="T994" s="238"/>
      <c r="U994" s="238"/>
      <c r="V994" s="240"/>
      <c r="W994" s="240"/>
      <c r="X994" s="238"/>
      <c r="Y994" s="238"/>
      <c r="Z994" s="238"/>
    </row>
    <row r="995" spans="1:26" ht="12.5">
      <c r="A995" s="238"/>
      <c r="B995" s="238"/>
      <c r="C995" s="238"/>
      <c r="D995" s="238"/>
      <c r="E995" s="238"/>
      <c r="F995" s="238"/>
      <c r="G995" s="238"/>
      <c r="H995" s="238"/>
      <c r="I995" s="238"/>
      <c r="J995" s="238"/>
      <c r="K995" s="237"/>
      <c r="L995" s="238"/>
      <c r="M995" s="238"/>
      <c r="N995" s="238"/>
      <c r="O995" s="238"/>
      <c r="P995" s="238"/>
      <c r="Q995" s="238"/>
      <c r="R995" s="238"/>
      <c r="S995" s="238"/>
      <c r="T995" s="238"/>
      <c r="U995" s="238"/>
      <c r="V995" s="240"/>
      <c r="W995" s="240"/>
      <c r="X995" s="238"/>
      <c r="Y995" s="238"/>
      <c r="Z995" s="238"/>
    </row>
    <row r="996" spans="1:26" ht="12.5">
      <c r="A996" s="238"/>
      <c r="B996" s="238"/>
      <c r="C996" s="238"/>
      <c r="D996" s="238"/>
      <c r="E996" s="238"/>
      <c r="F996" s="238"/>
      <c r="G996" s="238"/>
      <c r="H996" s="238"/>
      <c r="I996" s="238"/>
      <c r="J996" s="238"/>
      <c r="K996" s="237"/>
      <c r="L996" s="238"/>
      <c r="M996" s="238"/>
      <c r="N996" s="238"/>
      <c r="O996" s="238"/>
      <c r="P996" s="238"/>
      <c r="Q996" s="238"/>
      <c r="R996" s="238"/>
      <c r="S996" s="238"/>
      <c r="T996" s="238"/>
      <c r="U996" s="238"/>
      <c r="V996" s="240"/>
      <c r="W996" s="240"/>
      <c r="X996" s="238"/>
      <c r="Y996" s="238"/>
      <c r="Z996" s="238"/>
    </row>
    <row r="997" spans="1:26" ht="12.5">
      <c r="A997" s="238"/>
      <c r="B997" s="238"/>
      <c r="C997" s="238"/>
      <c r="D997" s="238"/>
      <c r="E997" s="238"/>
      <c r="F997" s="238"/>
      <c r="G997" s="238"/>
      <c r="H997" s="238"/>
      <c r="I997" s="238"/>
      <c r="J997" s="238"/>
      <c r="K997" s="237"/>
      <c r="L997" s="238"/>
      <c r="M997" s="238"/>
      <c r="N997" s="238"/>
      <c r="O997" s="238"/>
      <c r="P997" s="238"/>
      <c r="Q997" s="238"/>
      <c r="R997" s="238"/>
      <c r="S997" s="238"/>
      <c r="T997" s="238"/>
      <c r="U997" s="238"/>
      <c r="V997" s="240"/>
      <c r="W997" s="240"/>
      <c r="X997" s="238"/>
      <c r="Y997" s="238"/>
      <c r="Z997" s="238"/>
    </row>
    <row r="998" spans="1:26" ht="12.5">
      <c r="A998" s="238"/>
      <c r="B998" s="238"/>
      <c r="C998" s="238"/>
      <c r="D998" s="238"/>
      <c r="E998" s="238"/>
      <c r="F998" s="238"/>
      <c r="G998" s="238"/>
      <c r="H998" s="238"/>
      <c r="I998" s="238"/>
      <c r="J998" s="238"/>
      <c r="K998" s="237"/>
      <c r="L998" s="238"/>
      <c r="M998" s="238"/>
      <c r="N998" s="238"/>
      <c r="O998" s="238"/>
      <c r="P998" s="238"/>
      <c r="Q998" s="238"/>
      <c r="R998" s="238"/>
      <c r="S998" s="238"/>
      <c r="T998" s="238"/>
      <c r="U998" s="238"/>
      <c r="V998" s="240"/>
      <c r="W998" s="240"/>
      <c r="X998" s="238"/>
      <c r="Y998" s="238"/>
      <c r="Z998" s="238"/>
    </row>
    <row r="999" spans="1:26" ht="12.5">
      <c r="A999" s="238"/>
      <c r="B999" s="238"/>
      <c r="C999" s="238"/>
      <c r="D999" s="238"/>
      <c r="E999" s="238"/>
      <c r="F999" s="238"/>
      <c r="G999" s="238"/>
      <c r="H999" s="238"/>
      <c r="I999" s="238"/>
      <c r="J999" s="238"/>
      <c r="K999" s="237"/>
      <c r="L999" s="238"/>
      <c r="M999" s="238"/>
      <c r="N999" s="238"/>
      <c r="O999" s="238"/>
      <c r="P999" s="238"/>
      <c r="Q999" s="238"/>
      <c r="R999" s="238"/>
      <c r="S999" s="238"/>
      <c r="T999" s="238"/>
      <c r="U999" s="238"/>
      <c r="V999" s="240"/>
      <c r="W999" s="240"/>
      <c r="X999" s="238"/>
      <c r="Y999" s="238"/>
      <c r="Z999" s="238"/>
    </row>
    <row r="1000" spans="1:26" ht="12.5">
      <c r="A1000" s="238"/>
      <c r="B1000" s="238"/>
      <c r="C1000" s="238"/>
      <c r="D1000" s="238"/>
      <c r="E1000" s="238"/>
      <c r="F1000" s="238"/>
      <c r="G1000" s="238"/>
      <c r="H1000" s="238"/>
      <c r="I1000" s="238"/>
      <c r="J1000" s="238"/>
      <c r="K1000" s="237"/>
      <c r="L1000" s="238"/>
      <c r="M1000" s="238"/>
      <c r="N1000" s="238"/>
      <c r="O1000" s="238"/>
      <c r="P1000" s="238"/>
      <c r="Q1000" s="238"/>
      <c r="R1000" s="238"/>
      <c r="S1000" s="238"/>
      <c r="T1000" s="238"/>
      <c r="U1000" s="238"/>
      <c r="V1000" s="240"/>
      <c r="W1000" s="240"/>
      <c r="X1000" s="238"/>
      <c r="Y1000" s="238"/>
      <c r="Z1000" s="238"/>
    </row>
    <row r="1001" spans="1:26" ht="12.5">
      <c r="A1001" s="238"/>
      <c r="B1001" s="238"/>
      <c r="C1001" s="238"/>
      <c r="D1001" s="238"/>
      <c r="E1001" s="238"/>
      <c r="F1001" s="238"/>
      <c r="G1001" s="238"/>
      <c r="H1001" s="238"/>
      <c r="I1001" s="238"/>
      <c r="J1001" s="238"/>
      <c r="K1001" s="237"/>
      <c r="L1001" s="238"/>
      <c r="M1001" s="238"/>
      <c r="N1001" s="238"/>
      <c r="O1001" s="238"/>
      <c r="P1001" s="238"/>
      <c r="Q1001" s="238"/>
      <c r="R1001" s="238"/>
      <c r="S1001" s="238"/>
      <c r="T1001" s="238"/>
      <c r="U1001" s="238"/>
      <c r="V1001" s="240"/>
      <c r="W1001" s="240"/>
      <c r="X1001" s="238"/>
      <c r="Y1001" s="238"/>
      <c r="Z1001" s="238"/>
    </row>
    <row r="1002" spans="1:26" ht="12.5">
      <c r="A1002" s="238"/>
      <c r="B1002" s="238"/>
      <c r="C1002" s="238"/>
      <c r="D1002" s="238"/>
      <c r="E1002" s="238"/>
      <c r="F1002" s="238"/>
      <c r="G1002" s="238"/>
      <c r="H1002" s="238"/>
      <c r="I1002" s="238"/>
      <c r="J1002" s="238"/>
      <c r="K1002" s="237"/>
      <c r="L1002" s="238"/>
      <c r="M1002" s="238"/>
      <c r="N1002" s="238"/>
      <c r="O1002" s="238"/>
      <c r="P1002" s="238"/>
      <c r="Q1002" s="238"/>
      <c r="R1002" s="238"/>
      <c r="S1002" s="238"/>
      <c r="T1002" s="238"/>
      <c r="U1002" s="238"/>
      <c r="V1002" s="240"/>
      <c r="W1002" s="240"/>
      <c r="X1002" s="238"/>
      <c r="Y1002" s="238"/>
      <c r="Z1002" s="238"/>
    </row>
    <row r="1003" spans="1:26" ht="12.5">
      <c r="A1003" s="238"/>
      <c r="B1003" s="238"/>
      <c r="C1003" s="238"/>
      <c r="D1003" s="238"/>
      <c r="E1003" s="238"/>
      <c r="F1003" s="238"/>
      <c r="G1003" s="238"/>
      <c r="H1003" s="238"/>
      <c r="I1003" s="238"/>
      <c r="J1003" s="238"/>
      <c r="K1003" s="237"/>
      <c r="L1003" s="238"/>
      <c r="M1003" s="238"/>
      <c r="N1003" s="238"/>
      <c r="O1003" s="238"/>
      <c r="P1003" s="238"/>
      <c r="Q1003" s="238"/>
      <c r="R1003" s="238"/>
      <c r="S1003" s="238"/>
      <c r="T1003" s="238"/>
      <c r="U1003" s="238"/>
      <c r="V1003" s="240"/>
      <c r="W1003" s="240"/>
      <c r="X1003" s="238"/>
      <c r="Y1003" s="238"/>
      <c r="Z1003" s="238"/>
    </row>
    <row r="1004" spans="1:26" ht="12.5">
      <c r="A1004" s="238"/>
      <c r="B1004" s="238"/>
      <c r="C1004" s="238"/>
      <c r="D1004" s="238"/>
      <c r="E1004" s="238"/>
      <c r="F1004" s="238"/>
      <c r="G1004" s="238"/>
      <c r="H1004" s="238"/>
      <c r="I1004" s="238"/>
      <c r="J1004" s="238"/>
      <c r="K1004" s="237"/>
      <c r="L1004" s="238"/>
      <c r="M1004" s="238"/>
      <c r="N1004" s="238"/>
      <c r="O1004" s="238"/>
      <c r="P1004" s="238"/>
      <c r="Q1004" s="238"/>
      <c r="R1004" s="238"/>
      <c r="S1004" s="238"/>
      <c r="T1004" s="238"/>
      <c r="U1004" s="238"/>
      <c r="V1004" s="240"/>
      <c r="W1004" s="240"/>
      <c r="X1004" s="238"/>
      <c r="Y1004" s="238"/>
      <c r="Z1004" s="238"/>
    </row>
    <row r="1005" spans="1:26" ht="12.5">
      <c r="A1005" s="238"/>
      <c r="B1005" s="238"/>
      <c r="C1005" s="238"/>
      <c r="D1005" s="238"/>
      <c r="E1005" s="238"/>
      <c r="F1005" s="238"/>
      <c r="G1005" s="238"/>
      <c r="H1005" s="238"/>
      <c r="I1005" s="238"/>
      <c r="J1005" s="238"/>
      <c r="K1005" s="237"/>
      <c r="L1005" s="238"/>
      <c r="M1005" s="238"/>
      <c r="N1005" s="238"/>
      <c r="O1005" s="238"/>
      <c r="P1005" s="238"/>
      <c r="Q1005" s="238"/>
      <c r="R1005" s="238"/>
      <c r="S1005" s="238"/>
      <c r="T1005" s="238"/>
      <c r="U1005" s="238"/>
      <c r="V1005" s="240"/>
      <c r="W1005" s="240"/>
      <c r="X1005" s="238"/>
      <c r="Y1005" s="238"/>
      <c r="Z1005" s="238"/>
    </row>
    <row r="1006" spans="1:26" ht="12.5">
      <c r="A1006" s="238"/>
      <c r="B1006" s="238"/>
      <c r="C1006" s="238"/>
      <c r="D1006" s="238"/>
      <c r="E1006" s="238"/>
      <c r="F1006" s="238"/>
      <c r="G1006" s="238"/>
      <c r="H1006" s="238"/>
      <c r="I1006" s="238"/>
      <c r="J1006" s="238"/>
      <c r="K1006" s="237"/>
      <c r="L1006" s="238"/>
      <c r="M1006" s="238"/>
      <c r="N1006" s="238"/>
      <c r="O1006" s="238"/>
      <c r="P1006" s="238"/>
      <c r="Q1006" s="238"/>
      <c r="R1006" s="238"/>
      <c r="S1006" s="238"/>
      <c r="T1006" s="238"/>
      <c r="U1006" s="238"/>
      <c r="V1006" s="240"/>
      <c r="W1006" s="240"/>
      <c r="X1006" s="238"/>
      <c r="Y1006" s="238"/>
      <c r="Z1006" s="238"/>
    </row>
    <row r="1007" spans="1:26" ht="12.5">
      <c r="A1007" s="238"/>
      <c r="B1007" s="238"/>
      <c r="C1007" s="238"/>
      <c r="D1007" s="238"/>
      <c r="E1007" s="238"/>
      <c r="F1007" s="238"/>
      <c r="G1007" s="238"/>
      <c r="H1007" s="238"/>
      <c r="I1007" s="238"/>
      <c r="J1007" s="238"/>
      <c r="K1007" s="237"/>
      <c r="L1007" s="238"/>
      <c r="M1007" s="238"/>
      <c r="N1007" s="238"/>
      <c r="O1007" s="238"/>
      <c r="P1007" s="238"/>
      <c r="Q1007" s="238"/>
      <c r="R1007" s="238"/>
      <c r="S1007" s="238"/>
      <c r="T1007" s="238"/>
      <c r="U1007" s="238"/>
      <c r="V1007" s="240"/>
      <c r="W1007" s="240"/>
      <c r="X1007" s="238"/>
      <c r="Y1007" s="238"/>
      <c r="Z1007" s="238"/>
    </row>
    <row r="1008" spans="1:26" ht="12.5">
      <c r="A1008" s="238"/>
      <c r="B1008" s="238"/>
      <c r="C1008" s="238"/>
      <c r="D1008" s="238"/>
      <c r="E1008" s="238"/>
      <c r="F1008" s="238"/>
      <c r="G1008" s="238"/>
      <c r="H1008" s="238"/>
      <c r="I1008" s="238"/>
      <c r="J1008" s="238"/>
      <c r="K1008" s="237"/>
      <c r="L1008" s="238"/>
      <c r="M1008" s="238"/>
      <c r="N1008" s="238"/>
      <c r="O1008" s="238"/>
      <c r="P1008" s="238"/>
      <c r="Q1008" s="238"/>
      <c r="R1008" s="238"/>
      <c r="S1008" s="238"/>
      <c r="T1008" s="238"/>
      <c r="U1008" s="238"/>
      <c r="V1008" s="240"/>
      <c r="W1008" s="240"/>
      <c r="X1008" s="238"/>
      <c r="Y1008" s="238"/>
      <c r="Z1008" s="238"/>
    </row>
    <row r="1009" spans="1:26" ht="12.5">
      <c r="A1009" s="238"/>
      <c r="B1009" s="238"/>
      <c r="C1009" s="238"/>
      <c r="D1009" s="238"/>
      <c r="E1009" s="238"/>
      <c r="F1009" s="238"/>
      <c r="G1009" s="238"/>
      <c r="H1009" s="238"/>
      <c r="I1009" s="238"/>
      <c r="J1009" s="238"/>
      <c r="K1009" s="237"/>
      <c r="L1009" s="238"/>
      <c r="M1009" s="238"/>
      <c r="N1009" s="238"/>
      <c r="O1009" s="238"/>
      <c r="P1009" s="238"/>
      <c r="Q1009" s="238"/>
      <c r="R1009" s="238"/>
      <c r="S1009" s="238"/>
      <c r="T1009" s="238"/>
      <c r="U1009" s="238"/>
      <c r="V1009" s="240"/>
      <c r="W1009" s="240"/>
      <c r="X1009" s="238"/>
      <c r="Y1009" s="238"/>
      <c r="Z1009" s="238"/>
    </row>
    <row r="1010" spans="1:26" ht="12.5">
      <c r="A1010" s="238"/>
      <c r="B1010" s="238"/>
      <c r="C1010" s="238"/>
      <c r="D1010" s="238"/>
      <c r="E1010" s="238"/>
      <c r="F1010" s="238"/>
      <c r="G1010" s="238"/>
      <c r="H1010" s="238"/>
      <c r="I1010" s="238"/>
      <c r="J1010" s="238"/>
      <c r="K1010" s="237"/>
      <c r="L1010" s="238"/>
      <c r="M1010" s="238"/>
      <c r="N1010" s="238"/>
      <c r="O1010" s="238"/>
      <c r="P1010" s="238"/>
      <c r="Q1010" s="238"/>
      <c r="R1010" s="238"/>
      <c r="S1010" s="238"/>
      <c r="T1010" s="238"/>
      <c r="U1010" s="238"/>
      <c r="V1010" s="240"/>
      <c r="W1010" s="240"/>
      <c r="X1010" s="238"/>
      <c r="Y1010" s="238"/>
      <c r="Z1010" s="238"/>
    </row>
    <row r="1011" spans="1:26" ht="12.5">
      <c r="A1011" s="238"/>
      <c r="B1011" s="238"/>
      <c r="C1011" s="238"/>
      <c r="D1011" s="238"/>
      <c r="E1011" s="238"/>
      <c r="F1011" s="238"/>
      <c r="G1011" s="238"/>
      <c r="H1011" s="238"/>
      <c r="I1011" s="238"/>
      <c r="J1011" s="238"/>
      <c r="K1011" s="237"/>
      <c r="L1011" s="238"/>
      <c r="M1011" s="238"/>
      <c r="N1011" s="238"/>
      <c r="O1011" s="238"/>
      <c r="P1011" s="238"/>
      <c r="Q1011" s="238"/>
      <c r="R1011" s="238"/>
      <c r="S1011" s="238"/>
      <c r="T1011" s="238"/>
      <c r="U1011" s="238"/>
      <c r="V1011" s="240"/>
      <c r="W1011" s="240"/>
      <c r="X1011" s="238"/>
      <c r="Y1011" s="238"/>
      <c r="Z1011" s="238"/>
    </row>
    <row r="1012" spans="1:26" ht="12.5">
      <c r="A1012" s="238"/>
      <c r="B1012" s="238"/>
      <c r="C1012" s="238"/>
      <c r="D1012" s="238"/>
      <c r="E1012" s="238"/>
      <c r="F1012" s="238"/>
      <c r="G1012" s="238"/>
      <c r="H1012" s="238"/>
      <c r="I1012" s="238"/>
      <c r="J1012" s="238"/>
      <c r="K1012" s="237"/>
      <c r="L1012" s="238"/>
      <c r="M1012" s="238"/>
      <c r="N1012" s="238"/>
      <c r="O1012" s="238"/>
      <c r="P1012" s="238"/>
      <c r="Q1012" s="238"/>
      <c r="R1012" s="238"/>
      <c r="S1012" s="238"/>
      <c r="T1012" s="238"/>
      <c r="U1012" s="238"/>
      <c r="V1012" s="240"/>
      <c r="W1012" s="240"/>
      <c r="X1012" s="238"/>
      <c r="Y1012" s="238"/>
      <c r="Z1012" s="238"/>
    </row>
    <row r="1013" spans="1:26" ht="12.5">
      <c r="A1013" s="238"/>
      <c r="B1013" s="238"/>
      <c r="C1013" s="238"/>
      <c r="D1013" s="238"/>
      <c r="E1013" s="238"/>
      <c r="F1013" s="238"/>
      <c r="G1013" s="238"/>
      <c r="H1013" s="238"/>
      <c r="I1013" s="238"/>
      <c r="J1013" s="238"/>
      <c r="K1013" s="237"/>
      <c r="L1013" s="238"/>
      <c r="M1013" s="238"/>
      <c r="N1013" s="238"/>
      <c r="O1013" s="238"/>
      <c r="P1013" s="238"/>
      <c r="Q1013" s="238"/>
      <c r="R1013" s="238"/>
      <c r="S1013" s="238"/>
      <c r="T1013" s="238"/>
      <c r="U1013" s="238"/>
      <c r="V1013" s="240"/>
      <c r="W1013" s="240"/>
      <c r="X1013" s="238"/>
      <c r="Y1013" s="238"/>
      <c r="Z1013" s="238"/>
    </row>
    <row r="1014" spans="1:26" ht="12.5">
      <c r="A1014" s="238"/>
      <c r="B1014" s="238"/>
      <c r="C1014" s="238"/>
      <c r="D1014" s="238"/>
      <c r="E1014" s="238"/>
      <c r="F1014" s="238"/>
      <c r="G1014" s="238"/>
      <c r="H1014" s="238"/>
      <c r="I1014" s="238"/>
      <c r="J1014" s="238"/>
      <c r="K1014" s="237"/>
      <c r="L1014" s="238"/>
      <c r="M1014" s="238"/>
      <c r="N1014" s="238"/>
      <c r="O1014" s="238"/>
      <c r="P1014" s="238"/>
      <c r="Q1014" s="238"/>
      <c r="R1014" s="238"/>
      <c r="S1014" s="238"/>
      <c r="T1014" s="238"/>
      <c r="U1014" s="238"/>
      <c r="V1014" s="240"/>
      <c r="W1014" s="240"/>
      <c r="X1014" s="238"/>
      <c r="Y1014" s="238"/>
      <c r="Z1014" s="238"/>
    </row>
    <row r="1015" spans="1:26" ht="12.5">
      <c r="A1015" s="238"/>
      <c r="B1015" s="238"/>
      <c r="C1015" s="238"/>
      <c r="D1015" s="238"/>
      <c r="E1015" s="238"/>
      <c r="F1015" s="238"/>
      <c r="G1015" s="238"/>
      <c r="H1015" s="238"/>
      <c r="I1015" s="238"/>
      <c r="J1015" s="238"/>
      <c r="K1015" s="237"/>
      <c r="L1015" s="238"/>
      <c r="M1015" s="238"/>
      <c r="N1015" s="238"/>
      <c r="O1015" s="238"/>
      <c r="P1015" s="238"/>
      <c r="Q1015" s="238"/>
      <c r="R1015" s="238"/>
      <c r="S1015" s="238"/>
      <c r="T1015" s="238"/>
      <c r="U1015" s="238"/>
      <c r="V1015" s="240"/>
      <c r="W1015" s="240"/>
      <c r="X1015" s="238"/>
      <c r="Y1015" s="238"/>
      <c r="Z1015" s="238"/>
    </row>
    <row r="1016" spans="1:26" ht="12.5">
      <c r="A1016" s="238"/>
      <c r="B1016" s="238"/>
      <c r="C1016" s="238"/>
      <c r="D1016" s="238"/>
      <c r="E1016" s="238"/>
      <c r="F1016" s="238"/>
      <c r="G1016" s="238"/>
      <c r="H1016" s="238"/>
      <c r="I1016" s="238"/>
      <c r="J1016" s="238"/>
      <c r="K1016" s="237"/>
      <c r="L1016" s="238"/>
      <c r="M1016" s="238"/>
      <c r="N1016" s="238"/>
      <c r="O1016" s="238"/>
      <c r="P1016" s="238"/>
      <c r="Q1016" s="238"/>
      <c r="R1016" s="238"/>
      <c r="S1016" s="238"/>
      <c r="T1016" s="238"/>
      <c r="U1016" s="238"/>
      <c r="V1016" s="240"/>
      <c r="W1016" s="240"/>
      <c r="X1016" s="238"/>
      <c r="Y1016" s="238"/>
      <c r="Z1016" s="238"/>
    </row>
    <row r="1017" spans="1:26" ht="12.5">
      <c r="A1017" s="238"/>
      <c r="B1017" s="238"/>
      <c r="C1017" s="238"/>
      <c r="D1017" s="238"/>
      <c r="E1017" s="238"/>
      <c r="F1017" s="238"/>
      <c r="G1017" s="238"/>
      <c r="H1017" s="238"/>
      <c r="I1017" s="238"/>
      <c r="J1017" s="238"/>
      <c r="K1017" s="237"/>
      <c r="L1017" s="238"/>
      <c r="M1017" s="238"/>
      <c r="N1017" s="238"/>
      <c r="O1017" s="238"/>
      <c r="P1017" s="238"/>
      <c r="Q1017" s="238"/>
      <c r="R1017" s="238"/>
      <c r="S1017" s="238"/>
      <c r="T1017" s="238"/>
      <c r="U1017" s="238"/>
      <c r="V1017" s="240"/>
      <c r="W1017" s="240"/>
      <c r="X1017" s="238"/>
      <c r="Y1017" s="238"/>
      <c r="Z1017" s="23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25"/>
  <sheetViews>
    <sheetView topLeftCell="A16" workbookViewId="0">
      <selection activeCell="B19" sqref="B19"/>
    </sheetView>
  </sheetViews>
  <sheetFormatPr baseColWidth="10" defaultColWidth="12.6328125" defaultRowHeight="15.75" customHeight="1"/>
  <cols>
    <col min="1" max="1" width="14.6328125" customWidth="1"/>
    <col min="3" max="3" width="20.26953125" customWidth="1"/>
    <col min="4" max="4" width="39.26953125" customWidth="1"/>
    <col min="5" max="5" width="35.26953125" customWidth="1"/>
    <col min="6" max="6" width="20.90625" customWidth="1"/>
    <col min="7" max="7" width="25" customWidth="1"/>
    <col min="9" max="9" width="15.90625" customWidth="1"/>
    <col min="10" max="10" width="14.7265625" customWidth="1"/>
    <col min="11" max="11" width="85.08984375" customWidth="1"/>
    <col min="15" max="15" width="60.90625" customWidth="1"/>
    <col min="23" max="24" width="12.6328125" style="368"/>
  </cols>
  <sheetData>
    <row r="1" spans="1:26" ht="45.75" customHeight="1">
      <c r="A1" s="319" t="s">
        <v>0</v>
      </c>
      <c r="B1" s="320" t="s">
        <v>531</v>
      </c>
      <c r="C1" s="321" t="s">
        <v>538</v>
      </c>
      <c r="D1" s="321" t="s">
        <v>2</v>
      </c>
      <c r="E1" s="321" t="s">
        <v>3</v>
      </c>
      <c r="F1" s="321" t="s">
        <v>4</v>
      </c>
      <c r="G1" s="321" t="s">
        <v>721</v>
      </c>
      <c r="H1" s="321" t="s">
        <v>5</v>
      </c>
      <c r="I1" s="321" t="s">
        <v>655</v>
      </c>
      <c r="J1" s="321" t="s">
        <v>532</v>
      </c>
      <c r="K1" s="321" t="s">
        <v>7</v>
      </c>
      <c r="L1" s="233" t="s">
        <v>893</v>
      </c>
      <c r="M1" s="321" t="s">
        <v>10</v>
      </c>
      <c r="N1" s="321" t="s">
        <v>12</v>
      </c>
      <c r="O1" s="321" t="s">
        <v>1190</v>
      </c>
      <c r="P1" s="321" t="s">
        <v>14</v>
      </c>
      <c r="Q1" s="321" t="s">
        <v>656</v>
      </c>
      <c r="R1" s="321" t="s">
        <v>658</v>
      </c>
      <c r="S1" s="321" t="s">
        <v>659</v>
      </c>
      <c r="T1" s="321" t="s">
        <v>803</v>
      </c>
      <c r="U1" s="321" t="s">
        <v>803</v>
      </c>
      <c r="V1" s="322"/>
      <c r="W1" s="382" t="s">
        <v>2583</v>
      </c>
      <c r="X1" s="382" t="s">
        <v>2670</v>
      </c>
      <c r="Y1" s="322"/>
      <c r="Z1" s="322"/>
    </row>
    <row r="2" spans="1:26" ht="54.75" customHeight="1">
      <c r="A2" s="258" t="s">
        <v>1402</v>
      </c>
      <c r="B2" s="257">
        <v>409248</v>
      </c>
      <c r="C2" s="258" t="s">
        <v>611</v>
      </c>
      <c r="D2" s="295" t="s">
        <v>1403</v>
      </c>
      <c r="E2" s="302" t="s">
        <v>1404</v>
      </c>
      <c r="F2" s="258">
        <v>3122153085</v>
      </c>
      <c r="G2" s="258" t="s">
        <v>1405</v>
      </c>
      <c r="H2" s="258" t="s">
        <v>1015</v>
      </c>
      <c r="I2" s="258" t="s">
        <v>1406</v>
      </c>
      <c r="J2" s="261" t="s">
        <v>1407</v>
      </c>
      <c r="K2" s="379" t="s">
        <v>1408</v>
      </c>
      <c r="L2" s="304" t="s">
        <v>1350</v>
      </c>
      <c r="M2" s="258" t="s">
        <v>1367</v>
      </c>
      <c r="N2" s="258" t="s">
        <v>809</v>
      </c>
      <c r="O2" s="258" t="s">
        <v>1409</v>
      </c>
      <c r="P2" s="258"/>
      <c r="Q2" s="258" t="s">
        <v>1360</v>
      </c>
      <c r="R2" s="258"/>
      <c r="S2" s="258"/>
      <c r="T2" s="240" t="s">
        <v>1410</v>
      </c>
      <c r="U2" s="240" t="s">
        <v>1410</v>
      </c>
      <c r="V2" s="258"/>
      <c r="W2" s="264" t="s">
        <v>2592</v>
      </c>
      <c r="X2" s="264" t="s">
        <v>2573</v>
      </c>
      <c r="Y2" s="258"/>
      <c r="Z2" s="258"/>
    </row>
    <row r="3" spans="1:26" ht="54.75" customHeight="1">
      <c r="A3" s="258" t="s">
        <v>1411</v>
      </c>
      <c r="B3" s="257">
        <v>560000</v>
      </c>
      <c r="C3" s="258" t="s">
        <v>1412</v>
      </c>
      <c r="D3" s="295" t="s">
        <v>1413</v>
      </c>
      <c r="E3" s="302" t="s">
        <v>1414</v>
      </c>
      <c r="F3" s="258">
        <v>3133861788</v>
      </c>
      <c r="G3" s="258" t="s">
        <v>1415</v>
      </c>
      <c r="H3" s="258" t="s">
        <v>1015</v>
      </c>
      <c r="I3" s="258" t="s">
        <v>1416</v>
      </c>
      <c r="J3" s="261" t="s">
        <v>1417</v>
      </c>
      <c r="K3" s="379" t="s">
        <v>1418</v>
      </c>
      <c r="L3" s="304" t="s">
        <v>1419</v>
      </c>
      <c r="M3" s="258" t="s">
        <v>1179</v>
      </c>
      <c r="N3" s="258" t="s">
        <v>809</v>
      </c>
      <c r="O3" s="258" t="s">
        <v>1420</v>
      </c>
      <c r="P3" s="258"/>
      <c r="Q3" s="258" t="s">
        <v>1360</v>
      </c>
      <c r="R3" s="258"/>
      <c r="S3" s="258"/>
      <c r="T3" s="240" t="s">
        <v>1410</v>
      </c>
      <c r="U3" s="240" t="s">
        <v>1410</v>
      </c>
      <c r="V3" s="258"/>
      <c r="W3" s="383" t="s">
        <v>2603</v>
      </c>
      <c r="X3" s="264" t="s">
        <v>2678</v>
      </c>
      <c r="Y3" s="258"/>
      <c r="Z3" s="258"/>
    </row>
    <row r="4" spans="1:26" ht="54.75" customHeight="1">
      <c r="A4" s="258" t="s">
        <v>1421</v>
      </c>
      <c r="B4" s="257">
        <v>423551</v>
      </c>
      <c r="C4" s="258" t="s">
        <v>572</v>
      </c>
      <c r="D4" s="295" t="s">
        <v>1422</v>
      </c>
      <c r="E4" s="302" t="s">
        <v>1423</v>
      </c>
      <c r="F4" s="36">
        <v>4448830</v>
      </c>
      <c r="G4" s="258" t="s">
        <v>1424</v>
      </c>
      <c r="H4" s="258" t="s">
        <v>1015</v>
      </c>
      <c r="I4" s="258" t="s">
        <v>1425</v>
      </c>
      <c r="J4" s="261" t="s">
        <v>1426</v>
      </c>
      <c r="K4" s="384" t="s">
        <v>1427</v>
      </c>
      <c r="L4" s="304" t="s">
        <v>1350</v>
      </c>
      <c r="M4" s="258" t="s">
        <v>1395</v>
      </c>
      <c r="N4" s="258" t="s">
        <v>809</v>
      </c>
      <c r="O4" s="258" t="s">
        <v>1428</v>
      </c>
      <c r="P4" s="258"/>
      <c r="Q4" s="258" t="s">
        <v>1429</v>
      </c>
      <c r="R4" s="258"/>
      <c r="S4" s="258"/>
      <c r="T4" s="240" t="s">
        <v>1410</v>
      </c>
      <c r="U4" s="240" t="s">
        <v>1410</v>
      </c>
      <c r="V4" s="258" t="s">
        <v>1430</v>
      </c>
      <c r="W4" s="384" t="s">
        <v>2573</v>
      </c>
      <c r="X4" s="264" t="s">
        <v>2573</v>
      </c>
      <c r="Y4" s="258"/>
      <c r="Z4" s="258"/>
    </row>
    <row r="5" spans="1:26" ht="54.75" customHeight="1">
      <c r="A5" s="258" t="s">
        <v>1431</v>
      </c>
      <c r="B5" s="257">
        <v>84000</v>
      </c>
      <c r="C5" s="258" t="s">
        <v>1432</v>
      </c>
      <c r="D5" s="295" t="s">
        <v>1433</v>
      </c>
      <c r="E5" s="302" t="s">
        <v>1434</v>
      </c>
      <c r="F5" s="36">
        <v>3174359521</v>
      </c>
      <c r="G5" s="258" t="s">
        <v>1435</v>
      </c>
      <c r="H5" s="258" t="s">
        <v>540</v>
      </c>
      <c r="I5" s="258" t="s">
        <v>1436</v>
      </c>
      <c r="J5" s="261" t="s">
        <v>1426</v>
      </c>
      <c r="K5" s="258" t="s">
        <v>1437</v>
      </c>
      <c r="L5" s="304"/>
      <c r="M5" s="258" t="s">
        <v>1438</v>
      </c>
      <c r="N5" s="258" t="s">
        <v>809</v>
      </c>
      <c r="O5" s="258" t="s">
        <v>1432</v>
      </c>
      <c r="P5" s="258"/>
      <c r="Q5" s="258" t="s">
        <v>1360</v>
      </c>
      <c r="R5" s="258"/>
      <c r="S5" s="258"/>
      <c r="T5" s="240"/>
      <c r="U5" s="258"/>
      <c r="V5" s="258"/>
      <c r="W5" s="384" t="s">
        <v>2584</v>
      </c>
      <c r="X5" s="379" t="s">
        <v>2654</v>
      </c>
      <c r="Y5" s="258"/>
      <c r="Z5" s="258"/>
    </row>
    <row r="6" spans="1:26" ht="54.75" customHeight="1">
      <c r="A6" s="258" t="s">
        <v>976</v>
      </c>
      <c r="B6" s="257">
        <v>182512</v>
      </c>
      <c r="C6" s="258" t="s">
        <v>580</v>
      </c>
      <c r="D6" s="295" t="s">
        <v>1439</v>
      </c>
      <c r="E6" s="323" t="s">
        <v>1440</v>
      </c>
      <c r="F6" s="36">
        <v>3108004125</v>
      </c>
      <c r="G6" s="258" t="s">
        <v>1441</v>
      </c>
      <c r="H6" s="258" t="s">
        <v>540</v>
      </c>
      <c r="I6" s="258" t="s">
        <v>1442</v>
      </c>
      <c r="J6" s="261" t="s">
        <v>1443</v>
      </c>
      <c r="K6" s="384" t="s">
        <v>1444</v>
      </c>
      <c r="L6" s="304" t="s">
        <v>1350</v>
      </c>
      <c r="M6" s="258" t="s">
        <v>1179</v>
      </c>
      <c r="N6" s="258" t="s">
        <v>809</v>
      </c>
      <c r="O6" s="258" t="s">
        <v>1445</v>
      </c>
      <c r="P6" s="258"/>
      <c r="Q6" s="258" t="s">
        <v>1287</v>
      </c>
      <c r="R6" s="258"/>
      <c r="S6" s="258"/>
      <c r="T6" s="240" t="s">
        <v>1410</v>
      </c>
      <c r="U6" s="240" t="s">
        <v>1410</v>
      </c>
      <c r="V6" s="258" t="s">
        <v>1430</v>
      </c>
      <c r="W6" s="384" t="s">
        <v>2584</v>
      </c>
      <c r="X6" s="264" t="s">
        <v>2654</v>
      </c>
      <c r="Y6" s="258"/>
      <c r="Z6" s="258"/>
    </row>
    <row r="7" spans="1:26" ht="54.75" customHeight="1">
      <c r="A7" s="258" t="s">
        <v>1446</v>
      </c>
      <c r="B7" s="257">
        <v>425600</v>
      </c>
      <c r="C7" s="258" t="s">
        <v>624</v>
      </c>
      <c r="D7" s="295" t="s">
        <v>1447</v>
      </c>
      <c r="E7" s="324" t="s">
        <v>1448</v>
      </c>
      <c r="F7" s="325">
        <v>3152050461</v>
      </c>
      <c r="G7" s="258" t="s">
        <v>1449</v>
      </c>
      <c r="H7" s="258" t="s">
        <v>540</v>
      </c>
      <c r="I7" s="258" t="s">
        <v>1450</v>
      </c>
      <c r="J7" s="261" t="s">
        <v>1451</v>
      </c>
      <c r="K7" s="384" t="s">
        <v>1452</v>
      </c>
      <c r="L7" s="304" t="s">
        <v>1453</v>
      </c>
      <c r="M7" s="258" t="s">
        <v>1454</v>
      </c>
      <c r="N7" s="258" t="s">
        <v>809</v>
      </c>
      <c r="O7" s="258" t="s">
        <v>1455</v>
      </c>
      <c r="P7" s="258"/>
      <c r="Q7" s="258" t="s">
        <v>1234</v>
      </c>
      <c r="R7" s="258"/>
      <c r="S7" s="258"/>
      <c r="T7" s="240" t="s">
        <v>1410</v>
      </c>
      <c r="U7" s="240" t="s">
        <v>1410</v>
      </c>
      <c r="V7" s="258"/>
      <c r="W7" s="264" t="s">
        <v>2576</v>
      </c>
      <c r="X7" s="264" t="s">
        <v>2637</v>
      </c>
      <c r="Y7" s="258"/>
      <c r="Z7" s="258"/>
    </row>
    <row r="8" spans="1:26" ht="54.75" customHeight="1">
      <c r="A8" s="258" t="s">
        <v>1456</v>
      </c>
      <c r="B8" s="257">
        <v>672000</v>
      </c>
      <c r="C8" s="258" t="s">
        <v>1457</v>
      </c>
      <c r="D8" s="295" t="s">
        <v>1458</v>
      </c>
      <c r="E8" s="302" t="s">
        <v>1459</v>
      </c>
      <c r="F8" s="36">
        <v>3218486265</v>
      </c>
      <c r="G8" s="258" t="s">
        <v>1460</v>
      </c>
      <c r="H8" s="258" t="s">
        <v>540</v>
      </c>
      <c r="I8" s="258" t="s">
        <v>1461</v>
      </c>
      <c r="J8" s="261" t="s">
        <v>1462</v>
      </c>
      <c r="K8" s="384" t="s">
        <v>1463</v>
      </c>
      <c r="L8" s="304" t="s">
        <v>1464</v>
      </c>
      <c r="M8" s="258" t="s">
        <v>1395</v>
      </c>
      <c r="N8" s="258" t="s">
        <v>809</v>
      </c>
      <c r="O8" s="258" t="s">
        <v>1465</v>
      </c>
      <c r="P8" s="258"/>
      <c r="Q8" s="258" t="s">
        <v>1234</v>
      </c>
      <c r="R8" s="258"/>
      <c r="S8" s="258"/>
      <c r="T8" s="240" t="s">
        <v>1410</v>
      </c>
      <c r="U8" s="240" t="s">
        <v>1410</v>
      </c>
      <c r="V8" s="258"/>
      <c r="W8" s="264" t="s">
        <v>2578</v>
      </c>
      <c r="X8" s="264" t="s">
        <v>2673</v>
      </c>
      <c r="Y8" s="258"/>
      <c r="Z8" s="258"/>
    </row>
    <row r="9" spans="1:26" ht="54.75" customHeight="1">
      <c r="A9" s="258" t="s">
        <v>1466</v>
      </c>
      <c r="B9" s="257">
        <v>1732640</v>
      </c>
      <c r="C9" s="258" t="s">
        <v>1211</v>
      </c>
      <c r="D9" s="295" t="s">
        <v>1467</v>
      </c>
      <c r="E9" s="302" t="s">
        <v>1468</v>
      </c>
      <c r="F9" s="36">
        <v>3007892374</v>
      </c>
      <c r="G9" s="258" t="s">
        <v>1469</v>
      </c>
      <c r="H9" s="258" t="s">
        <v>540</v>
      </c>
      <c r="I9" s="258" t="s">
        <v>1470</v>
      </c>
      <c r="J9" s="261" t="s">
        <v>1471</v>
      </c>
      <c r="K9" s="384" t="s">
        <v>1472</v>
      </c>
      <c r="L9" s="304" t="s">
        <v>1464</v>
      </c>
      <c r="M9" s="258" t="s">
        <v>1395</v>
      </c>
      <c r="N9" s="258" t="s">
        <v>809</v>
      </c>
      <c r="O9" s="258" t="s">
        <v>1473</v>
      </c>
      <c r="P9" s="258"/>
      <c r="Q9" s="258" t="s">
        <v>1234</v>
      </c>
      <c r="R9" s="258"/>
      <c r="S9" s="258"/>
      <c r="T9" s="240" t="s">
        <v>1410</v>
      </c>
      <c r="U9" s="240" t="s">
        <v>1410</v>
      </c>
      <c r="V9" s="258"/>
      <c r="W9" s="264" t="s">
        <v>2599</v>
      </c>
      <c r="X9" s="379" t="s">
        <v>2654</v>
      </c>
      <c r="Y9" s="258"/>
      <c r="Z9" s="258"/>
    </row>
    <row r="10" spans="1:26" ht="54.75" customHeight="1">
      <c r="A10" s="258" t="s">
        <v>1474</v>
      </c>
      <c r="B10" s="257">
        <v>560000</v>
      </c>
      <c r="C10" s="258" t="s">
        <v>944</v>
      </c>
      <c r="D10" s="295" t="s">
        <v>1475</v>
      </c>
      <c r="E10" s="302" t="s">
        <v>1476</v>
      </c>
      <c r="F10" s="258">
        <v>3027628392</v>
      </c>
      <c r="G10" s="326" t="s">
        <v>1477</v>
      </c>
      <c r="H10" s="258" t="s">
        <v>540</v>
      </c>
      <c r="I10" s="258" t="s">
        <v>1478</v>
      </c>
      <c r="J10" s="261" t="s">
        <v>1471</v>
      </c>
      <c r="K10" s="384" t="s">
        <v>1479</v>
      </c>
      <c r="L10" s="304" t="s">
        <v>1464</v>
      </c>
      <c r="M10" s="258" t="s">
        <v>1480</v>
      </c>
      <c r="N10" s="258" t="s">
        <v>809</v>
      </c>
      <c r="O10" s="258" t="s">
        <v>1455</v>
      </c>
      <c r="P10" s="258"/>
      <c r="Q10" s="258" t="s">
        <v>1481</v>
      </c>
      <c r="R10" s="258"/>
      <c r="S10" s="258"/>
      <c r="T10" s="240" t="s">
        <v>1410</v>
      </c>
      <c r="U10" s="240" t="s">
        <v>1410</v>
      </c>
      <c r="V10" s="258"/>
      <c r="W10" s="264" t="s">
        <v>2576</v>
      </c>
      <c r="X10" s="379" t="s">
        <v>2637</v>
      </c>
      <c r="Y10" s="258"/>
      <c r="Z10" s="258"/>
    </row>
    <row r="11" spans="1:26" ht="54.75" customHeight="1">
      <c r="A11" s="258" t="s">
        <v>1482</v>
      </c>
      <c r="B11" s="301">
        <v>909589</v>
      </c>
      <c r="C11" s="258" t="s">
        <v>591</v>
      </c>
      <c r="D11" s="295" t="s">
        <v>1483</v>
      </c>
      <c r="E11" s="327" t="s">
        <v>1484</v>
      </c>
      <c r="F11" s="258">
        <v>4481275</v>
      </c>
      <c r="G11" s="258" t="s">
        <v>1485</v>
      </c>
      <c r="H11" s="258" t="s">
        <v>1015</v>
      </c>
      <c r="I11" s="258" t="s">
        <v>1486</v>
      </c>
      <c r="J11" s="261" t="s">
        <v>1487</v>
      </c>
      <c r="K11" s="384" t="s">
        <v>1488</v>
      </c>
      <c r="L11" s="304" t="s">
        <v>1464</v>
      </c>
      <c r="M11" s="258" t="s">
        <v>1395</v>
      </c>
      <c r="N11" s="258" t="s">
        <v>809</v>
      </c>
      <c r="O11" s="258" t="s">
        <v>1489</v>
      </c>
      <c r="P11" s="258"/>
      <c r="Q11" s="258" t="s">
        <v>1490</v>
      </c>
      <c r="R11" s="258"/>
      <c r="S11" s="258"/>
      <c r="T11" s="240" t="s">
        <v>1410</v>
      </c>
      <c r="U11" s="258"/>
      <c r="V11" s="258"/>
      <c r="W11" s="264" t="s">
        <v>2592</v>
      </c>
      <c r="X11" s="379" t="s">
        <v>2573</v>
      </c>
      <c r="Y11" s="258"/>
      <c r="Z11" s="258"/>
    </row>
    <row r="12" spans="1:26" ht="55.5" customHeight="1">
      <c r="A12" s="258" t="s">
        <v>1491</v>
      </c>
      <c r="B12" s="257">
        <v>185000</v>
      </c>
      <c r="C12" s="258" t="s">
        <v>1492</v>
      </c>
      <c r="D12" s="295" t="s">
        <v>1493</v>
      </c>
      <c r="E12" s="327" t="s">
        <v>1494</v>
      </c>
      <c r="F12" s="258">
        <v>3114551453</v>
      </c>
      <c r="G12" s="258" t="s">
        <v>1495</v>
      </c>
      <c r="H12" s="258" t="s">
        <v>1015</v>
      </c>
      <c r="I12" s="258" t="s">
        <v>1496</v>
      </c>
      <c r="J12" s="261" t="s">
        <v>1497</v>
      </c>
      <c r="K12" s="384" t="s">
        <v>1498</v>
      </c>
      <c r="L12" s="304" t="s">
        <v>1464</v>
      </c>
      <c r="M12" s="258" t="s">
        <v>1367</v>
      </c>
      <c r="N12" s="258" t="s">
        <v>809</v>
      </c>
      <c r="O12" s="258" t="s">
        <v>1455</v>
      </c>
      <c r="P12" s="258"/>
      <c r="Q12" s="258" t="s">
        <v>1360</v>
      </c>
      <c r="R12" s="258"/>
      <c r="S12" s="258"/>
      <c r="T12" s="240" t="s">
        <v>1410</v>
      </c>
      <c r="U12" s="240" t="s">
        <v>1410</v>
      </c>
      <c r="V12" s="258"/>
      <c r="W12" s="264" t="s">
        <v>2575</v>
      </c>
      <c r="X12" s="264" t="s">
        <v>2672</v>
      </c>
      <c r="Y12" s="258"/>
      <c r="Z12" s="258"/>
    </row>
    <row r="13" spans="1:26" ht="54.75" customHeight="1">
      <c r="A13" s="328" t="s">
        <v>1499</v>
      </c>
      <c r="B13" s="257">
        <v>168000</v>
      </c>
      <c r="C13" s="258" t="s">
        <v>624</v>
      </c>
      <c r="D13" s="329" t="s">
        <v>1500</v>
      </c>
      <c r="E13" s="296" t="s">
        <v>1501</v>
      </c>
      <c r="F13" s="238">
        <v>3103724874</v>
      </c>
      <c r="G13" s="258" t="s">
        <v>1502</v>
      </c>
      <c r="H13" s="258" t="s">
        <v>1015</v>
      </c>
      <c r="I13" s="258" t="s">
        <v>1503</v>
      </c>
      <c r="J13" s="261" t="s">
        <v>1497</v>
      </c>
      <c r="K13" s="384" t="s">
        <v>1504</v>
      </c>
      <c r="L13" s="304" t="s">
        <v>1453</v>
      </c>
      <c r="M13" s="258" t="s">
        <v>1367</v>
      </c>
      <c r="N13" s="258" t="s">
        <v>809</v>
      </c>
      <c r="O13" s="258" t="s">
        <v>1505</v>
      </c>
      <c r="P13" s="258"/>
      <c r="Q13" s="258" t="s">
        <v>1481</v>
      </c>
      <c r="R13" s="258"/>
      <c r="S13" s="258"/>
      <c r="T13" s="240" t="s">
        <v>1410</v>
      </c>
      <c r="U13" s="240" t="s">
        <v>1410</v>
      </c>
      <c r="V13" s="258"/>
      <c r="W13" s="384" t="s">
        <v>2584</v>
      </c>
      <c r="X13" s="379" t="s">
        <v>2654</v>
      </c>
      <c r="Y13" s="258"/>
      <c r="Z13" s="258"/>
    </row>
    <row r="14" spans="1:26" ht="54.75" customHeight="1">
      <c r="A14" s="258" t="s">
        <v>1506</v>
      </c>
      <c r="B14" s="257">
        <v>150000</v>
      </c>
      <c r="C14" s="258" t="s">
        <v>624</v>
      </c>
      <c r="D14" s="330" t="s">
        <v>1507</v>
      </c>
      <c r="E14" s="331" t="s">
        <v>1501</v>
      </c>
      <c r="F14" s="238">
        <v>3103724874</v>
      </c>
      <c r="G14" s="258" t="s">
        <v>1502</v>
      </c>
      <c r="H14" s="258" t="s">
        <v>1015</v>
      </c>
      <c r="I14" s="258" t="s">
        <v>1508</v>
      </c>
      <c r="J14" s="261" t="s">
        <v>1497</v>
      </c>
      <c r="K14" s="384" t="s">
        <v>1504</v>
      </c>
      <c r="L14" s="304" t="s">
        <v>1464</v>
      </c>
      <c r="M14" s="258" t="s">
        <v>1367</v>
      </c>
      <c r="N14" s="258" t="s">
        <v>809</v>
      </c>
      <c r="O14" s="258" t="s">
        <v>1505</v>
      </c>
      <c r="P14" s="258"/>
      <c r="Q14" s="258" t="s">
        <v>1481</v>
      </c>
      <c r="R14" s="258"/>
      <c r="S14" s="258"/>
      <c r="T14" s="240" t="s">
        <v>1410</v>
      </c>
      <c r="U14" s="240" t="s">
        <v>1410</v>
      </c>
      <c r="V14" s="258"/>
      <c r="W14" s="384" t="s">
        <v>2584</v>
      </c>
      <c r="X14" s="379" t="s">
        <v>2654</v>
      </c>
      <c r="Y14" s="258"/>
      <c r="Z14" s="258"/>
    </row>
    <row r="15" spans="1:26" ht="54.75" customHeight="1">
      <c r="A15" s="258" t="s">
        <v>1509</v>
      </c>
      <c r="B15" s="257">
        <v>168000</v>
      </c>
      <c r="C15" s="258" t="s">
        <v>624</v>
      </c>
      <c r="D15" s="329" t="s">
        <v>1510</v>
      </c>
      <c r="E15" s="296" t="s">
        <v>1501</v>
      </c>
      <c r="F15" s="238">
        <v>3103724874</v>
      </c>
      <c r="G15" s="258" t="s">
        <v>1502</v>
      </c>
      <c r="H15" s="258" t="s">
        <v>1015</v>
      </c>
      <c r="I15" s="258" t="s">
        <v>1503</v>
      </c>
      <c r="J15" s="261" t="s">
        <v>1497</v>
      </c>
      <c r="K15" s="384" t="s">
        <v>1504</v>
      </c>
      <c r="L15" s="304" t="s">
        <v>1464</v>
      </c>
      <c r="M15" s="258" t="s">
        <v>1395</v>
      </c>
      <c r="N15" s="258" t="s">
        <v>809</v>
      </c>
      <c r="O15" s="258" t="s">
        <v>1505</v>
      </c>
      <c r="P15" s="258"/>
      <c r="Q15" s="258" t="s">
        <v>1481</v>
      </c>
      <c r="R15" s="258"/>
      <c r="S15" s="258"/>
      <c r="T15" s="240" t="s">
        <v>1410</v>
      </c>
      <c r="U15" s="240" t="s">
        <v>1410</v>
      </c>
      <c r="V15" s="258"/>
      <c r="W15" s="384" t="s">
        <v>2584</v>
      </c>
      <c r="X15" s="379" t="s">
        <v>2654</v>
      </c>
      <c r="Y15" s="258"/>
      <c r="Z15" s="258"/>
    </row>
    <row r="16" spans="1:26" ht="54.75" customHeight="1">
      <c r="A16" s="258" t="s">
        <v>1511</v>
      </c>
      <c r="B16" s="257">
        <v>150000</v>
      </c>
      <c r="C16" s="258" t="s">
        <v>624</v>
      </c>
      <c r="D16" s="329" t="s">
        <v>1512</v>
      </c>
      <c r="E16" s="296" t="s">
        <v>1501</v>
      </c>
      <c r="F16" s="238">
        <v>3103724874</v>
      </c>
      <c r="G16" s="258" t="s">
        <v>1502</v>
      </c>
      <c r="H16" s="258" t="s">
        <v>1015</v>
      </c>
      <c r="I16" s="258" t="s">
        <v>1508</v>
      </c>
      <c r="J16" s="261" t="s">
        <v>1497</v>
      </c>
      <c r="K16" s="384" t="s">
        <v>1504</v>
      </c>
      <c r="L16" s="304" t="s">
        <v>1464</v>
      </c>
      <c r="M16" s="258" t="s">
        <v>1395</v>
      </c>
      <c r="N16" s="258" t="s">
        <v>809</v>
      </c>
      <c r="O16" s="258" t="s">
        <v>1505</v>
      </c>
      <c r="P16" s="258"/>
      <c r="Q16" s="258" t="s">
        <v>1481</v>
      </c>
      <c r="R16" s="258"/>
      <c r="S16" s="258"/>
      <c r="T16" s="240" t="s">
        <v>1410</v>
      </c>
      <c r="U16" s="240" t="s">
        <v>1410</v>
      </c>
      <c r="V16" s="258"/>
      <c r="W16" s="384" t="s">
        <v>2584</v>
      </c>
      <c r="X16" s="379" t="s">
        <v>2654</v>
      </c>
      <c r="Y16" s="258"/>
      <c r="Z16" s="258"/>
    </row>
    <row r="17" spans="1:26" ht="54.75" customHeight="1">
      <c r="A17" s="36" t="s">
        <v>1513</v>
      </c>
      <c r="B17" s="257">
        <v>224000</v>
      </c>
      <c r="C17" s="258" t="s">
        <v>604</v>
      </c>
      <c r="D17" s="295" t="s">
        <v>874</v>
      </c>
      <c r="E17" s="327" t="s">
        <v>1514</v>
      </c>
      <c r="F17" s="258">
        <v>3168319454</v>
      </c>
      <c r="G17" s="258" t="s">
        <v>1515</v>
      </c>
      <c r="H17" s="258" t="s">
        <v>1015</v>
      </c>
      <c r="I17" s="258" t="s">
        <v>1516</v>
      </c>
      <c r="J17" s="261" t="s">
        <v>1517</v>
      </c>
      <c r="K17" s="385" t="s">
        <v>1518</v>
      </c>
      <c r="L17" s="304" t="s">
        <v>1464</v>
      </c>
      <c r="M17" s="258" t="s">
        <v>1395</v>
      </c>
      <c r="N17" s="258" t="s">
        <v>809</v>
      </c>
      <c r="O17" s="258" t="s">
        <v>1519</v>
      </c>
      <c r="P17" s="258"/>
      <c r="Q17" s="258" t="s">
        <v>1376</v>
      </c>
      <c r="R17" s="258"/>
      <c r="S17" s="258"/>
      <c r="T17" s="240" t="s">
        <v>1410</v>
      </c>
      <c r="U17" s="240" t="s">
        <v>1410</v>
      </c>
      <c r="V17" s="258"/>
      <c r="W17" s="384" t="s">
        <v>2604</v>
      </c>
      <c r="X17" s="264" t="s">
        <v>2673</v>
      </c>
      <c r="Y17" s="258"/>
      <c r="Z17" s="258"/>
    </row>
    <row r="18" spans="1:26" ht="54.75" customHeight="1">
      <c r="A18" s="36" t="s">
        <v>1520</v>
      </c>
      <c r="B18" s="257">
        <v>250000</v>
      </c>
      <c r="C18" s="258" t="s">
        <v>1412</v>
      </c>
      <c r="D18" s="295" t="s">
        <v>1521</v>
      </c>
      <c r="E18" s="327" t="s">
        <v>1522</v>
      </c>
      <c r="F18" s="258">
        <v>3164731329</v>
      </c>
      <c r="G18" s="258" t="s">
        <v>1523</v>
      </c>
      <c r="H18" s="258" t="s">
        <v>540</v>
      </c>
      <c r="I18" s="258" t="s">
        <v>1365</v>
      </c>
      <c r="J18" s="261" t="s">
        <v>1524</v>
      </c>
      <c r="K18" s="385" t="s">
        <v>1525</v>
      </c>
      <c r="L18" s="304" t="s">
        <v>1464</v>
      </c>
      <c r="M18" s="258" t="s">
        <v>1395</v>
      </c>
      <c r="N18" s="258" t="s">
        <v>809</v>
      </c>
      <c r="O18" s="258" t="s">
        <v>1526</v>
      </c>
      <c r="P18" s="258"/>
      <c r="Q18" s="258" t="s">
        <v>1527</v>
      </c>
      <c r="R18" s="258"/>
      <c r="S18" s="258"/>
      <c r="T18" s="240" t="s">
        <v>1410</v>
      </c>
      <c r="U18" s="240" t="s">
        <v>1410</v>
      </c>
      <c r="V18" s="258"/>
      <c r="W18" s="264" t="s">
        <v>2605</v>
      </c>
      <c r="X18" s="264" t="s">
        <v>2676</v>
      </c>
      <c r="Y18" s="258"/>
      <c r="Z18" s="258"/>
    </row>
    <row r="19" spans="1:26" ht="54.75" customHeight="1">
      <c r="A19" s="258">
        <v>9001418320</v>
      </c>
      <c r="B19" s="257">
        <v>363776</v>
      </c>
      <c r="C19" s="258"/>
      <c r="D19" s="295" t="s">
        <v>1528</v>
      </c>
      <c r="E19" s="302" t="s">
        <v>1529</v>
      </c>
      <c r="F19" s="258">
        <v>3108695238</v>
      </c>
      <c r="G19" s="258" t="s">
        <v>1530</v>
      </c>
      <c r="H19" s="258" t="s">
        <v>1015</v>
      </c>
      <c r="I19" s="258" t="s">
        <v>1531</v>
      </c>
      <c r="J19" s="261" t="s">
        <v>1532</v>
      </c>
      <c r="K19" s="384" t="s">
        <v>1533</v>
      </c>
      <c r="L19" s="304" t="s">
        <v>1534</v>
      </c>
      <c r="M19" s="258" t="s">
        <v>1453</v>
      </c>
      <c r="N19" s="258" t="s">
        <v>809</v>
      </c>
      <c r="O19" s="258" t="s">
        <v>1505</v>
      </c>
      <c r="P19" s="258"/>
      <c r="Q19" s="258" t="s">
        <v>1234</v>
      </c>
      <c r="R19" s="258"/>
      <c r="S19" s="258"/>
      <c r="T19" s="240" t="s">
        <v>1410</v>
      </c>
      <c r="U19" s="240" t="s">
        <v>1410</v>
      </c>
      <c r="V19" s="258"/>
      <c r="W19" s="379" t="s">
        <v>2694</v>
      </c>
      <c r="X19" s="379" t="s">
        <v>2654</v>
      </c>
      <c r="Y19" s="258"/>
      <c r="Z19" s="258"/>
    </row>
    <row r="20" spans="1:26" ht="54.75" customHeight="1">
      <c r="A20" s="258"/>
      <c r="B20" s="332">
        <f>SUM(B2:B19)</f>
        <v>7617916</v>
      </c>
      <c r="C20" s="258"/>
      <c r="D20" s="295"/>
      <c r="E20" s="258"/>
      <c r="F20" s="258"/>
      <c r="G20" s="258"/>
      <c r="H20" s="258"/>
      <c r="I20" s="258"/>
      <c r="J20" s="261"/>
      <c r="K20" s="258"/>
      <c r="L20" s="304"/>
      <c r="M20" s="258"/>
      <c r="N20" s="258"/>
      <c r="O20" s="258"/>
      <c r="P20" s="258"/>
      <c r="Q20" s="258"/>
      <c r="R20" s="258"/>
      <c r="S20" s="258"/>
      <c r="T20" s="258"/>
      <c r="U20" s="258"/>
      <c r="V20" s="258"/>
      <c r="W20" s="264"/>
      <c r="X20" s="264"/>
      <c r="Y20" s="258"/>
      <c r="Z20" s="258"/>
    </row>
    <row r="21" spans="1:26" ht="54.75" customHeight="1">
      <c r="A21" s="258"/>
      <c r="B21" s="257"/>
      <c r="C21" s="258"/>
      <c r="D21" s="295"/>
      <c r="E21" s="258"/>
      <c r="F21" s="258"/>
      <c r="G21" s="258"/>
      <c r="H21" s="258"/>
      <c r="I21" s="258"/>
      <c r="J21" s="261"/>
      <c r="K21" s="258"/>
      <c r="L21" s="304"/>
      <c r="M21" s="258"/>
      <c r="N21" s="258"/>
      <c r="O21" s="258"/>
      <c r="P21" s="258"/>
      <c r="Q21" s="258"/>
      <c r="R21" s="258"/>
      <c r="S21" s="258"/>
      <c r="T21" s="258"/>
      <c r="U21" s="258"/>
      <c r="V21" s="258"/>
      <c r="W21" s="264"/>
      <c r="X21" s="264"/>
      <c r="Y21" s="258"/>
      <c r="Z21" s="258"/>
    </row>
    <row r="22" spans="1:26" ht="54.75" customHeight="1">
      <c r="A22" s="258"/>
      <c r="B22" s="257"/>
      <c r="C22" s="258"/>
      <c r="D22" s="295"/>
      <c r="E22" s="258"/>
      <c r="F22" s="258"/>
      <c r="G22" s="258"/>
      <c r="H22" s="258"/>
      <c r="I22" s="258"/>
      <c r="J22" s="261"/>
      <c r="K22" s="258"/>
      <c r="L22" s="304"/>
      <c r="M22" s="258"/>
      <c r="N22" s="258"/>
      <c r="O22" s="258"/>
      <c r="P22" s="258"/>
      <c r="Q22" s="258"/>
      <c r="R22" s="258"/>
      <c r="S22" s="258"/>
      <c r="T22" s="258"/>
      <c r="U22" s="258"/>
      <c r="V22" s="258"/>
      <c r="W22" s="264"/>
      <c r="X22" s="264"/>
      <c r="Y22" s="258"/>
      <c r="Z22" s="258"/>
    </row>
    <row r="23" spans="1:26" ht="54.75" customHeight="1">
      <c r="A23" s="258"/>
      <c r="B23" s="257"/>
      <c r="C23" s="258"/>
      <c r="D23" s="295"/>
      <c r="E23" s="258"/>
      <c r="F23" s="258"/>
      <c r="G23" s="258"/>
      <c r="H23" s="258"/>
      <c r="I23" s="258"/>
      <c r="J23" s="261"/>
      <c r="K23" s="258"/>
      <c r="L23" s="304"/>
      <c r="M23" s="258"/>
      <c r="N23" s="258"/>
      <c r="O23" s="258"/>
      <c r="P23" s="258"/>
      <c r="Q23" s="258"/>
      <c r="R23" s="258"/>
      <c r="S23" s="258"/>
      <c r="T23" s="258"/>
      <c r="U23" s="258"/>
      <c r="V23" s="258"/>
      <c r="W23" s="264"/>
      <c r="X23" s="264"/>
      <c r="Y23" s="258"/>
      <c r="Z23" s="258"/>
    </row>
    <row r="24" spans="1:26" ht="54.75" customHeight="1">
      <c r="A24" s="258"/>
      <c r="B24" s="257"/>
      <c r="C24" s="258"/>
      <c r="D24" s="295"/>
      <c r="E24" s="258"/>
      <c r="F24" s="258"/>
      <c r="G24" s="258"/>
      <c r="H24" s="258"/>
      <c r="I24" s="258"/>
      <c r="J24" s="261"/>
      <c r="K24" s="258"/>
      <c r="L24" s="304"/>
      <c r="M24" s="258"/>
      <c r="N24" s="258"/>
      <c r="O24" s="258"/>
      <c r="P24" s="258"/>
      <c r="Q24" s="258"/>
      <c r="R24" s="258"/>
      <c r="S24" s="258"/>
      <c r="T24" s="258"/>
      <c r="U24" s="258"/>
      <c r="V24" s="258"/>
      <c r="W24" s="264"/>
      <c r="X24" s="264"/>
      <c r="Y24" s="258"/>
      <c r="Z24" s="258"/>
    </row>
    <row r="25" spans="1:26" ht="54.75" customHeight="1">
      <c r="A25" s="258"/>
      <c r="B25" s="257"/>
      <c r="C25" s="258"/>
      <c r="D25" s="295"/>
      <c r="E25" s="258"/>
      <c r="F25" s="258"/>
      <c r="G25" s="258"/>
      <c r="H25" s="258"/>
      <c r="I25" s="258"/>
      <c r="J25" s="261"/>
      <c r="K25" s="258"/>
      <c r="L25" s="304"/>
      <c r="M25" s="258"/>
      <c r="N25" s="258"/>
      <c r="O25" s="258"/>
      <c r="P25" s="258"/>
      <c r="Q25" s="258"/>
      <c r="R25" s="258"/>
      <c r="S25" s="258"/>
      <c r="T25" s="258"/>
      <c r="U25" s="258"/>
      <c r="V25" s="258"/>
      <c r="W25" s="264"/>
      <c r="X25" s="264"/>
      <c r="Y25" s="258"/>
      <c r="Z25" s="258"/>
    </row>
    <row r="26" spans="1:26" ht="54.75" customHeight="1">
      <c r="A26" s="258"/>
      <c r="B26" s="257"/>
      <c r="C26" s="258"/>
      <c r="D26" s="295"/>
      <c r="E26" s="258"/>
      <c r="F26" s="258"/>
      <c r="G26" s="258"/>
      <c r="H26" s="258"/>
      <c r="I26" s="258"/>
      <c r="J26" s="261"/>
      <c r="K26" s="258"/>
      <c r="L26" s="304"/>
      <c r="M26" s="258"/>
      <c r="N26" s="258"/>
      <c r="O26" s="258"/>
      <c r="P26" s="258"/>
      <c r="Q26" s="258"/>
      <c r="R26" s="258"/>
      <c r="S26" s="258"/>
      <c r="T26" s="258"/>
      <c r="U26" s="258"/>
      <c r="V26" s="258"/>
      <c r="W26" s="264"/>
      <c r="X26" s="264"/>
      <c r="Y26" s="258"/>
      <c r="Z26" s="258"/>
    </row>
    <row r="27" spans="1:26" ht="54.75" customHeight="1">
      <c r="A27" s="258"/>
      <c r="B27" s="257"/>
      <c r="C27" s="258"/>
      <c r="D27" s="295"/>
      <c r="E27" s="258"/>
      <c r="F27" s="258"/>
      <c r="G27" s="258"/>
      <c r="H27" s="258"/>
      <c r="I27" s="258"/>
      <c r="J27" s="261"/>
      <c r="K27" s="258"/>
      <c r="L27" s="304"/>
      <c r="M27" s="258"/>
      <c r="N27" s="258"/>
      <c r="O27" s="258"/>
      <c r="P27" s="258"/>
      <c r="Q27" s="258"/>
      <c r="R27" s="258"/>
      <c r="S27" s="258"/>
      <c r="T27" s="258"/>
      <c r="U27" s="258"/>
      <c r="V27" s="258"/>
      <c r="W27" s="264"/>
      <c r="X27" s="264"/>
      <c r="Y27" s="258"/>
      <c r="Z27" s="258"/>
    </row>
    <row r="28" spans="1:26" ht="12.5">
      <c r="D28" s="333"/>
      <c r="J28" s="334"/>
      <c r="L28" s="335"/>
    </row>
    <row r="29" spans="1:26" ht="12.5">
      <c r="D29" s="333"/>
      <c r="J29" s="334"/>
      <c r="L29" s="335"/>
    </row>
    <row r="30" spans="1:26" ht="12.5">
      <c r="D30" s="333"/>
      <c r="J30" s="334"/>
      <c r="L30" s="335"/>
    </row>
    <row r="31" spans="1:26" ht="12.5">
      <c r="D31" s="333"/>
      <c r="J31" s="334"/>
      <c r="L31" s="335"/>
    </row>
    <row r="32" spans="1:26" ht="12.5">
      <c r="D32" s="333"/>
      <c r="J32" s="334"/>
      <c r="L32" s="335"/>
    </row>
    <row r="33" spans="4:12" ht="12.5">
      <c r="D33" s="333"/>
      <c r="J33" s="334"/>
      <c r="L33" s="335"/>
    </row>
    <row r="34" spans="4:12" ht="12.5">
      <c r="D34" s="333"/>
      <c r="J34" s="334"/>
      <c r="L34" s="335"/>
    </row>
    <row r="35" spans="4:12" ht="12.5">
      <c r="D35" s="333"/>
      <c r="J35" s="334"/>
      <c r="L35" s="335"/>
    </row>
    <row r="36" spans="4:12" ht="12.5">
      <c r="D36" s="333"/>
      <c r="J36" s="334"/>
      <c r="L36" s="335"/>
    </row>
    <row r="37" spans="4:12" ht="12.5">
      <c r="D37" s="333"/>
      <c r="J37" s="334"/>
      <c r="L37" s="335"/>
    </row>
    <row r="38" spans="4:12" ht="12.5">
      <c r="D38" s="333"/>
      <c r="J38" s="334"/>
      <c r="L38" s="335"/>
    </row>
    <row r="39" spans="4:12" ht="12.5">
      <c r="D39" s="333"/>
      <c r="J39" s="334"/>
      <c r="L39" s="335"/>
    </row>
    <row r="40" spans="4:12" ht="12.5">
      <c r="D40" s="333"/>
      <c r="J40" s="334"/>
      <c r="L40" s="335"/>
    </row>
    <row r="41" spans="4:12" ht="12.5">
      <c r="D41" s="333"/>
      <c r="J41" s="334"/>
      <c r="L41" s="335"/>
    </row>
    <row r="42" spans="4:12" ht="12.5">
      <c r="D42" s="333"/>
      <c r="J42" s="334"/>
      <c r="L42" s="335"/>
    </row>
    <row r="43" spans="4:12" ht="12.5">
      <c r="D43" s="333"/>
      <c r="J43" s="334"/>
      <c r="L43" s="335"/>
    </row>
    <row r="44" spans="4:12" ht="12.5">
      <c r="D44" s="333"/>
      <c r="J44" s="334"/>
      <c r="L44" s="335"/>
    </row>
    <row r="45" spans="4:12" ht="12.5">
      <c r="D45" s="333"/>
      <c r="J45" s="334"/>
      <c r="L45" s="335"/>
    </row>
    <row r="46" spans="4:12" ht="12.5">
      <c r="D46" s="333"/>
      <c r="J46" s="334"/>
      <c r="L46" s="335"/>
    </row>
    <row r="47" spans="4:12" ht="12.5">
      <c r="D47" s="333"/>
      <c r="J47" s="334"/>
      <c r="L47" s="335"/>
    </row>
    <row r="48" spans="4:12" ht="12.5">
      <c r="D48" s="333"/>
      <c r="J48" s="334"/>
      <c r="L48" s="335"/>
    </row>
    <row r="49" spans="4:12" ht="12.5">
      <c r="D49" s="333"/>
      <c r="J49" s="334"/>
      <c r="L49" s="335"/>
    </row>
    <row r="50" spans="4:12" ht="12.5">
      <c r="D50" s="333"/>
      <c r="J50" s="334"/>
      <c r="L50" s="335"/>
    </row>
    <row r="51" spans="4:12" ht="12.5">
      <c r="D51" s="333"/>
      <c r="J51" s="334"/>
      <c r="L51" s="335"/>
    </row>
    <row r="52" spans="4:12" ht="12.5">
      <c r="D52" s="333"/>
      <c r="J52" s="334"/>
      <c r="L52" s="335"/>
    </row>
    <row r="53" spans="4:12" ht="12.5">
      <c r="D53" s="333"/>
      <c r="J53" s="334"/>
      <c r="L53" s="335"/>
    </row>
    <row r="54" spans="4:12" ht="12.5">
      <c r="D54" s="333"/>
      <c r="J54" s="334"/>
      <c r="L54" s="335"/>
    </row>
    <row r="55" spans="4:12" ht="12.5">
      <c r="D55" s="333"/>
      <c r="J55" s="334"/>
      <c r="L55" s="335"/>
    </row>
    <row r="56" spans="4:12" ht="12.5">
      <c r="D56" s="333"/>
      <c r="J56" s="334"/>
      <c r="L56" s="335"/>
    </row>
    <row r="57" spans="4:12" ht="12.5">
      <c r="D57" s="333"/>
      <c r="J57" s="334"/>
      <c r="L57" s="335"/>
    </row>
    <row r="58" spans="4:12" ht="12.5">
      <c r="D58" s="333"/>
      <c r="J58" s="334"/>
      <c r="L58" s="335"/>
    </row>
    <row r="59" spans="4:12" ht="12.5">
      <c r="D59" s="333"/>
      <c r="J59" s="334"/>
      <c r="L59" s="335"/>
    </row>
    <row r="60" spans="4:12" ht="12.5">
      <c r="D60" s="333"/>
      <c r="J60" s="334"/>
      <c r="L60" s="335"/>
    </row>
    <row r="61" spans="4:12" ht="12.5">
      <c r="D61" s="333"/>
      <c r="J61" s="334"/>
      <c r="L61" s="335"/>
    </row>
    <row r="62" spans="4:12" ht="12.5">
      <c r="D62" s="333"/>
      <c r="J62" s="334"/>
      <c r="L62" s="335"/>
    </row>
    <row r="63" spans="4:12" ht="12.5">
      <c r="D63" s="333"/>
      <c r="J63" s="334"/>
      <c r="L63" s="335"/>
    </row>
    <row r="64" spans="4:12" ht="12.5">
      <c r="D64" s="333"/>
      <c r="J64" s="334"/>
      <c r="L64" s="335"/>
    </row>
    <row r="65" spans="4:12" ht="12.5">
      <c r="D65" s="333"/>
      <c r="J65" s="334"/>
      <c r="L65" s="335"/>
    </row>
    <row r="66" spans="4:12" ht="12.5">
      <c r="D66" s="333"/>
      <c r="J66" s="334"/>
      <c r="L66" s="335"/>
    </row>
    <row r="67" spans="4:12" ht="12.5">
      <c r="D67" s="333"/>
      <c r="J67" s="334"/>
      <c r="L67" s="335"/>
    </row>
    <row r="68" spans="4:12" ht="12.5">
      <c r="D68" s="333"/>
      <c r="J68" s="334"/>
      <c r="L68" s="335"/>
    </row>
    <row r="69" spans="4:12" ht="12.5">
      <c r="D69" s="333"/>
      <c r="J69" s="334"/>
      <c r="L69" s="335"/>
    </row>
    <row r="70" spans="4:12" ht="12.5">
      <c r="D70" s="333"/>
      <c r="J70" s="334"/>
      <c r="L70" s="335"/>
    </row>
    <row r="71" spans="4:12" ht="12.5">
      <c r="D71" s="333"/>
      <c r="J71" s="334"/>
      <c r="L71" s="335"/>
    </row>
    <row r="72" spans="4:12" ht="12.5">
      <c r="D72" s="333"/>
      <c r="J72" s="334"/>
      <c r="L72" s="335"/>
    </row>
    <row r="73" spans="4:12" ht="12.5">
      <c r="D73" s="333"/>
      <c r="J73" s="334"/>
      <c r="L73" s="335"/>
    </row>
    <row r="74" spans="4:12" ht="12.5">
      <c r="D74" s="333"/>
      <c r="J74" s="334"/>
      <c r="L74" s="335"/>
    </row>
    <row r="75" spans="4:12" ht="12.5">
      <c r="D75" s="333"/>
      <c r="J75" s="334"/>
      <c r="L75" s="335"/>
    </row>
    <row r="76" spans="4:12" ht="12.5">
      <c r="D76" s="333"/>
      <c r="J76" s="334"/>
      <c r="L76" s="335"/>
    </row>
    <row r="77" spans="4:12" ht="12.5">
      <c r="D77" s="333"/>
      <c r="J77" s="334"/>
      <c r="L77" s="335"/>
    </row>
    <row r="78" spans="4:12" ht="12.5">
      <c r="D78" s="333"/>
      <c r="J78" s="334"/>
      <c r="L78" s="335"/>
    </row>
    <row r="79" spans="4:12" ht="12.5">
      <c r="D79" s="333"/>
      <c r="J79" s="334"/>
      <c r="L79" s="335"/>
    </row>
    <row r="80" spans="4:12" ht="12.5">
      <c r="D80" s="333"/>
      <c r="J80" s="334"/>
      <c r="L80" s="335"/>
    </row>
    <row r="81" spans="4:12" ht="12.5">
      <c r="D81" s="333"/>
      <c r="J81" s="334"/>
      <c r="L81" s="335"/>
    </row>
    <row r="82" spans="4:12" ht="12.5">
      <c r="D82" s="333"/>
      <c r="J82" s="334"/>
      <c r="L82" s="335"/>
    </row>
    <row r="83" spans="4:12" ht="12.5">
      <c r="D83" s="333"/>
      <c r="J83" s="334"/>
      <c r="L83" s="335"/>
    </row>
    <row r="84" spans="4:12" ht="12.5">
      <c r="D84" s="333"/>
      <c r="J84" s="334"/>
      <c r="L84" s="335"/>
    </row>
    <row r="85" spans="4:12" ht="12.5">
      <c r="D85" s="333"/>
      <c r="J85" s="334"/>
      <c r="L85" s="335"/>
    </row>
    <row r="86" spans="4:12" ht="12.5">
      <c r="D86" s="333"/>
      <c r="J86" s="334"/>
      <c r="L86" s="335"/>
    </row>
    <row r="87" spans="4:12" ht="12.5">
      <c r="D87" s="333"/>
      <c r="J87" s="334"/>
      <c r="L87" s="335"/>
    </row>
    <row r="88" spans="4:12" ht="12.5">
      <c r="D88" s="333"/>
      <c r="J88" s="334"/>
      <c r="L88" s="335"/>
    </row>
    <row r="89" spans="4:12" ht="12.5">
      <c r="D89" s="333"/>
      <c r="J89" s="334"/>
      <c r="L89" s="335"/>
    </row>
    <row r="90" spans="4:12" ht="12.5">
      <c r="D90" s="333"/>
      <c r="J90" s="334"/>
      <c r="L90" s="335"/>
    </row>
    <row r="91" spans="4:12" ht="12.5">
      <c r="D91" s="333"/>
      <c r="J91" s="334"/>
      <c r="L91" s="335"/>
    </row>
    <row r="92" spans="4:12" ht="12.5">
      <c r="D92" s="333"/>
      <c r="J92" s="334"/>
      <c r="L92" s="335"/>
    </row>
    <row r="93" spans="4:12" ht="12.5">
      <c r="D93" s="333"/>
      <c r="J93" s="334"/>
      <c r="L93" s="335"/>
    </row>
    <row r="94" spans="4:12" ht="12.5">
      <c r="D94" s="333"/>
      <c r="J94" s="334"/>
      <c r="L94" s="335"/>
    </row>
    <row r="95" spans="4:12" ht="12.5">
      <c r="D95" s="333"/>
      <c r="J95" s="334"/>
      <c r="L95" s="335"/>
    </row>
    <row r="96" spans="4:12" ht="12.5">
      <c r="D96" s="333"/>
      <c r="J96" s="334"/>
      <c r="L96" s="335"/>
    </row>
    <row r="97" spans="4:12" ht="12.5">
      <c r="D97" s="333"/>
      <c r="J97" s="334"/>
      <c r="L97" s="335"/>
    </row>
    <row r="98" spans="4:12" ht="12.5">
      <c r="D98" s="333"/>
      <c r="J98" s="334"/>
      <c r="L98" s="335"/>
    </row>
    <row r="99" spans="4:12" ht="12.5">
      <c r="D99" s="333"/>
      <c r="J99" s="334"/>
      <c r="L99" s="335"/>
    </row>
    <row r="100" spans="4:12" ht="12.5">
      <c r="D100" s="333"/>
      <c r="J100" s="334"/>
      <c r="L100" s="335"/>
    </row>
    <row r="101" spans="4:12" ht="12.5">
      <c r="D101" s="333"/>
      <c r="J101" s="334"/>
      <c r="L101" s="335"/>
    </row>
    <row r="102" spans="4:12" ht="12.5">
      <c r="D102" s="333"/>
      <c r="J102" s="334"/>
      <c r="L102" s="335"/>
    </row>
    <row r="103" spans="4:12" ht="12.5">
      <c r="D103" s="333"/>
      <c r="J103" s="334"/>
      <c r="L103" s="335"/>
    </row>
    <row r="104" spans="4:12" ht="12.5">
      <c r="D104" s="333"/>
      <c r="J104" s="334"/>
      <c r="L104" s="335"/>
    </row>
    <row r="105" spans="4:12" ht="12.5">
      <c r="D105" s="333"/>
      <c r="J105" s="334"/>
      <c r="L105" s="335"/>
    </row>
    <row r="106" spans="4:12" ht="12.5">
      <c r="D106" s="333"/>
      <c r="J106" s="334"/>
      <c r="L106" s="335"/>
    </row>
    <row r="107" spans="4:12" ht="12.5">
      <c r="D107" s="333"/>
      <c r="J107" s="334"/>
      <c r="L107" s="335"/>
    </row>
    <row r="108" spans="4:12" ht="12.5">
      <c r="D108" s="333"/>
      <c r="J108" s="334"/>
      <c r="L108" s="335"/>
    </row>
    <row r="109" spans="4:12" ht="12.5">
      <c r="D109" s="333"/>
      <c r="J109" s="334"/>
      <c r="L109" s="335"/>
    </row>
    <row r="110" spans="4:12" ht="12.5">
      <c r="D110" s="333"/>
      <c r="J110" s="334"/>
      <c r="L110" s="335"/>
    </row>
    <row r="111" spans="4:12" ht="12.5">
      <c r="D111" s="333"/>
      <c r="J111" s="334"/>
      <c r="L111" s="335"/>
    </row>
    <row r="112" spans="4:12" ht="12.5">
      <c r="D112" s="333"/>
      <c r="J112" s="334"/>
      <c r="L112" s="335"/>
    </row>
    <row r="113" spans="4:12" ht="12.5">
      <c r="D113" s="333"/>
      <c r="J113" s="334"/>
      <c r="L113" s="335"/>
    </row>
    <row r="114" spans="4:12" ht="12.5">
      <c r="D114" s="333"/>
      <c r="J114" s="334"/>
      <c r="L114" s="335"/>
    </row>
    <row r="115" spans="4:12" ht="12.5">
      <c r="D115" s="333"/>
      <c r="J115" s="334"/>
      <c r="L115" s="335"/>
    </row>
    <row r="116" spans="4:12" ht="12.5">
      <c r="D116" s="333"/>
      <c r="J116" s="334"/>
      <c r="L116" s="335"/>
    </row>
    <row r="117" spans="4:12" ht="12.5">
      <c r="D117" s="333"/>
      <c r="J117" s="334"/>
      <c r="L117" s="335"/>
    </row>
    <row r="118" spans="4:12" ht="12.5">
      <c r="D118" s="333"/>
      <c r="J118" s="334"/>
      <c r="L118" s="335"/>
    </row>
    <row r="119" spans="4:12" ht="12.5">
      <c r="D119" s="333"/>
      <c r="J119" s="334"/>
      <c r="L119" s="335"/>
    </row>
    <row r="120" spans="4:12" ht="12.5">
      <c r="D120" s="333"/>
      <c r="J120" s="334"/>
      <c r="L120" s="335"/>
    </row>
    <row r="121" spans="4:12" ht="12.5">
      <c r="D121" s="333"/>
      <c r="J121" s="334"/>
      <c r="L121" s="335"/>
    </row>
    <row r="122" spans="4:12" ht="12.5">
      <c r="D122" s="333"/>
      <c r="J122" s="334"/>
      <c r="L122" s="335"/>
    </row>
    <row r="123" spans="4:12" ht="12.5">
      <c r="D123" s="333"/>
      <c r="J123" s="334"/>
      <c r="L123" s="335"/>
    </row>
    <row r="124" spans="4:12" ht="12.5">
      <c r="D124" s="333"/>
      <c r="J124" s="334"/>
      <c r="L124" s="335"/>
    </row>
    <row r="125" spans="4:12" ht="12.5">
      <c r="D125" s="333"/>
      <c r="J125" s="334"/>
      <c r="L125" s="335"/>
    </row>
    <row r="126" spans="4:12" ht="12.5">
      <c r="D126" s="333"/>
      <c r="J126" s="334"/>
      <c r="L126" s="335"/>
    </row>
    <row r="127" spans="4:12" ht="12.5">
      <c r="D127" s="333"/>
      <c r="J127" s="334"/>
      <c r="L127" s="335"/>
    </row>
    <row r="128" spans="4:12" ht="12.5">
      <c r="D128" s="333"/>
      <c r="J128" s="334"/>
      <c r="L128" s="335"/>
    </row>
    <row r="129" spans="4:12" ht="12.5">
      <c r="D129" s="333"/>
      <c r="J129" s="334"/>
      <c r="L129" s="335"/>
    </row>
    <row r="130" spans="4:12" ht="12.5">
      <c r="D130" s="333"/>
      <c r="J130" s="334"/>
      <c r="L130" s="335"/>
    </row>
    <row r="131" spans="4:12" ht="12.5">
      <c r="D131" s="333"/>
      <c r="J131" s="334"/>
      <c r="L131" s="335"/>
    </row>
    <row r="132" spans="4:12" ht="12.5">
      <c r="D132" s="333"/>
      <c r="J132" s="334"/>
      <c r="L132" s="335"/>
    </row>
    <row r="133" spans="4:12" ht="12.5">
      <c r="D133" s="333"/>
      <c r="J133" s="334"/>
      <c r="L133" s="335"/>
    </row>
    <row r="134" spans="4:12" ht="12.5">
      <c r="D134" s="333"/>
      <c r="J134" s="334"/>
      <c r="L134" s="335"/>
    </row>
    <row r="135" spans="4:12" ht="12.5">
      <c r="D135" s="333"/>
      <c r="J135" s="334"/>
      <c r="L135" s="335"/>
    </row>
    <row r="136" spans="4:12" ht="12.5">
      <c r="D136" s="333"/>
      <c r="J136" s="334"/>
      <c r="L136" s="335"/>
    </row>
    <row r="137" spans="4:12" ht="12.5">
      <c r="D137" s="333"/>
      <c r="J137" s="334"/>
      <c r="L137" s="335"/>
    </row>
    <row r="138" spans="4:12" ht="12.5">
      <c r="D138" s="333"/>
      <c r="J138" s="334"/>
      <c r="L138" s="335"/>
    </row>
    <row r="139" spans="4:12" ht="12.5">
      <c r="D139" s="333"/>
      <c r="J139" s="334"/>
      <c r="L139" s="335"/>
    </row>
    <row r="140" spans="4:12" ht="12.5">
      <c r="D140" s="333"/>
      <c r="J140" s="334"/>
      <c r="L140" s="335"/>
    </row>
    <row r="141" spans="4:12" ht="12.5">
      <c r="D141" s="333"/>
      <c r="J141" s="334"/>
      <c r="L141" s="335"/>
    </row>
    <row r="142" spans="4:12" ht="12.5">
      <c r="D142" s="333"/>
      <c r="J142" s="334"/>
      <c r="L142" s="335"/>
    </row>
    <row r="143" spans="4:12" ht="12.5">
      <c r="D143" s="333"/>
      <c r="J143" s="334"/>
      <c r="L143" s="335"/>
    </row>
    <row r="144" spans="4:12" ht="12.5">
      <c r="D144" s="333"/>
      <c r="J144" s="334"/>
      <c r="L144" s="335"/>
    </row>
    <row r="145" spans="4:12" ht="12.5">
      <c r="D145" s="333"/>
      <c r="J145" s="334"/>
      <c r="L145" s="335"/>
    </row>
    <row r="146" spans="4:12" ht="12.5">
      <c r="D146" s="333"/>
      <c r="J146" s="334"/>
      <c r="L146" s="335"/>
    </row>
    <row r="147" spans="4:12" ht="12.5">
      <c r="D147" s="333"/>
      <c r="J147" s="334"/>
      <c r="L147" s="335"/>
    </row>
    <row r="148" spans="4:12" ht="12.5">
      <c r="D148" s="333"/>
      <c r="J148" s="334"/>
      <c r="L148" s="335"/>
    </row>
    <row r="149" spans="4:12" ht="12.5">
      <c r="D149" s="333"/>
      <c r="J149" s="334"/>
      <c r="L149" s="335"/>
    </row>
    <row r="150" spans="4:12" ht="12.5">
      <c r="D150" s="333"/>
      <c r="J150" s="334"/>
      <c r="L150" s="335"/>
    </row>
    <row r="151" spans="4:12" ht="12.5">
      <c r="D151" s="333"/>
      <c r="J151" s="334"/>
      <c r="L151" s="335"/>
    </row>
    <row r="152" spans="4:12" ht="12.5">
      <c r="D152" s="333"/>
      <c r="J152" s="334"/>
      <c r="L152" s="335"/>
    </row>
    <row r="153" spans="4:12" ht="12.5">
      <c r="D153" s="333"/>
      <c r="J153" s="334"/>
      <c r="L153" s="335"/>
    </row>
    <row r="154" spans="4:12" ht="12.5">
      <c r="D154" s="333"/>
      <c r="J154" s="334"/>
      <c r="L154" s="335"/>
    </row>
    <row r="155" spans="4:12" ht="12.5">
      <c r="D155" s="333"/>
      <c r="J155" s="334"/>
      <c r="L155" s="335"/>
    </row>
    <row r="156" spans="4:12" ht="12.5">
      <c r="D156" s="333"/>
      <c r="J156" s="334"/>
      <c r="L156" s="335"/>
    </row>
    <row r="157" spans="4:12" ht="12.5">
      <c r="D157" s="333"/>
      <c r="J157" s="334"/>
      <c r="L157" s="335"/>
    </row>
    <row r="158" spans="4:12" ht="12.5">
      <c r="D158" s="333"/>
      <c r="J158" s="334"/>
      <c r="L158" s="335"/>
    </row>
    <row r="159" spans="4:12" ht="12.5">
      <c r="D159" s="333"/>
      <c r="J159" s="334"/>
      <c r="L159" s="335"/>
    </row>
    <row r="160" spans="4:12" ht="12.5">
      <c r="D160" s="333"/>
      <c r="J160" s="334"/>
      <c r="L160" s="335"/>
    </row>
    <row r="161" spans="4:12" ht="12.5">
      <c r="D161" s="333"/>
      <c r="J161" s="334"/>
      <c r="L161" s="335"/>
    </row>
    <row r="162" spans="4:12" ht="12.5">
      <c r="D162" s="333"/>
      <c r="J162" s="334"/>
      <c r="L162" s="335"/>
    </row>
    <row r="163" spans="4:12" ht="12.5">
      <c r="D163" s="333"/>
      <c r="J163" s="334"/>
      <c r="L163" s="335"/>
    </row>
    <row r="164" spans="4:12" ht="12.5">
      <c r="D164" s="333"/>
      <c r="J164" s="334"/>
      <c r="L164" s="335"/>
    </row>
    <row r="165" spans="4:12" ht="12.5">
      <c r="D165" s="333"/>
      <c r="J165" s="334"/>
      <c r="L165" s="335"/>
    </row>
    <row r="166" spans="4:12" ht="12.5">
      <c r="D166" s="333"/>
      <c r="J166" s="334"/>
      <c r="L166" s="335"/>
    </row>
    <row r="167" spans="4:12" ht="12.5">
      <c r="D167" s="333"/>
      <c r="J167" s="334"/>
      <c r="L167" s="335"/>
    </row>
    <row r="168" spans="4:12" ht="12.5">
      <c r="D168" s="333"/>
      <c r="J168" s="334"/>
      <c r="L168" s="335"/>
    </row>
    <row r="169" spans="4:12" ht="12.5">
      <c r="D169" s="333"/>
      <c r="J169" s="334"/>
      <c r="L169" s="335"/>
    </row>
    <row r="170" spans="4:12" ht="12.5">
      <c r="D170" s="333"/>
      <c r="J170" s="334"/>
      <c r="L170" s="335"/>
    </row>
    <row r="171" spans="4:12" ht="12.5">
      <c r="D171" s="333"/>
      <c r="J171" s="334"/>
      <c r="L171" s="335"/>
    </row>
    <row r="172" spans="4:12" ht="12.5">
      <c r="D172" s="333"/>
      <c r="J172" s="334"/>
      <c r="L172" s="335"/>
    </row>
    <row r="173" spans="4:12" ht="12.5">
      <c r="D173" s="333"/>
      <c r="J173" s="334"/>
      <c r="L173" s="335"/>
    </row>
    <row r="174" spans="4:12" ht="12.5">
      <c r="D174" s="333"/>
      <c r="J174" s="334"/>
      <c r="L174" s="335"/>
    </row>
    <row r="175" spans="4:12" ht="12.5">
      <c r="D175" s="333"/>
      <c r="J175" s="334"/>
      <c r="L175" s="335"/>
    </row>
    <row r="176" spans="4:12" ht="12.5">
      <c r="D176" s="333"/>
      <c r="J176" s="334"/>
      <c r="L176" s="335"/>
    </row>
    <row r="177" spans="4:12" ht="12.5">
      <c r="D177" s="333"/>
      <c r="J177" s="334"/>
      <c r="L177" s="335"/>
    </row>
    <row r="178" spans="4:12" ht="12.5">
      <c r="D178" s="333"/>
      <c r="J178" s="334"/>
      <c r="L178" s="335"/>
    </row>
    <row r="179" spans="4:12" ht="12.5">
      <c r="D179" s="333"/>
      <c r="J179" s="334"/>
      <c r="L179" s="335"/>
    </row>
    <row r="180" spans="4:12" ht="12.5">
      <c r="D180" s="333"/>
      <c r="J180" s="334"/>
      <c r="L180" s="335"/>
    </row>
    <row r="181" spans="4:12" ht="12.5">
      <c r="D181" s="333"/>
      <c r="J181" s="334"/>
      <c r="L181" s="335"/>
    </row>
    <row r="182" spans="4:12" ht="12.5">
      <c r="D182" s="333"/>
      <c r="J182" s="334"/>
      <c r="L182" s="335"/>
    </row>
    <row r="183" spans="4:12" ht="12.5">
      <c r="D183" s="333"/>
      <c r="J183" s="334"/>
      <c r="L183" s="335"/>
    </row>
    <row r="184" spans="4:12" ht="12.5">
      <c r="D184" s="333"/>
      <c r="J184" s="334"/>
      <c r="L184" s="335"/>
    </row>
    <row r="185" spans="4:12" ht="12.5">
      <c r="D185" s="333"/>
      <c r="J185" s="334"/>
      <c r="L185" s="335"/>
    </row>
    <row r="186" spans="4:12" ht="12.5">
      <c r="D186" s="333"/>
      <c r="J186" s="334"/>
      <c r="L186" s="335"/>
    </row>
    <row r="187" spans="4:12" ht="12.5">
      <c r="D187" s="333"/>
      <c r="J187" s="334"/>
      <c r="L187" s="335"/>
    </row>
    <row r="188" spans="4:12" ht="12.5">
      <c r="D188" s="333"/>
      <c r="J188" s="334"/>
      <c r="L188" s="335"/>
    </row>
    <row r="189" spans="4:12" ht="12.5">
      <c r="D189" s="333"/>
      <c r="J189" s="334"/>
      <c r="L189" s="335"/>
    </row>
    <row r="190" spans="4:12" ht="12.5">
      <c r="D190" s="333"/>
      <c r="J190" s="334"/>
      <c r="L190" s="335"/>
    </row>
    <row r="191" spans="4:12" ht="12.5">
      <c r="D191" s="333"/>
      <c r="J191" s="334"/>
      <c r="L191" s="335"/>
    </row>
    <row r="192" spans="4:12" ht="12.5">
      <c r="D192" s="333"/>
      <c r="J192" s="334"/>
      <c r="L192" s="335"/>
    </row>
    <row r="193" spans="4:12" ht="12.5">
      <c r="D193" s="333"/>
      <c r="J193" s="334"/>
      <c r="L193" s="335"/>
    </row>
    <row r="194" spans="4:12" ht="12.5">
      <c r="D194" s="333"/>
      <c r="J194" s="334"/>
      <c r="L194" s="335"/>
    </row>
    <row r="195" spans="4:12" ht="12.5">
      <c r="D195" s="333"/>
      <c r="J195" s="334"/>
      <c r="L195" s="335"/>
    </row>
    <row r="196" spans="4:12" ht="12.5">
      <c r="D196" s="333"/>
      <c r="J196" s="334"/>
      <c r="L196" s="335"/>
    </row>
    <row r="197" spans="4:12" ht="12.5">
      <c r="D197" s="333"/>
      <c r="J197" s="334"/>
      <c r="L197" s="335"/>
    </row>
    <row r="198" spans="4:12" ht="12.5">
      <c r="D198" s="333"/>
      <c r="J198" s="334"/>
      <c r="L198" s="335"/>
    </row>
    <row r="199" spans="4:12" ht="12.5">
      <c r="D199" s="333"/>
      <c r="J199" s="334"/>
      <c r="L199" s="335"/>
    </row>
    <row r="200" spans="4:12" ht="12.5">
      <c r="D200" s="333"/>
      <c r="J200" s="334"/>
      <c r="L200" s="335"/>
    </row>
    <row r="201" spans="4:12" ht="12.5">
      <c r="D201" s="333"/>
      <c r="J201" s="334"/>
      <c r="L201" s="335"/>
    </row>
    <row r="202" spans="4:12" ht="12.5">
      <c r="D202" s="333"/>
      <c r="J202" s="334"/>
      <c r="L202" s="335"/>
    </row>
    <row r="203" spans="4:12" ht="12.5">
      <c r="D203" s="333"/>
      <c r="J203" s="334"/>
      <c r="L203" s="335"/>
    </row>
    <row r="204" spans="4:12" ht="12.5">
      <c r="D204" s="333"/>
      <c r="J204" s="334"/>
      <c r="L204" s="335"/>
    </row>
    <row r="205" spans="4:12" ht="12.5">
      <c r="D205" s="333"/>
      <c r="J205" s="334"/>
      <c r="L205" s="335"/>
    </row>
    <row r="206" spans="4:12" ht="12.5">
      <c r="D206" s="333"/>
      <c r="J206" s="334"/>
      <c r="L206" s="335"/>
    </row>
    <row r="207" spans="4:12" ht="12.5">
      <c r="D207" s="333"/>
      <c r="J207" s="334"/>
      <c r="L207" s="335"/>
    </row>
    <row r="208" spans="4:12" ht="12.5">
      <c r="D208" s="333"/>
      <c r="J208" s="334"/>
      <c r="L208" s="335"/>
    </row>
    <row r="209" spans="4:12" ht="12.5">
      <c r="D209" s="333"/>
      <c r="J209" s="334"/>
      <c r="L209" s="335"/>
    </row>
    <row r="210" spans="4:12" ht="12.5">
      <c r="D210" s="333"/>
      <c r="J210" s="334"/>
      <c r="L210" s="335"/>
    </row>
    <row r="211" spans="4:12" ht="12.5">
      <c r="D211" s="333"/>
      <c r="J211" s="334"/>
      <c r="L211" s="335"/>
    </row>
    <row r="212" spans="4:12" ht="12.5">
      <c r="D212" s="333"/>
      <c r="J212" s="334"/>
      <c r="L212" s="335"/>
    </row>
    <row r="213" spans="4:12" ht="12.5">
      <c r="D213" s="333"/>
      <c r="J213" s="334"/>
      <c r="L213" s="335"/>
    </row>
    <row r="214" spans="4:12" ht="12.5">
      <c r="D214" s="333"/>
      <c r="J214" s="334"/>
      <c r="L214" s="335"/>
    </row>
    <row r="215" spans="4:12" ht="12.5">
      <c r="D215" s="333"/>
      <c r="J215" s="334"/>
      <c r="L215" s="335"/>
    </row>
    <row r="216" spans="4:12" ht="12.5">
      <c r="D216" s="333"/>
      <c r="J216" s="334"/>
      <c r="L216" s="335"/>
    </row>
    <row r="217" spans="4:12" ht="12.5">
      <c r="D217" s="333"/>
      <c r="J217" s="334"/>
      <c r="L217" s="335"/>
    </row>
    <row r="218" spans="4:12" ht="12.5">
      <c r="D218" s="333"/>
      <c r="J218" s="334"/>
      <c r="L218" s="335"/>
    </row>
    <row r="219" spans="4:12" ht="12.5">
      <c r="D219" s="333"/>
      <c r="J219" s="334"/>
      <c r="L219" s="335"/>
    </row>
    <row r="220" spans="4:12" ht="12.5">
      <c r="D220" s="333"/>
      <c r="J220" s="334"/>
      <c r="L220" s="335"/>
    </row>
    <row r="221" spans="4:12" ht="12.5">
      <c r="D221" s="333"/>
      <c r="J221" s="334"/>
      <c r="L221" s="335"/>
    </row>
    <row r="222" spans="4:12" ht="12.5">
      <c r="D222" s="333"/>
      <c r="J222" s="334"/>
      <c r="L222" s="335"/>
    </row>
    <row r="223" spans="4:12" ht="12.5">
      <c r="D223" s="333"/>
      <c r="J223" s="334"/>
      <c r="L223" s="335"/>
    </row>
    <row r="224" spans="4:12" ht="12.5">
      <c r="D224" s="333"/>
      <c r="J224" s="334"/>
      <c r="L224" s="335"/>
    </row>
    <row r="225" spans="4:12" ht="12.5">
      <c r="D225" s="333"/>
      <c r="J225" s="334"/>
      <c r="L225" s="335"/>
    </row>
    <row r="226" spans="4:12" ht="12.5">
      <c r="D226" s="333"/>
      <c r="J226" s="334"/>
      <c r="L226" s="335"/>
    </row>
    <row r="227" spans="4:12" ht="12.5">
      <c r="D227" s="333"/>
      <c r="J227" s="334"/>
      <c r="L227" s="335"/>
    </row>
    <row r="228" spans="4:12" ht="12.5">
      <c r="D228" s="333"/>
      <c r="J228" s="334"/>
      <c r="L228" s="335"/>
    </row>
    <row r="229" spans="4:12" ht="12.5">
      <c r="D229" s="333"/>
      <c r="J229" s="334"/>
      <c r="L229" s="335"/>
    </row>
    <row r="230" spans="4:12" ht="12.5">
      <c r="D230" s="333"/>
      <c r="J230" s="334"/>
      <c r="L230" s="335"/>
    </row>
    <row r="231" spans="4:12" ht="12.5">
      <c r="D231" s="333"/>
      <c r="J231" s="334"/>
      <c r="L231" s="335"/>
    </row>
    <row r="232" spans="4:12" ht="12.5">
      <c r="D232" s="333"/>
      <c r="J232" s="334"/>
      <c r="L232" s="335"/>
    </row>
    <row r="233" spans="4:12" ht="12.5">
      <c r="D233" s="333"/>
      <c r="J233" s="334"/>
      <c r="L233" s="335"/>
    </row>
    <row r="234" spans="4:12" ht="12.5">
      <c r="D234" s="333"/>
      <c r="J234" s="334"/>
      <c r="L234" s="335"/>
    </row>
    <row r="235" spans="4:12" ht="12.5">
      <c r="D235" s="333"/>
      <c r="J235" s="334"/>
      <c r="L235" s="335"/>
    </row>
    <row r="236" spans="4:12" ht="12.5">
      <c r="D236" s="333"/>
      <c r="J236" s="334"/>
      <c r="L236" s="335"/>
    </row>
    <row r="237" spans="4:12" ht="12.5">
      <c r="D237" s="333"/>
      <c r="J237" s="334"/>
      <c r="L237" s="335"/>
    </row>
    <row r="238" spans="4:12" ht="12.5">
      <c r="D238" s="333"/>
      <c r="J238" s="334"/>
      <c r="L238" s="335"/>
    </row>
    <row r="239" spans="4:12" ht="12.5">
      <c r="D239" s="333"/>
      <c r="J239" s="334"/>
      <c r="L239" s="335"/>
    </row>
    <row r="240" spans="4:12" ht="12.5">
      <c r="D240" s="333"/>
      <c r="J240" s="334"/>
      <c r="L240" s="335"/>
    </row>
    <row r="241" spans="4:12" ht="12.5">
      <c r="D241" s="333"/>
      <c r="J241" s="334"/>
      <c r="L241" s="335"/>
    </row>
    <row r="242" spans="4:12" ht="12.5">
      <c r="D242" s="333"/>
      <c r="J242" s="334"/>
      <c r="L242" s="335"/>
    </row>
    <row r="243" spans="4:12" ht="12.5">
      <c r="D243" s="333"/>
      <c r="J243" s="334"/>
      <c r="L243" s="335"/>
    </row>
    <row r="244" spans="4:12" ht="12.5">
      <c r="D244" s="333"/>
      <c r="J244" s="334"/>
      <c r="L244" s="335"/>
    </row>
    <row r="245" spans="4:12" ht="12.5">
      <c r="D245" s="333"/>
      <c r="J245" s="334"/>
      <c r="L245" s="335"/>
    </row>
    <row r="246" spans="4:12" ht="12.5">
      <c r="D246" s="333"/>
      <c r="J246" s="334"/>
      <c r="L246" s="335"/>
    </row>
    <row r="247" spans="4:12" ht="12.5">
      <c r="D247" s="333"/>
      <c r="J247" s="334"/>
      <c r="L247" s="335"/>
    </row>
    <row r="248" spans="4:12" ht="12.5">
      <c r="D248" s="333"/>
      <c r="J248" s="334"/>
      <c r="L248" s="335"/>
    </row>
    <row r="249" spans="4:12" ht="12.5">
      <c r="D249" s="333"/>
      <c r="J249" s="334"/>
      <c r="L249" s="335"/>
    </row>
    <row r="250" spans="4:12" ht="12.5">
      <c r="D250" s="333"/>
      <c r="J250" s="334"/>
      <c r="L250" s="335"/>
    </row>
    <row r="251" spans="4:12" ht="12.5">
      <c r="D251" s="333"/>
      <c r="J251" s="334"/>
      <c r="L251" s="335"/>
    </row>
    <row r="252" spans="4:12" ht="12.5">
      <c r="D252" s="333"/>
      <c r="J252" s="334"/>
      <c r="L252" s="335"/>
    </row>
    <row r="253" spans="4:12" ht="12.5">
      <c r="D253" s="333"/>
      <c r="J253" s="334"/>
      <c r="L253" s="335"/>
    </row>
    <row r="254" spans="4:12" ht="12.5">
      <c r="D254" s="333"/>
      <c r="J254" s="334"/>
      <c r="L254" s="335"/>
    </row>
    <row r="255" spans="4:12" ht="12.5">
      <c r="D255" s="333"/>
      <c r="J255" s="334"/>
      <c r="L255" s="335"/>
    </row>
    <row r="256" spans="4:12" ht="12.5">
      <c r="D256" s="333"/>
      <c r="J256" s="334"/>
      <c r="L256" s="335"/>
    </row>
    <row r="257" spans="4:12" ht="12.5">
      <c r="D257" s="333"/>
      <c r="J257" s="334"/>
      <c r="L257" s="335"/>
    </row>
    <row r="258" spans="4:12" ht="12.5">
      <c r="D258" s="333"/>
      <c r="J258" s="334"/>
      <c r="L258" s="335"/>
    </row>
    <row r="259" spans="4:12" ht="12.5">
      <c r="D259" s="333"/>
      <c r="J259" s="334"/>
      <c r="L259" s="335"/>
    </row>
    <row r="260" spans="4:12" ht="12.5">
      <c r="D260" s="333"/>
      <c r="J260" s="334"/>
      <c r="L260" s="335"/>
    </row>
    <row r="261" spans="4:12" ht="12.5">
      <c r="D261" s="333"/>
      <c r="J261" s="334"/>
      <c r="L261" s="335"/>
    </row>
    <row r="262" spans="4:12" ht="12.5">
      <c r="D262" s="333"/>
      <c r="J262" s="334"/>
      <c r="L262" s="335"/>
    </row>
    <row r="263" spans="4:12" ht="12.5">
      <c r="D263" s="333"/>
      <c r="J263" s="334"/>
      <c r="L263" s="335"/>
    </row>
    <row r="264" spans="4:12" ht="12.5">
      <c r="D264" s="333"/>
      <c r="J264" s="334"/>
      <c r="L264" s="335"/>
    </row>
    <row r="265" spans="4:12" ht="12.5">
      <c r="D265" s="333"/>
      <c r="J265" s="334"/>
      <c r="L265" s="335"/>
    </row>
    <row r="266" spans="4:12" ht="12.5">
      <c r="D266" s="333"/>
      <c r="J266" s="334"/>
      <c r="L266" s="335"/>
    </row>
    <row r="267" spans="4:12" ht="12.5">
      <c r="D267" s="333"/>
      <c r="J267" s="334"/>
      <c r="L267" s="335"/>
    </row>
    <row r="268" spans="4:12" ht="12.5">
      <c r="D268" s="333"/>
      <c r="J268" s="334"/>
      <c r="L268" s="335"/>
    </row>
    <row r="269" spans="4:12" ht="12.5">
      <c r="D269" s="333"/>
      <c r="J269" s="334"/>
      <c r="L269" s="335"/>
    </row>
    <row r="270" spans="4:12" ht="12.5">
      <c r="D270" s="333"/>
      <c r="J270" s="334"/>
      <c r="L270" s="335"/>
    </row>
    <row r="271" spans="4:12" ht="12.5">
      <c r="D271" s="333"/>
      <c r="J271" s="334"/>
      <c r="L271" s="335"/>
    </row>
    <row r="272" spans="4:12" ht="12.5">
      <c r="D272" s="333"/>
      <c r="J272" s="334"/>
      <c r="L272" s="335"/>
    </row>
    <row r="273" spans="4:12" ht="12.5">
      <c r="D273" s="333"/>
      <c r="J273" s="334"/>
      <c r="L273" s="335"/>
    </row>
    <row r="274" spans="4:12" ht="12.5">
      <c r="D274" s="333"/>
      <c r="J274" s="334"/>
      <c r="L274" s="335"/>
    </row>
    <row r="275" spans="4:12" ht="12.5">
      <c r="D275" s="333"/>
      <c r="J275" s="334"/>
      <c r="L275" s="335"/>
    </row>
    <row r="276" spans="4:12" ht="12.5">
      <c r="D276" s="333"/>
      <c r="J276" s="334"/>
      <c r="L276" s="335"/>
    </row>
    <row r="277" spans="4:12" ht="12.5">
      <c r="D277" s="333"/>
      <c r="J277" s="334"/>
      <c r="L277" s="335"/>
    </row>
    <row r="278" spans="4:12" ht="12.5">
      <c r="D278" s="333"/>
      <c r="J278" s="334"/>
      <c r="L278" s="335"/>
    </row>
    <row r="279" spans="4:12" ht="12.5">
      <c r="D279" s="333"/>
      <c r="J279" s="334"/>
      <c r="L279" s="335"/>
    </row>
    <row r="280" spans="4:12" ht="12.5">
      <c r="D280" s="333"/>
      <c r="J280" s="334"/>
      <c r="L280" s="335"/>
    </row>
    <row r="281" spans="4:12" ht="12.5">
      <c r="D281" s="333"/>
      <c r="J281" s="334"/>
      <c r="L281" s="335"/>
    </row>
    <row r="282" spans="4:12" ht="12.5">
      <c r="D282" s="333"/>
      <c r="J282" s="334"/>
      <c r="L282" s="335"/>
    </row>
    <row r="283" spans="4:12" ht="12.5">
      <c r="D283" s="333"/>
      <c r="J283" s="334"/>
      <c r="L283" s="335"/>
    </row>
    <row r="284" spans="4:12" ht="12.5">
      <c r="D284" s="333"/>
      <c r="J284" s="334"/>
      <c r="L284" s="335"/>
    </row>
    <row r="285" spans="4:12" ht="12.5">
      <c r="D285" s="333"/>
      <c r="J285" s="334"/>
      <c r="L285" s="335"/>
    </row>
    <row r="286" spans="4:12" ht="12.5">
      <c r="D286" s="333"/>
      <c r="J286" s="334"/>
      <c r="L286" s="335"/>
    </row>
    <row r="287" spans="4:12" ht="12.5">
      <c r="D287" s="333"/>
      <c r="J287" s="334"/>
      <c r="L287" s="335"/>
    </row>
    <row r="288" spans="4:12" ht="12.5">
      <c r="D288" s="333"/>
      <c r="J288" s="334"/>
      <c r="L288" s="335"/>
    </row>
    <row r="289" spans="4:12" ht="12.5">
      <c r="D289" s="333"/>
      <c r="J289" s="334"/>
      <c r="L289" s="335"/>
    </row>
    <row r="290" spans="4:12" ht="12.5">
      <c r="D290" s="333"/>
      <c r="J290" s="334"/>
      <c r="L290" s="335"/>
    </row>
    <row r="291" spans="4:12" ht="12.5">
      <c r="D291" s="333"/>
      <c r="J291" s="334"/>
      <c r="L291" s="335"/>
    </row>
    <row r="292" spans="4:12" ht="12.5">
      <c r="D292" s="333"/>
      <c r="J292" s="334"/>
      <c r="L292" s="335"/>
    </row>
    <row r="293" spans="4:12" ht="12.5">
      <c r="D293" s="333"/>
      <c r="J293" s="334"/>
      <c r="L293" s="335"/>
    </row>
    <row r="294" spans="4:12" ht="12.5">
      <c r="D294" s="333"/>
      <c r="J294" s="334"/>
      <c r="L294" s="335"/>
    </row>
    <row r="295" spans="4:12" ht="12.5">
      <c r="D295" s="333"/>
      <c r="J295" s="334"/>
      <c r="L295" s="335"/>
    </row>
    <row r="296" spans="4:12" ht="12.5">
      <c r="D296" s="333"/>
      <c r="J296" s="334"/>
      <c r="L296" s="335"/>
    </row>
    <row r="297" spans="4:12" ht="12.5">
      <c r="D297" s="333"/>
      <c r="J297" s="334"/>
      <c r="L297" s="335"/>
    </row>
    <row r="298" spans="4:12" ht="12.5">
      <c r="D298" s="333"/>
      <c r="J298" s="334"/>
      <c r="L298" s="335"/>
    </row>
    <row r="299" spans="4:12" ht="12.5">
      <c r="D299" s="333"/>
      <c r="J299" s="334"/>
      <c r="L299" s="335"/>
    </row>
    <row r="300" spans="4:12" ht="12.5">
      <c r="D300" s="333"/>
      <c r="J300" s="334"/>
      <c r="L300" s="335"/>
    </row>
    <row r="301" spans="4:12" ht="12.5">
      <c r="D301" s="333"/>
      <c r="J301" s="334"/>
      <c r="L301" s="335"/>
    </row>
    <row r="302" spans="4:12" ht="12.5">
      <c r="D302" s="333"/>
      <c r="J302" s="334"/>
      <c r="L302" s="335"/>
    </row>
    <row r="303" spans="4:12" ht="12.5">
      <c r="D303" s="333"/>
      <c r="J303" s="334"/>
      <c r="L303" s="335"/>
    </row>
    <row r="304" spans="4:12" ht="12.5">
      <c r="D304" s="333"/>
      <c r="J304" s="334"/>
      <c r="L304" s="335"/>
    </row>
    <row r="305" spans="4:12" ht="12.5">
      <c r="D305" s="333"/>
      <c r="J305" s="334"/>
      <c r="L305" s="335"/>
    </row>
    <row r="306" spans="4:12" ht="12.5">
      <c r="D306" s="333"/>
      <c r="J306" s="334"/>
      <c r="L306" s="335"/>
    </row>
    <row r="307" spans="4:12" ht="12.5">
      <c r="D307" s="333"/>
      <c r="J307" s="334"/>
      <c r="L307" s="335"/>
    </row>
    <row r="308" spans="4:12" ht="12.5">
      <c r="D308" s="333"/>
      <c r="J308" s="334"/>
      <c r="L308" s="335"/>
    </row>
    <row r="309" spans="4:12" ht="12.5">
      <c r="D309" s="333"/>
      <c r="J309" s="334"/>
      <c r="L309" s="335"/>
    </row>
    <row r="310" spans="4:12" ht="12.5">
      <c r="D310" s="333"/>
      <c r="J310" s="334"/>
      <c r="L310" s="335"/>
    </row>
    <row r="311" spans="4:12" ht="12.5">
      <c r="D311" s="333"/>
      <c r="J311" s="334"/>
      <c r="L311" s="335"/>
    </row>
    <row r="312" spans="4:12" ht="12.5">
      <c r="D312" s="333"/>
      <c r="J312" s="334"/>
      <c r="L312" s="335"/>
    </row>
    <row r="313" spans="4:12" ht="12.5">
      <c r="D313" s="333"/>
      <c r="J313" s="334"/>
      <c r="L313" s="335"/>
    </row>
    <row r="314" spans="4:12" ht="12.5">
      <c r="D314" s="333"/>
      <c r="J314" s="334"/>
      <c r="L314" s="335"/>
    </row>
    <row r="315" spans="4:12" ht="12.5">
      <c r="D315" s="333"/>
      <c r="J315" s="334"/>
      <c r="L315" s="335"/>
    </row>
    <row r="316" spans="4:12" ht="12.5">
      <c r="D316" s="333"/>
      <c r="J316" s="334"/>
      <c r="L316" s="335"/>
    </row>
    <row r="317" spans="4:12" ht="12.5">
      <c r="D317" s="333"/>
      <c r="J317" s="334"/>
      <c r="L317" s="335"/>
    </row>
    <row r="318" spans="4:12" ht="12.5">
      <c r="D318" s="333"/>
      <c r="J318" s="334"/>
      <c r="L318" s="335"/>
    </row>
    <row r="319" spans="4:12" ht="12.5">
      <c r="D319" s="333"/>
      <c r="J319" s="334"/>
      <c r="L319" s="335"/>
    </row>
    <row r="320" spans="4:12" ht="12.5">
      <c r="D320" s="333"/>
      <c r="J320" s="334"/>
      <c r="L320" s="335"/>
    </row>
    <row r="321" spans="4:12" ht="12.5">
      <c r="D321" s="333"/>
      <c r="J321" s="334"/>
      <c r="L321" s="335"/>
    </row>
    <row r="322" spans="4:12" ht="12.5">
      <c r="D322" s="333"/>
      <c r="J322" s="334"/>
      <c r="L322" s="335"/>
    </row>
    <row r="323" spans="4:12" ht="12.5">
      <c r="D323" s="333"/>
      <c r="J323" s="334"/>
      <c r="L323" s="335"/>
    </row>
    <row r="324" spans="4:12" ht="12.5">
      <c r="D324" s="333"/>
      <c r="J324" s="334"/>
      <c r="L324" s="335"/>
    </row>
    <row r="325" spans="4:12" ht="12.5">
      <c r="D325" s="333"/>
      <c r="J325" s="334"/>
      <c r="L325" s="335"/>
    </row>
    <row r="326" spans="4:12" ht="12.5">
      <c r="D326" s="333"/>
      <c r="J326" s="334"/>
      <c r="L326" s="335"/>
    </row>
    <row r="327" spans="4:12" ht="12.5">
      <c r="D327" s="333"/>
      <c r="J327" s="334"/>
      <c r="L327" s="335"/>
    </row>
    <row r="328" spans="4:12" ht="12.5">
      <c r="D328" s="333"/>
      <c r="J328" s="334"/>
      <c r="L328" s="335"/>
    </row>
    <row r="329" spans="4:12" ht="12.5">
      <c r="D329" s="333"/>
      <c r="J329" s="334"/>
      <c r="L329" s="335"/>
    </row>
    <row r="330" spans="4:12" ht="12.5">
      <c r="D330" s="333"/>
      <c r="J330" s="334"/>
      <c r="L330" s="335"/>
    </row>
    <row r="331" spans="4:12" ht="12.5">
      <c r="D331" s="333"/>
      <c r="J331" s="334"/>
      <c r="L331" s="335"/>
    </row>
    <row r="332" spans="4:12" ht="12.5">
      <c r="D332" s="333"/>
      <c r="J332" s="334"/>
      <c r="L332" s="335"/>
    </row>
    <row r="333" spans="4:12" ht="12.5">
      <c r="D333" s="333"/>
      <c r="J333" s="334"/>
      <c r="L333" s="335"/>
    </row>
    <row r="334" spans="4:12" ht="12.5">
      <c r="D334" s="333"/>
      <c r="J334" s="334"/>
      <c r="L334" s="335"/>
    </row>
    <row r="335" spans="4:12" ht="12.5">
      <c r="D335" s="333"/>
      <c r="J335" s="334"/>
      <c r="L335" s="335"/>
    </row>
    <row r="336" spans="4:12" ht="12.5">
      <c r="D336" s="333"/>
      <c r="J336" s="334"/>
      <c r="L336" s="335"/>
    </row>
    <row r="337" spans="4:12" ht="12.5">
      <c r="D337" s="333"/>
      <c r="J337" s="334"/>
      <c r="L337" s="335"/>
    </row>
    <row r="338" spans="4:12" ht="12.5">
      <c r="D338" s="333"/>
      <c r="J338" s="334"/>
      <c r="L338" s="335"/>
    </row>
    <row r="339" spans="4:12" ht="12.5">
      <c r="D339" s="333"/>
      <c r="J339" s="334"/>
      <c r="L339" s="335"/>
    </row>
    <row r="340" spans="4:12" ht="12.5">
      <c r="D340" s="333"/>
      <c r="J340" s="334"/>
      <c r="L340" s="335"/>
    </row>
    <row r="341" spans="4:12" ht="12.5">
      <c r="D341" s="333"/>
      <c r="J341" s="334"/>
      <c r="L341" s="335"/>
    </row>
    <row r="342" spans="4:12" ht="12.5">
      <c r="D342" s="333"/>
      <c r="J342" s="334"/>
      <c r="L342" s="335"/>
    </row>
    <row r="343" spans="4:12" ht="12.5">
      <c r="D343" s="333"/>
      <c r="J343" s="334"/>
      <c r="L343" s="335"/>
    </row>
    <row r="344" spans="4:12" ht="12.5">
      <c r="D344" s="333"/>
      <c r="J344" s="334"/>
      <c r="L344" s="335"/>
    </row>
    <row r="345" spans="4:12" ht="12.5">
      <c r="D345" s="333"/>
      <c r="J345" s="334"/>
      <c r="L345" s="335"/>
    </row>
    <row r="346" spans="4:12" ht="12.5">
      <c r="D346" s="333"/>
      <c r="J346" s="334"/>
      <c r="L346" s="335"/>
    </row>
    <row r="347" spans="4:12" ht="12.5">
      <c r="D347" s="333"/>
      <c r="J347" s="334"/>
      <c r="L347" s="335"/>
    </row>
    <row r="348" spans="4:12" ht="12.5">
      <c r="D348" s="333"/>
      <c r="J348" s="334"/>
      <c r="L348" s="335"/>
    </row>
    <row r="349" spans="4:12" ht="12.5">
      <c r="D349" s="333"/>
      <c r="J349" s="334"/>
      <c r="L349" s="335"/>
    </row>
    <row r="350" spans="4:12" ht="12.5">
      <c r="D350" s="333"/>
      <c r="J350" s="334"/>
      <c r="L350" s="335"/>
    </row>
    <row r="351" spans="4:12" ht="12.5">
      <c r="D351" s="333"/>
      <c r="J351" s="334"/>
      <c r="L351" s="335"/>
    </row>
    <row r="352" spans="4:12" ht="12.5">
      <c r="D352" s="333"/>
      <c r="J352" s="334"/>
      <c r="L352" s="335"/>
    </row>
    <row r="353" spans="4:12" ht="12.5">
      <c r="D353" s="333"/>
      <c r="J353" s="334"/>
      <c r="L353" s="335"/>
    </row>
    <row r="354" spans="4:12" ht="12.5">
      <c r="D354" s="333"/>
      <c r="J354" s="334"/>
      <c r="L354" s="335"/>
    </row>
    <row r="355" spans="4:12" ht="12.5">
      <c r="D355" s="333"/>
      <c r="J355" s="334"/>
      <c r="L355" s="335"/>
    </row>
    <row r="356" spans="4:12" ht="12.5">
      <c r="D356" s="333"/>
      <c r="J356" s="334"/>
      <c r="L356" s="335"/>
    </row>
    <row r="357" spans="4:12" ht="12.5">
      <c r="D357" s="333"/>
      <c r="J357" s="334"/>
      <c r="L357" s="335"/>
    </row>
    <row r="358" spans="4:12" ht="12.5">
      <c r="D358" s="333"/>
      <c r="J358" s="334"/>
      <c r="L358" s="335"/>
    </row>
    <row r="359" spans="4:12" ht="12.5">
      <c r="D359" s="333"/>
      <c r="J359" s="334"/>
      <c r="L359" s="335"/>
    </row>
    <row r="360" spans="4:12" ht="12.5">
      <c r="D360" s="333"/>
      <c r="J360" s="334"/>
      <c r="L360" s="335"/>
    </row>
    <row r="361" spans="4:12" ht="12.5">
      <c r="D361" s="333"/>
      <c r="J361" s="334"/>
      <c r="L361" s="335"/>
    </row>
    <row r="362" spans="4:12" ht="12.5">
      <c r="D362" s="333"/>
      <c r="J362" s="334"/>
      <c r="L362" s="335"/>
    </row>
    <row r="363" spans="4:12" ht="12.5">
      <c r="D363" s="333"/>
      <c r="J363" s="334"/>
      <c r="L363" s="335"/>
    </row>
    <row r="364" spans="4:12" ht="12.5">
      <c r="D364" s="333"/>
      <c r="J364" s="334"/>
      <c r="L364" s="335"/>
    </row>
    <row r="365" spans="4:12" ht="12.5">
      <c r="D365" s="333"/>
      <c r="J365" s="334"/>
      <c r="L365" s="335"/>
    </row>
    <row r="366" spans="4:12" ht="12.5">
      <c r="D366" s="333"/>
      <c r="J366" s="334"/>
      <c r="L366" s="335"/>
    </row>
    <row r="367" spans="4:12" ht="12.5">
      <c r="D367" s="333"/>
      <c r="J367" s="334"/>
      <c r="L367" s="335"/>
    </row>
    <row r="368" spans="4:12" ht="12.5">
      <c r="D368" s="333"/>
      <c r="J368" s="334"/>
      <c r="L368" s="335"/>
    </row>
    <row r="369" spans="4:12" ht="12.5">
      <c r="D369" s="333"/>
      <c r="J369" s="334"/>
      <c r="L369" s="335"/>
    </row>
    <row r="370" spans="4:12" ht="12.5">
      <c r="D370" s="333"/>
      <c r="J370" s="334"/>
      <c r="L370" s="335"/>
    </row>
    <row r="371" spans="4:12" ht="12.5">
      <c r="D371" s="333"/>
      <c r="J371" s="334"/>
      <c r="L371" s="335"/>
    </row>
    <row r="372" spans="4:12" ht="12.5">
      <c r="D372" s="333"/>
      <c r="J372" s="334"/>
      <c r="L372" s="335"/>
    </row>
    <row r="373" spans="4:12" ht="12.5">
      <c r="D373" s="333"/>
      <c r="J373" s="334"/>
      <c r="L373" s="335"/>
    </row>
    <row r="374" spans="4:12" ht="12.5">
      <c r="D374" s="333"/>
      <c r="J374" s="334"/>
      <c r="L374" s="335"/>
    </row>
    <row r="375" spans="4:12" ht="12.5">
      <c r="D375" s="333"/>
      <c r="J375" s="334"/>
      <c r="L375" s="335"/>
    </row>
    <row r="376" spans="4:12" ht="12.5">
      <c r="D376" s="333"/>
      <c r="J376" s="334"/>
      <c r="L376" s="335"/>
    </row>
    <row r="377" spans="4:12" ht="12.5">
      <c r="D377" s="333"/>
      <c r="J377" s="334"/>
      <c r="L377" s="335"/>
    </row>
    <row r="378" spans="4:12" ht="12.5">
      <c r="D378" s="333"/>
      <c r="J378" s="334"/>
      <c r="L378" s="335"/>
    </row>
    <row r="379" spans="4:12" ht="12.5">
      <c r="D379" s="333"/>
      <c r="J379" s="334"/>
      <c r="L379" s="335"/>
    </row>
    <row r="380" spans="4:12" ht="12.5">
      <c r="D380" s="333"/>
      <c r="J380" s="334"/>
      <c r="L380" s="335"/>
    </row>
    <row r="381" spans="4:12" ht="12.5">
      <c r="D381" s="333"/>
      <c r="J381" s="334"/>
      <c r="L381" s="335"/>
    </row>
    <row r="382" spans="4:12" ht="12.5">
      <c r="D382" s="333"/>
      <c r="J382" s="334"/>
      <c r="L382" s="335"/>
    </row>
    <row r="383" spans="4:12" ht="12.5">
      <c r="D383" s="333"/>
      <c r="J383" s="334"/>
      <c r="L383" s="335"/>
    </row>
    <row r="384" spans="4:12" ht="12.5">
      <c r="D384" s="333"/>
      <c r="J384" s="334"/>
      <c r="L384" s="335"/>
    </row>
    <row r="385" spans="4:12" ht="12.5">
      <c r="D385" s="333"/>
      <c r="J385" s="334"/>
      <c r="L385" s="335"/>
    </row>
    <row r="386" spans="4:12" ht="12.5">
      <c r="D386" s="333"/>
      <c r="J386" s="334"/>
      <c r="L386" s="335"/>
    </row>
    <row r="387" spans="4:12" ht="12.5">
      <c r="D387" s="333"/>
      <c r="J387" s="334"/>
      <c r="L387" s="335"/>
    </row>
    <row r="388" spans="4:12" ht="12.5">
      <c r="D388" s="333"/>
      <c r="J388" s="334"/>
      <c r="L388" s="335"/>
    </row>
    <row r="389" spans="4:12" ht="12.5">
      <c r="D389" s="333"/>
      <c r="J389" s="334"/>
      <c r="L389" s="335"/>
    </row>
    <row r="390" spans="4:12" ht="12.5">
      <c r="D390" s="333"/>
      <c r="J390" s="334"/>
      <c r="L390" s="335"/>
    </row>
    <row r="391" spans="4:12" ht="12.5">
      <c r="D391" s="333"/>
      <c r="J391" s="334"/>
      <c r="L391" s="335"/>
    </row>
    <row r="392" spans="4:12" ht="12.5">
      <c r="D392" s="333"/>
      <c r="J392" s="334"/>
      <c r="L392" s="335"/>
    </row>
    <row r="393" spans="4:12" ht="12.5">
      <c r="D393" s="333"/>
      <c r="J393" s="334"/>
      <c r="L393" s="335"/>
    </row>
    <row r="394" spans="4:12" ht="12.5">
      <c r="D394" s="333"/>
      <c r="J394" s="334"/>
      <c r="L394" s="335"/>
    </row>
    <row r="395" spans="4:12" ht="12.5">
      <c r="D395" s="333"/>
      <c r="J395" s="334"/>
      <c r="L395" s="335"/>
    </row>
    <row r="396" spans="4:12" ht="12.5">
      <c r="D396" s="333"/>
      <c r="J396" s="334"/>
      <c r="L396" s="335"/>
    </row>
    <row r="397" spans="4:12" ht="12.5">
      <c r="D397" s="333"/>
      <c r="J397" s="334"/>
      <c r="L397" s="335"/>
    </row>
    <row r="398" spans="4:12" ht="12.5">
      <c r="D398" s="333"/>
      <c r="J398" s="334"/>
      <c r="L398" s="335"/>
    </row>
    <row r="399" spans="4:12" ht="12.5">
      <c r="D399" s="333"/>
      <c r="J399" s="334"/>
      <c r="L399" s="335"/>
    </row>
    <row r="400" spans="4:12" ht="12.5">
      <c r="D400" s="333"/>
      <c r="J400" s="334"/>
      <c r="L400" s="335"/>
    </row>
    <row r="401" spans="4:12" ht="12.5">
      <c r="D401" s="333"/>
      <c r="J401" s="334"/>
      <c r="L401" s="335"/>
    </row>
    <row r="402" spans="4:12" ht="12.5">
      <c r="D402" s="333"/>
      <c r="J402" s="334"/>
      <c r="L402" s="335"/>
    </row>
    <row r="403" spans="4:12" ht="12.5">
      <c r="D403" s="333"/>
      <c r="J403" s="334"/>
      <c r="L403" s="335"/>
    </row>
    <row r="404" spans="4:12" ht="12.5">
      <c r="D404" s="333"/>
      <c r="J404" s="334"/>
      <c r="L404" s="335"/>
    </row>
    <row r="405" spans="4:12" ht="12.5">
      <c r="D405" s="333"/>
      <c r="J405" s="334"/>
      <c r="L405" s="335"/>
    </row>
    <row r="406" spans="4:12" ht="12.5">
      <c r="D406" s="333"/>
      <c r="J406" s="334"/>
      <c r="L406" s="335"/>
    </row>
    <row r="407" spans="4:12" ht="12.5">
      <c r="D407" s="333"/>
      <c r="J407" s="334"/>
      <c r="L407" s="335"/>
    </row>
    <row r="408" spans="4:12" ht="12.5">
      <c r="D408" s="333"/>
      <c r="J408" s="334"/>
      <c r="L408" s="335"/>
    </row>
    <row r="409" spans="4:12" ht="12.5">
      <c r="D409" s="333"/>
      <c r="J409" s="334"/>
      <c r="L409" s="335"/>
    </row>
    <row r="410" spans="4:12" ht="12.5">
      <c r="D410" s="333"/>
      <c r="J410" s="334"/>
      <c r="L410" s="335"/>
    </row>
    <row r="411" spans="4:12" ht="12.5">
      <c r="D411" s="333"/>
      <c r="J411" s="334"/>
      <c r="L411" s="335"/>
    </row>
    <row r="412" spans="4:12" ht="12.5">
      <c r="D412" s="333"/>
      <c r="J412" s="334"/>
      <c r="L412" s="335"/>
    </row>
    <row r="413" spans="4:12" ht="12.5">
      <c r="D413" s="333"/>
      <c r="J413" s="334"/>
      <c r="L413" s="335"/>
    </row>
    <row r="414" spans="4:12" ht="12.5">
      <c r="D414" s="333"/>
      <c r="J414" s="334"/>
      <c r="L414" s="335"/>
    </row>
    <row r="415" spans="4:12" ht="12.5">
      <c r="D415" s="333"/>
      <c r="J415" s="334"/>
      <c r="L415" s="335"/>
    </row>
    <row r="416" spans="4:12" ht="12.5">
      <c r="D416" s="333"/>
      <c r="J416" s="334"/>
      <c r="L416" s="335"/>
    </row>
    <row r="417" spans="4:12" ht="12.5">
      <c r="D417" s="333"/>
      <c r="J417" s="334"/>
      <c r="L417" s="335"/>
    </row>
    <row r="418" spans="4:12" ht="12.5">
      <c r="D418" s="333"/>
      <c r="J418" s="334"/>
      <c r="L418" s="335"/>
    </row>
    <row r="419" spans="4:12" ht="12.5">
      <c r="D419" s="333"/>
      <c r="J419" s="334"/>
      <c r="L419" s="335"/>
    </row>
    <row r="420" spans="4:12" ht="12.5">
      <c r="D420" s="333"/>
      <c r="J420" s="334"/>
      <c r="L420" s="335"/>
    </row>
    <row r="421" spans="4:12" ht="12.5">
      <c r="D421" s="333"/>
      <c r="J421" s="334"/>
      <c r="L421" s="335"/>
    </row>
    <row r="422" spans="4:12" ht="12.5">
      <c r="D422" s="333"/>
      <c r="J422" s="334"/>
      <c r="L422" s="335"/>
    </row>
    <row r="423" spans="4:12" ht="12.5">
      <c r="D423" s="333"/>
      <c r="J423" s="334"/>
      <c r="L423" s="335"/>
    </row>
    <row r="424" spans="4:12" ht="12.5">
      <c r="D424" s="333"/>
      <c r="J424" s="334"/>
      <c r="L424" s="335"/>
    </row>
    <row r="425" spans="4:12" ht="12.5">
      <c r="D425" s="333"/>
      <c r="J425" s="334"/>
      <c r="L425" s="335"/>
    </row>
    <row r="426" spans="4:12" ht="12.5">
      <c r="D426" s="333"/>
      <c r="J426" s="334"/>
      <c r="L426" s="335"/>
    </row>
    <row r="427" spans="4:12" ht="12.5">
      <c r="D427" s="333"/>
      <c r="J427" s="334"/>
      <c r="L427" s="335"/>
    </row>
    <row r="428" spans="4:12" ht="12.5">
      <c r="D428" s="333"/>
      <c r="J428" s="334"/>
      <c r="L428" s="335"/>
    </row>
    <row r="429" spans="4:12" ht="12.5">
      <c r="D429" s="333"/>
      <c r="J429" s="334"/>
      <c r="L429" s="335"/>
    </row>
    <row r="430" spans="4:12" ht="12.5">
      <c r="D430" s="333"/>
      <c r="J430" s="334"/>
      <c r="L430" s="335"/>
    </row>
    <row r="431" spans="4:12" ht="12.5">
      <c r="D431" s="333"/>
      <c r="J431" s="334"/>
      <c r="L431" s="335"/>
    </row>
    <row r="432" spans="4:12" ht="12.5">
      <c r="D432" s="333"/>
      <c r="J432" s="334"/>
      <c r="L432" s="335"/>
    </row>
    <row r="433" spans="4:12" ht="12.5">
      <c r="D433" s="333"/>
      <c r="J433" s="334"/>
      <c r="L433" s="335"/>
    </row>
    <row r="434" spans="4:12" ht="12.5">
      <c r="D434" s="333"/>
      <c r="J434" s="334"/>
      <c r="L434" s="335"/>
    </row>
    <row r="435" spans="4:12" ht="12.5">
      <c r="D435" s="333"/>
      <c r="J435" s="334"/>
      <c r="L435" s="335"/>
    </row>
    <row r="436" spans="4:12" ht="12.5">
      <c r="D436" s="333"/>
      <c r="J436" s="334"/>
      <c r="L436" s="335"/>
    </row>
    <row r="437" spans="4:12" ht="12.5">
      <c r="D437" s="333"/>
      <c r="J437" s="334"/>
      <c r="L437" s="335"/>
    </row>
    <row r="438" spans="4:12" ht="12.5">
      <c r="D438" s="333"/>
      <c r="J438" s="334"/>
      <c r="L438" s="335"/>
    </row>
    <row r="439" spans="4:12" ht="12.5">
      <c r="D439" s="333"/>
      <c r="J439" s="334"/>
      <c r="L439" s="335"/>
    </row>
    <row r="440" spans="4:12" ht="12.5">
      <c r="D440" s="333"/>
      <c r="J440" s="334"/>
      <c r="L440" s="335"/>
    </row>
    <row r="441" spans="4:12" ht="12.5">
      <c r="D441" s="333"/>
      <c r="J441" s="334"/>
      <c r="L441" s="335"/>
    </row>
    <row r="442" spans="4:12" ht="12.5">
      <c r="D442" s="333"/>
      <c r="J442" s="334"/>
      <c r="L442" s="335"/>
    </row>
    <row r="443" spans="4:12" ht="12.5">
      <c r="D443" s="333"/>
      <c r="J443" s="334"/>
      <c r="L443" s="335"/>
    </row>
    <row r="444" spans="4:12" ht="12.5">
      <c r="D444" s="333"/>
      <c r="J444" s="334"/>
      <c r="L444" s="335"/>
    </row>
    <row r="445" spans="4:12" ht="12.5">
      <c r="D445" s="333"/>
      <c r="J445" s="334"/>
      <c r="L445" s="335"/>
    </row>
    <row r="446" spans="4:12" ht="12.5">
      <c r="D446" s="333"/>
      <c r="J446" s="334"/>
      <c r="L446" s="335"/>
    </row>
    <row r="447" spans="4:12" ht="12.5">
      <c r="D447" s="333"/>
      <c r="J447" s="334"/>
      <c r="L447" s="335"/>
    </row>
    <row r="448" spans="4:12" ht="12.5">
      <c r="D448" s="333"/>
      <c r="J448" s="334"/>
      <c r="L448" s="335"/>
    </row>
    <row r="449" spans="4:12" ht="12.5">
      <c r="D449" s="333"/>
      <c r="J449" s="334"/>
      <c r="L449" s="335"/>
    </row>
    <row r="450" spans="4:12" ht="12.5">
      <c r="D450" s="333"/>
      <c r="J450" s="334"/>
      <c r="L450" s="335"/>
    </row>
    <row r="451" spans="4:12" ht="12.5">
      <c r="D451" s="333"/>
      <c r="J451" s="334"/>
      <c r="L451" s="335"/>
    </row>
    <row r="452" spans="4:12" ht="12.5">
      <c r="D452" s="333"/>
      <c r="J452" s="334"/>
      <c r="L452" s="335"/>
    </row>
    <row r="453" spans="4:12" ht="12.5">
      <c r="D453" s="333"/>
      <c r="J453" s="334"/>
      <c r="L453" s="335"/>
    </row>
    <row r="454" spans="4:12" ht="12.5">
      <c r="D454" s="333"/>
      <c r="J454" s="334"/>
      <c r="L454" s="335"/>
    </row>
    <row r="455" spans="4:12" ht="12.5">
      <c r="D455" s="333"/>
      <c r="J455" s="334"/>
      <c r="L455" s="335"/>
    </row>
    <row r="456" spans="4:12" ht="12.5">
      <c r="D456" s="333"/>
      <c r="J456" s="334"/>
      <c r="L456" s="335"/>
    </row>
    <row r="457" spans="4:12" ht="12.5">
      <c r="D457" s="333"/>
      <c r="J457" s="334"/>
      <c r="L457" s="335"/>
    </row>
    <row r="458" spans="4:12" ht="12.5">
      <c r="D458" s="333"/>
      <c r="J458" s="334"/>
      <c r="L458" s="335"/>
    </row>
    <row r="459" spans="4:12" ht="12.5">
      <c r="D459" s="333"/>
      <c r="J459" s="334"/>
      <c r="L459" s="335"/>
    </row>
    <row r="460" spans="4:12" ht="12.5">
      <c r="D460" s="333"/>
      <c r="J460" s="334"/>
      <c r="L460" s="335"/>
    </row>
    <row r="461" spans="4:12" ht="12.5">
      <c r="D461" s="333"/>
      <c r="J461" s="334"/>
      <c r="L461" s="335"/>
    </row>
    <row r="462" spans="4:12" ht="12.5">
      <c r="D462" s="333"/>
      <c r="J462" s="334"/>
      <c r="L462" s="335"/>
    </row>
    <row r="463" spans="4:12" ht="12.5">
      <c r="D463" s="333"/>
      <c r="J463" s="334"/>
      <c r="L463" s="335"/>
    </row>
    <row r="464" spans="4:12" ht="12.5">
      <c r="D464" s="333"/>
      <c r="J464" s="334"/>
      <c r="L464" s="335"/>
    </row>
    <row r="465" spans="4:12" ht="12.5">
      <c r="D465" s="333"/>
      <c r="J465" s="334"/>
      <c r="L465" s="335"/>
    </row>
    <row r="466" spans="4:12" ht="12.5">
      <c r="D466" s="333"/>
      <c r="J466" s="334"/>
      <c r="L466" s="335"/>
    </row>
    <row r="467" spans="4:12" ht="12.5">
      <c r="D467" s="333"/>
      <c r="J467" s="334"/>
      <c r="L467" s="335"/>
    </row>
    <row r="468" spans="4:12" ht="12.5">
      <c r="D468" s="333"/>
      <c r="J468" s="334"/>
      <c r="L468" s="335"/>
    </row>
    <row r="469" spans="4:12" ht="12.5">
      <c r="D469" s="333"/>
      <c r="J469" s="334"/>
      <c r="L469" s="335"/>
    </row>
    <row r="470" spans="4:12" ht="12.5">
      <c r="D470" s="333"/>
      <c r="J470" s="334"/>
      <c r="L470" s="335"/>
    </row>
    <row r="471" spans="4:12" ht="12.5">
      <c r="D471" s="333"/>
      <c r="J471" s="334"/>
      <c r="L471" s="335"/>
    </row>
    <row r="472" spans="4:12" ht="12.5">
      <c r="D472" s="333"/>
      <c r="J472" s="334"/>
      <c r="L472" s="335"/>
    </row>
    <row r="473" spans="4:12" ht="12.5">
      <c r="D473" s="333"/>
      <c r="J473" s="334"/>
      <c r="L473" s="335"/>
    </row>
    <row r="474" spans="4:12" ht="12.5">
      <c r="D474" s="333"/>
      <c r="J474" s="334"/>
      <c r="L474" s="335"/>
    </row>
    <row r="475" spans="4:12" ht="12.5">
      <c r="D475" s="333"/>
      <c r="J475" s="334"/>
      <c r="L475" s="335"/>
    </row>
    <row r="476" spans="4:12" ht="12.5">
      <c r="D476" s="333"/>
      <c r="J476" s="334"/>
      <c r="L476" s="335"/>
    </row>
    <row r="477" spans="4:12" ht="12.5">
      <c r="D477" s="333"/>
      <c r="J477" s="334"/>
      <c r="L477" s="335"/>
    </row>
    <row r="478" spans="4:12" ht="12.5">
      <c r="D478" s="333"/>
      <c r="J478" s="334"/>
      <c r="L478" s="335"/>
    </row>
    <row r="479" spans="4:12" ht="12.5">
      <c r="D479" s="333"/>
      <c r="J479" s="334"/>
      <c r="L479" s="335"/>
    </row>
    <row r="480" spans="4:12" ht="12.5">
      <c r="D480" s="333"/>
      <c r="J480" s="334"/>
      <c r="L480" s="335"/>
    </row>
    <row r="481" spans="4:12" ht="12.5">
      <c r="D481" s="333"/>
      <c r="J481" s="334"/>
      <c r="L481" s="335"/>
    </row>
    <row r="482" spans="4:12" ht="12.5">
      <c r="D482" s="333"/>
      <c r="J482" s="334"/>
      <c r="L482" s="335"/>
    </row>
    <row r="483" spans="4:12" ht="12.5">
      <c r="D483" s="333"/>
      <c r="J483" s="334"/>
      <c r="L483" s="335"/>
    </row>
    <row r="484" spans="4:12" ht="12.5">
      <c r="D484" s="333"/>
      <c r="J484" s="334"/>
      <c r="L484" s="335"/>
    </row>
    <row r="485" spans="4:12" ht="12.5">
      <c r="D485" s="333"/>
      <c r="J485" s="334"/>
      <c r="L485" s="335"/>
    </row>
    <row r="486" spans="4:12" ht="12.5">
      <c r="D486" s="333"/>
      <c r="J486" s="334"/>
      <c r="L486" s="335"/>
    </row>
    <row r="487" spans="4:12" ht="12.5">
      <c r="D487" s="333"/>
      <c r="J487" s="334"/>
      <c r="L487" s="335"/>
    </row>
    <row r="488" spans="4:12" ht="12.5">
      <c r="D488" s="333"/>
      <c r="J488" s="334"/>
      <c r="L488" s="335"/>
    </row>
    <row r="489" spans="4:12" ht="12.5">
      <c r="D489" s="333"/>
      <c r="J489" s="334"/>
      <c r="L489" s="335"/>
    </row>
    <row r="490" spans="4:12" ht="12.5">
      <c r="D490" s="333"/>
      <c r="J490" s="334"/>
      <c r="L490" s="335"/>
    </row>
    <row r="491" spans="4:12" ht="12.5">
      <c r="D491" s="333"/>
      <c r="J491" s="334"/>
      <c r="L491" s="335"/>
    </row>
    <row r="492" spans="4:12" ht="12.5">
      <c r="D492" s="333"/>
      <c r="J492" s="334"/>
      <c r="L492" s="335"/>
    </row>
    <row r="493" spans="4:12" ht="12.5">
      <c r="D493" s="333"/>
      <c r="J493" s="334"/>
      <c r="L493" s="335"/>
    </row>
    <row r="494" spans="4:12" ht="12.5">
      <c r="D494" s="333"/>
      <c r="J494" s="334"/>
      <c r="L494" s="335"/>
    </row>
    <row r="495" spans="4:12" ht="12.5">
      <c r="D495" s="333"/>
      <c r="J495" s="334"/>
      <c r="L495" s="335"/>
    </row>
    <row r="496" spans="4:12" ht="12.5">
      <c r="D496" s="333"/>
      <c r="J496" s="334"/>
      <c r="L496" s="335"/>
    </row>
    <row r="497" spans="4:12" ht="12.5">
      <c r="D497" s="333"/>
      <c r="J497" s="334"/>
      <c r="L497" s="335"/>
    </row>
    <row r="498" spans="4:12" ht="12.5">
      <c r="D498" s="333"/>
      <c r="J498" s="334"/>
      <c r="L498" s="335"/>
    </row>
    <row r="499" spans="4:12" ht="12.5">
      <c r="D499" s="333"/>
      <c r="J499" s="334"/>
      <c r="L499" s="335"/>
    </row>
    <row r="500" spans="4:12" ht="12.5">
      <c r="D500" s="333"/>
      <c r="J500" s="334"/>
      <c r="L500" s="335"/>
    </row>
    <row r="501" spans="4:12" ht="12.5">
      <c r="D501" s="333"/>
      <c r="J501" s="334"/>
      <c r="L501" s="335"/>
    </row>
    <row r="502" spans="4:12" ht="12.5">
      <c r="D502" s="333"/>
      <c r="J502" s="334"/>
      <c r="L502" s="335"/>
    </row>
    <row r="503" spans="4:12" ht="12.5">
      <c r="D503" s="333"/>
      <c r="J503" s="334"/>
      <c r="L503" s="335"/>
    </row>
    <row r="504" spans="4:12" ht="12.5">
      <c r="D504" s="333"/>
      <c r="J504" s="334"/>
      <c r="L504" s="335"/>
    </row>
    <row r="505" spans="4:12" ht="12.5">
      <c r="D505" s="333"/>
      <c r="J505" s="334"/>
      <c r="L505" s="335"/>
    </row>
    <row r="506" spans="4:12" ht="12.5">
      <c r="D506" s="333"/>
      <c r="J506" s="334"/>
      <c r="L506" s="335"/>
    </row>
    <row r="507" spans="4:12" ht="12.5">
      <c r="D507" s="333"/>
      <c r="J507" s="334"/>
      <c r="L507" s="335"/>
    </row>
    <row r="508" spans="4:12" ht="12.5">
      <c r="D508" s="333"/>
      <c r="J508" s="334"/>
      <c r="L508" s="335"/>
    </row>
    <row r="509" spans="4:12" ht="12.5">
      <c r="D509" s="333"/>
      <c r="J509" s="334"/>
      <c r="L509" s="335"/>
    </row>
    <row r="510" spans="4:12" ht="12.5">
      <c r="D510" s="333"/>
      <c r="J510" s="334"/>
      <c r="L510" s="335"/>
    </row>
    <row r="511" spans="4:12" ht="12.5">
      <c r="D511" s="333"/>
      <c r="J511" s="334"/>
      <c r="L511" s="335"/>
    </row>
    <row r="512" spans="4:12" ht="12.5">
      <c r="D512" s="333"/>
      <c r="J512" s="334"/>
      <c r="L512" s="335"/>
    </row>
    <row r="513" spans="4:12" ht="12.5">
      <c r="D513" s="333"/>
      <c r="J513" s="334"/>
      <c r="L513" s="335"/>
    </row>
    <row r="514" spans="4:12" ht="12.5">
      <c r="D514" s="333"/>
      <c r="J514" s="334"/>
      <c r="L514" s="335"/>
    </row>
    <row r="515" spans="4:12" ht="12.5">
      <c r="D515" s="333"/>
      <c r="J515" s="334"/>
      <c r="L515" s="335"/>
    </row>
    <row r="516" spans="4:12" ht="12.5">
      <c r="D516" s="333"/>
      <c r="J516" s="334"/>
      <c r="L516" s="335"/>
    </row>
    <row r="517" spans="4:12" ht="12.5">
      <c r="D517" s="333"/>
      <c r="J517" s="334"/>
      <c r="L517" s="335"/>
    </row>
    <row r="518" spans="4:12" ht="12.5">
      <c r="D518" s="333"/>
      <c r="J518" s="334"/>
      <c r="L518" s="335"/>
    </row>
    <row r="519" spans="4:12" ht="12.5">
      <c r="D519" s="333"/>
      <c r="J519" s="334"/>
      <c r="L519" s="335"/>
    </row>
    <row r="520" spans="4:12" ht="12.5">
      <c r="D520" s="333"/>
      <c r="J520" s="334"/>
      <c r="L520" s="335"/>
    </row>
    <row r="521" spans="4:12" ht="12.5">
      <c r="D521" s="333"/>
      <c r="J521" s="334"/>
      <c r="L521" s="335"/>
    </row>
    <row r="522" spans="4:12" ht="12.5">
      <c r="D522" s="333"/>
      <c r="J522" s="334"/>
      <c r="L522" s="335"/>
    </row>
    <row r="523" spans="4:12" ht="12.5">
      <c r="D523" s="333"/>
      <c r="J523" s="334"/>
      <c r="L523" s="335"/>
    </row>
    <row r="524" spans="4:12" ht="12.5">
      <c r="D524" s="333"/>
      <c r="J524" s="334"/>
      <c r="L524" s="335"/>
    </row>
    <row r="525" spans="4:12" ht="12.5">
      <c r="D525" s="333"/>
      <c r="J525" s="334"/>
      <c r="L525" s="335"/>
    </row>
    <row r="526" spans="4:12" ht="12.5">
      <c r="D526" s="333"/>
      <c r="J526" s="334"/>
      <c r="L526" s="335"/>
    </row>
    <row r="527" spans="4:12" ht="12.5">
      <c r="D527" s="333"/>
      <c r="J527" s="334"/>
      <c r="L527" s="335"/>
    </row>
    <row r="528" spans="4:12" ht="12.5">
      <c r="D528" s="333"/>
      <c r="J528" s="334"/>
      <c r="L528" s="335"/>
    </row>
    <row r="529" spans="4:12" ht="12.5">
      <c r="D529" s="333"/>
      <c r="J529" s="334"/>
      <c r="L529" s="335"/>
    </row>
    <row r="530" spans="4:12" ht="12.5">
      <c r="D530" s="333"/>
      <c r="J530" s="334"/>
      <c r="L530" s="335"/>
    </row>
    <row r="531" spans="4:12" ht="12.5">
      <c r="D531" s="333"/>
      <c r="J531" s="334"/>
      <c r="L531" s="335"/>
    </row>
    <row r="532" spans="4:12" ht="12.5">
      <c r="D532" s="333"/>
      <c r="J532" s="334"/>
      <c r="L532" s="335"/>
    </row>
    <row r="533" spans="4:12" ht="12.5">
      <c r="D533" s="333"/>
      <c r="J533" s="334"/>
      <c r="L533" s="335"/>
    </row>
    <row r="534" spans="4:12" ht="12.5">
      <c r="D534" s="333"/>
      <c r="J534" s="334"/>
      <c r="L534" s="335"/>
    </row>
    <row r="535" spans="4:12" ht="12.5">
      <c r="D535" s="333"/>
      <c r="J535" s="334"/>
      <c r="L535" s="335"/>
    </row>
    <row r="536" spans="4:12" ht="12.5">
      <c r="D536" s="333"/>
      <c r="J536" s="334"/>
      <c r="L536" s="335"/>
    </row>
    <row r="537" spans="4:12" ht="12.5">
      <c r="D537" s="333"/>
      <c r="J537" s="334"/>
      <c r="L537" s="335"/>
    </row>
    <row r="538" spans="4:12" ht="12.5">
      <c r="D538" s="333"/>
      <c r="J538" s="334"/>
      <c r="L538" s="335"/>
    </row>
    <row r="539" spans="4:12" ht="12.5">
      <c r="D539" s="333"/>
      <c r="J539" s="334"/>
      <c r="L539" s="335"/>
    </row>
    <row r="540" spans="4:12" ht="12.5">
      <c r="D540" s="333"/>
      <c r="J540" s="334"/>
      <c r="L540" s="335"/>
    </row>
    <row r="541" spans="4:12" ht="12.5">
      <c r="D541" s="333"/>
      <c r="J541" s="334"/>
      <c r="L541" s="335"/>
    </row>
    <row r="542" spans="4:12" ht="12.5">
      <c r="D542" s="333"/>
      <c r="J542" s="334"/>
      <c r="L542" s="335"/>
    </row>
    <row r="543" spans="4:12" ht="12.5">
      <c r="D543" s="333"/>
      <c r="J543" s="334"/>
      <c r="L543" s="335"/>
    </row>
    <row r="544" spans="4:12" ht="12.5">
      <c r="D544" s="333"/>
      <c r="J544" s="334"/>
      <c r="L544" s="335"/>
    </row>
    <row r="545" spans="4:12" ht="12.5">
      <c r="D545" s="333"/>
      <c r="J545" s="334"/>
      <c r="L545" s="335"/>
    </row>
    <row r="546" spans="4:12" ht="12.5">
      <c r="D546" s="333"/>
      <c r="J546" s="334"/>
      <c r="L546" s="335"/>
    </row>
    <row r="547" spans="4:12" ht="12.5">
      <c r="D547" s="333"/>
      <c r="J547" s="334"/>
      <c r="L547" s="335"/>
    </row>
    <row r="548" spans="4:12" ht="12.5">
      <c r="D548" s="333"/>
      <c r="J548" s="334"/>
      <c r="L548" s="335"/>
    </row>
    <row r="549" spans="4:12" ht="12.5">
      <c r="D549" s="333"/>
      <c r="J549" s="334"/>
      <c r="L549" s="335"/>
    </row>
    <row r="550" spans="4:12" ht="12.5">
      <c r="D550" s="333"/>
      <c r="J550" s="334"/>
      <c r="L550" s="335"/>
    </row>
    <row r="551" spans="4:12" ht="12.5">
      <c r="D551" s="333"/>
      <c r="J551" s="334"/>
      <c r="L551" s="335"/>
    </row>
    <row r="552" spans="4:12" ht="12.5">
      <c r="D552" s="333"/>
      <c r="J552" s="334"/>
      <c r="L552" s="335"/>
    </row>
    <row r="553" spans="4:12" ht="12.5">
      <c r="D553" s="333"/>
      <c r="J553" s="334"/>
      <c r="L553" s="335"/>
    </row>
    <row r="554" spans="4:12" ht="12.5">
      <c r="D554" s="333"/>
      <c r="J554" s="334"/>
      <c r="L554" s="335"/>
    </row>
    <row r="555" spans="4:12" ht="12.5">
      <c r="D555" s="333"/>
      <c r="J555" s="334"/>
      <c r="L555" s="335"/>
    </row>
    <row r="556" spans="4:12" ht="12.5">
      <c r="D556" s="333"/>
      <c r="J556" s="334"/>
      <c r="L556" s="335"/>
    </row>
    <row r="557" spans="4:12" ht="12.5">
      <c r="D557" s="333"/>
      <c r="J557" s="334"/>
      <c r="L557" s="335"/>
    </row>
    <row r="558" spans="4:12" ht="12.5">
      <c r="D558" s="333"/>
      <c r="J558" s="334"/>
      <c r="L558" s="335"/>
    </row>
    <row r="559" spans="4:12" ht="12.5">
      <c r="D559" s="333"/>
      <c r="J559" s="334"/>
      <c r="L559" s="335"/>
    </row>
    <row r="560" spans="4:12" ht="12.5">
      <c r="D560" s="333"/>
      <c r="J560" s="334"/>
      <c r="L560" s="335"/>
    </row>
    <row r="561" spans="4:12" ht="12.5">
      <c r="D561" s="333"/>
      <c r="J561" s="334"/>
      <c r="L561" s="335"/>
    </row>
    <row r="562" spans="4:12" ht="12.5">
      <c r="D562" s="333"/>
      <c r="J562" s="334"/>
      <c r="L562" s="335"/>
    </row>
    <row r="563" spans="4:12" ht="12.5">
      <c r="D563" s="333"/>
      <c r="J563" s="334"/>
      <c r="L563" s="335"/>
    </row>
    <row r="564" spans="4:12" ht="12.5">
      <c r="D564" s="333"/>
      <c r="J564" s="334"/>
      <c r="L564" s="335"/>
    </row>
    <row r="565" spans="4:12" ht="12.5">
      <c r="D565" s="333"/>
      <c r="J565" s="334"/>
      <c r="L565" s="335"/>
    </row>
    <row r="566" spans="4:12" ht="12.5">
      <c r="D566" s="333"/>
      <c r="J566" s="334"/>
      <c r="L566" s="335"/>
    </row>
    <row r="567" spans="4:12" ht="12.5">
      <c r="D567" s="333"/>
      <c r="J567" s="334"/>
      <c r="L567" s="335"/>
    </row>
    <row r="568" spans="4:12" ht="12.5">
      <c r="D568" s="333"/>
      <c r="J568" s="334"/>
      <c r="L568" s="335"/>
    </row>
    <row r="569" spans="4:12" ht="12.5">
      <c r="D569" s="333"/>
      <c r="J569" s="334"/>
      <c r="L569" s="335"/>
    </row>
    <row r="570" spans="4:12" ht="12.5">
      <c r="D570" s="333"/>
      <c r="J570" s="334"/>
      <c r="L570" s="335"/>
    </row>
    <row r="571" spans="4:12" ht="12.5">
      <c r="D571" s="333"/>
      <c r="J571" s="334"/>
      <c r="L571" s="335"/>
    </row>
    <row r="572" spans="4:12" ht="12.5">
      <c r="D572" s="333"/>
      <c r="J572" s="334"/>
      <c r="L572" s="335"/>
    </row>
    <row r="573" spans="4:12" ht="12.5">
      <c r="D573" s="333"/>
      <c r="J573" s="334"/>
      <c r="L573" s="335"/>
    </row>
    <row r="574" spans="4:12" ht="12.5">
      <c r="D574" s="333"/>
      <c r="J574" s="334"/>
      <c r="L574" s="335"/>
    </row>
    <row r="575" spans="4:12" ht="12.5">
      <c r="D575" s="333"/>
      <c r="J575" s="334"/>
      <c r="L575" s="335"/>
    </row>
    <row r="576" spans="4:12" ht="12.5">
      <c r="D576" s="333"/>
      <c r="J576" s="334"/>
      <c r="L576" s="335"/>
    </row>
    <row r="577" spans="4:12" ht="12.5">
      <c r="D577" s="333"/>
      <c r="J577" s="334"/>
      <c r="L577" s="335"/>
    </row>
    <row r="578" spans="4:12" ht="12.5">
      <c r="D578" s="333"/>
      <c r="J578" s="334"/>
      <c r="L578" s="335"/>
    </row>
    <row r="579" spans="4:12" ht="12.5">
      <c r="D579" s="333"/>
      <c r="J579" s="334"/>
      <c r="L579" s="335"/>
    </row>
    <row r="580" spans="4:12" ht="12.5">
      <c r="D580" s="333"/>
      <c r="J580" s="334"/>
      <c r="L580" s="335"/>
    </row>
    <row r="581" spans="4:12" ht="12.5">
      <c r="D581" s="333"/>
      <c r="J581" s="334"/>
      <c r="L581" s="335"/>
    </row>
    <row r="582" spans="4:12" ht="12.5">
      <c r="D582" s="333"/>
      <c r="J582" s="334"/>
      <c r="L582" s="335"/>
    </row>
    <row r="583" spans="4:12" ht="12.5">
      <c r="D583" s="333"/>
      <c r="J583" s="334"/>
      <c r="L583" s="335"/>
    </row>
    <row r="584" spans="4:12" ht="12.5">
      <c r="D584" s="333"/>
      <c r="J584" s="334"/>
      <c r="L584" s="335"/>
    </row>
    <row r="585" spans="4:12" ht="12.5">
      <c r="D585" s="333"/>
      <c r="J585" s="334"/>
      <c r="L585" s="335"/>
    </row>
    <row r="586" spans="4:12" ht="12.5">
      <c r="D586" s="333"/>
      <c r="J586" s="334"/>
      <c r="L586" s="335"/>
    </row>
    <row r="587" spans="4:12" ht="12.5">
      <c r="D587" s="333"/>
      <c r="J587" s="334"/>
      <c r="L587" s="335"/>
    </row>
    <row r="588" spans="4:12" ht="12.5">
      <c r="D588" s="333"/>
      <c r="J588" s="334"/>
      <c r="L588" s="335"/>
    </row>
    <row r="589" spans="4:12" ht="12.5">
      <c r="D589" s="333"/>
      <c r="J589" s="334"/>
      <c r="L589" s="335"/>
    </row>
    <row r="590" spans="4:12" ht="12.5">
      <c r="D590" s="333"/>
      <c r="J590" s="334"/>
      <c r="L590" s="335"/>
    </row>
    <row r="591" spans="4:12" ht="12.5">
      <c r="D591" s="333"/>
      <c r="J591" s="334"/>
      <c r="L591" s="335"/>
    </row>
    <row r="592" spans="4:12" ht="12.5">
      <c r="D592" s="333"/>
      <c r="J592" s="334"/>
      <c r="L592" s="335"/>
    </row>
    <row r="593" spans="4:12" ht="12.5">
      <c r="D593" s="333"/>
      <c r="J593" s="334"/>
      <c r="L593" s="335"/>
    </row>
    <row r="594" spans="4:12" ht="12.5">
      <c r="D594" s="333"/>
      <c r="J594" s="334"/>
      <c r="L594" s="335"/>
    </row>
    <row r="595" spans="4:12" ht="12.5">
      <c r="D595" s="333"/>
      <c r="J595" s="334"/>
      <c r="L595" s="335"/>
    </row>
    <row r="596" spans="4:12" ht="12.5">
      <c r="D596" s="333"/>
      <c r="J596" s="334"/>
      <c r="L596" s="335"/>
    </row>
    <row r="597" spans="4:12" ht="12.5">
      <c r="D597" s="333"/>
      <c r="J597" s="334"/>
      <c r="L597" s="335"/>
    </row>
    <row r="598" spans="4:12" ht="12.5">
      <c r="D598" s="333"/>
      <c r="J598" s="334"/>
      <c r="L598" s="335"/>
    </row>
    <row r="599" spans="4:12" ht="12.5">
      <c r="D599" s="333"/>
      <c r="J599" s="334"/>
      <c r="L599" s="335"/>
    </row>
    <row r="600" spans="4:12" ht="12.5">
      <c r="D600" s="333"/>
      <c r="J600" s="334"/>
      <c r="L600" s="335"/>
    </row>
    <row r="601" spans="4:12" ht="12.5">
      <c r="D601" s="333"/>
      <c r="J601" s="334"/>
      <c r="L601" s="335"/>
    </row>
    <row r="602" spans="4:12" ht="12.5">
      <c r="D602" s="333"/>
      <c r="J602" s="334"/>
      <c r="L602" s="335"/>
    </row>
    <row r="603" spans="4:12" ht="12.5">
      <c r="D603" s="333"/>
      <c r="J603" s="334"/>
      <c r="L603" s="335"/>
    </row>
    <row r="604" spans="4:12" ht="12.5">
      <c r="D604" s="333"/>
      <c r="J604" s="334"/>
      <c r="L604" s="335"/>
    </row>
    <row r="605" spans="4:12" ht="12.5">
      <c r="D605" s="333"/>
      <c r="J605" s="334"/>
      <c r="L605" s="335"/>
    </row>
    <row r="606" spans="4:12" ht="12.5">
      <c r="D606" s="333"/>
      <c r="J606" s="334"/>
      <c r="L606" s="335"/>
    </row>
    <row r="607" spans="4:12" ht="12.5">
      <c r="D607" s="333"/>
      <c r="J607" s="334"/>
      <c r="L607" s="335"/>
    </row>
    <row r="608" spans="4:12" ht="12.5">
      <c r="D608" s="333"/>
      <c r="J608" s="334"/>
      <c r="L608" s="335"/>
    </row>
    <row r="609" spans="4:12" ht="12.5">
      <c r="D609" s="333"/>
      <c r="J609" s="334"/>
      <c r="L609" s="335"/>
    </row>
    <row r="610" spans="4:12" ht="12.5">
      <c r="D610" s="333"/>
      <c r="J610" s="334"/>
      <c r="L610" s="335"/>
    </row>
    <row r="611" spans="4:12" ht="12.5">
      <c r="D611" s="333"/>
      <c r="J611" s="334"/>
      <c r="L611" s="335"/>
    </row>
    <row r="612" spans="4:12" ht="12.5">
      <c r="D612" s="333"/>
      <c r="J612" s="334"/>
      <c r="L612" s="335"/>
    </row>
    <row r="613" spans="4:12" ht="12.5">
      <c r="D613" s="333"/>
      <c r="J613" s="334"/>
      <c r="L613" s="335"/>
    </row>
    <row r="614" spans="4:12" ht="12.5">
      <c r="D614" s="333"/>
      <c r="J614" s="334"/>
      <c r="L614" s="335"/>
    </row>
    <row r="615" spans="4:12" ht="12.5">
      <c r="D615" s="333"/>
      <c r="J615" s="334"/>
      <c r="L615" s="335"/>
    </row>
    <row r="616" spans="4:12" ht="12.5">
      <c r="D616" s="333"/>
      <c r="J616" s="334"/>
      <c r="L616" s="335"/>
    </row>
    <row r="617" spans="4:12" ht="12.5">
      <c r="D617" s="333"/>
      <c r="J617" s="334"/>
      <c r="L617" s="335"/>
    </row>
    <row r="618" spans="4:12" ht="12.5">
      <c r="D618" s="333"/>
      <c r="J618" s="334"/>
      <c r="L618" s="335"/>
    </row>
    <row r="619" spans="4:12" ht="12.5">
      <c r="D619" s="333"/>
      <c r="J619" s="334"/>
      <c r="L619" s="335"/>
    </row>
    <row r="620" spans="4:12" ht="12.5">
      <c r="D620" s="333"/>
      <c r="J620" s="334"/>
      <c r="L620" s="335"/>
    </row>
    <row r="621" spans="4:12" ht="12.5">
      <c r="D621" s="333"/>
      <c r="J621" s="334"/>
      <c r="L621" s="335"/>
    </row>
    <row r="622" spans="4:12" ht="12.5">
      <c r="D622" s="333"/>
      <c r="J622" s="334"/>
      <c r="L622" s="335"/>
    </row>
    <row r="623" spans="4:12" ht="12.5">
      <c r="D623" s="333"/>
      <c r="J623" s="334"/>
      <c r="L623" s="335"/>
    </row>
    <row r="624" spans="4:12" ht="12.5">
      <c r="D624" s="333"/>
      <c r="J624" s="334"/>
      <c r="L624" s="335"/>
    </row>
    <row r="625" spans="4:12" ht="12.5">
      <c r="D625" s="333"/>
      <c r="J625" s="334"/>
      <c r="L625" s="335"/>
    </row>
    <row r="626" spans="4:12" ht="12.5">
      <c r="D626" s="333"/>
      <c r="J626" s="334"/>
      <c r="L626" s="335"/>
    </row>
    <row r="627" spans="4:12" ht="12.5">
      <c r="D627" s="333"/>
      <c r="J627" s="334"/>
      <c r="L627" s="335"/>
    </row>
    <row r="628" spans="4:12" ht="12.5">
      <c r="D628" s="333"/>
      <c r="J628" s="334"/>
      <c r="L628" s="335"/>
    </row>
    <row r="629" spans="4:12" ht="12.5">
      <c r="D629" s="333"/>
      <c r="J629" s="334"/>
      <c r="L629" s="335"/>
    </row>
    <row r="630" spans="4:12" ht="12.5">
      <c r="D630" s="333"/>
      <c r="J630" s="334"/>
      <c r="L630" s="335"/>
    </row>
    <row r="631" spans="4:12" ht="12.5">
      <c r="D631" s="333"/>
      <c r="J631" s="334"/>
      <c r="L631" s="335"/>
    </row>
    <row r="632" spans="4:12" ht="12.5">
      <c r="D632" s="333"/>
      <c r="J632" s="334"/>
      <c r="L632" s="335"/>
    </row>
    <row r="633" spans="4:12" ht="12.5">
      <c r="D633" s="333"/>
      <c r="J633" s="334"/>
      <c r="L633" s="335"/>
    </row>
    <row r="634" spans="4:12" ht="12.5">
      <c r="D634" s="333"/>
      <c r="J634" s="334"/>
      <c r="L634" s="335"/>
    </row>
    <row r="635" spans="4:12" ht="12.5">
      <c r="D635" s="333"/>
      <c r="J635" s="334"/>
      <c r="L635" s="335"/>
    </row>
    <row r="636" spans="4:12" ht="12.5">
      <c r="D636" s="333"/>
      <c r="J636" s="334"/>
      <c r="L636" s="335"/>
    </row>
    <row r="637" spans="4:12" ht="12.5">
      <c r="D637" s="333"/>
      <c r="J637" s="334"/>
      <c r="L637" s="335"/>
    </row>
    <row r="638" spans="4:12" ht="12.5">
      <c r="D638" s="333"/>
      <c r="J638" s="334"/>
      <c r="L638" s="335"/>
    </row>
    <row r="639" spans="4:12" ht="12.5">
      <c r="D639" s="333"/>
      <c r="J639" s="334"/>
      <c r="L639" s="335"/>
    </row>
    <row r="640" spans="4:12" ht="12.5">
      <c r="D640" s="333"/>
      <c r="J640" s="334"/>
      <c r="L640" s="335"/>
    </row>
    <row r="641" spans="4:12" ht="12.5">
      <c r="D641" s="333"/>
      <c r="J641" s="334"/>
      <c r="L641" s="335"/>
    </row>
    <row r="642" spans="4:12" ht="12.5">
      <c r="D642" s="333"/>
      <c r="J642" s="334"/>
      <c r="L642" s="335"/>
    </row>
    <row r="643" spans="4:12" ht="12.5">
      <c r="D643" s="333"/>
      <c r="J643" s="334"/>
      <c r="L643" s="335"/>
    </row>
    <row r="644" spans="4:12" ht="12.5">
      <c r="D644" s="333"/>
      <c r="J644" s="334"/>
      <c r="L644" s="335"/>
    </row>
    <row r="645" spans="4:12" ht="12.5">
      <c r="D645" s="333"/>
      <c r="J645" s="334"/>
      <c r="L645" s="335"/>
    </row>
    <row r="646" spans="4:12" ht="12.5">
      <c r="D646" s="333"/>
      <c r="J646" s="334"/>
      <c r="L646" s="335"/>
    </row>
    <row r="647" spans="4:12" ht="12.5">
      <c r="D647" s="333"/>
      <c r="J647" s="334"/>
      <c r="L647" s="335"/>
    </row>
    <row r="648" spans="4:12" ht="12.5">
      <c r="D648" s="333"/>
      <c r="J648" s="334"/>
      <c r="L648" s="335"/>
    </row>
    <row r="649" spans="4:12" ht="12.5">
      <c r="D649" s="333"/>
      <c r="J649" s="334"/>
      <c r="L649" s="335"/>
    </row>
    <row r="650" spans="4:12" ht="12.5">
      <c r="D650" s="333"/>
      <c r="J650" s="334"/>
      <c r="L650" s="335"/>
    </row>
    <row r="651" spans="4:12" ht="12.5">
      <c r="D651" s="333"/>
      <c r="J651" s="334"/>
      <c r="L651" s="335"/>
    </row>
    <row r="652" spans="4:12" ht="12.5">
      <c r="D652" s="333"/>
      <c r="J652" s="334"/>
      <c r="L652" s="335"/>
    </row>
    <row r="653" spans="4:12" ht="12.5">
      <c r="D653" s="333"/>
      <c r="J653" s="334"/>
      <c r="L653" s="335"/>
    </row>
    <row r="654" spans="4:12" ht="12.5">
      <c r="D654" s="333"/>
      <c r="J654" s="334"/>
      <c r="L654" s="335"/>
    </row>
    <row r="655" spans="4:12" ht="12.5">
      <c r="D655" s="333"/>
      <c r="J655" s="334"/>
      <c r="L655" s="335"/>
    </row>
    <row r="656" spans="4:12" ht="12.5">
      <c r="D656" s="333"/>
      <c r="J656" s="334"/>
      <c r="L656" s="335"/>
    </row>
    <row r="657" spans="4:12" ht="12.5">
      <c r="D657" s="333"/>
      <c r="J657" s="334"/>
      <c r="L657" s="335"/>
    </row>
    <row r="658" spans="4:12" ht="12.5">
      <c r="D658" s="333"/>
      <c r="J658" s="334"/>
      <c r="L658" s="335"/>
    </row>
    <row r="659" spans="4:12" ht="12.5">
      <c r="D659" s="333"/>
      <c r="J659" s="334"/>
      <c r="L659" s="335"/>
    </row>
    <row r="660" spans="4:12" ht="12.5">
      <c r="D660" s="333"/>
      <c r="J660" s="334"/>
      <c r="L660" s="335"/>
    </row>
    <row r="661" spans="4:12" ht="12.5">
      <c r="D661" s="333"/>
      <c r="J661" s="334"/>
      <c r="L661" s="335"/>
    </row>
    <row r="662" spans="4:12" ht="12.5">
      <c r="D662" s="333"/>
      <c r="J662" s="334"/>
      <c r="L662" s="335"/>
    </row>
    <row r="663" spans="4:12" ht="12.5">
      <c r="D663" s="333"/>
      <c r="J663" s="334"/>
      <c r="L663" s="335"/>
    </row>
    <row r="664" spans="4:12" ht="12.5">
      <c r="D664" s="333"/>
      <c r="J664" s="334"/>
      <c r="L664" s="335"/>
    </row>
    <row r="665" spans="4:12" ht="12.5">
      <c r="D665" s="333"/>
      <c r="J665" s="334"/>
      <c r="L665" s="335"/>
    </row>
    <row r="666" spans="4:12" ht="12.5">
      <c r="D666" s="333"/>
      <c r="J666" s="334"/>
      <c r="L666" s="335"/>
    </row>
    <row r="667" spans="4:12" ht="12.5">
      <c r="D667" s="333"/>
      <c r="J667" s="334"/>
      <c r="L667" s="335"/>
    </row>
    <row r="668" spans="4:12" ht="12.5">
      <c r="D668" s="333"/>
      <c r="J668" s="334"/>
      <c r="L668" s="335"/>
    </row>
    <row r="669" spans="4:12" ht="12.5">
      <c r="D669" s="333"/>
      <c r="J669" s="334"/>
      <c r="L669" s="335"/>
    </row>
    <row r="670" spans="4:12" ht="12.5">
      <c r="D670" s="333"/>
      <c r="J670" s="334"/>
      <c r="L670" s="335"/>
    </row>
    <row r="671" spans="4:12" ht="12.5">
      <c r="D671" s="333"/>
      <c r="J671" s="334"/>
      <c r="L671" s="335"/>
    </row>
    <row r="672" spans="4:12" ht="12.5">
      <c r="D672" s="333"/>
      <c r="J672" s="334"/>
      <c r="L672" s="335"/>
    </row>
    <row r="673" spans="4:12" ht="12.5">
      <c r="D673" s="333"/>
      <c r="J673" s="334"/>
      <c r="L673" s="335"/>
    </row>
    <row r="674" spans="4:12" ht="12.5">
      <c r="D674" s="333"/>
      <c r="J674" s="334"/>
      <c r="L674" s="335"/>
    </row>
    <row r="675" spans="4:12" ht="12.5">
      <c r="D675" s="333"/>
      <c r="J675" s="334"/>
      <c r="L675" s="335"/>
    </row>
    <row r="676" spans="4:12" ht="12.5">
      <c r="D676" s="333"/>
      <c r="J676" s="334"/>
      <c r="L676" s="335"/>
    </row>
    <row r="677" spans="4:12" ht="12.5">
      <c r="D677" s="333"/>
      <c r="J677" s="334"/>
      <c r="L677" s="335"/>
    </row>
    <row r="678" spans="4:12" ht="12.5">
      <c r="D678" s="333"/>
      <c r="J678" s="334"/>
      <c r="L678" s="335"/>
    </row>
    <row r="679" spans="4:12" ht="12.5">
      <c r="D679" s="333"/>
      <c r="J679" s="334"/>
      <c r="L679" s="335"/>
    </row>
    <row r="680" spans="4:12" ht="12.5">
      <c r="D680" s="333"/>
      <c r="J680" s="334"/>
      <c r="L680" s="335"/>
    </row>
    <row r="681" spans="4:12" ht="12.5">
      <c r="D681" s="333"/>
      <c r="J681" s="334"/>
      <c r="L681" s="335"/>
    </row>
    <row r="682" spans="4:12" ht="12.5">
      <c r="D682" s="333"/>
      <c r="J682" s="334"/>
      <c r="L682" s="335"/>
    </row>
    <row r="683" spans="4:12" ht="12.5">
      <c r="D683" s="333"/>
      <c r="J683" s="334"/>
      <c r="L683" s="335"/>
    </row>
    <row r="684" spans="4:12" ht="12.5">
      <c r="D684" s="333"/>
      <c r="J684" s="334"/>
      <c r="L684" s="335"/>
    </row>
    <row r="685" spans="4:12" ht="12.5">
      <c r="D685" s="333"/>
      <c r="J685" s="334"/>
      <c r="L685" s="335"/>
    </row>
    <row r="686" spans="4:12" ht="12.5">
      <c r="D686" s="333"/>
      <c r="J686" s="334"/>
      <c r="L686" s="335"/>
    </row>
    <row r="687" spans="4:12" ht="12.5">
      <c r="D687" s="333"/>
      <c r="J687" s="334"/>
      <c r="L687" s="335"/>
    </row>
    <row r="688" spans="4:12" ht="12.5">
      <c r="D688" s="333"/>
      <c r="J688" s="334"/>
      <c r="L688" s="335"/>
    </row>
    <row r="689" spans="4:12" ht="12.5">
      <c r="D689" s="333"/>
      <c r="J689" s="334"/>
      <c r="L689" s="335"/>
    </row>
    <row r="690" spans="4:12" ht="12.5">
      <c r="D690" s="333"/>
      <c r="J690" s="334"/>
      <c r="L690" s="335"/>
    </row>
    <row r="691" spans="4:12" ht="12.5">
      <c r="D691" s="333"/>
      <c r="J691" s="334"/>
      <c r="L691" s="335"/>
    </row>
    <row r="692" spans="4:12" ht="12.5">
      <c r="D692" s="333"/>
      <c r="J692" s="334"/>
      <c r="L692" s="335"/>
    </row>
    <row r="693" spans="4:12" ht="12.5">
      <c r="D693" s="333"/>
      <c r="J693" s="334"/>
      <c r="L693" s="335"/>
    </row>
    <row r="694" spans="4:12" ht="12.5">
      <c r="D694" s="333"/>
      <c r="J694" s="334"/>
      <c r="L694" s="335"/>
    </row>
    <row r="695" spans="4:12" ht="12.5">
      <c r="D695" s="333"/>
      <c r="J695" s="334"/>
      <c r="L695" s="335"/>
    </row>
    <row r="696" spans="4:12" ht="12.5">
      <c r="D696" s="333"/>
      <c r="J696" s="334"/>
      <c r="L696" s="335"/>
    </row>
    <row r="697" spans="4:12" ht="12.5">
      <c r="D697" s="333"/>
      <c r="J697" s="334"/>
      <c r="L697" s="335"/>
    </row>
    <row r="698" spans="4:12" ht="12.5">
      <c r="D698" s="333"/>
      <c r="J698" s="334"/>
      <c r="L698" s="335"/>
    </row>
    <row r="699" spans="4:12" ht="12.5">
      <c r="D699" s="333"/>
      <c r="J699" s="334"/>
      <c r="L699" s="335"/>
    </row>
    <row r="700" spans="4:12" ht="12.5">
      <c r="D700" s="333"/>
      <c r="J700" s="334"/>
      <c r="L700" s="335"/>
    </row>
    <row r="701" spans="4:12" ht="12.5">
      <c r="D701" s="333"/>
      <c r="J701" s="334"/>
      <c r="L701" s="335"/>
    </row>
    <row r="702" spans="4:12" ht="12.5">
      <c r="D702" s="333"/>
      <c r="J702" s="334"/>
      <c r="L702" s="335"/>
    </row>
    <row r="703" spans="4:12" ht="12.5">
      <c r="D703" s="333"/>
      <c r="J703" s="334"/>
      <c r="L703" s="335"/>
    </row>
    <row r="704" spans="4:12" ht="12.5">
      <c r="D704" s="333"/>
      <c r="J704" s="334"/>
      <c r="L704" s="335"/>
    </row>
    <row r="705" spans="4:12" ht="12.5">
      <c r="D705" s="333"/>
      <c r="J705" s="334"/>
      <c r="L705" s="335"/>
    </row>
    <row r="706" spans="4:12" ht="12.5">
      <c r="D706" s="333"/>
      <c r="J706" s="334"/>
      <c r="L706" s="335"/>
    </row>
    <row r="707" spans="4:12" ht="12.5">
      <c r="D707" s="333"/>
      <c r="J707" s="334"/>
      <c r="L707" s="335"/>
    </row>
    <row r="708" spans="4:12" ht="12.5">
      <c r="D708" s="333"/>
      <c r="J708" s="334"/>
      <c r="L708" s="335"/>
    </row>
    <row r="709" spans="4:12" ht="12.5">
      <c r="D709" s="333"/>
      <c r="J709" s="334"/>
      <c r="L709" s="335"/>
    </row>
    <row r="710" spans="4:12" ht="12.5">
      <c r="D710" s="333"/>
      <c r="J710" s="334"/>
      <c r="L710" s="335"/>
    </row>
    <row r="711" spans="4:12" ht="12.5">
      <c r="D711" s="333"/>
      <c r="J711" s="334"/>
      <c r="L711" s="335"/>
    </row>
    <row r="712" spans="4:12" ht="12.5">
      <c r="D712" s="333"/>
      <c r="J712" s="334"/>
      <c r="L712" s="335"/>
    </row>
    <row r="713" spans="4:12" ht="12.5">
      <c r="D713" s="333"/>
      <c r="J713" s="334"/>
      <c r="L713" s="335"/>
    </row>
    <row r="714" spans="4:12" ht="12.5">
      <c r="D714" s="333"/>
      <c r="J714" s="334"/>
      <c r="L714" s="335"/>
    </row>
    <row r="715" spans="4:12" ht="12.5">
      <c r="D715" s="333"/>
      <c r="J715" s="334"/>
      <c r="L715" s="335"/>
    </row>
    <row r="716" spans="4:12" ht="12.5">
      <c r="D716" s="333"/>
      <c r="J716" s="334"/>
      <c r="L716" s="335"/>
    </row>
    <row r="717" spans="4:12" ht="12.5">
      <c r="D717" s="333"/>
      <c r="J717" s="334"/>
      <c r="L717" s="335"/>
    </row>
    <row r="718" spans="4:12" ht="12.5">
      <c r="D718" s="333"/>
      <c r="J718" s="334"/>
      <c r="L718" s="335"/>
    </row>
    <row r="719" spans="4:12" ht="12.5">
      <c r="D719" s="333"/>
      <c r="J719" s="334"/>
      <c r="L719" s="335"/>
    </row>
    <row r="720" spans="4:12" ht="12.5">
      <c r="D720" s="333"/>
      <c r="J720" s="334"/>
      <c r="L720" s="335"/>
    </row>
    <row r="721" spans="4:12" ht="12.5">
      <c r="D721" s="333"/>
      <c r="J721" s="334"/>
      <c r="L721" s="335"/>
    </row>
    <row r="722" spans="4:12" ht="12.5">
      <c r="D722" s="333"/>
      <c r="J722" s="334"/>
      <c r="L722" s="335"/>
    </row>
    <row r="723" spans="4:12" ht="12.5">
      <c r="D723" s="333"/>
      <c r="J723" s="334"/>
      <c r="L723" s="335"/>
    </row>
    <row r="724" spans="4:12" ht="12.5">
      <c r="D724" s="333"/>
      <c r="J724" s="334"/>
      <c r="L724" s="335"/>
    </row>
    <row r="725" spans="4:12" ht="12.5">
      <c r="D725" s="333"/>
      <c r="J725" s="334"/>
      <c r="L725" s="335"/>
    </row>
    <row r="726" spans="4:12" ht="12.5">
      <c r="D726" s="333"/>
      <c r="J726" s="334"/>
      <c r="L726" s="335"/>
    </row>
    <row r="727" spans="4:12" ht="12.5">
      <c r="D727" s="333"/>
      <c r="J727" s="334"/>
      <c r="L727" s="335"/>
    </row>
    <row r="728" spans="4:12" ht="12.5">
      <c r="D728" s="333"/>
      <c r="J728" s="334"/>
      <c r="L728" s="335"/>
    </row>
    <row r="729" spans="4:12" ht="12.5">
      <c r="D729" s="333"/>
      <c r="J729" s="334"/>
      <c r="L729" s="335"/>
    </row>
    <row r="730" spans="4:12" ht="12.5">
      <c r="D730" s="333"/>
      <c r="J730" s="334"/>
      <c r="L730" s="335"/>
    </row>
    <row r="731" spans="4:12" ht="12.5">
      <c r="D731" s="333"/>
      <c r="J731" s="334"/>
      <c r="L731" s="335"/>
    </row>
    <row r="732" spans="4:12" ht="12.5">
      <c r="D732" s="333"/>
      <c r="J732" s="334"/>
      <c r="L732" s="335"/>
    </row>
    <row r="733" spans="4:12" ht="12.5">
      <c r="D733" s="333"/>
      <c r="J733" s="334"/>
      <c r="L733" s="335"/>
    </row>
    <row r="734" spans="4:12" ht="12.5">
      <c r="D734" s="333"/>
      <c r="J734" s="334"/>
      <c r="L734" s="335"/>
    </row>
    <row r="735" spans="4:12" ht="12.5">
      <c r="D735" s="333"/>
      <c r="J735" s="334"/>
      <c r="L735" s="335"/>
    </row>
    <row r="736" spans="4:12" ht="12.5">
      <c r="D736" s="333"/>
      <c r="J736" s="334"/>
      <c r="L736" s="335"/>
    </row>
    <row r="737" spans="4:12" ht="12.5">
      <c r="D737" s="333"/>
      <c r="J737" s="334"/>
      <c r="L737" s="335"/>
    </row>
    <row r="738" spans="4:12" ht="12.5">
      <c r="D738" s="333"/>
      <c r="J738" s="334"/>
      <c r="L738" s="335"/>
    </row>
    <row r="739" spans="4:12" ht="12.5">
      <c r="D739" s="333"/>
      <c r="J739" s="334"/>
      <c r="L739" s="335"/>
    </row>
    <row r="740" spans="4:12" ht="12.5">
      <c r="D740" s="333"/>
      <c r="J740" s="334"/>
      <c r="L740" s="335"/>
    </row>
    <row r="741" spans="4:12" ht="12.5">
      <c r="D741" s="333"/>
      <c r="J741" s="334"/>
      <c r="L741" s="335"/>
    </row>
    <row r="742" spans="4:12" ht="12.5">
      <c r="D742" s="333"/>
      <c r="J742" s="334"/>
      <c r="L742" s="335"/>
    </row>
    <row r="743" spans="4:12" ht="12.5">
      <c r="D743" s="333"/>
      <c r="J743" s="334"/>
      <c r="L743" s="335"/>
    </row>
    <row r="744" spans="4:12" ht="12.5">
      <c r="D744" s="333"/>
      <c r="J744" s="334"/>
      <c r="L744" s="335"/>
    </row>
    <row r="745" spans="4:12" ht="12.5">
      <c r="D745" s="333"/>
      <c r="J745" s="334"/>
      <c r="L745" s="335"/>
    </row>
    <row r="746" spans="4:12" ht="12.5">
      <c r="D746" s="333"/>
      <c r="J746" s="334"/>
      <c r="L746" s="335"/>
    </row>
    <row r="747" spans="4:12" ht="12.5">
      <c r="D747" s="333"/>
      <c r="J747" s="334"/>
      <c r="L747" s="335"/>
    </row>
    <row r="748" spans="4:12" ht="12.5">
      <c r="D748" s="333"/>
      <c r="J748" s="334"/>
      <c r="L748" s="335"/>
    </row>
    <row r="749" spans="4:12" ht="12.5">
      <c r="D749" s="333"/>
      <c r="J749" s="334"/>
      <c r="L749" s="335"/>
    </row>
    <row r="750" spans="4:12" ht="12.5">
      <c r="D750" s="333"/>
      <c r="J750" s="334"/>
      <c r="L750" s="335"/>
    </row>
    <row r="751" spans="4:12" ht="12.5">
      <c r="D751" s="333"/>
      <c r="J751" s="334"/>
      <c r="L751" s="335"/>
    </row>
    <row r="752" spans="4:12" ht="12.5">
      <c r="D752" s="333"/>
      <c r="J752" s="334"/>
      <c r="L752" s="335"/>
    </row>
    <row r="753" spans="4:12" ht="12.5">
      <c r="D753" s="333"/>
      <c r="J753" s="334"/>
      <c r="L753" s="335"/>
    </row>
    <row r="754" spans="4:12" ht="12.5">
      <c r="D754" s="333"/>
      <c r="J754" s="334"/>
      <c r="L754" s="335"/>
    </row>
    <row r="755" spans="4:12" ht="12.5">
      <c r="D755" s="333"/>
      <c r="J755" s="334"/>
      <c r="L755" s="335"/>
    </row>
    <row r="756" spans="4:12" ht="12.5">
      <c r="D756" s="333"/>
      <c r="J756" s="334"/>
      <c r="L756" s="335"/>
    </row>
    <row r="757" spans="4:12" ht="12.5">
      <c r="D757" s="333"/>
      <c r="J757" s="334"/>
      <c r="L757" s="335"/>
    </row>
    <row r="758" spans="4:12" ht="12.5">
      <c r="D758" s="333"/>
      <c r="J758" s="334"/>
      <c r="L758" s="335"/>
    </row>
    <row r="759" spans="4:12" ht="12.5">
      <c r="D759" s="333"/>
      <c r="J759" s="334"/>
      <c r="L759" s="335"/>
    </row>
    <row r="760" spans="4:12" ht="12.5">
      <c r="D760" s="333"/>
      <c r="J760" s="334"/>
      <c r="L760" s="335"/>
    </row>
    <row r="761" spans="4:12" ht="12.5">
      <c r="D761" s="333"/>
      <c r="J761" s="334"/>
      <c r="L761" s="335"/>
    </row>
    <row r="762" spans="4:12" ht="12.5">
      <c r="D762" s="333"/>
      <c r="J762" s="334"/>
      <c r="L762" s="335"/>
    </row>
    <row r="763" spans="4:12" ht="12.5">
      <c r="D763" s="333"/>
      <c r="J763" s="334"/>
      <c r="L763" s="335"/>
    </row>
    <row r="764" spans="4:12" ht="12.5">
      <c r="D764" s="333"/>
      <c r="J764" s="334"/>
      <c r="L764" s="335"/>
    </row>
    <row r="765" spans="4:12" ht="12.5">
      <c r="D765" s="333"/>
      <c r="J765" s="334"/>
      <c r="L765" s="335"/>
    </row>
    <row r="766" spans="4:12" ht="12.5">
      <c r="D766" s="333"/>
      <c r="J766" s="334"/>
      <c r="L766" s="335"/>
    </row>
    <row r="767" spans="4:12" ht="12.5">
      <c r="D767" s="333"/>
      <c r="J767" s="334"/>
      <c r="L767" s="335"/>
    </row>
    <row r="768" spans="4:12" ht="12.5">
      <c r="D768" s="333"/>
      <c r="J768" s="334"/>
      <c r="L768" s="335"/>
    </row>
    <row r="769" spans="4:12" ht="12.5">
      <c r="D769" s="333"/>
      <c r="J769" s="334"/>
      <c r="L769" s="335"/>
    </row>
    <row r="770" spans="4:12" ht="12.5">
      <c r="D770" s="333"/>
      <c r="J770" s="334"/>
      <c r="L770" s="335"/>
    </row>
    <row r="771" spans="4:12" ht="12.5">
      <c r="D771" s="333"/>
      <c r="J771" s="334"/>
      <c r="L771" s="335"/>
    </row>
    <row r="772" spans="4:12" ht="12.5">
      <c r="D772" s="333"/>
      <c r="J772" s="334"/>
      <c r="L772" s="335"/>
    </row>
    <row r="773" spans="4:12" ht="12.5">
      <c r="D773" s="333"/>
      <c r="J773" s="334"/>
      <c r="L773" s="335"/>
    </row>
    <row r="774" spans="4:12" ht="12.5">
      <c r="D774" s="333"/>
      <c r="J774" s="334"/>
      <c r="L774" s="335"/>
    </row>
    <row r="775" spans="4:12" ht="12.5">
      <c r="D775" s="333"/>
      <c r="J775" s="334"/>
      <c r="L775" s="335"/>
    </row>
    <row r="776" spans="4:12" ht="12.5">
      <c r="D776" s="333"/>
      <c r="J776" s="334"/>
      <c r="L776" s="335"/>
    </row>
    <row r="777" spans="4:12" ht="12.5">
      <c r="D777" s="333"/>
      <c r="J777" s="334"/>
      <c r="L777" s="335"/>
    </row>
    <row r="778" spans="4:12" ht="12.5">
      <c r="D778" s="333"/>
      <c r="J778" s="334"/>
      <c r="L778" s="335"/>
    </row>
    <row r="779" spans="4:12" ht="12.5">
      <c r="D779" s="333"/>
      <c r="J779" s="334"/>
      <c r="L779" s="335"/>
    </row>
    <row r="780" spans="4:12" ht="12.5">
      <c r="D780" s="333"/>
      <c r="J780" s="334"/>
      <c r="L780" s="335"/>
    </row>
    <row r="781" spans="4:12" ht="12.5">
      <c r="D781" s="333"/>
      <c r="J781" s="334"/>
      <c r="L781" s="335"/>
    </row>
    <row r="782" spans="4:12" ht="12.5">
      <c r="D782" s="333"/>
      <c r="J782" s="334"/>
      <c r="L782" s="335"/>
    </row>
    <row r="783" spans="4:12" ht="12.5">
      <c r="D783" s="333"/>
      <c r="J783" s="334"/>
      <c r="L783" s="335"/>
    </row>
    <row r="784" spans="4:12" ht="12.5">
      <c r="D784" s="333"/>
      <c r="J784" s="334"/>
      <c r="L784" s="335"/>
    </row>
    <row r="785" spans="4:12" ht="12.5">
      <c r="D785" s="333"/>
      <c r="J785" s="334"/>
      <c r="L785" s="335"/>
    </row>
    <row r="786" spans="4:12" ht="12.5">
      <c r="D786" s="333"/>
      <c r="J786" s="334"/>
      <c r="L786" s="335"/>
    </row>
    <row r="787" spans="4:12" ht="12.5">
      <c r="D787" s="333"/>
      <c r="J787" s="334"/>
      <c r="L787" s="335"/>
    </row>
    <row r="788" spans="4:12" ht="12.5">
      <c r="D788" s="333"/>
      <c r="J788" s="334"/>
      <c r="L788" s="335"/>
    </row>
    <row r="789" spans="4:12" ht="12.5">
      <c r="D789" s="333"/>
      <c r="J789" s="334"/>
      <c r="L789" s="335"/>
    </row>
    <row r="790" spans="4:12" ht="12.5">
      <c r="D790" s="333"/>
      <c r="J790" s="334"/>
      <c r="L790" s="335"/>
    </row>
    <row r="791" spans="4:12" ht="12.5">
      <c r="D791" s="333"/>
      <c r="J791" s="334"/>
      <c r="L791" s="335"/>
    </row>
    <row r="792" spans="4:12" ht="12.5">
      <c r="D792" s="333"/>
      <c r="J792" s="334"/>
      <c r="L792" s="335"/>
    </row>
    <row r="793" spans="4:12" ht="12.5">
      <c r="D793" s="333"/>
      <c r="J793" s="334"/>
      <c r="L793" s="335"/>
    </row>
    <row r="794" spans="4:12" ht="12.5">
      <c r="D794" s="333"/>
      <c r="J794" s="334"/>
      <c r="L794" s="335"/>
    </row>
    <row r="795" spans="4:12" ht="12.5">
      <c r="D795" s="333"/>
      <c r="J795" s="334"/>
      <c r="L795" s="335"/>
    </row>
    <row r="796" spans="4:12" ht="12.5">
      <c r="D796" s="333"/>
      <c r="J796" s="334"/>
      <c r="L796" s="335"/>
    </row>
    <row r="797" spans="4:12" ht="12.5">
      <c r="D797" s="333"/>
      <c r="J797" s="334"/>
      <c r="L797" s="335"/>
    </row>
    <row r="798" spans="4:12" ht="12.5">
      <c r="D798" s="333"/>
      <c r="J798" s="334"/>
      <c r="L798" s="335"/>
    </row>
    <row r="799" spans="4:12" ht="12.5">
      <c r="D799" s="333"/>
      <c r="J799" s="334"/>
      <c r="L799" s="335"/>
    </row>
    <row r="800" spans="4:12" ht="12.5">
      <c r="D800" s="333"/>
      <c r="J800" s="334"/>
      <c r="L800" s="335"/>
    </row>
    <row r="801" spans="4:12" ht="12.5">
      <c r="D801" s="333"/>
      <c r="J801" s="334"/>
      <c r="L801" s="335"/>
    </row>
    <row r="802" spans="4:12" ht="12.5">
      <c r="D802" s="333"/>
      <c r="J802" s="334"/>
      <c r="L802" s="335"/>
    </row>
    <row r="803" spans="4:12" ht="12.5">
      <c r="D803" s="333"/>
      <c r="J803" s="334"/>
      <c r="L803" s="335"/>
    </row>
    <row r="804" spans="4:12" ht="12.5">
      <c r="D804" s="333"/>
      <c r="J804" s="334"/>
      <c r="L804" s="335"/>
    </row>
    <row r="805" spans="4:12" ht="12.5">
      <c r="D805" s="333"/>
      <c r="J805" s="334"/>
      <c r="L805" s="335"/>
    </row>
    <row r="806" spans="4:12" ht="12.5">
      <c r="D806" s="333"/>
      <c r="J806" s="334"/>
      <c r="L806" s="335"/>
    </row>
    <row r="807" spans="4:12" ht="12.5">
      <c r="D807" s="333"/>
      <c r="J807" s="334"/>
      <c r="L807" s="335"/>
    </row>
    <row r="808" spans="4:12" ht="12.5">
      <c r="D808" s="333"/>
      <c r="J808" s="334"/>
      <c r="L808" s="335"/>
    </row>
    <row r="809" spans="4:12" ht="12.5">
      <c r="D809" s="333"/>
      <c r="J809" s="334"/>
      <c r="L809" s="335"/>
    </row>
    <row r="810" spans="4:12" ht="12.5">
      <c r="D810" s="333"/>
      <c r="J810" s="334"/>
      <c r="L810" s="335"/>
    </row>
    <row r="811" spans="4:12" ht="12.5">
      <c r="D811" s="333"/>
      <c r="J811" s="334"/>
      <c r="L811" s="335"/>
    </row>
    <row r="812" spans="4:12" ht="12.5">
      <c r="D812" s="333"/>
      <c r="J812" s="334"/>
      <c r="L812" s="335"/>
    </row>
    <row r="813" spans="4:12" ht="12.5">
      <c r="D813" s="333"/>
      <c r="J813" s="334"/>
      <c r="L813" s="335"/>
    </row>
    <row r="814" spans="4:12" ht="12.5">
      <c r="D814" s="333"/>
      <c r="J814" s="334"/>
      <c r="L814" s="335"/>
    </row>
    <row r="815" spans="4:12" ht="12.5">
      <c r="D815" s="333"/>
      <c r="J815" s="334"/>
      <c r="L815" s="335"/>
    </row>
    <row r="816" spans="4:12" ht="12.5">
      <c r="D816" s="333"/>
      <c r="J816" s="334"/>
      <c r="L816" s="335"/>
    </row>
    <row r="817" spans="4:12" ht="12.5">
      <c r="D817" s="333"/>
      <c r="J817" s="334"/>
      <c r="L817" s="335"/>
    </row>
    <row r="818" spans="4:12" ht="12.5">
      <c r="D818" s="333"/>
      <c r="J818" s="334"/>
      <c r="L818" s="335"/>
    </row>
    <row r="819" spans="4:12" ht="12.5">
      <c r="D819" s="333"/>
      <c r="J819" s="334"/>
      <c r="L819" s="335"/>
    </row>
    <row r="820" spans="4:12" ht="12.5">
      <c r="D820" s="333"/>
      <c r="J820" s="334"/>
      <c r="L820" s="335"/>
    </row>
    <row r="821" spans="4:12" ht="12.5">
      <c r="D821" s="333"/>
      <c r="J821" s="334"/>
      <c r="L821" s="335"/>
    </row>
    <row r="822" spans="4:12" ht="12.5">
      <c r="D822" s="333"/>
      <c r="J822" s="334"/>
      <c r="L822" s="335"/>
    </row>
    <row r="823" spans="4:12" ht="12.5">
      <c r="D823" s="333"/>
      <c r="J823" s="334"/>
      <c r="L823" s="335"/>
    </row>
    <row r="824" spans="4:12" ht="12.5">
      <c r="D824" s="333"/>
      <c r="J824" s="334"/>
      <c r="L824" s="335"/>
    </row>
    <row r="825" spans="4:12" ht="12.5">
      <c r="D825" s="333"/>
      <c r="J825" s="334"/>
      <c r="L825" s="335"/>
    </row>
    <row r="826" spans="4:12" ht="12.5">
      <c r="D826" s="333"/>
      <c r="J826" s="334"/>
      <c r="L826" s="335"/>
    </row>
    <row r="827" spans="4:12" ht="12.5">
      <c r="D827" s="333"/>
      <c r="J827" s="334"/>
      <c r="L827" s="335"/>
    </row>
    <row r="828" spans="4:12" ht="12.5">
      <c r="D828" s="333"/>
      <c r="J828" s="334"/>
      <c r="L828" s="335"/>
    </row>
    <row r="829" spans="4:12" ht="12.5">
      <c r="D829" s="333"/>
      <c r="J829" s="334"/>
      <c r="L829" s="335"/>
    </row>
    <row r="830" spans="4:12" ht="12.5">
      <c r="D830" s="333"/>
      <c r="J830" s="334"/>
      <c r="L830" s="335"/>
    </row>
    <row r="831" spans="4:12" ht="12.5">
      <c r="D831" s="333"/>
      <c r="J831" s="334"/>
      <c r="L831" s="335"/>
    </row>
    <row r="832" spans="4:12" ht="12.5">
      <c r="D832" s="333"/>
      <c r="J832" s="334"/>
      <c r="L832" s="335"/>
    </row>
    <row r="833" spans="4:12" ht="12.5">
      <c r="D833" s="333"/>
      <c r="J833" s="334"/>
      <c r="L833" s="335"/>
    </row>
    <row r="834" spans="4:12" ht="12.5">
      <c r="D834" s="333"/>
      <c r="J834" s="334"/>
      <c r="L834" s="335"/>
    </row>
    <row r="835" spans="4:12" ht="12.5">
      <c r="D835" s="333"/>
      <c r="J835" s="334"/>
      <c r="L835" s="335"/>
    </row>
    <row r="836" spans="4:12" ht="12.5">
      <c r="D836" s="333"/>
      <c r="J836" s="334"/>
      <c r="L836" s="335"/>
    </row>
    <row r="837" spans="4:12" ht="12.5">
      <c r="D837" s="333"/>
      <c r="J837" s="334"/>
      <c r="L837" s="335"/>
    </row>
    <row r="838" spans="4:12" ht="12.5">
      <c r="D838" s="333"/>
      <c r="J838" s="334"/>
      <c r="L838" s="335"/>
    </row>
    <row r="839" spans="4:12" ht="12.5">
      <c r="D839" s="333"/>
      <c r="J839" s="334"/>
      <c r="L839" s="335"/>
    </row>
    <row r="840" spans="4:12" ht="12.5">
      <c r="D840" s="333"/>
      <c r="J840" s="334"/>
      <c r="L840" s="335"/>
    </row>
    <row r="841" spans="4:12" ht="12.5">
      <c r="D841" s="333"/>
      <c r="J841" s="334"/>
      <c r="L841" s="335"/>
    </row>
    <row r="842" spans="4:12" ht="12.5">
      <c r="D842" s="333"/>
      <c r="J842" s="334"/>
      <c r="L842" s="335"/>
    </row>
    <row r="843" spans="4:12" ht="12.5">
      <c r="D843" s="333"/>
      <c r="J843" s="334"/>
      <c r="L843" s="335"/>
    </row>
    <row r="844" spans="4:12" ht="12.5">
      <c r="D844" s="333"/>
      <c r="J844" s="334"/>
      <c r="L844" s="335"/>
    </row>
    <row r="845" spans="4:12" ht="12.5">
      <c r="D845" s="333"/>
      <c r="J845" s="334"/>
      <c r="L845" s="335"/>
    </row>
    <row r="846" spans="4:12" ht="12.5">
      <c r="D846" s="333"/>
      <c r="J846" s="334"/>
      <c r="L846" s="335"/>
    </row>
    <row r="847" spans="4:12" ht="12.5">
      <c r="D847" s="333"/>
      <c r="J847" s="334"/>
      <c r="L847" s="335"/>
    </row>
    <row r="848" spans="4:12" ht="12.5">
      <c r="D848" s="333"/>
      <c r="J848" s="334"/>
      <c r="L848" s="335"/>
    </row>
    <row r="849" spans="4:12" ht="12.5">
      <c r="D849" s="333"/>
      <c r="J849" s="334"/>
      <c r="L849" s="335"/>
    </row>
    <row r="850" spans="4:12" ht="12.5">
      <c r="D850" s="333"/>
      <c r="J850" s="334"/>
      <c r="L850" s="335"/>
    </row>
    <row r="851" spans="4:12" ht="12.5">
      <c r="D851" s="333"/>
      <c r="J851" s="334"/>
      <c r="L851" s="335"/>
    </row>
    <row r="852" spans="4:12" ht="12.5">
      <c r="D852" s="333"/>
      <c r="J852" s="334"/>
      <c r="L852" s="335"/>
    </row>
    <row r="853" spans="4:12" ht="12.5">
      <c r="D853" s="333"/>
      <c r="J853" s="334"/>
      <c r="L853" s="335"/>
    </row>
    <row r="854" spans="4:12" ht="12.5">
      <c r="D854" s="333"/>
      <c r="J854" s="334"/>
      <c r="L854" s="335"/>
    </row>
    <row r="855" spans="4:12" ht="12.5">
      <c r="D855" s="333"/>
      <c r="J855" s="334"/>
      <c r="L855" s="335"/>
    </row>
    <row r="856" spans="4:12" ht="12.5">
      <c r="D856" s="333"/>
      <c r="J856" s="334"/>
      <c r="L856" s="335"/>
    </row>
    <row r="857" spans="4:12" ht="12.5">
      <c r="D857" s="333"/>
      <c r="J857" s="334"/>
      <c r="L857" s="335"/>
    </row>
    <row r="858" spans="4:12" ht="12.5">
      <c r="D858" s="333"/>
      <c r="J858" s="334"/>
      <c r="L858" s="335"/>
    </row>
    <row r="859" spans="4:12" ht="12.5">
      <c r="D859" s="333"/>
      <c r="J859" s="334"/>
      <c r="L859" s="335"/>
    </row>
    <row r="860" spans="4:12" ht="12.5">
      <c r="D860" s="333"/>
      <c r="J860" s="334"/>
      <c r="L860" s="335"/>
    </row>
    <row r="861" spans="4:12" ht="12.5">
      <c r="D861" s="333"/>
      <c r="J861" s="334"/>
      <c r="L861" s="335"/>
    </row>
    <row r="862" spans="4:12" ht="12.5">
      <c r="D862" s="333"/>
      <c r="J862" s="334"/>
      <c r="L862" s="335"/>
    </row>
    <row r="863" spans="4:12" ht="12.5">
      <c r="D863" s="333"/>
      <c r="J863" s="334"/>
      <c r="L863" s="335"/>
    </row>
    <row r="864" spans="4:12" ht="12.5">
      <c r="D864" s="333"/>
      <c r="J864" s="334"/>
      <c r="L864" s="335"/>
    </row>
    <row r="865" spans="4:12" ht="12.5">
      <c r="D865" s="333"/>
      <c r="J865" s="334"/>
      <c r="L865" s="335"/>
    </row>
    <row r="866" spans="4:12" ht="12.5">
      <c r="D866" s="333"/>
      <c r="J866" s="334"/>
      <c r="L866" s="335"/>
    </row>
    <row r="867" spans="4:12" ht="12.5">
      <c r="D867" s="333"/>
      <c r="J867" s="334"/>
      <c r="L867" s="335"/>
    </row>
    <row r="868" spans="4:12" ht="12.5">
      <c r="D868" s="333"/>
      <c r="J868" s="334"/>
      <c r="L868" s="335"/>
    </row>
    <row r="869" spans="4:12" ht="12.5">
      <c r="D869" s="333"/>
      <c r="J869" s="334"/>
      <c r="L869" s="335"/>
    </row>
    <row r="870" spans="4:12" ht="12.5">
      <c r="D870" s="333"/>
      <c r="J870" s="334"/>
      <c r="L870" s="335"/>
    </row>
    <row r="871" spans="4:12" ht="12.5">
      <c r="D871" s="333"/>
      <c r="J871" s="334"/>
      <c r="L871" s="335"/>
    </row>
    <row r="872" spans="4:12" ht="12.5">
      <c r="D872" s="333"/>
      <c r="J872" s="334"/>
      <c r="L872" s="335"/>
    </row>
    <row r="873" spans="4:12" ht="12.5">
      <c r="D873" s="333"/>
      <c r="J873" s="334"/>
      <c r="L873" s="335"/>
    </row>
    <row r="874" spans="4:12" ht="12.5">
      <c r="D874" s="333"/>
      <c r="J874" s="334"/>
      <c r="L874" s="335"/>
    </row>
    <row r="875" spans="4:12" ht="12.5">
      <c r="D875" s="333"/>
      <c r="J875" s="334"/>
      <c r="L875" s="335"/>
    </row>
    <row r="876" spans="4:12" ht="12.5">
      <c r="D876" s="333"/>
      <c r="J876" s="334"/>
      <c r="L876" s="335"/>
    </row>
    <row r="877" spans="4:12" ht="12.5">
      <c r="D877" s="333"/>
      <c r="J877" s="334"/>
      <c r="L877" s="335"/>
    </row>
    <row r="878" spans="4:12" ht="12.5">
      <c r="D878" s="333"/>
      <c r="J878" s="334"/>
      <c r="L878" s="335"/>
    </row>
    <row r="879" spans="4:12" ht="12.5">
      <c r="D879" s="333"/>
      <c r="J879" s="334"/>
      <c r="L879" s="335"/>
    </row>
    <row r="880" spans="4:12" ht="12.5">
      <c r="D880" s="333"/>
      <c r="J880" s="334"/>
      <c r="L880" s="335"/>
    </row>
    <row r="881" spans="4:12" ht="12.5">
      <c r="D881" s="333"/>
      <c r="J881" s="334"/>
      <c r="L881" s="335"/>
    </row>
    <row r="882" spans="4:12" ht="12.5">
      <c r="D882" s="333"/>
      <c r="J882" s="334"/>
      <c r="L882" s="335"/>
    </row>
    <row r="883" spans="4:12" ht="12.5">
      <c r="D883" s="333"/>
      <c r="J883" s="334"/>
      <c r="L883" s="335"/>
    </row>
    <row r="884" spans="4:12" ht="12.5">
      <c r="D884" s="333"/>
      <c r="J884" s="334"/>
      <c r="L884" s="335"/>
    </row>
    <row r="885" spans="4:12" ht="12.5">
      <c r="D885" s="333"/>
      <c r="J885" s="334"/>
      <c r="L885" s="335"/>
    </row>
    <row r="886" spans="4:12" ht="12.5">
      <c r="D886" s="333"/>
      <c r="J886" s="334"/>
      <c r="L886" s="335"/>
    </row>
    <row r="887" spans="4:12" ht="12.5">
      <c r="D887" s="333"/>
      <c r="J887" s="334"/>
      <c r="L887" s="335"/>
    </row>
    <row r="888" spans="4:12" ht="12.5">
      <c r="D888" s="333"/>
      <c r="J888" s="334"/>
      <c r="L888" s="335"/>
    </row>
    <row r="889" spans="4:12" ht="12.5">
      <c r="D889" s="333"/>
      <c r="J889" s="334"/>
      <c r="L889" s="335"/>
    </row>
    <row r="890" spans="4:12" ht="12.5">
      <c r="D890" s="333"/>
      <c r="J890" s="334"/>
      <c r="L890" s="335"/>
    </row>
    <row r="891" spans="4:12" ht="12.5">
      <c r="D891" s="333"/>
      <c r="J891" s="334"/>
      <c r="L891" s="335"/>
    </row>
    <row r="892" spans="4:12" ht="12.5">
      <c r="D892" s="333"/>
      <c r="J892" s="334"/>
      <c r="L892" s="335"/>
    </row>
    <row r="893" spans="4:12" ht="12.5">
      <c r="D893" s="333"/>
      <c r="J893" s="334"/>
      <c r="L893" s="335"/>
    </row>
    <row r="894" spans="4:12" ht="12.5">
      <c r="D894" s="333"/>
      <c r="J894" s="334"/>
      <c r="L894" s="335"/>
    </row>
    <row r="895" spans="4:12" ht="12.5">
      <c r="D895" s="333"/>
      <c r="J895" s="334"/>
      <c r="L895" s="335"/>
    </row>
    <row r="896" spans="4:12" ht="12.5">
      <c r="D896" s="333"/>
      <c r="J896" s="334"/>
      <c r="L896" s="335"/>
    </row>
    <row r="897" spans="4:12" ht="12.5">
      <c r="D897" s="333"/>
      <c r="J897" s="334"/>
      <c r="L897" s="335"/>
    </row>
    <row r="898" spans="4:12" ht="12.5">
      <c r="D898" s="333"/>
      <c r="J898" s="334"/>
      <c r="L898" s="335"/>
    </row>
    <row r="899" spans="4:12" ht="12.5">
      <c r="D899" s="333"/>
      <c r="J899" s="334"/>
      <c r="L899" s="335"/>
    </row>
    <row r="900" spans="4:12" ht="12.5">
      <c r="D900" s="333"/>
      <c r="J900" s="334"/>
      <c r="L900" s="335"/>
    </row>
    <row r="901" spans="4:12" ht="12.5">
      <c r="D901" s="333"/>
      <c r="J901" s="334"/>
      <c r="L901" s="335"/>
    </row>
    <row r="902" spans="4:12" ht="12.5">
      <c r="D902" s="333"/>
      <c r="J902" s="334"/>
      <c r="L902" s="335"/>
    </row>
    <row r="903" spans="4:12" ht="12.5">
      <c r="D903" s="333"/>
      <c r="J903" s="334"/>
      <c r="L903" s="335"/>
    </row>
    <row r="904" spans="4:12" ht="12.5">
      <c r="D904" s="333"/>
      <c r="J904" s="334"/>
      <c r="L904" s="335"/>
    </row>
    <row r="905" spans="4:12" ht="12.5">
      <c r="D905" s="333"/>
      <c r="J905" s="334"/>
      <c r="L905" s="335"/>
    </row>
    <row r="906" spans="4:12" ht="12.5">
      <c r="D906" s="333"/>
      <c r="J906" s="334"/>
      <c r="L906" s="335"/>
    </row>
    <row r="907" spans="4:12" ht="12.5">
      <c r="D907" s="333"/>
      <c r="J907" s="334"/>
      <c r="L907" s="335"/>
    </row>
    <row r="908" spans="4:12" ht="12.5">
      <c r="D908" s="333"/>
      <c r="J908" s="334"/>
      <c r="L908" s="335"/>
    </row>
    <row r="909" spans="4:12" ht="12.5">
      <c r="D909" s="333"/>
      <c r="J909" s="334"/>
      <c r="L909" s="335"/>
    </row>
    <row r="910" spans="4:12" ht="12.5">
      <c r="D910" s="333"/>
      <c r="J910" s="334"/>
      <c r="L910" s="335"/>
    </row>
    <row r="911" spans="4:12" ht="12.5">
      <c r="D911" s="333"/>
      <c r="J911" s="334"/>
      <c r="L911" s="335"/>
    </row>
    <row r="912" spans="4:12" ht="12.5">
      <c r="D912" s="333"/>
      <c r="J912" s="334"/>
      <c r="L912" s="335"/>
    </row>
    <row r="913" spans="4:12" ht="12.5">
      <c r="D913" s="333"/>
      <c r="J913" s="334"/>
      <c r="L913" s="335"/>
    </row>
    <row r="914" spans="4:12" ht="12.5">
      <c r="D914" s="333"/>
      <c r="J914" s="334"/>
      <c r="L914" s="335"/>
    </row>
    <row r="915" spans="4:12" ht="12.5">
      <c r="D915" s="333"/>
      <c r="J915" s="334"/>
      <c r="L915" s="335"/>
    </row>
    <row r="916" spans="4:12" ht="12.5">
      <c r="D916" s="333"/>
      <c r="J916" s="334"/>
      <c r="L916" s="335"/>
    </row>
    <row r="917" spans="4:12" ht="12.5">
      <c r="D917" s="333"/>
      <c r="J917" s="334"/>
      <c r="L917" s="335"/>
    </row>
    <row r="918" spans="4:12" ht="12.5">
      <c r="D918" s="333"/>
      <c r="J918" s="334"/>
      <c r="L918" s="335"/>
    </row>
    <row r="919" spans="4:12" ht="12.5">
      <c r="D919" s="333"/>
      <c r="J919" s="334"/>
      <c r="L919" s="335"/>
    </row>
    <row r="920" spans="4:12" ht="12.5">
      <c r="D920" s="333"/>
      <c r="J920" s="334"/>
      <c r="L920" s="335"/>
    </row>
    <row r="921" spans="4:12" ht="12.5">
      <c r="D921" s="333"/>
      <c r="J921" s="334"/>
      <c r="L921" s="335"/>
    </row>
    <row r="922" spans="4:12" ht="12.5">
      <c r="D922" s="333"/>
      <c r="J922" s="334"/>
      <c r="L922" s="335"/>
    </row>
    <row r="923" spans="4:12" ht="12.5">
      <c r="D923" s="333"/>
      <c r="J923" s="334"/>
      <c r="L923" s="335"/>
    </row>
    <row r="924" spans="4:12" ht="12.5">
      <c r="D924" s="333"/>
      <c r="J924" s="334"/>
      <c r="L924" s="335"/>
    </row>
    <row r="925" spans="4:12" ht="12.5">
      <c r="D925" s="333"/>
      <c r="J925" s="334"/>
      <c r="L925" s="335"/>
    </row>
    <row r="926" spans="4:12" ht="12.5">
      <c r="D926" s="333"/>
      <c r="J926" s="334"/>
      <c r="L926" s="335"/>
    </row>
    <row r="927" spans="4:12" ht="12.5">
      <c r="D927" s="333"/>
      <c r="J927" s="334"/>
      <c r="L927" s="335"/>
    </row>
    <row r="928" spans="4:12" ht="12.5">
      <c r="D928" s="333"/>
      <c r="J928" s="334"/>
      <c r="L928" s="335"/>
    </row>
    <row r="929" spans="4:12" ht="12.5">
      <c r="D929" s="333"/>
      <c r="J929" s="334"/>
      <c r="L929" s="335"/>
    </row>
    <row r="930" spans="4:12" ht="12.5">
      <c r="D930" s="333"/>
      <c r="J930" s="334"/>
      <c r="L930" s="335"/>
    </row>
    <row r="931" spans="4:12" ht="12.5">
      <c r="D931" s="333"/>
      <c r="J931" s="334"/>
      <c r="L931" s="335"/>
    </row>
    <row r="932" spans="4:12" ht="12.5">
      <c r="D932" s="333"/>
      <c r="J932" s="334"/>
      <c r="L932" s="335"/>
    </row>
    <row r="933" spans="4:12" ht="12.5">
      <c r="D933" s="333"/>
      <c r="J933" s="334"/>
      <c r="L933" s="335"/>
    </row>
    <row r="934" spans="4:12" ht="12.5">
      <c r="D934" s="333"/>
      <c r="J934" s="334"/>
      <c r="L934" s="335"/>
    </row>
    <row r="935" spans="4:12" ht="12.5">
      <c r="D935" s="333"/>
      <c r="J935" s="334"/>
      <c r="L935" s="335"/>
    </row>
    <row r="936" spans="4:12" ht="12.5">
      <c r="D936" s="333"/>
      <c r="J936" s="334"/>
      <c r="L936" s="335"/>
    </row>
    <row r="937" spans="4:12" ht="12.5">
      <c r="D937" s="333"/>
      <c r="J937" s="334"/>
      <c r="L937" s="335"/>
    </row>
    <row r="938" spans="4:12" ht="12.5">
      <c r="D938" s="333"/>
      <c r="J938" s="334"/>
      <c r="L938" s="335"/>
    </row>
    <row r="939" spans="4:12" ht="12.5">
      <c r="D939" s="333"/>
      <c r="J939" s="334"/>
      <c r="L939" s="335"/>
    </row>
    <row r="940" spans="4:12" ht="12.5">
      <c r="D940" s="333"/>
      <c r="J940" s="334"/>
      <c r="L940" s="335"/>
    </row>
    <row r="941" spans="4:12" ht="12.5">
      <c r="D941" s="333"/>
      <c r="J941" s="334"/>
      <c r="L941" s="335"/>
    </row>
    <row r="942" spans="4:12" ht="12.5">
      <c r="D942" s="333"/>
      <c r="J942" s="334"/>
      <c r="L942" s="335"/>
    </row>
    <row r="943" spans="4:12" ht="12.5">
      <c r="D943" s="333"/>
      <c r="J943" s="334"/>
      <c r="L943" s="335"/>
    </row>
    <row r="944" spans="4:12" ht="12.5">
      <c r="D944" s="333"/>
      <c r="J944" s="334"/>
      <c r="L944" s="335"/>
    </row>
    <row r="945" spans="4:12" ht="12.5">
      <c r="D945" s="333"/>
      <c r="J945" s="334"/>
      <c r="L945" s="335"/>
    </row>
    <row r="946" spans="4:12" ht="12.5">
      <c r="D946" s="333"/>
      <c r="J946" s="334"/>
      <c r="L946" s="335"/>
    </row>
    <row r="947" spans="4:12" ht="12.5">
      <c r="D947" s="333"/>
      <c r="J947" s="334"/>
      <c r="L947" s="335"/>
    </row>
    <row r="948" spans="4:12" ht="12.5">
      <c r="D948" s="333"/>
      <c r="J948" s="334"/>
      <c r="L948" s="335"/>
    </row>
    <row r="949" spans="4:12" ht="12.5">
      <c r="D949" s="333"/>
      <c r="J949" s="334"/>
      <c r="L949" s="335"/>
    </row>
    <row r="950" spans="4:12" ht="12.5">
      <c r="D950" s="333"/>
      <c r="J950" s="334"/>
      <c r="L950" s="335"/>
    </row>
    <row r="951" spans="4:12" ht="12.5">
      <c r="D951" s="333"/>
      <c r="J951" s="334"/>
      <c r="L951" s="335"/>
    </row>
    <row r="952" spans="4:12" ht="12.5">
      <c r="D952" s="333"/>
      <c r="J952" s="334"/>
      <c r="L952" s="335"/>
    </row>
    <row r="953" spans="4:12" ht="12.5">
      <c r="D953" s="333"/>
      <c r="J953" s="334"/>
      <c r="L953" s="335"/>
    </row>
    <row r="954" spans="4:12" ht="12.5">
      <c r="D954" s="333"/>
      <c r="J954" s="334"/>
      <c r="L954" s="335"/>
    </row>
    <row r="955" spans="4:12" ht="12.5">
      <c r="D955" s="333"/>
      <c r="J955" s="334"/>
      <c r="L955" s="335"/>
    </row>
    <row r="956" spans="4:12" ht="12.5">
      <c r="D956" s="333"/>
      <c r="J956" s="334"/>
      <c r="L956" s="335"/>
    </row>
    <row r="957" spans="4:12" ht="12.5">
      <c r="D957" s="333"/>
      <c r="J957" s="334"/>
      <c r="L957" s="335"/>
    </row>
    <row r="958" spans="4:12" ht="12.5">
      <c r="D958" s="333"/>
      <c r="J958" s="334"/>
      <c r="L958" s="335"/>
    </row>
    <row r="959" spans="4:12" ht="12.5">
      <c r="D959" s="333"/>
      <c r="J959" s="334"/>
      <c r="L959" s="335"/>
    </row>
    <row r="960" spans="4:12" ht="12.5">
      <c r="D960" s="333"/>
      <c r="J960" s="334"/>
      <c r="L960" s="335"/>
    </row>
    <row r="961" spans="4:12" ht="12.5">
      <c r="D961" s="333"/>
      <c r="J961" s="334"/>
      <c r="L961" s="335"/>
    </row>
    <row r="962" spans="4:12" ht="12.5">
      <c r="D962" s="333"/>
      <c r="J962" s="334"/>
      <c r="L962" s="335"/>
    </row>
    <row r="963" spans="4:12" ht="12.5">
      <c r="D963" s="333"/>
      <c r="J963" s="334"/>
      <c r="L963" s="335"/>
    </row>
    <row r="964" spans="4:12" ht="12.5">
      <c r="D964" s="333"/>
      <c r="J964" s="334"/>
      <c r="L964" s="335"/>
    </row>
    <row r="965" spans="4:12" ht="12.5">
      <c r="D965" s="333"/>
      <c r="J965" s="334"/>
      <c r="L965" s="335"/>
    </row>
    <row r="966" spans="4:12" ht="12.5">
      <c r="D966" s="333"/>
      <c r="J966" s="334"/>
      <c r="L966" s="335"/>
    </row>
    <row r="967" spans="4:12" ht="12.5">
      <c r="D967" s="333"/>
      <c r="J967" s="334"/>
      <c r="L967" s="335"/>
    </row>
    <row r="968" spans="4:12" ht="12.5">
      <c r="D968" s="333"/>
      <c r="J968" s="334"/>
      <c r="L968" s="335"/>
    </row>
    <row r="969" spans="4:12" ht="12.5">
      <c r="D969" s="333"/>
      <c r="J969" s="334"/>
      <c r="L969" s="335"/>
    </row>
    <row r="970" spans="4:12" ht="12.5">
      <c r="D970" s="333"/>
      <c r="J970" s="334"/>
      <c r="L970" s="335"/>
    </row>
    <row r="971" spans="4:12" ht="12.5">
      <c r="D971" s="333"/>
      <c r="J971" s="334"/>
      <c r="L971" s="335"/>
    </row>
    <row r="972" spans="4:12" ht="12.5">
      <c r="D972" s="333"/>
      <c r="J972" s="334"/>
      <c r="L972" s="335"/>
    </row>
    <row r="973" spans="4:12" ht="12.5">
      <c r="D973" s="333"/>
      <c r="J973" s="334"/>
      <c r="L973" s="335"/>
    </row>
    <row r="974" spans="4:12" ht="12.5">
      <c r="D974" s="333"/>
      <c r="J974" s="334"/>
      <c r="L974" s="335"/>
    </row>
    <row r="975" spans="4:12" ht="12.5">
      <c r="D975" s="333"/>
      <c r="J975" s="334"/>
      <c r="L975" s="335"/>
    </row>
    <row r="976" spans="4:12" ht="12.5">
      <c r="D976" s="333"/>
      <c r="J976" s="334"/>
      <c r="L976" s="335"/>
    </row>
    <row r="977" spans="4:12" ht="12.5">
      <c r="D977" s="333"/>
      <c r="J977" s="334"/>
      <c r="L977" s="335"/>
    </row>
    <row r="978" spans="4:12" ht="12.5">
      <c r="D978" s="333"/>
      <c r="J978" s="334"/>
      <c r="L978" s="335"/>
    </row>
    <row r="979" spans="4:12" ht="12.5">
      <c r="D979" s="333"/>
      <c r="J979" s="334"/>
      <c r="L979" s="335"/>
    </row>
    <row r="980" spans="4:12" ht="12.5">
      <c r="D980" s="333"/>
      <c r="J980" s="334"/>
      <c r="L980" s="335"/>
    </row>
    <row r="981" spans="4:12" ht="12.5">
      <c r="D981" s="333"/>
      <c r="J981" s="334"/>
      <c r="L981" s="335"/>
    </row>
    <row r="982" spans="4:12" ht="12.5">
      <c r="D982" s="333"/>
      <c r="J982" s="334"/>
      <c r="L982" s="335"/>
    </row>
    <row r="983" spans="4:12" ht="12.5">
      <c r="D983" s="333"/>
      <c r="J983" s="334"/>
      <c r="L983" s="335"/>
    </row>
    <row r="984" spans="4:12" ht="12.5">
      <c r="D984" s="333"/>
      <c r="J984" s="334"/>
      <c r="L984" s="335"/>
    </row>
    <row r="985" spans="4:12" ht="12.5">
      <c r="D985" s="333"/>
      <c r="J985" s="334"/>
      <c r="L985" s="335"/>
    </row>
    <row r="986" spans="4:12" ht="12.5">
      <c r="D986" s="333"/>
      <c r="J986" s="334"/>
      <c r="L986" s="335"/>
    </row>
    <row r="987" spans="4:12" ht="12.5">
      <c r="D987" s="333"/>
      <c r="J987" s="334"/>
      <c r="L987" s="335"/>
    </row>
    <row r="988" spans="4:12" ht="12.5">
      <c r="D988" s="333"/>
      <c r="J988" s="334"/>
      <c r="L988" s="335"/>
    </row>
    <row r="989" spans="4:12" ht="12.5">
      <c r="D989" s="333"/>
      <c r="J989" s="334"/>
      <c r="L989" s="335"/>
    </row>
    <row r="990" spans="4:12" ht="12.5">
      <c r="D990" s="333"/>
      <c r="J990" s="334"/>
      <c r="L990" s="335"/>
    </row>
    <row r="991" spans="4:12" ht="12.5">
      <c r="D991" s="333"/>
      <c r="J991" s="334"/>
      <c r="L991" s="335"/>
    </row>
    <row r="992" spans="4:12" ht="12.5">
      <c r="D992" s="333"/>
      <c r="J992" s="334"/>
      <c r="L992" s="335"/>
    </row>
    <row r="993" spans="4:12" ht="12.5">
      <c r="D993" s="333"/>
      <c r="J993" s="334"/>
      <c r="L993" s="335"/>
    </row>
    <row r="994" spans="4:12" ht="12.5">
      <c r="D994" s="333"/>
      <c r="J994" s="334"/>
      <c r="L994" s="335"/>
    </row>
    <row r="995" spans="4:12" ht="12.5">
      <c r="D995" s="333"/>
      <c r="J995" s="334"/>
      <c r="L995" s="335"/>
    </row>
    <row r="996" spans="4:12" ht="12.5">
      <c r="D996" s="333"/>
      <c r="J996" s="334"/>
      <c r="L996" s="335"/>
    </row>
    <row r="997" spans="4:12" ht="12.5">
      <c r="D997" s="333"/>
      <c r="J997" s="334"/>
      <c r="L997" s="335"/>
    </row>
    <row r="998" spans="4:12" ht="12.5">
      <c r="D998" s="333"/>
      <c r="J998" s="334"/>
      <c r="L998" s="335"/>
    </row>
    <row r="999" spans="4:12" ht="12.5">
      <c r="D999" s="333"/>
      <c r="J999" s="334"/>
      <c r="L999" s="335"/>
    </row>
    <row r="1000" spans="4:12" ht="12.5">
      <c r="D1000" s="333"/>
      <c r="J1000" s="334"/>
      <c r="L1000" s="335"/>
    </row>
    <row r="1001" spans="4:12" ht="12.5">
      <c r="D1001" s="333"/>
      <c r="J1001" s="334"/>
      <c r="L1001" s="335"/>
    </row>
    <row r="1002" spans="4:12" ht="12.5">
      <c r="D1002" s="333"/>
      <c r="J1002" s="334"/>
      <c r="L1002" s="335"/>
    </row>
    <row r="1003" spans="4:12" ht="12.5">
      <c r="D1003" s="333"/>
      <c r="J1003" s="334"/>
      <c r="L1003" s="335"/>
    </row>
    <row r="1004" spans="4:12" ht="12.5">
      <c r="D1004" s="333"/>
      <c r="J1004" s="334"/>
      <c r="L1004" s="335"/>
    </row>
    <row r="1005" spans="4:12" ht="12.5">
      <c r="D1005" s="333"/>
      <c r="J1005" s="334"/>
      <c r="L1005" s="335"/>
    </row>
    <row r="1006" spans="4:12" ht="12.5">
      <c r="D1006" s="333"/>
      <c r="J1006" s="334"/>
      <c r="L1006" s="335"/>
    </row>
    <row r="1007" spans="4:12" ht="12.5">
      <c r="D1007" s="333"/>
      <c r="J1007" s="334"/>
      <c r="L1007" s="335"/>
    </row>
    <row r="1008" spans="4:12" ht="12.5">
      <c r="D1008" s="333"/>
      <c r="J1008" s="334"/>
      <c r="L1008" s="335"/>
    </row>
    <row r="1009" spans="4:12" ht="12.5">
      <c r="D1009" s="333"/>
      <c r="J1009" s="334"/>
      <c r="L1009" s="335"/>
    </row>
    <row r="1010" spans="4:12" ht="12.5">
      <c r="D1010" s="333"/>
      <c r="J1010" s="334"/>
      <c r="L1010" s="335"/>
    </row>
    <row r="1011" spans="4:12" ht="12.5">
      <c r="D1011" s="333"/>
      <c r="J1011" s="334"/>
      <c r="L1011" s="335"/>
    </row>
    <row r="1012" spans="4:12" ht="12.5">
      <c r="D1012" s="333"/>
      <c r="J1012" s="334"/>
      <c r="L1012" s="335"/>
    </row>
    <row r="1013" spans="4:12" ht="12.5">
      <c r="D1013" s="333"/>
      <c r="J1013" s="334"/>
      <c r="L1013" s="335"/>
    </row>
    <row r="1014" spans="4:12" ht="12.5">
      <c r="D1014" s="333"/>
      <c r="J1014" s="334"/>
      <c r="L1014" s="335"/>
    </row>
    <row r="1015" spans="4:12" ht="12.5">
      <c r="D1015" s="333"/>
      <c r="J1015" s="334"/>
      <c r="L1015" s="335"/>
    </row>
    <row r="1016" spans="4:12" ht="12.5">
      <c r="D1016" s="333"/>
      <c r="J1016" s="334"/>
      <c r="L1016" s="335"/>
    </row>
    <row r="1017" spans="4:12" ht="12.5">
      <c r="D1017" s="333"/>
      <c r="J1017" s="334"/>
      <c r="L1017" s="335"/>
    </row>
    <row r="1018" spans="4:12" ht="12.5">
      <c r="D1018" s="333"/>
      <c r="J1018" s="334"/>
      <c r="L1018" s="335"/>
    </row>
    <row r="1019" spans="4:12" ht="12.5">
      <c r="D1019" s="333"/>
      <c r="J1019" s="334"/>
      <c r="L1019" s="335"/>
    </row>
    <row r="1020" spans="4:12" ht="12.5">
      <c r="D1020" s="333"/>
      <c r="J1020" s="334"/>
      <c r="L1020" s="335"/>
    </row>
    <row r="1021" spans="4:12" ht="12.5">
      <c r="D1021" s="333"/>
      <c r="J1021" s="334"/>
      <c r="L1021" s="335"/>
    </row>
    <row r="1022" spans="4:12" ht="12.5">
      <c r="D1022" s="333"/>
      <c r="J1022" s="334"/>
      <c r="L1022" s="335"/>
    </row>
    <row r="1023" spans="4:12" ht="12.5">
      <c r="D1023" s="333"/>
      <c r="J1023" s="334"/>
      <c r="L1023" s="335"/>
    </row>
    <row r="1024" spans="4:12" ht="12.5">
      <c r="D1024" s="333"/>
      <c r="J1024" s="334"/>
      <c r="L1024" s="335"/>
    </row>
    <row r="1025" spans="4:12" ht="12.5">
      <c r="D1025" s="333"/>
      <c r="J1025" s="334"/>
      <c r="L1025" s="335"/>
    </row>
  </sheetData>
  <conditionalFormatting sqref="D2:D16 D19:D27">
    <cfRule type="notContainsBlanks" dxfId="0" priority="1">
      <formula>LEN(TRIM(D2))&gt;0</formula>
    </cfRule>
  </conditionalFormatting>
  <hyperlinks>
    <hyperlink ref="G10"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42"/>
  <sheetViews>
    <sheetView topLeftCell="A14" workbookViewId="0">
      <selection activeCell="B2" sqref="B2"/>
    </sheetView>
  </sheetViews>
  <sheetFormatPr baseColWidth="10" defaultColWidth="12.6328125" defaultRowHeight="15.75" customHeight="1"/>
  <cols>
    <col min="1" max="1" width="17.7265625" customWidth="1"/>
    <col min="3" max="3" width="14.90625" customWidth="1"/>
    <col min="4" max="4" width="68.26953125" customWidth="1"/>
    <col min="5" max="5" width="31.453125" customWidth="1"/>
    <col min="6" max="6" width="16.453125" customWidth="1"/>
    <col min="7" max="7" width="24.6328125" customWidth="1"/>
    <col min="9" max="9" width="15.08984375" customWidth="1"/>
    <col min="10" max="10" width="15.453125" customWidth="1"/>
    <col min="11" max="11" width="70.08984375" customWidth="1"/>
    <col min="12" max="12" width="96.453125" customWidth="1"/>
    <col min="22" max="23" width="12.6328125" style="368"/>
  </cols>
  <sheetData>
    <row r="1" spans="1:26" ht="45.75" customHeight="1">
      <c r="A1" s="319" t="s">
        <v>0</v>
      </c>
      <c r="B1" s="320"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row>
    <row r="2" spans="1:26" ht="54.75" customHeight="1">
      <c r="A2" s="258" t="s">
        <v>1535</v>
      </c>
      <c r="B2" s="257">
        <v>900000</v>
      </c>
      <c r="C2" s="258" t="s">
        <v>597</v>
      </c>
      <c r="D2" s="295" t="s">
        <v>1536</v>
      </c>
      <c r="E2" s="327" t="s">
        <v>1537</v>
      </c>
      <c r="F2" s="258">
        <v>3103345060</v>
      </c>
      <c r="G2" s="258" t="s">
        <v>1538</v>
      </c>
      <c r="H2" s="258" t="s">
        <v>1015</v>
      </c>
      <c r="I2" s="258" t="s">
        <v>1508</v>
      </c>
      <c r="J2" s="261" t="s">
        <v>1539</v>
      </c>
      <c r="K2" s="258" t="s">
        <v>1540</v>
      </c>
      <c r="L2" s="258" t="s">
        <v>1541</v>
      </c>
      <c r="M2" s="304"/>
      <c r="N2" s="258" t="s">
        <v>1508</v>
      </c>
      <c r="O2" s="258" t="s">
        <v>1542</v>
      </c>
      <c r="P2" s="258"/>
      <c r="Q2" s="258" t="s">
        <v>1527</v>
      </c>
      <c r="R2" s="258"/>
      <c r="S2" s="258"/>
      <c r="T2" s="240" t="s">
        <v>1410</v>
      </c>
      <c r="U2" s="240" t="s">
        <v>1410</v>
      </c>
      <c r="V2" s="379" t="s">
        <v>2690</v>
      </c>
      <c r="W2" s="264" t="s">
        <v>2680</v>
      </c>
      <c r="X2" s="258"/>
      <c r="Y2" s="258"/>
      <c r="Z2" s="258"/>
    </row>
    <row r="3" spans="1:26" ht="54.75" customHeight="1">
      <c r="A3" s="256" t="s">
        <v>913</v>
      </c>
      <c r="B3" s="257">
        <v>320000</v>
      </c>
      <c r="C3" s="258" t="s">
        <v>914</v>
      </c>
      <c r="D3" s="295" t="s">
        <v>1543</v>
      </c>
      <c r="E3" s="296" t="s">
        <v>1544</v>
      </c>
      <c r="F3" s="258">
        <v>3022127444</v>
      </c>
      <c r="G3" s="258" t="s">
        <v>906</v>
      </c>
      <c r="H3" s="258" t="s">
        <v>1015</v>
      </c>
      <c r="I3" s="258" t="s">
        <v>1545</v>
      </c>
      <c r="J3" s="261" t="s">
        <v>1539</v>
      </c>
      <c r="K3" s="384" t="s">
        <v>1546</v>
      </c>
      <c r="L3" s="379" t="s">
        <v>1547</v>
      </c>
      <c r="M3" s="304" t="s">
        <v>1534</v>
      </c>
      <c r="N3" s="258" t="s">
        <v>1451</v>
      </c>
      <c r="O3" s="258" t="s">
        <v>1542</v>
      </c>
      <c r="P3" s="258"/>
      <c r="Q3" s="258" t="s">
        <v>1548</v>
      </c>
      <c r="R3" s="258"/>
      <c r="S3" s="258"/>
      <c r="T3" s="240" t="s">
        <v>1410</v>
      </c>
      <c r="U3" s="240" t="s">
        <v>1410</v>
      </c>
      <c r="V3" s="379" t="s">
        <v>2691</v>
      </c>
      <c r="W3" s="379" t="s">
        <v>2654</v>
      </c>
      <c r="X3" s="258"/>
      <c r="Y3" s="258"/>
      <c r="Z3" s="258"/>
    </row>
    <row r="4" spans="1:26" ht="54.75" customHeight="1">
      <c r="A4" s="258" t="s">
        <v>1549</v>
      </c>
      <c r="B4" s="257">
        <v>437472</v>
      </c>
      <c r="C4" s="258" t="s">
        <v>568</v>
      </c>
      <c r="D4" s="295" t="s">
        <v>1550</v>
      </c>
      <c r="E4" s="327" t="s">
        <v>1551</v>
      </c>
      <c r="F4" s="258">
        <v>3212966161</v>
      </c>
      <c r="G4" s="258" t="s">
        <v>1552</v>
      </c>
      <c r="H4" s="258" t="s">
        <v>1015</v>
      </c>
      <c r="I4" s="258" t="s">
        <v>1553</v>
      </c>
      <c r="J4" s="261" t="s">
        <v>1554</v>
      </c>
      <c r="K4" s="385" t="s">
        <v>1555</v>
      </c>
      <c r="L4" s="258" t="s">
        <v>1556</v>
      </c>
      <c r="M4" s="304" t="s">
        <v>1534</v>
      </c>
      <c r="N4" s="258" t="s">
        <v>1557</v>
      </c>
      <c r="O4" s="258" t="s">
        <v>1542</v>
      </c>
      <c r="P4" s="258"/>
      <c r="Q4" s="258" t="s">
        <v>1360</v>
      </c>
      <c r="R4" s="258"/>
      <c r="S4" s="258"/>
      <c r="T4" s="240" t="s">
        <v>1410</v>
      </c>
      <c r="U4" s="240" t="s">
        <v>1410</v>
      </c>
      <c r="V4" s="379" t="s">
        <v>2584</v>
      </c>
      <c r="W4" s="379" t="s">
        <v>2654</v>
      </c>
      <c r="X4" s="258"/>
      <c r="Y4" s="258"/>
      <c r="Z4" s="258"/>
    </row>
    <row r="5" spans="1:26" ht="54.75" customHeight="1">
      <c r="A5" s="258" t="s">
        <v>1558</v>
      </c>
      <c r="B5" s="257">
        <v>4760000</v>
      </c>
      <c r="C5" s="36" t="s">
        <v>1559</v>
      </c>
      <c r="D5" s="295" t="s">
        <v>1560</v>
      </c>
      <c r="E5" s="327" t="s">
        <v>1561</v>
      </c>
      <c r="F5" s="36">
        <v>3007905447</v>
      </c>
      <c r="G5" s="258" t="s">
        <v>1562</v>
      </c>
      <c r="H5" s="258" t="s">
        <v>1015</v>
      </c>
      <c r="I5" s="258" t="s">
        <v>1563</v>
      </c>
      <c r="J5" s="261" t="s">
        <v>1564</v>
      </c>
      <c r="K5" s="384" t="s">
        <v>1565</v>
      </c>
      <c r="L5" s="258" t="s">
        <v>1455</v>
      </c>
      <c r="M5" s="304" t="s">
        <v>1566</v>
      </c>
      <c r="N5" s="258" t="s">
        <v>1557</v>
      </c>
      <c r="O5" s="258" t="s">
        <v>1542</v>
      </c>
      <c r="P5" s="258"/>
      <c r="Q5" s="258" t="s">
        <v>1490</v>
      </c>
      <c r="R5" s="258"/>
      <c r="S5" s="258"/>
      <c r="T5" s="258"/>
      <c r="U5" s="258"/>
      <c r="V5" s="384" t="s">
        <v>2606</v>
      </c>
      <c r="W5" s="379" t="s">
        <v>2637</v>
      </c>
      <c r="X5" s="258"/>
      <c r="Y5" s="258"/>
      <c r="Z5" s="258"/>
    </row>
    <row r="6" spans="1:26" ht="54.75" customHeight="1">
      <c r="A6" s="36" t="s">
        <v>1567</v>
      </c>
      <c r="B6" s="257">
        <v>360000</v>
      </c>
      <c r="C6" s="36" t="s">
        <v>914</v>
      </c>
      <c r="D6" s="295" t="s">
        <v>1568</v>
      </c>
      <c r="E6" s="327" t="s">
        <v>1569</v>
      </c>
      <c r="F6" s="258">
        <v>3163187249</v>
      </c>
      <c r="G6" s="258" t="s">
        <v>1570</v>
      </c>
      <c r="H6" s="258" t="s">
        <v>1015</v>
      </c>
      <c r="I6" s="258" t="s">
        <v>1571</v>
      </c>
      <c r="J6" s="261" t="s">
        <v>1572</v>
      </c>
      <c r="K6" s="384" t="s">
        <v>1573</v>
      </c>
      <c r="L6" s="258" t="s">
        <v>1455</v>
      </c>
      <c r="M6" s="304" t="s">
        <v>1574</v>
      </c>
      <c r="N6" s="258" t="s">
        <v>1575</v>
      </c>
      <c r="O6" s="258" t="s">
        <v>1542</v>
      </c>
      <c r="P6" s="258"/>
      <c r="Q6" s="258" t="s">
        <v>1548</v>
      </c>
      <c r="R6" s="258"/>
      <c r="S6" s="258"/>
      <c r="T6" s="240" t="s">
        <v>1410</v>
      </c>
      <c r="U6" s="240" t="s">
        <v>1410</v>
      </c>
      <c r="V6" s="384" t="s">
        <v>2637</v>
      </c>
      <c r="W6" s="264" t="s">
        <v>2637</v>
      </c>
      <c r="X6" s="258"/>
      <c r="Y6" s="258"/>
      <c r="Z6" s="258"/>
    </row>
    <row r="7" spans="1:26" ht="54.75" customHeight="1">
      <c r="A7" s="256">
        <v>9017140408</v>
      </c>
      <c r="B7" s="292">
        <v>600000</v>
      </c>
      <c r="C7" s="36" t="s">
        <v>1412</v>
      </c>
      <c r="D7" s="295" t="s">
        <v>1576</v>
      </c>
      <c r="E7" s="327" t="s">
        <v>1577</v>
      </c>
      <c r="F7" s="258" t="s">
        <v>1578</v>
      </c>
      <c r="G7" s="258" t="s">
        <v>1579</v>
      </c>
      <c r="H7" s="258" t="s">
        <v>1580</v>
      </c>
      <c r="I7" s="258" t="s">
        <v>1581</v>
      </c>
      <c r="J7" s="261" t="s">
        <v>1572</v>
      </c>
      <c r="K7" s="258" t="s">
        <v>1582</v>
      </c>
      <c r="L7" s="258" t="s">
        <v>1583</v>
      </c>
      <c r="M7" s="304"/>
      <c r="N7" s="258" t="s">
        <v>1451</v>
      </c>
      <c r="O7" s="258" t="s">
        <v>809</v>
      </c>
      <c r="P7" s="258"/>
      <c r="Q7" s="258" t="s">
        <v>1527</v>
      </c>
      <c r="R7" s="258"/>
      <c r="S7" s="258"/>
      <c r="T7" s="240" t="s">
        <v>1410</v>
      </c>
      <c r="U7" s="258"/>
      <c r="V7" s="384" t="s">
        <v>2607</v>
      </c>
      <c r="W7" s="264" t="s">
        <v>2686</v>
      </c>
      <c r="X7" s="258"/>
      <c r="Y7" s="258"/>
      <c r="Z7" s="258"/>
    </row>
    <row r="8" spans="1:26" ht="54.75" customHeight="1">
      <c r="A8" s="258">
        <v>9005039498</v>
      </c>
      <c r="B8" s="257">
        <v>389760</v>
      </c>
      <c r="C8" s="258" t="s">
        <v>1584</v>
      </c>
      <c r="D8" s="295" t="s">
        <v>1585</v>
      </c>
      <c r="E8" s="327" t="s">
        <v>1586</v>
      </c>
      <c r="F8" s="258">
        <v>3106052565</v>
      </c>
      <c r="G8" s="258" t="s">
        <v>1587</v>
      </c>
      <c r="H8" s="258" t="s">
        <v>1580</v>
      </c>
      <c r="I8" s="258" t="s">
        <v>1588</v>
      </c>
      <c r="J8" s="261" t="s">
        <v>1564</v>
      </c>
      <c r="K8" s="258" t="s">
        <v>1582</v>
      </c>
      <c r="L8" s="258" t="s">
        <v>1589</v>
      </c>
      <c r="M8" s="304"/>
      <c r="N8" s="258" t="s">
        <v>1451</v>
      </c>
      <c r="O8" s="258" t="s">
        <v>1542</v>
      </c>
      <c r="P8" s="258"/>
      <c r="Q8" s="258" t="s">
        <v>1548</v>
      </c>
      <c r="R8" s="258"/>
      <c r="S8" s="258"/>
      <c r="T8" s="240" t="s">
        <v>1410</v>
      </c>
      <c r="U8" s="258"/>
      <c r="V8" s="384" t="s">
        <v>2607</v>
      </c>
      <c r="W8" s="264" t="s">
        <v>2686</v>
      </c>
      <c r="X8" s="258"/>
      <c r="Y8" s="258"/>
      <c r="Z8" s="258"/>
    </row>
    <row r="9" spans="1:26" ht="54.75" customHeight="1">
      <c r="A9" s="258" t="s">
        <v>1590</v>
      </c>
      <c r="B9" s="257">
        <v>168000</v>
      </c>
      <c r="C9" s="36" t="s">
        <v>611</v>
      </c>
      <c r="D9" s="295" t="s">
        <v>1591</v>
      </c>
      <c r="E9" s="327" t="s">
        <v>1592</v>
      </c>
      <c r="F9" s="258">
        <v>3108190452</v>
      </c>
      <c r="G9" s="258" t="s">
        <v>1593</v>
      </c>
      <c r="H9" s="258" t="s">
        <v>1580</v>
      </c>
      <c r="I9" s="258" t="s">
        <v>1594</v>
      </c>
      <c r="J9" s="261" t="s">
        <v>1572</v>
      </c>
      <c r="K9" s="384" t="s">
        <v>1595</v>
      </c>
      <c r="L9" s="258" t="s">
        <v>1505</v>
      </c>
      <c r="M9" s="304"/>
      <c r="N9" s="258" t="s">
        <v>1451</v>
      </c>
      <c r="O9" s="258" t="s">
        <v>1542</v>
      </c>
      <c r="P9" s="258"/>
      <c r="Q9" s="258" t="s">
        <v>1127</v>
      </c>
      <c r="R9" s="258"/>
      <c r="S9" s="258"/>
      <c r="T9" s="240" t="s">
        <v>1410</v>
      </c>
      <c r="U9" s="258"/>
      <c r="V9" s="264" t="s">
        <v>2599</v>
      </c>
      <c r="W9" s="379" t="s">
        <v>2654</v>
      </c>
      <c r="X9" s="258"/>
      <c r="Y9" s="258"/>
      <c r="Z9" s="258"/>
    </row>
    <row r="10" spans="1:26" ht="54.75" customHeight="1">
      <c r="A10" s="256">
        <v>901229890</v>
      </c>
      <c r="B10" s="257">
        <v>300000</v>
      </c>
      <c r="C10" s="258" t="s">
        <v>1412</v>
      </c>
      <c r="D10" s="295" t="s">
        <v>1596</v>
      </c>
      <c r="E10" s="302" t="s">
        <v>1597</v>
      </c>
      <c r="F10" s="256">
        <v>3204847205</v>
      </c>
      <c r="G10" s="256" t="s">
        <v>1598</v>
      </c>
      <c r="H10" s="258" t="s">
        <v>1580</v>
      </c>
      <c r="I10" s="258" t="s">
        <v>1599</v>
      </c>
      <c r="J10" s="261" t="s">
        <v>1600</v>
      </c>
      <c r="K10" s="258" t="s">
        <v>1601</v>
      </c>
      <c r="L10" s="385" t="s">
        <v>1602</v>
      </c>
      <c r="M10" s="304"/>
      <c r="N10" s="258" t="s">
        <v>1603</v>
      </c>
      <c r="O10" s="258" t="s">
        <v>809</v>
      </c>
      <c r="P10" s="258"/>
      <c r="Q10" s="258" t="s">
        <v>1127</v>
      </c>
      <c r="R10" s="258"/>
      <c r="S10" s="258"/>
      <c r="T10" s="264" t="s">
        <v>1410</v>
      </c>
      <c r="U10" s="258"/>
      <c r="V10" s="384" t="s">
        <v>2608</v>
      </c>
      <c r="W10" s="264" t="s">
        <v>2678</v>
      </c>
      <c r="X10" s="258"/>
      <c r="Y10" s="258"/>
      <c r="Z10" s="258"/>
    </row>
    <row r="11" spans="1:26" ht="54.75" customHeight="1">
      <c r="A11" s="258" t="s">
        <v>1604</v>
      </c>
      <c r="B11" s="257">
        <v>400000</v>
      </c>
      <c r="C11" s="258" t="s">
        <v>944</v>
      </c>
      <c r="D11" s="295" t="s">
        <v>1605</v>
      </c>
      <c r="E11" s="327" t="s">
        <v>1606</v>
      </c>
      <c r="F11" s="258">
        <v>3132084288</v>
      </c>
      <c r="G11" s="258" t="s">
        <v>1607</v>
      </c>
      <c r="H11" s="258" t="s">
        <v>1015</v>
      </c>
      <c r="I11" s="258" t="s">
        <v>1216</v>
      </c>
      <c r="J11" s="261" t="s">
        <v>1608</v>
      </c>
      <c r="K11" s="384" t="s">
        <v>1609</v>
      </c>
      <c r="L11" s="258" t="s">
        <v>1610</v>
      </c>
      <c r="M11" s="304" t="s">
        <v>1611</v>
      </c>
      <c r="N11" s="258" t="s">
        <v>1557</v>
      </c>
      <c r="O11" s="258" t="s">
        <v>1542</v>
      </c>
      <c r="P11" s="258"/>
      <c r="Q11" s="258" t="s">
        <v>1127</v>
      </c>
      <c r="R11" s="258"/>
      <c r="S11" s="258"/>
      <c r="T11" s="240" t="s">
        <v>1410</v>
      </c>
      <c r="U11" s="240" t="s">
        <v>1410</v>
      </c>
      <c r="V11" s="264" t="s">
        <v>2575</v>
      </c>
      <c r="W11" s="264" t="s">
        <v>2672</v>
      </c>
      <c r="X11" s="258"/>
      <c r="Y11" s="258"/>
      <c r="Z11" s="258"/>
    </row>
    <row r="12" spans="1:26" ht="54.75" customHeight="1">
      <c r="A12" s="36">
        <v>9009512982</v>
      </c>
      <c r="B12" s="292">
        <v>236663</v>
      </c>
      <c r="C12" s="258" t="s">
        <v>611</v>
      </c>
      <c r="D12" s="295" t="s">
        <v>1612</v>
      </c>
      <c r="E12" s="327" t="s">
        <v>1613</v>
      </c>
      <c r="F12" s="258">
        <v>3113548512</v>
      </c>
      <c r="G12" s="258" t="s">
        <v>1614</v>
      </c>
      <c r="H12" s="258" t="s">
        <v>1015</v>
      </c>
      <c r="I12" s="258" t="s">
        <v>1615</v>
      </c>
      <c r="J12" s="261" t="s">
        <v>1608</v>
      </c>
      <c r="K12" s="384" t="s">
        <v>1616</v>
      </c>
      <c r="L12" s="258" t="s">
        <v>1617</v>
      </c>
      <c r="M12" s="304" t="s">
        <v>1611</v>
      </c>
      <c r="N12" s="258" t="s">
        <v>1557</v>
      </c>
      <c r="O12" s="258" t="s">
        <v>1542</v>
      </c>
      <c r="P12" s="258"/>
      <c r="Q12" s="258" t="s">
        <v>1490</v>
      </c>
      <c r="R12" s="258"/>
      <c r="S12" s="258"/>
      <c r="T12" s="240" t="s">
        <v>1410</v>
      </c>
      <c r="U12" s="240" t="s">
        <v>1410</v>
      </c>
      <c r="V12" s="264" t="s">
        <v>1617</v>
      </c>
      <c r="W12" s="379" t="s">
        <v>2637</v>
      </c>
      <c r="X12" s="258"/>
      <c r="Y12" s="258"/>
      <c r="Z12" s="258"/>
    </row>
    <row r="13" spans="1:26" ht="54.75" customHeight="1">
      <c r="A13" s="36" t="s">
        <v>1618</v>
      </c>
      <c r="B13" s="292">
        <v>416524</v>
      </c>
      <c r="C13" s="36" t="s">
        <v>637</v>
      </c>
      <c r="D13" s="295" t="s">
        <v>1619</v>
      </c>
      <c r="E13" s="327" t="s">
        <v>1620</v>
      </c>
      <c r="F13" s="258">
        <v>3102221414</v>
      </c>
      <c r="G13" s="326" t="s">
        <v>1621</v>
      </c>
      <c r="H13" s="258" t="s">
        <v>1015</v>
      </c>
      <c r="I13" s="258" t="s">
        <v>1516</v>
      </c>
      <c r="J13" s="261" t="s">
        <v>1622</v>
      </c>
      <c r="K13" s="384" t="s">
        <v>1623</v>
      </c>
      <c r="L13" s="258" t="s">
        <v>1624</v>
      </c>
      <c r="M13" s="304" t="s">
        <v>1625</v>
      </c>
      <c r="N13" s="258" t="s">
        <v>1557</v>
      </c>
      <c r="O13" s="258" t="s">
        <v>1542</v>
      </c>
      <c r="P13" s="258"/>
      <c r="Q13" s="258" t="s">
        <v>1626</v>
      </c>
      <c r="R13" s="258"/>
      <c r="S13" s="258"/>
      <c r="T13" s="240" t="s">
        <v>1410</v>
      </c>
      <c r="U13" s="240" t="s">
        <v>1410</v>
      </c>
      <c r="V13" s="384" t="s">
        <v>2692</v>
      </c>
      <c r="W13" s="264" t="s">
        <v>2672</v>
      </c>
      <c r="X13" s="258"/>
      <c r="Y13" s="258"/>
      <c r="Z13" s="258"/>
    </row>
    <row r="14" spans="1:26" ht="54.75" customHeight="1">
      <c r="A14" s="258" t="s">
        <v>1627</v>
      </c>
      <c r="B14" s="292">
        <v>168000</v>
      </c>
      <c r="C14" s="258" t="s">
        <v>624</v>
      </c>
      <c r="D14" s="295" t="s">
        <v>1628</v>
      </c>
      <c r="E14" s="327" t="s">
        <v>1629</v>
      </c>
      <c r="F14" s="36">
        <v>3115511587</v>
      </c>
      <c r="G14" s="258" t="s">
        <v>1630</v>
      </c>
      <c r="H14" s="258" t="s">
        <v>1015</v>
      </c>
      <c r="I14" s="258" t="s">
        <v>1631</v>
      </c>
      <c r="J14" s="261" t="s">
        <v>1632</v>
      </c>
      <c r="K14" s="384" t="s">
        <v>1633</v>
      </c>
      <c r="L14" s="258" t="s">
        <v>1505</v>
      </c>
      <c r="M14" s="304" t="s">
        <v>1625</v>
      </c>
      <c r="N14" s="258" t="s">
        <v>1557</v>
      </c>
      <c r="O14" s="258" t="s">
        <v>1542</v>
      </c>
      <c r="P14" s="258"/>
      <c r="Q14" s="258" t="s">
        <v>1548</v>
      </c>
      <c r="R14" s="258"/>
      <c r="S14" s="258"/>
      <c r="T14" s="240" t="s">
        <v>1410</v>
      </c>
      <c r="U14" s="240" t="s">
        <v>1410</v>
      </c>
      <c r="V14" s="384" t="s">
        <v>2693</v>
      </c>
      <c r="W14" s="379" t="s">
        <v>2654</v>
      </c>
      <c r="X14" s="258"/>
      <c r="Y14" s="258"/>
      <c r="Z14" s="258"/>
    </row>
    <row r="15" spans="1:26" ht="54.75" customHeight="1">
      <c r="A15" s="336" t="s">
        <v>1634</v>
      </c>
      <c r="B15" s="257">
        <v>324800</v>
      </c>
      <c r="C15" s="258" t="s">
        <v>914</v>
      </c>
      <c r="D15" s="295" t="s">
        <v>1635</v>
      </c>
      <c r="E15" s="324" t="s">
        <v>1636</v>
      </c>
      <c r="F15" s="325">
        <v>3053288011</v>
      </c>
      <c r="G15" s="325" t="s">
        <v>1637</v>
      </c>
      <c r="H15" s="258" t="s">
        <v>1015</v>
      </c>
      <c r="I15" s="258" t="s">
        <v>1638</v>
      </c>
      <c r="J15" s="261" t="s">
        <v>1639</v>
      </c>
      <c r="K15" s="384" t="s">
        <v>1640</v>
      </c>
      <c r="L15" s="258" t="s">
        <v>1505</v>
      </c>
      <c r="M15" s="304" t="s">
        <v>1625</v>
      </c>
      <c r="N15" s="258" t="s">
        <v>1557</v>
      </c>
      <c r="O15" s="258" t="s">
        <v>1542</v>
      </c>
      <c r="P15" s="258"/>
      <c r="Q15" s="258" t="s">
        <v>1548</v>
      </c>
      <c r="R15" s="258"/>
      <c r="S15" s="258"/>
      <c r="T15" s="240" t="s">
        <v>1410</v>
      </c>
      <c r="U15" s="240" t="s">
        <v>1410</v>
      </c>
      <c r="V15" s="384" t="s">
        <v>2584</v>
      </c>
      <c r="W15" s="379" t="s">
        <v>2654</v>
      </c>
      <c r="X15" s="258"/>
      <c r="Y15" s="258"/>
      <c r="Z15" s="258"/>
    </row>
    <row r="16" spans="1:26" ht="54.75" customHeight="1">
      <c r="A16" s="36" t="s">
        <v>1641</v>
      </c>
      <c r="B16" s="257">
        <v>536732</v>
      </c>
      <c r="C16" s="258" t="s">
        <v>637</v>
      </c>
      <c r="D16" s="295" t="s">
        <v>1642</v>
      </c>
      <c r="E16" s="327" t="s">
        <v>1643</v>
      </c>
      <c r="F16" s="36">
        <v>4444950</v>
      </c>
      <c r="G16" s="258" t="s">
        <v>1644</v>
      </c>
      <c r="H16" s="258" t="s">
        <v>1015</v>
      </c>
      <c r="I16" s="258" t="s">
        <v>1645</v>
      </c>
      <c r="J16" s="261" t="s">
        <v>1646</v>
      </c>
      <c r="K16" s="258" t="s">
        <v>1647</v>
      </c>
      <c r="L16" s="258" t="s">
        <v>1505</v>
      </c>
      <c r="M16" s="304" t="s">
        <v>1648</v>
      </c>
      <c r="N16" s="258" t="s">
        <v>1649</v>
      </c>
      <c r="O16" s="258" t="s">
        <v>1542</v>
      </c>
      <c r="P16" s="258"/>
      <c r="Q16" s="258" t="s">
        <v>1626</v>
      </c>
      <c r="R16" s="258"/>
      <c r="S16" s="258"/>
      <c r="T16" s="240" t="s">
        <v>1410</v>
      </c>
      <c r="U16" s="240" t="s">
        <v>1410</v>
      </c>
      <c r="V16" s="264" t="s">
        <v>2584</v>
      </c>
      <c r="W16" s="379" t="s">
        <v>2654</v>
      </c>
      <c r="X16" s="258"/>
      <c r="Y16" s="258"/>
      <c r="Z16" s="258"/>
    </row>
    <row r="17" spans="1:26" ht="54.75" customHeight="1">
      <c r="B17" s="337">
        <f>SUM(B2:B16)</f>
        <v>10317951</v>
      </c>
      <c r="C17" s="258"/>
      <c r="D17" s="295"/>
      <c r="G17" s="258"/>
      <c r="H17" s="258"/>
      <c r="I17" s="258"/>
      <c r="J17" s="261"/>
      <c r="K17" s="258"/>
      <c r="L17" s="258"/>
      <c r="M17" s="304"/>
      <c r="N17" s="258"/>
      <c r="O17" s="258"/>
      <c r="P17" s="258"/>
      <c r="Q17" s="258"/>
      <c r="R17" s="258"/>
      <c r="S17" s="258"/>
      <c r="T17" s="258"/>
      <c r="U17" s="258"/>
      <c r="V17" s="264"/>
      <c r="W17" s="264"/>
      <c r="X17" s="258"/>
      <c r="Y17" s="258"/>
      <c r="Z17" s="258"/>
    </row>
    <row r="18" spans="1:26" ht="54.75" customHeight="1">
      <c r="B18" s="258"/>
      <c r="C18" s="258"/>
      <c r="D18" s="295"/>
      <c r="G18" s="258"/>
      <c r="H18" s="258"/>
      <c r="I18" s="258"/>
      <c r="J18" s="261"/>
      <c r="K18" s="258"/>
      <c r="L18" s="258"/>
      <c r="M18" s="304"/>
      <c r="N18" s="258"/>
      <c r="O18" s="258"/>
      <c r="P18" s="258"/>
      <c r="Q18" s="258"/>
      <c r="R18" s="258"/>
      <c r="S18" s="258"/>
      <c r="T18" s="258"/>
      <c r="U18" s="258"/>
      <c r="V18" s="264"/>
      <c r="W18" s="264"/>
      <c r="X18" s="258"/>
      <c r="Y18" s="258"/>
      <c r="Z18" s="258"/>
    </row>
    <row r="19" spans="1:26" ht="54.75" customHeight="1">
      <c r="B19" s="258"/>
      <c r="C19" s="258"/>
      <c r="D19" s="295"/>
      <c r="G19" s="258"/>
      <c r="H19" s="258"/>
      <c r="I19" s="258"/>
      <c r="J19" s="261"/>
      <c r="K19" s="258"/>
      <c r="L19" s="258"/>
      <c r="M19" s="304"/>
      <c r="N19" s="258"/>
      <c r="O19" s="258"/>
      <c r="P19" s="258"/>
      <c r="Q19" s="258"/>
      <c r="R19" s="258"/>
      <c r="S19" s="258"/>
      <c r="T19" s="258"/>
      <c r="U19" s="258"/>
      <c r="V19" s="264"/>
      <c r="W19" s="264"/>
      <c r="X19" s="258"/>
      <c r="Y19" s="258"/>
      <c r="Z19" s="258"/>
    </row>
    <row r="20" spans="1:26" ht="54.75" customHeight="1">
      <c r="B20" s="258"/>
      <c r="C20" s="258"/>
      <c r="D20" s="295"/>
      <c r="G20" s="258"/>
      <c r="H20" s="258"/>
      <c r="I20" s="258"/>
      <c r="J20" s="261"/>
      <c r="K20" s="258"/>
      <c r="L20" s="258"/>
      <c r="M20" s="304"/>
      <c r="N20" s="258"/>
      <c r="O20" s="258"/>
      <c r="P20" s="258"/>
      <c r="Q20" s="258"/>
      <c r="R20" s="258"/>
      <c r="S20" s="258"/>
      <c r="T20" s="258"/>
      <c r="U20" s="258"/>
      <c r="V20" s="264"/>
      <c r="W20" s="264"/>
      <c r="X20" s="258"/>
      <c r="Y20" s="258"/>
      <c r="Z20" s="258"/>
    </row>
    <row r="21" spans="1:26" ht="54.75" customHeight="1">
      <c r="B21" s="258"/>
      <c r="C21" s="258"/>
      <c r="D21" s="295"/>
      <c r="G21" s="258"/>
      <c r="H21" s="258"/>
      <c r="I21" s="258"/>
      <c r="J21" s="261"/>
      <c r="K21" s="258"/>
      <c r="L21" s="258"/>
      <c r="M21" s="304"/>
      <c r="N21" s="258"/>
      <c r="O21" s="258"/>
      <c r="P21" s="258"/>
      <c r="Q21" s="258"/>
      <c r="R21" s="258"/>
      <c r="S21" s="258"/>
      <c r="T21" s="258"/>
      <c r="U21" s="258"/>
      <c r="V21" s="264"/>
      <c r="W21" s="264"/>
      <c r="X21" s="258"/>
      <c r="Y21" s="258"/>
      <c r="Z21" s="258"/>
    </row>
    <row r="22" spans="1:26" ht="54.75" customHeight="1">
      <c r="B22" s="258"/>
      <c r="C22" s="258"/>
      <c r="D22" s="295"/>
      <c r="G22" s="258"/>
      <c r="H22" s="258"/>
      <c r="I22" s="258"/>
      <c r="J22" s="261"/>
      <c r="K22" s="258"/>
      <c r="L22" s="258"/>
      <c r="M22" s="304"/>
      <c r="N22" s="258"/>
      <c r="O22" s="258"/>
      <c r="P22" s="258"/>
      <c r="Q22" s="258"/>
      <c r="R22" s="258"/>
      <c r="S22" s="258"/>
      <c r="T22" s="258"/>
      <c r="U22" s="258"/>
      <c r="V22" s="264"/>
      <c r="W22" s="264"/>
      <c r="X22" s="258"/>
      <c r="Y22" s="258"/>
      <c r="Z22" s="258"/>
    </row>
    <row r="23" spans="1:26" ht="54.75" customHeight="1">
      <c r="A23" s="258"/>
      <c r="B23" s="257"/>
      <c r="C23" s="258"/>
      <c r="D23" s="295"/>
      <c r="E23" s="36"/>
      <c r="F23" s="258"/>
      <c r="G23" s="258"/>
      <c r="H23" s="258"/>
      <c r="I23" s="258"/>
      <c r="J23" s="261"/>
      <c r="K23" s="258"/>
      <c r="L23" s="258"/>
      <c r="M23" s="304"/>
      <c r="N23" s="258"/>
      <c r="O23" s="258"/>
      <c r="P23" s="258"/>
      <c r="Q23" s="258"/>
      <c r="R23" s="258"/>
      <c r="S23" s="258"/>
      <c r="T23" s="258"/>
      <c r="U23" s="258"/>
      <c r="V23" s="264"/>
      <c r="W23" s="264"/>
      <c r="X23" s="258"/>
      <c r="Y23" s="258"/>
      <c r="Z23" s="258"/>
    </row>
    <row r="24" spans="1:26" ht="54.75" customHeight="1">
      <c r="A24" s="258"/>
      <c r="B24" s="257"/>
      <c r="C24" s="258"/>
      <c r="D24" s="295"/>
      <c r="E24" s="36"/>
      <c r="F24" s="258"/>
      <c r="G24" s="258"/>
      <c r="H24" s="258"/>
      <c r="I24" s="258"/>
      <c r="J24" s="261"/>
      <c r="K24" s="258"/>
      <c r="L24" s="258"/>
      <c r="M24" s="304"/>
      <c r="N24" s="258"/>
      <c r="O24" s="258"/>
      <c r="P24" s="258"/>
      <c r="Q24" s="258"/>
      <c r="R24" s="258"/>
      <c r="S24" s="258"/>
      <c r="T24" s="258"/>
      <c r="U24" s="258"/>
      <c r="V24" s="264"/>
      <c r="W24" s="264"/>
      <c r="X24" s="258"/>
      <c r="Y24" s="258"/>
      <c r="Z24" s="258"/>
    </row>
    <row r="25" spans="1:26" ht="54.75" customHeight="1">
      <c r="A25" s="258"/>
      <c r="B25" s="257"/>
      <c r="C25" s="258"/>
      <c r="D25" s="295"/>
      <c r="E25" s="36"/>
      <c r="F25" s="258"/>
      <c r="G25" s="258"/>
      <c r="H25" s="258"/>
      <c r="I25" s="258"/>
      <c r="J25" s="261"/>
      <c r="K25" s="258"/>
      <c r="L25" s="258"/>
      <c r="M25" s="304"/>
      <c r="N25" s="258"/>
      <c r="O25" s="258"/>
      <c r="P25" s="258"/>
      <c r="Q25" s="258"/>
      <c r="R25" s="258"/>
      <c r="S25" s="258"/>
      <c r="T25" s="258"/>
      <c r="U25" s="258"/>
      <c r="V25" s="264"/>
      <c r="W25" s="264"/>
      <c r="X25" s="258"/>
      <c r="Y25" s="258"/>
      <c r="Z25" s="258"/>
    </row>
    <row r="26" spans="1:26" ht="54.75" customHeight="1">
      <c r="A26" s="258"/>
      <c r="B26" s="257"/>
      <c r="C26" s="258"/>
      <c r="D26" s="295"/>
      <c r="E26" s="36"/>
      <c r="F26" s="258"/>
      <c r="G26" s="258"/>
      <c r="H26" s="258"/>
      <c r="I26" s="258"/>
      <c r="J26" s="261"/>
      <c r="K26" s="258"/>
      <c r="L26" s="258"/>
      <c r="M26" s="304"/>
      <c r="N26" s="258"/>
      <c r="O26" s="258"/>
      <c r="P26" s="258"/>
      <c r="Q26" s="258"/>
      <c r="R26" s="258"/>
      <c r="S26" s="258"/>
      <c r="T26" s="258"/>
      <c r="U26" s="258"/>
      <c r="V26" s="264"/>
      <c r="W26" s="264"/>
      <c r="X26" s="258"/>
      <c r="Y26" s="258"/>
      <c r="Z26" s="258"/>
    </row>
    <row r="27" spans="1:26" ht="54.75" customHeight="1">
      <c r="A27" s="258"/>
      <c r="B27" s="257"/>
      <c r="C27" s="258"/>
      <c r="D27" s="295"/>
      <c r="E27" s="36"/>
      <c r="F27" s="258"/>
      <c r="G27" s="258"/>
      <c r="H27" s="258"/>
      <c r="I27" s="258"/>
      <c r="J27" s="261"/>
      <c r="K27" s="258"/>
      <c r="L27" s="258"/>
      <c r="M27" s="304"/>
      <c r="N27" s="258"/>
      <c r="O27" s="258"/>
      <c r="P27" s="258"/>
      <c r="Q27" s="258"/>
      <c r="R27" s="258"/>
      <c r="S27" s="258"/>
      <c r="T27" s="258"/>
      <c r="U27" s="258"/>
      <c r="V27" s="264"/>
      <c r="W27" s="264"/>
      <c r="X27" s="258"/>
      <c r="Y27" s="258"/>
      <c r="Z27" s="258"/>
    </row>
    <row r="28" spans="1:26" ht="54.75" customHeight="1">
      <c r="A28" s="258"/>
      <c r="B28" s="257"/>
      <c r="C28" s="258"/>
      <c r="D28" s="295"/>
      <c r="E28" s="36"/>
      <c r="F28" s="258"/>
      <c r="G28" s="258"/>
      <c r="H28" s="258"/>
      <c r="I28" s="258"/>
      <c r="J28" s="261"/>
      <c r="K28" s="258"/>
      <c r="L28" s="258"/>
      <c r="M28" s="304"/>
      <c r="N28" s="258"/>
      <c r="O28" s="258"/>
      <c r="P28" s="258"/>
      <c r="Q28" s="258"/>
      <c r="R28" s="258"/>
      <c r="S28" s="258"/>
      <c r="T28" s="258"/>
      <c r="U28" s="258"/>
      <c r="V28" s="264"/>
      <c r="W28" s="264"/>
      <c r="X28" s="258"/>
      <c r="Y28" s="258"/>
      <c r="Z28" s="258"/>
    </row>
    <row r="29" spans="1:26" ht="54.75" customHeight="1">
      <c r="A29" s="258"/>
      <c r="B29" s="257"/>
      <c r="C29" s="258"/>
      <c r="D29" s="295"/>
      <c r="E29" s="36"/>
      <c r="F29" s="258"/>
      <c r="G29" s="258"/>
      <c r="H29" s="258"/>
      <c r="I29" s="258"/>
      <c r="J29" s="261"/>
      <c r="K29" s="258"/>
      <c r="L29" s="258"/>
      <c r="M29" s="304"/>
      <c r="N29" s="258"/>
      <c r="O29" s="258"/>
      <c r="P29" s="258"/>
      <c r="Q29" s="258"/>
      <c r="R29" s="258"/>
      <c r="S29" s="258"/>
      <c r="T29" s="258"/>
      <c r="U29" s="258"/>
      <c r="V29" s="264"/>
      <c r="W29" s="264"/>
      <c r="X29" s="258"/>
      <c r="Y29" s="258"/>
      <c r="Z29" s="258"/>
    </row>
    <row r="30" spans="1:26" ht="54.75" customHeight="1">
      <c r="A30" s="258"/>
      <c r="B30" s="257"/>
      <c r="C30" s="258"/>
      <c r="D30" s="295"/>
      <c r="E30" s="36"/>
      <c r="F30" s="258"/>
      <c r="G30" s="258"/>
      <c r="H30" s="258"/>
      <c r="I30" s="258"/>
      <c r="J30" s="261"/>
      <c r="K30" s="258"/>
      <c r="L30" s="258"/>
      <c r="M30" s="304"/>
      <c r="N30" s="258"/>
      <c r="O30" s="258"/>
      <c r="P30" s="258"/>
      <c r="Q30" s="258"/>
      <c r="R30" s="258"/>
      <c r="S30" s="258"/>
      <c r="T30" s="258"/>
      <c r="U30" s="258"/>
      <c r="V30" s="264"/>
      <c r="W30" s="264"/>
      <c r="X30" s="258"/>
      <c r="Y30" s="258"/>
      <c r="Z30" s="258"/>
    </row>
    <row r="31" spans="1:26" ht="54.75" customHeight="1">
      <c r="A31" s="258"/>
      <c r="B31" s="257"/>
      <c r="C31" s="258"/>
      <c r="D31" s="295"/>
      <c r="E31" s="36"/>
      <c r="F31" s="258"/>
      <c r="G31" s="258"/>
      <c r="H31" s="258"/>
      <c r="I31" s="258"/>
      <c r="J31" s="261"/>
      <c r="K31" s="258"/>
      <c r="L31" s="258"/>
      <c r="M31" s="304"/>
      <c r="N31" s="258"/>
      <c r="O31" s="258"/>
      <c r="P31" s="258"/>
      <c r="Q31" s="258"/>
      <c r="R31" s="258"/>
      <c r="S31" s="258"/>
      <c r="T31" s="258"/>
      <c r="U31" s="258"/>
      <c r="V31" s="264"/>
      <c r="W31" s="264"/>
      <c r="X31" s="258"/>
      <c r="Y31" s="258"/>
      <c r="Z31" s="258"/>
    </row>
    <row r="32" spans="1:26" ht="54.75" customHeight="1">
      <c r="A32" s="258"/>
      <c r="B32" s="257"/>
      <c r="C32" s="258"/>
      <c r="D32" s="295"/>
      <c r="E32" s="36"/>
      <c r="F32" s="258"/>
      <c r="G32" s="258"/>
      <c r="H32" s="258"/>
      <c r="I32" s="258"/>
      <c r="J32" s="261"/>
      <c r="K32" s="258"/>
      <c r="L32" s="258"/>
      <c r="M32" s="304"/>
      <c r="N32" s="258"/>
      <c r="O32" s="258"/>
      <c r="P32" s="258"/>
      <c r="Q32" s="258"/>
      <c r="R32" s="258"/>
      <c r="S32" s="258"/>
      <c r="T32" s="258"/>
      <c r="U32" s="258"/>
      <c r="V32" s="264"/>
      <c r="W32" s="264"/>
      <c r="X32" s="258"/>
      <c r="Y32" s="258"/>
      <c r="Z32" s="258"/>
    </row>
    <row r="33" spans="1:26" ht="54.75" customHeight="1">
      <c r="A33" s="258"/>
      <c r="B33" s="257"/>
      <c r="C33" s="258"/>
      <c r="D33" s="295"/>
      <c r="E33" s="36"/>
      <c r="F33" s="258"/>
      <c r="G33" s="258"/>
      <c r="H33" s="258"/>
      <c r="I33" s="258"/>
      <c r="J33" s="261"/>
      <c r="K33" s="258"/>
      <c r="L33" s="258"/>
      <c r="M33" s="304"/>
      <c r="N33" s="258"/>
      <c r="O33" s="258"/>
      <c r="P33" s="258"/>
      <c r="Q33" s="258"/>
      <c r="R33" s="258"/>
      <c r="S33" s="258"/>
      <c r="T33" s="258"/>
      <c r="U33" s="258"/>
      <c r="V33" s="264"/>
      <c r="W33" s="264"/>
      <c r="X33" s="258"/>
      <c r="Y33" s="258"/>
      <c r="Z33" s="258"/>
    </row>
    <row r="34" spans="1:26" ht="54.75" customHeight="1">
      <c r="A34" s="258"/>
      <c r="B34" s="257"/>
      <c r="C34" s="258"/>
      <c r="D34" s="295"/>
      <c r="E34" s="36"/>
      <c r="F34" s="258"/>
      <c r="G34" s="258"/>
      <c r="H34" s="258"/>
      <c r="I34" s="258"/>
      <c r="J34" s="261"/>
      <c r="K34" s="258"/>
      <c r="L34" s="258"/>
      <c r="M34" s="304"/>
      <c r="N34" s="258"/>
      <c r="O34" s="258"/>
      <c r="P34" s="258"/>
      <c r="Q34" s="258"/>
      <c r="R34" s="258"/>
      <c r="S34" s="258"/>
      <c r="T34" s="258"/>
      <c r="U34" s="258"/>
      <c r="V34" s="264"/>
      <c r="W34" s="264"/>
      <c r="X34" s="258"/>
      <c r="Y34" s="258"/>
      <c r="Z34" s="258"/>
    </row>
    <row r="35" spans="1:26" ht="54.75" customHeight="1">
      <c r="A35" s="258"/>
      <c r="B35" s="257"/>
      <c r="C35" s="258"/>
      <c r="D35" s="295"/>
      <c r="E35" s="36"/>
      <c r="F35" s="258"/>
      <c r="G35" s="258"/>
      <c r="H35" s="258"/>
      <c r="I35" s="258"/>
      <c r="J35" s="261"/>
      <c r="K35" s="258"/>
      <c r="L35" s="258"/>
      <c r="M35" s="304"/>
      <c r="N35" s="258"/>
      <c r="O35" s="258"/>
      <c r="P35" s="258"/>
      <c r="Q35" s="258"/>
      <c r="R35" s="258"/>
      <c r="S35" s="258"/>
      <c r="T35" s="258"/>
      <c r="U35" s="258"/>
      <c r="V35" s="264"/>
      <c r="W35" s="264"/>
      <c r="X35" s="258"/>
      <c r="Y35" s="258"/>
      <c r="Z35" s="258"/>
    </row>
    <row r="36" spans="1:26" ht="54.75" customHeight="1">
      <c r="A36" s="258"/>
      <c r="B36" s="257"/>
      <c r="C36" s="258"/>
      <c r="D36" s="295"/>
      <c r="E36" s="36"/>
      <c r="F36" s="258"/>
      <c r="G36" s="258"/>
      <c r="H36" s="258"/>
      <c r="I36" s="258"/>
      <c r="J36" s="261"/>
      <c r="K36" s="258"/>
      <c r="L36" s="258"/>
      <c r="M36" s="304"/>
      <c r="N36" s="258"/>
      <c r="O36" s="258"/>
      <c r="P36" s="258"/>
      <c r="Q36" s="258"/>
      <c r="R36" s="258"/>
      <c r="S36" s="258"/>
      <c r="T36" s="258"/>
      <c r="U36" s="258"/>
      <c r="V36" s="264"/>
      <c r="W36" s="264"/>
      <c r="X36" s="258"/>
      <c r="Y36" s="258"/>
      <c r="Z36" s="258"/>
    </row>
    <row r="37" spans="1:26" ht="54.75" customHeight="1">
      <c r="A37" s="258"/>
      <c r="B37" s="257"/>
      <c r="C37" s="258"/>
      <c r="D37" s="295"/>
      <c r="E37" s="36"/>
      <c r="F37" s="258"/>
      <c r="G37" s="258"/>
      <c r="H37" s="258"/>
      <c r="I37" s="258"/>
      <c r="J37" s="261"/>
      <c r="K37" s="258"/>
      <c r="L37" s="258"/>
      <c r="M37" s="304"/>
      <c r="N37" s="258"/>
      <c r="O37" s="258"/>
      <c r="P37" s="258"/>
      <c r="Q37" s="258"/>
      <c r="R37" s="258"/>
      <c r="S37" s="258"/>
      <c r="T37" s="258"/>
      <c r="U37" s="258"/>
      <c r="V37" s="264"/>
      <c r="W37" s="264"/>
      <c r="X37" s="258"/>
      <c r="Y37" s="258"/>
      <c r="Z37" s="258"/>
    </row>
    <row r="38" spans="1:26" ht="54.75" customHeight="1">
      <c r="A38" s="258"/>
      <c r="B38" s="257"/>
      <c r="C38" s="258"/>
      <c r="D38" s="295"/>
      <c r="E38" s="36"/>
      <c r="F38" s="258"/>
      <c r="G38" s="258"/>
      <c r="H38" s="258"/>
      <c r="I38" s="258"/>
      <c r="J38" s="261"/>
      <c r="K38" s="258"/>
      <c r="L38" s="258"/>
      <c r="M38" s="304"/>
      <c r="N38" s="258"/>
      <c r="O38" s="258"/>
      <c r="P38" s="258"/>
      <c r="Q38" s="258"/>
      <c r="R38" s="258"/>
      <c r="S38" s="258"/>
      <c r="T38" s="258"/>
      <c r="U38" s="258"/>
      <c r="V38" s="264"/>
      <c r="W38" s="264"/>
      <c r="X38" s="258"/>
      <c r="Y38" s="258"/>
      <c r="Z38" s="258"/>
    </row>
    <row r="39" spans="1:26" ht="54.75" customHeight="1">
      <c r="A39" s="258"/>
      <c r="B39" s="257"/>
      <c r="C39" s="258"/>
      <c r="D39" s="295"/>
      <c r="E39" s="36"/>
      <c r="F39" s="258"/>
      <c r="G39" s="258"/>
      <c r="H39" s="258"/>
      <c r="I39" s="258"/>
      <c r="J39" s="261"/>
      <c r="K39" s="258"/>
      <c r="L39" s="258"/>
      <c r="M39" s="304"/>
      <c r="N39" s="258"/>
      <c r="O39" s="258"/>
      <c r="P39" s="258"/>
      <c r="Q39" s="258"/>
      <c r="R39" s="258"/>
      <c r="S39" s="258"/>
      <c r="T39" s="258"/>
      <c r="U39" s="258"/>
      <c r="V39" s="264"/>
      <c r="W39" s="264"/>
      <c r="X39" s="258"/>
      <c r="Y39" s="258"/>
      <c r="Z39" s="258"/>
    </row>
    <row r="40" spans="1:26" ht="54.75" customHeight="1">
      <c r="A40" s="258"/>
      <c r="B40" s="257"/>
      <c r="C40" s="258"/>
      <c r="D40" s="295"/>
      <c r="E40" s="36"/>
      <c r="F40" s="258"/>
      <c r="G40" s="258"/>
      <c r="H40" s="258"/>
      <c r="I40" s="258"/>
      <c r="J40" s="261"/>
      <c r="K40" s="258"/>
      <c r="L40" s="258"/>
      <c r="M40" s="304"/>
      <c r="N40" s="258"/>
      <c r="O40" s="258"/>
      <c r="P40" s="258"/>
      <c r="Q40" s="258"/>
      <c r="R40" s="258"/>
      <c r="S40" s="258"/>
      <c r="T40" s="258"/>
      <c r="U40" s="258"/>
      <c r="V40" s="264"/>
      <c r="W40" s="264"/>
      <c r="X40" s="258"/>
      <c r="Y40" s="258"/>
      <c r="Z40" s="258"/>
    </row>
    <row r="41" spans="1:26" ht="54.75" customHeight="1">
      <c r="A41" s="258"/>
      <c r="B41" s="257"/>
      <c r="C41" s="258"/>
      <c r="D41" s="295"/>
      <c r="E41" s="36"/>
      <c r="F41" s="258"/>
      <c r="G41" s="258"/>
      <c r="H41" s="258"/>
      <c r="I41" s="258"/>
      <c r="J41" s="261"/>
      <c r="K41" s="258"/>
      <c r="L41" s="258"/>
      <c r="M41" s="304"/>
      <c r="N41" s="258"/>
      <c r="O41" s="258"/>
      <c r="P41" s="258"/>
      <c r="Q41" s="258"/>
      <c r="R41" s="258"/>
      <c r="S41" s="258"/>
      <c r="T41" s="258"/>
      <c r="U41" s="258"/>
      <c r="V41" s="264"/>
      <c r="W41" s="264"/>
      <c r="X41" s="258"/>
      <c r="Y41" s="258"/>
      <c r="Z41" s="258"/>
    </row>
    <row r="42" spans="1:26" ht="54.75" customHeight="1">
      <c r="A42" s="258"/>
      <c r="B42" s="257"/>
      <c r="C42" s="258"/>
      <c r="D42" s="295"/>
      <c r="E42" s="36"/>
      <c r="F42" s="258"/>
      <c r="G42" s="258"/>
      <c r="H42" s="258"/>
      <c r="I42" s="258"/>
      <c r="J42" s="261"/>
      <c r="K42" s="258"/>
      <c r="L42" s="258"/>
      <c r="M42" s="304"/>
      <c r="N42" s="258"/>
      <c r="O42" s="258"/>
      <c r="P42" s="258"/>
      <c r="Q42" s="258"/>
      <c r="R42" s="258"/>
      <c r="S42" s="258"/>
      <c r="T42" s="258"/>
      <c r="U42" s="258"/>
      <c r="V42" s="264"/>
      <c r="W42" s="264"/>
      <c r="X42" s="258"/>
      <c r="Y42" s="258"/>
      <c r="Z42" s="258"/>
    </row>
  </sheetData>
  <hyperlinks>
    <hyperlink ref="G13" r:id="rId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43"/>
  <sheetViews>
    <sheetView topLeftCell="A13" workbookViewId="0">
      <selection activeCell="B2" sqref="B2"/>
    </sheetView>
  </sheetViews>
  <sheetFormatPr baseColWidth="10" defaultColWidth="12.6328125" defaultRowHeight="15.75" customHeight="1"/>
  <cols>
    <col min="1" max="1" width="15.6328125" customWidth="1"/>
    <col min="2" max="2" width="14.26953125" customWidth="1"/>
    <col min="3" max="3" width="18.6328125" customWidth="1"/>
    <col min="4" max="4" width="66.7265625" customWidth="1"/>
    <col min="5" max="5" width="39.453125" customWidth="1"/>
    <col min="6" max="6" width="19.6328125" customWidth="1"/>
    <col min="7" max="7" width="23.90625" customWidth="1"/>
    <col min="8" max="8" width="16.36328125" customWidth="1"/>
    <col min="9" max="9" width="18.08984375" customWidth="1"/>
    <col min="11" max="11" width="107.26953125" customWidth="1"/>
    <col min="12" max="12" width="112" customWidth="1"/>
    <col min="17" max="17" width="17.7265625" customWidth="1"/>
    <col min="22" max="23" width="12.6328125" style="368"/>
  </cols>
  <sheetData>
    <row r="1" spans="1:26" ht="45.75" customHeight="1">
      <c r="A1" s="319" t="s">
        <v>1650</v>
      </c>
      <c r="B1" s="320"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row>
    <row r="2" spans="1:26" ht="54.75" customHeight="1">
      <c r="A2" s="36" t="s">
        <v>1651</v>
      </c>
      <c r="B2" s="306">
        <v>826692</v>
      </c>
      <c r="C2" s="258" t="s">
        <v>611</v>
      </c>
      <c r="D2" s="295" t="s">
        <v>1652</v>
      </c>
      <c r="E2" s="327" t="s">
        <v>1653</v>
      </c>
      <c r="F2" s="258">
        <v>3158873392</v>
      </c>
      <c r="G2" s="258" t="s">
        <v>1654</v>
      </c>
      <c r="H2" s="256" t="s">
        <v>1015</v>
      </c>
      <c r="I2" s="258" t="s">
        <v>1655</v>
      </c>
      <c r="J2" s="261" t="s">
        <v>1656</v>
      </c>
      <c r="K2" s="384" t="s">
        <v>1657</v>
      </c>
      <c r="L2" s="258" t="s">
        <v>1658</v>
      </c>
      <c r="M2" s="304" t="s">
        <v>1659</v>
      </c>
      <c r="N2" s="258" t="s">
        <v>1625</v>
      </c>
      <c r="O2" s="258" t="s">
        <v>809</v>
      </c>
      <c r="P2" s="258"/>
      <c r="Q2" s="258" t="s">
        <v>1660</v>
      </c>
      <c r="R2" s="258"/>
      <c r="S2" s="258"/>
      <c r="T2" s="258" t="s">
        <v>1661</v>
      </c>
      <c r="U2" s="258"/>
      <c r="V2" s="384" t="s">
        <v>2605</v>
      </c>
      <c r="W2" s="264" t="s">
        <v>2676</v>
      </c>
      <c r="X2" s="258"/>
      <c r="Y2" s="258"/>
      <c r="Z2" s="258"/>
    </row>
    <row r="3" spans="1:26" ht="54.75" customHeight="1">
      <c r="A3" s="36" t="s">
        <v>1662</v>
      </c>
      <c r="B3" s="257">
        <v>350000</v>
      </c>
      <c r="C3" s="258" t="s">
        <v>604</v>
      </c>
      <c r="D3" s="295" t="s">
        <v>1663</v>
      </c>
      <c r="E3" s="327" t="s">
        <v>1664</v>
      </c>
      <c r="F3" s="36">
        <v>3229109926</v>
      </c>
      <c r="G3" s="258" t="s">
        <v>1665</v>
      </c>
      <c r="H3" s="338" t="s">
        <v>1666</v>
      </c>
      <c r="I3" s="258" t="s">
        <v>1667</v>
      </c>
      <c r="J3" s="261" t="s">
        <v>1668</v>
      </c>
      <c r="K3" s="384" t="s">
        <v>1669</v>
      </c>
      <c r="L3" s="258" t="s">
        <v>1583</v>
      </c>
      <c r="M3" s="304" t="s">
        <v>1670</v>
      </c>
      <c r="N3" s="258" t="s">
        <v>1625</v>
      </c>
      <c r="O3" s="258" t="s">
        <v>809</v>
      </c>
      <c r="P3" s="258"/>
      <c r="Q3" s="258" t="s">
        <v>1671</v>
      </c>
      <c r="R3" s="258"/>
      <c r="S3" s="258"/>
      <c r="T3" s="258" t="s">
        <v>1661</v>
      </c>
      <c r="U3" s="258"/>
      <c r="V3" s="384" t="s">
        <v>2687</v>
      </c>
      <c r="W3" s="264" t="s">
        <v>2654</v>
      </c>
      <c r="X3" s="258"/>
      <c r="Y3" s="258"/>
      <c r="Z3" s="258"/>
    </row>
    <row r="4" spans="1:26" ht="54.75" customHeight="1">
      <c r="A4" s="36" t="s">
        <v>1672</v>
      </c>
      <c r="B4" s="257">
        <v>1039500</v>
      </c>
      <c r="C4" s="258" t="s">
        <v>1673</v>
      </c>
      <c r="D4" s="295" t="s">
        <v>1674</v>
      </c>
      <c r="E4" s="327" t="s">
        <v>1675</v>
      </c>
      <c r="F4" s="36">
        <v>3166955332</v>
      </c>
      <c r="G4" s="258" t="s">
        <v>1676</v>
      </c>
      <c r="H4" s="256" t="s">
        <v>1015</v>
      </c>
      <c r="I4" s="258" t="s">
        <v>1677</v>
      </c>
      <c r="J4" s="261" t="s">
        <v>1668</v>
      </c>
      <c r="K4" s="384" t="s">
        <v>1678</v>
      </c>
      <c r="L4" s="385" t="s">
        <v>1679</v>
      </c>
      <c r="M4" s="304" t="s">
        <v>1670</v>
      </c>
      <c r="N4" s="258" t="s">
        <v>1625</v>
      </c>
      <c r="O4" s="258" t="s">
        <v>809</v>
      </c>
      <c r="P4" s="258"/>
      <c r="Q4" s="258" t="s">
        <v>1032</v>
      </c>
      <c r="R4" s="258"/>
      <c r="S4" s="258"/>
      <c r="T4" s="258" t="s">
        <v>1680</v>
      </c>
      <c r="U4" s="258"/>
      <c r="V4" s="384" t="s">
        <v>2688</v>
      </c>
      <c r="W4" s="264" t="s">
        <v>2681</v>
      </c>
      <c r="X4" s="258"/>
      <c r="Y4" s="258"/>
      <c r="Z4" s="258"/>
    </row>
    <row r="5" spans="1:26" ht="54.75" customHeight="1">
      <c r="A5" s="36" t="s">
        <v>1681</v>
      </c>
      <c r="B5" s="306">
        <v>490000</v>
      </c>
      <c r="C5" s="258" t="s">
        <v>591</v>
      </c>
      <c r="D5" s="295" t="s">
        <v>1682</v>
      </c>
      <c r="E5" s="327" t="s">
        <v>1683</v>
      </c>
      <c r="F5" s="36">
        <v>3214349824</v>
      </c>
      <c r="G5" s="258" t="s">
        <v>1684</v>
      </c>
      <c r="H5" s="256" t="s">
        <v>1015</v>
      </c>
      <c r="I5" s="258" t="s">
        <v>1325</v>
      </c>
      <c r="J5" s="261" t="s">
        <v>1685</v>
      </c>
      <c r="K5" s="258" t="s">
        <v>1686</v>
      </c>
      <c r="L5" s="258" t="s">
        <v>1687</v>
      </c>
      <c r="M5" s="304" t="s">
        <v>1688</v>
      </c>
      <c r="N5" s="258" t="s">
        <v>1464</v>
      </c>
      <c r="O5" s="258" t="s">
        <v>809</v>
      </c>
      <c r="P5" s="258"/>
      <c r="Q5" s="258" t="s">
        <v>1527</v>
      </c>
      <c r="R5" s="258"/>
      <c r="S5" s="258"/>
      <c r="T5" s="258" t="s">
        <v>1661</v>
      </c>
      <c r="U5" s="258"/>
      <c r="V5" s="384" t="s">
        <v>2609</v>
      </c>
      <c r="W5" s="264" t="s">
        <v>2676</v>
      </c>
      <c r="X5" s="258"/>
      <c r="Y5" s="258"/>
      <c r="Z5" s="258"/>
    </row>
    <row r="6" spans="1:26" ht="54.75" customHeight="1">
      <c r="A6" s="294" t="s">
        <v>1689</v>
      </c>
      <c r="B6" s="306">
        <v>150000</v>
      </c>
      <c r="C6" s="258" t="s">
        <v>637</v>
      </c>
      <c r="D6" s="295" t="s">
        <v>1690</v>
      </c>
      <c r="E6" s="302" t="s">
        <v>986</v>
      </c>
      <c r="F6" s="256">
        <v>3143008572</v>
      </c>
      <c r="G6" s="256" t="s">
        <v>1691</v>
      </c>
      <c r="H6" s="258" t="s">
        <v>1015</v>
      </c>
      <c r="I6" s="258" t="s">
        <v>1692</v>
      </c>
      <c r="J6" s="261" t="s">
        <v>1693</v>
      </c>
      <c r="K6" s="384" t="s">
        <v>1694</v>
      </c>
      <c r="L6" s="258" t="s">
        <v>1695</v>
      </c>
      <c r="M6" s="304" t="s">
        <v>1625</v>
      </c>
      <c r="N6" s="258" t="s">
        <v>1696</v>
      </c>
      <c r="O6" s="258" t="s">
        <v>809</v>
      </c>
      <c r="P6" s="258"/>
      <c r="Q6" s="258" t="s">
        <v>1697</v>
      </c>
      <c r="R6" s="258"/>
      <c r="S6" s="258"/>
      <c r="T6" s="258" t="s">
        <v>1661</v>
      </c>
      <c r="U6" s="258"/>
      <c r="V6" s="384" t="s">
        <v>2610</v>
      </c>
      <c r="W6" s="264" t="s">
        <v>2685</v>
      </c>
      <c r="X6" s="258"/>
      <c r="Y6" s="258"/>
      <c r="Z6" s="258"/>
    </row>
    <row r="7" spans="1:26" ht="147.75" customHeight="1">
      <c r="A7" s="256" t="s">
        <v>1698</v>
      </c>
      <c r="B7" s="257">
        <v>560000</v>
      </c>
      <c r="C7" s="258" t="s">
        <v>944</v>
      </c>
      <c r="D7" s="295" t="s">
        <v>1699</v>
      </c>
      <c r="E7" s="302" t="s">
        <v>1700</v>
      </c>
      <c r="F7" s="258">
        <v>3153768575</v>
      </c>
      <c r="G7" s="258" t="s">
        <v>1701</v>
      </c>
      <c r="H7" s="258" t="s">
        <v>540</v>
      </c>
      <c r="I7" s="258" t="s">
        <v>1229</v>
      </c>
      <c r="J7" s="261" t="s">
        <v>1702</v>
      </c>
      <c r="K7" s="384" t="s">
        <v>1703</v>
      </c>
      <c r="L7" s="385" t="s">
        <v>1704</v>
      </c>
      <c r="M7" s="304" t="s">
        <v>1705</v>
      </c>
      <c r="N7" s="258" t="s">
        <v>1574</v>
      </c>
      <c r="O7" s="258" t="s">
        <v>809</v>
      </c>
      <c r="P7" s="258"/>
      <c r="Q7" s="258" t="s">
        <v>1548</v>
      </c>
      <c r="R7" s="258"/>
      <c r="S7" s="258"/>
      <c r="T7" s="258" t="s">
        <v>1661</v>
      </c>
      <c r="U7" s="258"/>
      <c r="V7" s="384" t="s">
        <v>2596</v>
      </c>
      <c r="W7" s="379" t="s">
        <v>2654</v>
      </c>
      <c r="X7" s="258"/>
      <c r="Y7" s="258"/>
      <c r="Z7" s="258"/>
    </row>
    <row r="8" spans="1:26" ht="54.75" customHeight="1">
      <c r="A8" s="36" t="s">
        <v>1706</v>
      </c>
      <c r="B8" s="257">
        <v>211338</v>
      </c>
      <c r="C8" s="258" t="s">
        <v>1060</v>
      </c>
      <c r="D8" s="295" t="s">
        <v>1707</v>
      </c>
      <c r="E8" s="327" t="s">
        <v>1708</v>
      </c>
      <c r="F8" s="36">
        <v>3105767202</v>
      </c>
      <c r="G8" s="258" t="s">
        <v>1709</v>
      </c>
      <c r="H8" s="258" t="s">
        <v>1666</v>
      </c>
      <c r="I8" s="258" t="s">
        <v>1710</v>
      </c>
      <c r="J8" s="261" t="s">
        <v>1656</v>
      </c>
      <c r="K8" s="384" t="s">
        <v>1711</v>
      </c>
      <c r="L8" s="258" t="s">
        <v>1505</v>
      </c>
      <c r="M8" s="304" t="s">
        <v>1712</v>
      </c>
      <c r="N8" s="258" t="s">
        <v>1713</v>
      </c>
      <c r="O8" s="258" t="s">
        <v>809</v>
      </c>
      <c r="P8" s="258"/>
      <c r="Q8" s="258" t="s">
        <v>1697</v>
      </c>
      <c r="R8" s="258"/>
      <c r="S8" s="258"/>
      <c r="T8" s="258" t="s">
        <v>1661</v>
      </c>
      <c r="U8" s="258"/>
      <c r="V8" s="384" t="s">
        <v>2596</v>
      </c>
      <c r="W8" s="379" t="s">
        <v>2654</v>
      </c>
      <c r="X8" s="258"/>
      <c r="Y8" s="258"/>
      <c r="Z8" s="258"/>
    </row>
    <row r="9" spans="1:26" ht="54.75" customHeight="1">
      <c r="A9" s="238" t="s">
        <v>1714</v>
      </c>
      <c r="B9" s="257">
        <v>705618</v>
      </c>
      <c r="C9" s="258" t="s">
        <v>1715</v>
      </c>
      <c r="D9" s="295" t="s">
        <v>1716</v>
      </c>
      <c r="E9" s="296" t="s">
        <v>1717</v>
      </c>
      <c r="F9" s="238">
        <v>3202803046</v>
      </c>
      <c r="G9" s="258" t="s">
        <v>1718</v>
      </c>
      <c r="H9" s="258" t="s">
        <v>1015</v>
      </c>
      <c r="I9" s="258" t="s">
        <v>1719</v>
      </c>
      <c r="J9" s="261" t="s">
        <v>1720</v>
      </c>
      <c r="K9" s="384" t="s">
        <v>1721</v>
      </c>
      <c r="L9" s="258" t="s">
        <v>1722</v>
      </c>
      <c r="M9" s="304" t="s">
        <v>1712</v>
      </c>
      <c r="N9" s="258" t="s">
        <v>1712</v>
      </c>
      <c r="O9" s="258" t="s">
        <v>809</v>
      </c>
      <c r="P9" s="258"/>
      <c r="Q9" s="258" t="s">
        <v>1697</v>
      </c>
      <c r="R9" s="258"/>
      <c r="S9" s="258"/>
      <c r="T9" s="258" t="s">
        <v>1661</v>
      </c>
      <c r="U9" s="258"/>
      <c r="V9" s="384" t="s">
        <v>2573</v>
      </c>
      <c r="W9" s="379" t="s">
        <v>2573</v>
      </c>
      <c r="X9" s="258"/>
      <c r="Y9" s="258"/>
      <c r="Z9" s="258"/>
    </row>
    <row r="10" spans="1:26" ht="54.75" customHeight="1">
      <c r="A10" s="36">
        <v>1144132470</v>
      </c>
      <c r="B10" s="257">
        <v>67091</v>
      </c>
      <c r="C10" s="258" t="s">
        <v>1723</v>
      </c>
      <c r="D10" s="295" t="s">
        <v>1724</v>
      </c>
      <c r="E10" s="327" t="s">
        <v>1725</v>
      </c>
      <c r="F10" s="36">
        <v>3052617777</v>
      </c>
      <c r="G10" s="258" t="s">
        <v>1726</v>
      </c>
      <c r="H10" s="258" t="s">
        <v>1015</v>
      </c>
      <c r="I10" s="258" t="s">
        <v>1727</v>
      </c>
      <c r="J10" s="261" t="s">
        <v>1728</v>
      </c>
      <c r="K10" s="385" t="s">
        <v>1729</v>
      </c>
      <c r="L10" s="343" t="s">
        <v>1730</v>
      </c>
      <c r="M10" s="304" t="s">
        <v>1731</v>
      </c>
      <c r="N10" s="258" t="s">
        <v>1713</v>
      </c>
      <c r="O10" s="258" t="s">
        <v>809</v>
      </c>
      <c r="P10" s="258"/>
      <c r="Q10" s="258" t="s">
        <v>1732</v>
      </c>
      <c r="R10" s="258"/>
      <c r="S10" s="258"/>
      <c r="T10" s="258" t="s">
        <v>1661</v>
      </c>
      <c r="U10" s="258"/>
      <c r="V10" s="384" t="s">
        <v>2687</v>
      </c>
      <c r="W10" s="379" t="s">
        <v>2654</v>
      </c>
      <c r="X10" s="258"/>
      <c r="Y10" s="258"/>
      <c r="Z10" s="258"/>
    </row>
    <row r="11" spans="1:26" ht="54.75" customHeight="1">
      <c r="A11" s="36" t="s">
        <v>1733</v>
      </c>
      <c r="B11" s="257">
        <v>67091</v>
      </c>
      <c r="C11" s="258" t="s">
        <v>1723</v>
      </c>
      <c r="D11" s="295" t="s">
        <v>1734</v>
      </c>
      <c r="E11" s="327" t="s">
        <v>1735</v>
      </c>
      <c r="F11" s="36">
        <v>3178269211</v>
      </c>
      <c r="G11" s="258" t="s">
        <v>1736</v>
      </c>
      <c r="H11" s="258" t="s">
        <v>1015</v>
      </c>
      <c r="I11" s="258" t="s">
        <v>1737</v>
      </c>
      <c r="J11" s="261" t="s">
        <v>1728</v>
      </c>
      <c r="K11" s="385" t="s">
        <v>1729</v>
      </c>
      <c r="L11" s="258" t="s">
        <v>1730</v>
      </c>
      <c r="M11" s="304" t="s">
        <v>1738</v>
      </c>
      <c r="N11" s="258" t="s">
        <v>1713</v>
      </c>
      <c r="O11" s="258" t="s">
        <v>809</v>
      </c>
      <c r="P11" s="258"/>
      <c r="Q11" s="258" t="s">
        <v>1732</v>
      </c>
      <c r="R11" s="258"/>
      <c r="S11" s="258"/>
      <c r="T11" s="258" t="s">
        <v>1661</v>
      </c>
      <c r="U11" s="258"/>
      <c r="V11" s="384" t="s">
        <v>2687</v>
      </c>
      <c r="W11" s="379" t="s">
        <v>2654</v>
      </c>
      <c r="X11" s="258"/>
      <c r="Y11" s="258"/>
      <c r="Z11" s="258"/>
    </row>
    <row r="12" spans="1:26" ht="54.75" customHeight="1">
      <c r="A12" s="36" t="s">
        <v>1739</v>
      </c>
      <c r="B12" s="257">
        <v>500000</v>
      </c>
      <c r="C12" s="258" t="s">
        <v>1740</v>
      </c>
      <c r="D12" s="295" t="s">
        <v>1741</v>
      </c>
      <c r="E12" s="327" t="s">
        <v>1742</v>
      </c>
      <c r="F12" s="36">
        <v>3176400526</v>
      </c>
      <c r="G12" s="258" t="s">
        <v>1743</v>
      </c>
      <c r="H12" s="258" t="s">
        <v>1015</v>
      </c>
      <c r="I12" s="258" t="s">
        <v>1622</v>
      </c>
      <c r="J12" s="261" t="s">
        <v>1744</v>
      </c>
      <c r="K12" s="384" t="s">
        <v>1745</v>
      </c>
      <c r="L12" s="343" t="s">
        <v>1746</v>
      </c>
      <c r="M12" s="304" t="s">
        <v>1731</v>
      </c>
      <c r="N12" s="258" t="s">
        <v>1713</v>
      </c>
      <c r="O12" s="258" t="s">
        <v>809</v>
      </c>
      <c r="P12" s="258"/>
      <c r="Q12" s="258" t="s">
        <v>1671</v>
      </c>
      <c r="R12" s="258"/>
      <c r="S12" s="258"/>
      <c r="T12" s="258" t="s">
        <v>1661</v>
      </c>
      <c r="U12" s="258"/>
      <c r="V12" s="379" t="s">
        <v>2689</v>
      </c>
      <c r="W12" s="264" t="s">
        <v>2683</v>
      </c>
      <c r="X12" s="258"/>
      <c r="Y12" s="258"/>
      <c r="Z12" s="258"/>
    </row>
    <row r="13" spans="1:26" ht="54.75" customHeight="1">
      <c r="A13" s="36">
        <v>900632403</v>
      </c>
      <c r="B13" s="257">
        <v>564254</v>
      </c>
      <c r="C13" s="258" t="s">
        <v>1060</v>
      </c>
      <c r="D13" s="295" t="s">
        <v>1747</v>
      </c>
      <c r="E13" s="327" t="s">
        <v>1748</v>
      </c>
      <c r="F13" s="36">
        <v>3015793086</v>
      </c>
      <c r="G13" s="258" t="s">
        <v>1749</v>
      </c>
      <c r="H13" s="258" t="s">
        <v>1666</v>
      </c>
      <c r="I13" s="258" t="s">
        <v>1750</v>
      </c>
      <c r="J13" s="261" t="s">
        <v>1744</v>
      </c>
      <c r="K13" s="384" t="s">
        <v>1751</v>
      </c>
      <c r="L13" s="258" t="s">
        <v>1583</v>
      </c>
      <c r="M13" s="304"/>
      <c r="N13" s="258" t="s">
        <v>1625</v>
      </c>
      <c r="O13" s="258" t="s">
        <v>809</v>
      </c>
      <c r="P13" s="258"/>
      <c r="Q13" s="258"/>
      <c r="R13" s="258"/>
      <c r="S13" s="258"/>
      <c r="T13" s="258"/>
      <c r="U13" s="258"/>
      <c r="V13" s="384" t="s">
        <v>2611</v>
      </c>
      <c r="W13" s="379" t="s">
        <v>2654</v>
      </c>
      <c r="X13" s="258"/>
      <c r="Y13" s="258"/>
      <c r="Z13" s="258"/>
    </row>
    <row r="14" spans="1:26" ht="54.75" customHeight="1">
      <c r="B14" s="339">
        <f>SUM(B2:B13)</f>
        <v>5531584</v>
      </c>
      <c r="C14" s="258"/>
      <c r="D14" s="295"/>
      <c r="G14" s="258"/>
      <c r="H14" s="258"/>
      <c r="I14" s="258"/>
      <c r="J14" s="261"/>
      <c r="K14" s="258"/>
      <c r="L14" s="258"/>
      <c r="M14" s="304"/>
      <c r="N14" s="258"/>
      <c r="O14" s="258"/>
      <c r="P14" s="258"/>
      <c r="Q14" s="258"/>
      <c r="R14" s="258"/>
      <c r="S14" s="258"/>
      <c r="T14" s="258"/>
      <c r="U14" s="258"/>
      <c r="V14" s="264"/>
      <c r="W14" s="264"/>
      <c r="X14" s="258"/>
      <c r="Y14" s="258"/>
      <c r="Z14" s="258"/>
    </row>
    <row r="15" spans="1:26" ht="54.75" customHeight="1">
      <c r="B15" s="258"/>
      <c r="C15" s="258"/>
      <c r="D15" s="295"/>
      <c r="G15" s="258"/>
      <c r="H15" s="258"/>
      <c r="I15" s="258"/>
      <c r="J15" s="261"/>
      <c r="K15" s="258"/>
      <c r="L15" s="258"/>
      <c r="M15" s="304"/>
      <c r="N15" s="258"/>
      <c r="O15" s="258"/>
      <c r="P15" s="258"/>
      <c r="Q15" s="258"/>
      <c r="R15" s="258"/>
      <c r="S15" s="258"/>
      <c r="T15" s="258"/>
      <c r="U15" s="258"/>
      <c r="V15" s="264"/>
      <c r="W15" s="264"/>
      <c r="X15" s="258"/>
      <c r="Y15" s="258"/>
      <c r="Z15" s="258"/>
    </row>
    <row r="16" spans="1:26" ht="54.75" customHeight="1">
      <c r="B16" s="258"/>
      <c r="C16" s="258"/>
      <c r="D16" s="295"/>
      <c r="G16" s="258"/>
      <c r="H16" s="258"/>
      <c r="I16" s="258"/>
      <c r="J16" s="261"/>
      <c r="K16" s="258"/>
      <c r="L16" s="258"/>
      <c r="M16" s="304"/>
      <c r="N16" s="258"/>
      <c r="O16" s="258"/>
      <c r="P16" s="258"/>
      <c r="Q16" s="258"/>
      <c r="R16" s="258"/>
      <c r="S16" s="258"/>
      <c r="T16" s="258"/>
      <c r="U16" s="258"/>
      <c r="V16" s="264"/>
      <c r="W16" s="264"/>
      <c r="X16" s="258"/>
      <c r="Y16" s="258"/>
      <c r="Z16" s="258"/>
    </row>
    <row r="17" spans="2:26" ht="54.75" customHeight="1">
      <c r="B17" s="258"/>
      <c r="C17" s="258"/>
      <c r="D17" s="295"/>
      <c r="G17" s="258"/>
      <c r="H17" s="258"/>
      <c r="I17" s="258"/>
      <c r="J17" s="261"/>
      <c r="K17" s="258"/>
      <c r="L17" s="258"/>
      <c r="M17" s="304"/>
      <c r="N17" s="258"/>
      <c r="O17" s="258"/>
      <c r="P17" s="258"/>
      <c r="Q17" s="258"/>
      <c r="R17" s="258"/>
      <c r="S17" s="258"/>
      <c r="T17" s="258"/>
      <c r="U17" s="258"/>
      <c r="V17" s="264"/>
      <c r="W17" s="264"/>
      <c r="X17" s="258"/>
      <c r="Y17" s="258"/>
      <c r="Z17" s="258"/>
    </row>
    <row r="18" spans="2:26" ht="54.75" customHeight="1">
      <c r="B18" s="258"/>
      <c r="C18" s="258"/>
      <c r="D18" s="295"/>
      <c r="G18" s="258"/>
      <c r="H18" s="258"/>
      <c r="I18" s="258"/>
      <c r="J18" s="261"/>
      <c r="K18" s="258"/>
      <c r="L18" s="258"/>
      <c r="M18" s="304"/>
      <c r="N18" s="258"/>
      <c r="O18" s="258"/>
      <c r="P18" s="258"/>
      <c r="Q18" s="258"/>
      <c r="R18" s="258"/>
      <c r="S18" s="258"/>
      <c r="T18" s="258"/>
      <c r="U18" s="258"/>
      <c r="V18" s="264"/>
      <c r="W18" s="264"/>
      <c r="X18" s="258"/>
      <c r="Y18" s="258"/>
      <c r="Z18" s="258"/>
    </row>
    <row r="19" spans="2:26" ht="54.75" customHeight="1">
      <c r="B19" s="258"/>
      <c r="C19" s="258"/>
      <c r="D19" s="295"/>
      <c r="G19" s="258"/>
      <c r="H19" s="258"/>
      <c r="I19" s="258"/>
      <c r="J19" s="261"/>
      <c r="K19" s="258"/>
      <c r="L19" s="258"/>
      <c r="M19" s="304"/>
      <c r="N19" s="258"/>
      <c r="O19" s="258"/>
      <c r="P19" s="258"/>
      <c r="Q19" s="258"/>
      <c r="R19" s="258"/>
      <c r="S19" s="258"/>
      <c r="T19" s="258"/>
      <c r="U19" s="258"/>
      <c r="V19" s="264"/>
      <c r="W19" s="264"/>
      <c r="X19" s="258"/>
      <c r="Y19" s="258"/>
      <c r="Z19" s="258"/>
    </row>
    <row r="20" spans="2:26" ht="54.75" customHeight="1">
      <c r="B20" s="258"/>
      <c r="C20" s="258"/>
      <c r="D20" s="295"/>
      <c r="G20" s="258"/>
      <c r="H20" s="258"/>
      <c r="I20" s="258"/>
      <c r="J20" s="261"/>
      <c r="K20" s="258"/>
      <c r="L20" s="258"/>
      <c r="M20" s="304"/>
      <c r="N20" s="258"/>
      <c r="O20" s="258"/>
      <c r="P20" s="258"/>
      <c r="Q20" s="258"/>
      <c r="R20" s="258"/>
      <c r="S20" s="258"/>
      <c r="T20" s="258"/>
      <c r="U20" s="258"/>
      <c r="V20" s="264"/>
      <c r="W20" s="264"/>
      <c r="X20" s="258"/>
      <c r="Y20" s="258"/>
      <c r="Z20" s="258"/>
    </row>
    <row r="21" spans="2:26" ht="54.75" customHeight="1">
      <c r="B21" s="258"/>
      <c r="C21" s="258"/>
      <c r="D21" s="295"/>
      <c r="G21" s="258"/>
      <c r="H21" s="258"/>
      <c r="I21" s="258"/>
      <c r="J21" s="261"/>
      <c r="K21" s="258"/>
      <c r="L21" s="258"/>
      <c r="M21" s="304"/>
      <c r="N21" s="258"/>
      <c r="O21" s="258"/>
      <c r="P21" s="258"/>
      <c r="Q21" s="258"/>
      <c r="R21" s="258"/>
      <c r="S21" s="258"/>
      <c r="T21" s="258"/>
      <c r="U21" s="258"/>
      <c r="V21" s="264"/>
      <c r="W21" s="264"/>
      <c r="X21" s="258"/>
      <c r="Y21" s="258"/>
      <c r="Z21" s="258"/>
    </row>
    <row r="22" spans="2:26" ht="54.75" customHeight="1">
      <c r="B22" s="258"/>
      <c r="C22" s="258"/>
      <c r="D22" s="295"/>
      <c r="G22" s="258"/>
      <c r="H22" s="258"/>
      <c r="I22" s="258"/>
      <c r="J22" s="261"/>
      <c r="K22" s="258"/>
      <c r="L22" s="258"/>
      <c r="M22" s="304"/>
      <c r="N22" s="258"/>
      <c r="O22" s="258"/>
      <c r="P22" s="258"/>
      <c r="Q22" s="258"/>
      <c r="R22" s="258"/>
      <c r="S22" s="258"/>
      <c r="T22" s="258"/>
      <c r="U22" s="258"/>
      <c r="V22" s="264"/>
      <c r="W22" s="264"/>
      <c r="X22" s="258"/>
      <c r="Y22" s="258"/>
      <c r="Z22" s="258"/>
    </row>
    <row r="23" spans="2:26" ht="54.75" customHeight="1">
      <c r="B23" s="258"/>
      <c r="C23" s="258"/>
      <c r="D23" s="295"/>
      <c r="G23" s="258"/>
      <c r="H23" s="258"/>
      <c r="I23" s="258"/>
      <c r="J23" s="261"/>
      <c r="K23" s="258"/>
      <c r="L23" s="258"/>
      <c r="M23" s="304"/>
      <c r="N23" s="258"/>
      <c r="O23" s="258"/>
      <c r="P23" s="258"/>
      <c r="Q23" s="258"/>
      <c r="R23" s="258"/>
      <c r="S23" s="258"/>
      <c r="T23" s="258"/>
      <c r="U23" s="258"/>
      <c r="V23" s="264"/>
      <c r="W23" s="264"/>
      <c r="X23" s="258"/>
      <c r="Y23" s="258"/>
      <c r="Z23" s="258"/>
    </row>
    <row r="24" spans="2:26" ht="54.75" customHeight="1">
      <c r="B24" s="258"/>
      <c r="C24" s="258"/>
      <c r="D24" s="295"/>
      <c r="G24" s="258"/>
      <c r="H24" s="258"/>
      <c r="I24" s="258"/>
      <c r="J24" s="261"/>
      <c r="K24" s="258"/>
      <c r="L24" s="258"/>
      <c r="M24" s="304"/>
      <c r="N24" s="258"/>
      <c r="O24" s="258"/>
      <c r="P24" s="258"/>
      <c r="Q24" s="258"/>
      <c r="R24" s="258"/>
      <c r="S24" s="258"/>
      <c r="T24" s="258"/>
      <c r="U24" s="258"/>
      <c r="V24" s="264"/>
      <c r="W24" s="264"/>
      <c r="X24" s="258"/>
      <c r="Y24" s="258"/>
      <c r="Z24" s="258"/>
    </row>
    <row r="25" spans="2:26" ht="54.75" customHeight="1">
      <c r="B25" s="258"/>
      <c r="C25" s="258"/>
      <c r="D25" s="295"/>
      <c r="G25" s="258"/>
      <c r="H25" s="258"/>
      <c r="I25" s="258"/>
      <c r="J25" s="261"/>
      <c r="K25" s="258"/>
      <c r="L25" s="258"/>
      <c r="M25" s="304"/>
      <c r="N25" s="258"/>
      <c r="O25" s="258"/>
      <c r="P25" s="258"/>
      <c r="Q25" s="258"/>
      <c r="R25" s="258"/>
      <c r="S25" s="258"/>
      <c r="T25" s="258"/>
      <c r="U25" s="258"/>
      <c r="V25" s="264"/>
      <c r="W25" s="264"/>
      <c r="X25" s="258"/>
      <c r="Y25" s="258"/>
      <c r="Z25" s="258"/>
    </row>
    <row r="26" spans="2:26" ht="54.75" customHeight="1">
      <c r="B26" s="258"/>
      <c r="C26" s="258"/>
      <c r="D26" s="295"/>
      <c r="G26" s="258"/>
      <c r="H26" s="258"/>
      <c r="I26" s="258"/>
      <c r="J26" s="261"/>
      <c r="K26" s="258"/>
      <c r="L26" s="258"/>
      <c r="M26" s="304"/>
      <c r="N26" s="258"/>
      <c r="O26" s="258"/>
      <c r="P26" s="258"/>
      <c r="Q26" s="258"/>
      <c r="R26" s="258"/>
      <c r="S26" s="258"/>
      <c r="T26" s="258"/>
      <c r="U26" s="258"/>
      <c r="V26" s="264"/>
      <c r="W26" s="264"/>
      <c r="X26" s="258"/>
      <c r="Y26" s="258"/>
      <c r="Z26" s="258"/>
    </row>
    <row r="27" spans="2:26" ht="54.75" customHeight="1">
      <c r="B27" s="258"/>
      <c r="C27" s="258"/>
      <c r="D27" s="295"/>
      <c r="G27" s="258"/>
      <c r="H27" s="258"/>
      <c r="I27" s="258"/>
      <c r="J27" s="261"/>
      <c r="K27" s="258"/>
      <c r="L27" s="258"/>
      <c r="M27" s="304"/>
      <c r="N27" s="258"/>
      <c r="O27" s="258"/>
      <c r="P27" s="258"/>
      <c r="Q27" s="258"/>
      <c r="R27" s="258"/>
      <c r="S27" s="258"/>
      <c r="T27" s="258"/>
      <c r="U27" s="258"/>
      <c r="V27" s="264"/>
      <c r="W27" s="264"/>
      <c r="X27" s="258"/>
      <c r="Y27" s="258"/>
      <c r="Z27" s="258"/>
    </row>
    <row r="28" spans="2:26" ht="54.75" customHeight="1">
      <c r="B28" s="258"/>
      <c r="C28" s="258"/>
      <c r="D28" s="295"/>
      <c r="G28" s="258"/>
      <c r="H28" s="258"/>
      <c r="I28" s="258"/>
      <c r="J28" s="261"/>
      <c r="K28" s="258"/>
      <c r="L28" s="258"/>
      <c r="M28" s="304"/>
      <c r="N28" s="258"/>
      <c r="O28" s="258"/>
      <c r="P28" s="258"/>
      <c r="Q28" s="258"/>
      <c r="R28" s="258"/>
      <c r="S28" s="258"/>
      <c r="T28" s="258"/>
      <c r="U28" s="258"/>
      <c r="V28" s="264"/>
      <c r="W28" s="264"/>
      <c r="X28" s="258"/>
      <c r="Y28" s="258"/>
      <c r="Z28" s="258"/>
    </row>
    <row r="29" spans="2:26" ht="54.75" customHeight="1">
      <c r="B29" s="258"/>
      <c r="C29" s="258"/>
      <c r="D29" s="295"/>
      <c r="G29" s="258"/>
      <c r="H29" s="258"/>
      <c r="I29" s="258"/>
      <c r="J29" s="261"/>
      <c r="K29" s="258"/>
      <c r="L29" s="258"/>
      <c r="M29" s="304"/>
      <c r="N29" s="258"/>
      <c r="O29" s="258"/>
      <c r="P29" s="258"/>
      <c r="Q29" s="258"/>
      <c r="R29" s="258"/>
      <c r="S29" s="258"/>
      <c r="T29" s="258"/>
      <c r="U29" s="258"/>
      <c r="V29" s="264"/>
      <c r="W29" s="264"/>
      <c r="X29" s="258"/>
      <c r="Y29" s="258"/>
      <c r="Z29" s="258"/>
    </row>
    <row r="30" spans="2:26" ht="54.75" customHeight="1">
      <c r="B30" s="258"/>
      <c r="C30" s="258"/>
      <c r="D30" s="295"/>
      <c r="G30" s="258"/>
      <c r="H30" s="258"/>
      <c r="I30" s="258"/>
      <c r="J30" s="261"/>
      <c r="K30" s="258"/>
      <c r="L30" s="258"/>
      <c r="M30" s="304"/>
      <c r="N30" s="258"/>
      <c r="O30" s="258"/>
      <c r="P30" s="258"/>
      <c r="Q30" s="258"/>
      <c r="R30" s="258"/>
      <c r="S30" s="258"/>
      <c r="T30" s="258"/>
      <c r="U30" s="258"/>
      <c r="V30" s="264"/>
      <c r="W30" s="264"/>
      <c r="X30" s="258"/>
      <c r="Y30" s="258"/>
      <c r="Z30" s="258"/>
    </row>
    <row r="31" spans="2:26" ht="54.75" customHeight="1">
      <c r="B31" s="258"/>
      <c r="C31" s="258"/>
      <c r="D31" s="295"/>
      <c r="G31" s="258"/>
      <c r="H31" s="258"/>
      <c r="I31" s="258"/>
      <c r="J31" s="261"/>
      <c r="K31" s="258"/>
      <c r="L31" s="258"/>
      <c r="M31" s="304"/>
      <c r="N31" s="258"/>
      <c r="O31" s="258"/>
      <c r="P31" s="258"/>
      <c r="Q31" s="258"/>
      <c r="R31" s="258"/>
      <c r="S31" s="258"/>
      <c r="T31" s="258"/>
      <c r="U31" s="258"/>
      <c r="V31" s="264"/>
      <c r="W31" s="264"/>
      <c r="X31" s="258"/>
      <c r="Y31" s="258"/>
      <c r="Z31" s="258"/>
    </row>
    <row r="32" spans="2:26" ht="54.75" customHeight="1">
      <c r="B32" s="258"/>
      <c r="C32" s="258"/>
      <c r="D32" s="295"/>
      <c r="G32" s="258"/>
      <c r="H32" s="258"/>
      <c r="I32" s="258"/>
      <c r="J32" s="261"/>
      <c r="K32" s="258"/>
      <c r="L32" s="258"/>
      <c r="M32" s="304"/>
      <c r="N32" s="258"/>
      <c r="O32" s="258"/>
      <c r="P32" s="258"/>
      <c r="Q32" s="258"/>
      <c r="R32" s="258"/>
      <c r="S32" s="258"/>
      <c r="T32" s="258"/>
      <c r="U32" s="258"/>
      <c r="V32" s="264"/>
      <c r="W32" s="264"/>
      <c r="X32" s="258"/>
      <c r="Y32" s="258"/>
      <c r="Z32" s="258"/>
    </row>
    <row r="33" spans="2:26" ht="54.75" customHeight="1">
      <c r="B33" s="258"/>
      <c r="C33" s="258"/>
      <c r="D33" s="295"/>
      <c r="G33" s="258"/>
      <c r="H33" s="258"/>
      <c r="I33" s="258"/>
      <c r="J33" s="261"/>
      <c r="K33" s="258"/>
      <c r="L33" s="258"/>
      <c r="M33" s="304"/>
      <c r="N33" s="258"/>
      <c r="O33" s="258"/>
      <c r="P33" s="258"/>
      <c r="Q33" s="258"/>
      <c r="R33" s="258"/>
      <c r="S33" s="258"/>
      <c r="T33" s="258"/>
      <c r="U33" s="258"/>
      <c r="V33" s="264"/>
      <c r="W33" s="264"/>
      <c r="X33" s="258"/>
      <c r="Y33" s="258"/>
      <c r="Z33" s="258"/>
    </row>
    <row r="34" spans="2:26" ht="54.75" customHeight="1">
      <c r="B34" s="258"/>
      <c r="C34" s="258"/>
      <c r="D34" s="295"/>
      <c r="G34" s="258"/>
      <c r="H34" s="258"/>
      <c r="I34" s="258"/>
      <c r="J34" s="261"/>
      <c r="K34" s="258"/>
      <c r="L34" s="258"/>
      <c r="M34" s="304"/>
      <c r="N34" s="258"/>
      <c r="O34" s="258"/>
      <c r="P34" s="258"/>
      <c r="Q34" s="258"/>
      <c r="R34" s="258"/>
      <c r="S34" s="258"/>
      <c r="T34" s="258"/>
      <c r="U34" s="258"/>
      <c r="V34" s="264"/>
      <c r="W34" s="264"/>
      <c r="X34" s="258"/>
      <c r="Y34" s="258"/>
      <c r="Z34" s="258"/>
    </row>
    <row r="35" spans="2:26" ht="54.75" customHeight="1">
      <c r="B35" s="258"/>
      <c r="C35" s="258"/>
      <c r="D35" s="295"/>
      <c r="G35" s="258"/>
      <c r="H35" s="258"/>
      <c r="I35" s="258"/>
      <c r="J35" s="261"/>
      <c r="K35" s="258"/>
      <c r="L35" s="258"/>
      <c r="M35" s="304"/>
      <c r="N35" s="258"/>
      <c r="O35" s="258"/>
      <c r="P35" s="258"/>
      <c r="Q35" s="258"/>
      <c r="R35" s="258"/>
      <c r="S35" s="258"/>
      <c r="T35" s="258"/>
      <c r="U35" s="258"/>
      <c r="V35" s="264"/>
      <c r="W35" s="264"/>
      <c r="X35" s="258"/>
      <c r="Y35" s="258"/>
      <c r="Z35" s="258"/>
    </row>
    <row r="36" spans="2:26" ht="54.75" customHeight="1">
      <c r="B36" s="258"/>
      <c r="C36" s="258"/>
      <c r="D36" s="295"/>
      <c r="G36" s="258"/>
      <c r="H36" s="258"/>
      <c r="I36" s="258"/>
      <c r="J36" s="261"/>
      <c r="K36" s="258"/>
      <c r="L36" s="258"/>
      <c r="M36" s="304"/>
      <c r="N36" s="258"/>
      <c r="O36" s="258"/>
      <c r="P36" s="258"/>
      <c r="Q36" s="258"/>
      <c r="R36" s="258"/>
      <c r="S36" s="258"/>
      <c r="T36" s="258"/>
      <c r="U36" s="258"/>
      <c r="V36" s="264"/>
      <c r="W36" s="264"/>
      <c r="X36" s="258"/>
      <c r="Y36" s="258"/>
      <c r="Z36" s="258"/>
    </row>
    <row r="37" spans="2:26" ht="54.75" customHeight="1">
      <c r="B37" s="258"/>
      <c r="C37" s="258"/>
      <c r="D37" s="295"/>
      <c r="G37" s="258"/>
      <c r="H37" s="258"/>
      <c r="I37" s="258"/>
      <c r="J37" s="261"/>
      <c r="K37" s="258"/>
      <c r="L37" s="258"/>
      <c r="M37" s="304"/>
      <c r="N37" s="258"/>
      <c r="O37" s="258"/>
      <c r="P37" s="258"/>
      <c r="Q37" s="258"/>
      <c r="R37" s="258"/>
      <c r="S37" s="258"/>
      <c r="T37" s="258"/>
      <c r="U37" s="258"/>
      <c r="V37" s="264"/>
      <c r="W37" s="264"/>
      <c r="X37" s="258"/>
      <c r="Y37" s="258"/>
      <c r="Z37" s="258"/>
    </row>
    <row r="38" spans="2:26" ht="54.75" customHeight="1">
      <c r="B38" s="258"/>
      <c r="C38" s="258"/>
      <c r="D38" s="295"/>
      <c r="G38" s="258"/>
      <c r="H38" s="258"/>
      <c r="I38" s="258"/>
      <c r="J38" s="261"/>
      <c r="K38" s="258"/>
      <c r="L38" s="258"/>
      <c r="M38" s="304"/>
      <c r="N38" s="258"/>
      <c r="O38" s="258"/>
      <c r="P38" s="258"/>
      <c r="Q38" s="258"/>
      <c r="R38" s="258"/>
      <c r="S38" s="258"/>
      <c r="T38" s="258"/>
      <c r="U38" s="258"/>
      <c r="V38" s="264"/>
      <c r="W38" s="264"/>
      <c r="X38" s="258"/>
      <c r="Y38" s="258"/>
      <c r="Z38" s="258"/>
    </row>
    <row r="39" spans="2:26" ht="54.75" customHeight="1">
      <c r="B39" s="258"/>
      <c r="C39" s="258"/>
      <c r="D39" s="295"/>
      <c r="G39" s="258"/>
      <c r="H39" s="258"/>
      <c r="I39" s="258"/>
      <c r="J39" s="261"/>
      <c r="K39" s="258"/>
      <c r="L39" s="258"/>
      <c r="M39" s="304"/>
      <c r="N39" s="258"/>
      <c r="O39" s="258"/>
      <c r="P39" s="258"/>
      <c r="Q39" s="258"/>
      <c r="R39" s="258"/>
      <c r="S39" s="258"/>
      <c r="T39" s="258"/>
      <c r="U39" s="258"/>
      <c r="V39" s="264"/>
      <c r="W39" s="264"/>
      <c r="X39" s="258"/>
      <c r="Y39" s="258"/>
      <c r="Z39" s="258"/>
    </row>
    <row r="40" spans="2:26" ht="54.75" customHeight="1">
      <c r="B40" s="258"/>
      <c r="C40" s="258"/>
      <c r="D40" s="295"/>
      <c r="G40" s="258"/>
      <c r="H40" s="258"/>
      <c r="I40" s="258"/>
      <c r="J40" s="261"/>
      <c r="K40" s="258"/>
      <c r="L40" s="258"/>
      <c r="M40" s="304"/>
      <c r="N40" s="258"/>
      <c r="O40" s="258"/>
      <c r="P40" s="258"/>
      <c r="Q40" s="258"/>
      <c r="R40" s="258"/>
      <c r="S40" s="258"/>
      <c r="T40" s="258"/>
      <c r="U40" s="258"/>
      <c r="V40" s="264"/>
      <c r="W40" s="264"/>
      <c r="X40" s="258"/>
      <c r="Y40" s="258"/>
      <c r="Z40" s="258"/>
    </row>
    <row r="41" spans="2:26" ht="54.75" customHeight="1">
      <c r="B41" s="258"/>
      <c r="C41" s="258"/>
      <c r="D41" s="295"/>
      <c r="G41" s="258"/>
      <c r="H41" s="258"/>
      <c r="I41" s="258"/>
      <c r="J41" s="261"/>
      <c r="K41" s="258"/>
      <c r="L41" s="258"/>
      <c r="M41" s="304"/>
      <c r="N41" s="258"/>
      <c r="O41" s="258"/>
      <c r="P41" s="258"/>
      <c r="Q41" s="258"/>
      <c r="R41" s="258"/>
      <c r="S41" s="258"/>
      <c r="T41" s="258"/>
      <c r="U41" s="258"/>
      <c r="V41" s="264"/>
      <c r="W41" s="264"/>
      <c r="X41" s="258"/>
      <c r="Y41" s="258"/>
      <c r="Z41" s="258"/>
    </row>
    <row r="42" spans="2:26" ht="54.75" customHeight="1">
      <c r="B42" s="258"/>
      <c r="C42" s="258"/>
      <c r="D42" s="295"/>
      <c r="G42" s="258"/>
      <c r="H42" s="258"/>
      <c r="I42" s="258"/>
      <c r="J42" s="261"/>
      <c r="K42" s="258"/>
      <c r="L42" s="258"/>
      <c r="M42" s="304"/>
      <c r="N42" s="258"/>
      <c r="O42" s="258"/>
      <c r="P42" s="258"/>
      <c r="Q42" s="258"/>
      <c r="R42" s="258"/>
      <c r="S42" s="258"/>
      <c r="T42" s="258"/>
      <c r="U42" s="258"/>
      <c r="V42" s="264"/>
      <c r="W42" s="264"/>
      <c r="X42" s="258"/>
      <c r="Y42" s="258"/>
      <c r="Z42" s="258"/>
    </row>
    <row r="43" spans="2:26" ht="54.75" customHeight="1">
      <c r="B43" s="258"/>
      <c r="C43" s="258"/>
      <c r="D43" s="295"/>
      <c r="G43" s="258"/>
      <c r="H43" s="258"/>
      <c r="I43" s="258"/>
      <c r="J43" s="261"/>
      <c r="K43" s="258"/>
      <c r="L43" s="258"/>
      <c r="M43" s="304"/>
      <c r="N43" s="258"/>
      <c r="O43" s="258"/>
      <c r="P43" s="258"/>
      <c r="Q43" s="258"/>
      <c r="R43" s="258"/>
      <c r="S43" s="258"/>
      <c r="T43" s="258"/>
      <c r="U43" s="258"/>
      <c r="V43" s="264"/>
      <c r="W43" s="264"/>
      <c r="X43" s="258"/>
      <c r="Y43" s="258"/>
      <c r="Z43" s="25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20"/>
  <sheetViews>
    <sheetView topLeftCell="A8" workbookViewId="0">
      <selection activeCell="B11" sqref="B11"/>
    </sheetView>
  </sheetViews>
  <sheetFormatPr baseColWidth="10" defaultColWidth="12.6328125" defaultRowHeight="15.75" customHeight="1"/>
  <cols>
    <col min="1" max="1" width="16.26953125" customWidth="1"/>
    <col min="2" max="2" width="15" customWidth="1"/>
    <col min="3" max="3" width="16.36328125" customWidth="1"/>
    <col min="4" max="4" width="50.90625" customWidth="1"/>
    <col min="5" max="5" width="35.26953125" customWidth="1"/>
    <col min="6" max="6" width="17.6328125" customWidth="1"/>
    <col min="7" max="7" width="26.453125" customWidth="1"/>
    <col min="8" max="8" width="18.6328125" customWidth="1"/>
    <col min="9" max="9" width="15.6328125" customWidth="1"/>
    <col min="11" max="11" width="57.7265625" customWidth="1"/>
    <col min="12" max="12" width="49.7265625" customWidth="1"/>
    <col min="17" max="17" width="16.7265625" customWidth="1"/>
    <col min="22" max="22" width="22.1796875" style="368" customWidth="1"/>
    <col min="23" max="23" width="12.6328125" style="368"/>
  </cols>
  <sheetData>
    <row r="1" spans="1:26" ht="45.75" customHeight="1">
      <c r="A1" s="319" t="s">
        <v>0</v>
      </c>
      <c r="B1" s="320"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row>
    <row r="2" spans="1:26" ht="54.75" customHeight="1">
      <c r="A2" s="36" t="s">
        <v>1752</v>
      </c>
      <c r="B2" s="257">
        <v>324800</v>
      </c>
      <c r="C2" s="258" t="s">
        <v>1023</v>
      </c>
      <c r="D2" s="295" t="s">
        <v>1753</v>
      </c>
      <c r="E2" s="327" t="s">
        <v>1754</v>
      </c>
      <c r="F2" s="36">
        <v>3144507682</v>
      </c>
      <c r="G2" s="258" t="s">
        <v>1755</v>
      </c>
      <c r="H2" s="258" t="s">
        <v>1015</v>
      </c>
      <c r="I2" s="258" t="s">
        <v>1756</v>
      </c>
      <c r="J2" s="261" t="s">
        <v>1757</v>
      </c>
      <c r="K2" s="387" t="s">
        <v>1758</v>
      </c>
      <c r="L2" s="258" t="s">
        <v>1759</v>
      </c>
      <c r="M2" s="304" t="s">
        <v>1760</v>
      </c>
      <c r="N2" s="256" t="s">
        <v>1625</v>
      </c>
      <c r="O2" s="258" t="s">
        <v>809</v>
      </c>
      <c r="P2" s="258"/>
      <c r="Q2" s="258" t="s">
        <v>1303</v>
      </c>
      <c r="R2" s="258"/>
      <c r="S2" s="258"/>
      <c r="T2" s="258" t="s">
        <v>1680</v>
      </c>
      <c r="U2" s="258"/>
      <c r="V2" s="384" t="s">
        <v>2612</v>
      </c>
      <c r="W2" s="264" t="s">
        <v>2684</v>
      </c>
      <c r="X2" s="258"/>
      <c r="Y2" s="258"/>
      <c r="Z2" s="258"/>
    </row>
    <row r="3" spans="1:26" ht="54.75" customHeight="1">
      <c r="A3" s="36">
        <v>900632403</v>
      </c>
      <c r="B3" s="257">
        <v>564254</v>
      </c>
      <c r="C3" s="258" t="s">
        <v>1761</v>
      </c>
      <c r="D3" s="295" t="s">
        <v>1747</v>
      </c>
      <c r="E3" s="327" t="s">
        <v>1748</v>
      </c>
      <c r="F3" s="256">
        <v>3188316628</v>
      </c>
      <c r="G3" s="258" t="s">
        <v>1749</v>
      </c>
      <c r="H3" s="258" t="s">
        <v>1666</v>
      </c>
      <c r="I3" s="258" t="s">
        <v>1750</v>
      </c>
      <c r="J3" s="261" t="s">
        <v>1762</v>
      </c>
      <c r="K3" s="384" t="s">
        <v>1763</v>
      </c>
      <c r="L3" s="385" t="s">
        <v>1764</v>
      </c>
      <c r="M3" s="304"/>
      <c r="N3" s="258" t="s">
        <v>1625</v>
      </c>
      <c r="O3" s="258" t="s">
        <v>809</v>
      </c>
      <c r="P3" s="258"/>
      <c r="Q3" s="258"/>
      <c r="R3" s="258"/>
      <c r="S3" s="258"/>
      <c r="T3" s="258" t="s">
        <v>1680</v>
      </c>
      <c r="U3" s="258"/>
      <c r="V3" s="384" t="s">
        <v>2611</v>
      </c>
      <c r="W3" s="264" t="s">
        <v>2654</v>
      </c>
      <c r="X3" s="258"/>
      <c r="Y3" s="258"/>
      <c r="Z3" s="258"/>
    </row>
    <row r="4" spans="1:26" ht="54.75" customHeight="1">
      <c r="A4" s="36" t="s">
        <v>1765</v>
      </c>
      <c r="B4" s="257">
        <v>318304</v>
      </c>
      <c r="C4" s="258" t="s">
        <v>1766</v>
      </c>
      <c r="D4" s="295" t="s">
        <v>1767</v>
      </c>
      <c r="E4" s="327" t="s">
        <v>1768</v>
      </c>
      <c r="F4" s="36">
        <v>3108690982</v>
      </c>
      <c r="G4" s="258" t="s">
        <v>1769</v>
      </c>
      <c r="H4" s="258" t="s">
        <v>1015</v>
      </c>
      <c r="I4" s="258" t="s">
        <v>1770</v>
      </c>
      <c r="J4" s="261" t="s">
        <v>1762</v>
      </c>
      <c r="K4" s="384" t="s">
        <v>1771</v>
      </c>
      <c r="L4" s="258" t="s">
        <v>1772</v>
      </c>
      <c r="M4" s="304" t="s">
        <v>1773</v>
      </c>
      <c r="N4" s="258" t="s">
        <v>1713</v>
      </c>
      <c r="O4" s="258" t="s">
        <v>809</v>
      </c>
      <c r="P4" s="258"/>
      <c r="Q4" s="258" t="s">
        <v>1732</v>
      </c>
      <c r="R4" s="258"/>
      <c r="S4" s="258"/>
      <c r="T4" s="258" t="s">
        <v>1680</v>
      </c>
      <c r="U4" s="258"/>
      <c r="V4" s="384" t="s">
        <v>2613</v>
      </c>
      <c r="W4" s="264" t="s">
        <v>2685</v>
      </c>
      <c r="X4" s="258"/>
      <c r="Y4" s="258"/>
      <c r="Z4" s="258"/>
    </row>
    <row r="5" spans="1:26" ht="54.75" customHeight="1">
      <c r="A5" s="36" t="s">
        <v>1774</v>
      </c>
      <c r="B5" s="257">
        <v>207200</v>
      </c>
      <c r="C5" s="258"/>
      <c r="D5" s="295" t="s">
        <v>1775</v>
      </c>
      <c r="E5" s="327" t="s">
        <v>1776</v>
      </c>
      <c r="F5" s="36">
        <v>3228153359</v>
      </c>
      <c r="G5" s="258" t="s">
        <v>1777</v>
      </c>
      <c r="H5" s="258" t="s">
        <v>1015</v>
      </c>
      <c r="I5" s="258" t="s">
        <v>1778</v>
      </c>
      <c r="J5" s="261" t="s">
        <v>1779</v>
      </c>
      <c r="K5" s="384" t="s">
        <v>1780</v>
      </c>
      <c r="L5" s="385" t="s">
        <v>1781</v>
      </c>
      <c r="M5" s="304" t="s">
        <v>1782</v>
      </c>
      <c r="N5" s="258" t="s">
        <v>1713</v>
      </c>
      <c r="O5" s="258" t="s">
        <v>809</v>
      </c>
      <c r="P5" s="258"/>
      <c r="Q5" s="258" t="s">
        <v>1548</v>
      </c>
      <c r="R5" s="258"/>
      <c r="S5" s="258"/>
      <c r="T5" s="258" t="s">
        <v>1680</v>
      </c>
      <c r="U5" s="258"/>
      <c r="V5" s="384" t="s">
        <v>2614</v>
      </c>
      <c r="W5" s="264" t="s">
        <v>2637</v>
      </c>
      <c r="X5" s="258"/>
      <c r="Y5" s="258"/>
      <c r="Z5" s="258"/>
    </row>
    <row r="6" spans="1:26" ht="54.75" customHeight="1">
      <c r="A6" s="294" t="s">
        <v>1714</v>
      </c>
      <c r="B6" s="257">
        <v>440000</v>
      </c>
      <c r="C6" s="258" t="s">
        <v>1715</v>
      </c>
      <c r="D6" s="295" t="s">
        <v>1783</v>
      </c>
      <c r="E6" s="302" t="s">
        <v>1784</v>
      </c>
      <c r="F6" s="256">
        <v>3177368217</v>
      </c>
      <c r="G6" s="256" t="s">
        <v>1785</v>
      </c>
      <c r="H6" s="258" t="s">
        <v>1666</v>
      </c>
      <c r="I6" s="258" t="s">
        <v>1340</v>
      </c>
      <c r="J6" s="261" t="s">
        <v>1786</v>
      </c>
      <c r="K6" s="385" t="s">
        <v>1787</v>
      </c>
      <c r="L6" s="258" t="s">
        <v>1583</v>
      </c>
      <c r="M6" s="304"/>
      <c r="N6" s="258" t="s">
        <v>1625</v>
      </c>
      <c r="O6" s="258" t="s">
        <v>1788</v>
      </c>
      <c r="P6" s="258"/>
      <c r="Q6" s="258" t="s">
        <v>1527</v>
      </c>
      <c r="R6" s="258"/>
      <c r="S6" s="258"/>
      <c r="T6" s="258" t="s">
        <v>1680</v>
      </c>
      <c r="U6" s="258"/>
      <c r="V6" s="384" t="s">
        <v>2615</v>
      </c>
      <c r="W6" s="264" t="s">
        <v>2654</v>
      </c>
      <c r="X6" s="258"/>
      <c r="Y6" s="258"/>
      <c r="Z6" s="258"/>
    </row>
    <row r="7" spans="1:26" ht="54.75" customHeight="1">
      <c r="A7" s="256" t="s">
        <v>1789</v>
      </c>
      <c r="B7" s="257">
        <v>201247</v>
      </c>
      <c r="C7" s="340" t="s">
        <v>1790</v>
      </c>
      <c r="D7" s="295" t="s">
        <v>1791</v>
      </c>
      <c r="E7" s="341" t="s">
        <v>1792</v>
      </c>
      <c r="F7" s="340">
        <v>3202767928</v>
      </c>
      <c r="G7" s="340" t="s">
        <v>1793</v>
      </c>
      <c r="H7" s="258" t="s">
        <v>1015</v>
      </c>
      <c r="I7" s="258" t="s">
        <v>1794</v>
      </c>
      <c r="J7" s="261" t="s">
        <v>1795</v>
      </c>
      <c r="K7" s="388" t="s">
        <v>1796</v>
      </c>
      <c r="L7" s="258" t="s">
        <v>1797</v>
      </c>
      <c r="M7" s="304" t="s">
        <v>1798</v>
      </c>
      <c r="N7" s="258" t="s">
        <v>1799</v>
      </c>
      <c r="O7" s="258" t="s">
        <v>809</v>
      </c>
      <c r="P7" s="258"/>
      <c r="Q7" s="258" t="s">
        <v>1800</v>
      </c>
      <c r="R7" s="258"/>
      <c r="S7" s="258"/>
      <c r="T7" s="258" t="s">
        <v>1680</v>
      </c>
      <c r="U7" s="258"/>
      <c r="V7" s="384" t="s">
        <v>2614</v>
      </c>
      <c r="W7" s="264" t="s">
        <v>2637</v>
      </c>
      <c r="X7" s="258"/>
      <c r="Y7" s="258"/>
      <c r="Z7" s="258"/>
    </row>
    <row r="8" spans="1:26" ht="54.75" customHeight="1">
      <c r="A8" s="36" t="s">
        <v>1801</v>
      </c>
      <c r="B8" s="292">
        <v>728000</v>
      </c>
      <c r="C8" s="36" t="s">
        <v>1802</v>
      </c>
      <c r="D8" s="295" t="s">
        <v>1803</v>
      </c>
      <c r="E8" s="327" t="s">
        <v>1804</v>
      </c>
      <c r="F8" s="36">
        <v>3123698429</v>
      </c>
      <c r="G8" s="258" t="s">
        <v>1805</v>
      </c>
      <c r="H8" s="258" t="s">
        <v>1015</v>
      </c>
      <c r="I8" s="258" t="s">
        <v>1806</v>
      </c>
      <c r="J8" s="261" t="s">
        <v>1807</v>
      </c>
      <c r="K8" s="384" t="s">
        <v>1808</v>
      </c>
      <c r="L8" s="385" t="s">
        <v>1809</v>
      </c>
      <c r="M8" s="304" t="s">
        <v>1810</v>
      </c>
      <c r="N8" s="258" t="s">
        <v>1811</v>
      </c>
      <c r="O8" s="258" t="s">
        <v>809</v>
      </c>
      <c r="P8" s="258"/>
      <c r="Q8" s="258" t="s">
        <v>1671</v>
      </c>
      <c r="R8" s="258"/>
      <c r="S8" s="258"/>
      <c r="T8" s="258" t="s">
        <v>1680</v>
      </c>
      <c r="U8" s="258"/>
      <c r="V8" s="264" t="s">
        <v>2575</v>
      </c>
      <c r="W8" s="264" t="s">
        <v>2672</v>
      </c>
      <c r="X8" s="258"/>
      <c r="Y8" s="258"/>
      <c r="Z8" s="258"/>
    </row>
    <row r="9" spans="1:26" ht="54.75" customHeight="1">
      <c r="A9" s="36" t="s">
        <v>1812</v>
      </c>
      <c r="B9" s="257">
        <v>892316</v>
      </c>
      <c r="C9" s="258" t="s">
        <v>1715</v>
      </c>
      <c r="D9" s="295" t="s">
        <v>1813</v>
      </c>
      <c r="E9" s="327" t="s">
        <v>1814</v>
      </c>
      <c r="F9" s="36" t="s">
        <v>1815</v>
      </c>
      <c r="G9" s="258" t="s">
        <v>1816</v>
      </c>
      <c r="H9" s="258" t="s">
        <v>1015</v>
      </c>
      <c r="I9" s="258" t="s">
        <v>1817</v>
      </c>
      <c r="J9" s="261" t="s">
        <v>1818</v>
      </c>
      <c r="K9" s="384" t="s">
        <v>1819</v>
      </c>
      <c r="L9" s="258" t="s">
        <v>1820</v>
      </c>
      <c r="M9" s="304" t="s">
        <v>1821</v>
      </c>
      <c r="N9" s="258" t="s">
        <v>1822</v>
      </c>
      <c r="O9" s="258" t="s">
        <v>809</v>
      </c>
      <c r="P9" s="258"/>
      <c r="Q9" s="258" t="s">
        <v>1376</v>
      </c>
      <c r="R9" s="258"/>
      <c r="S9" s="258"/>
      <c r="T9" s="258" t="s">
        <v>1680</v>
      </c>
      <c r="U9" s="258"/>
      <c r="V9" s="384" t="s">
        <v>2577</v>
      </c>
      <c r="W9" s="264" t="s">
        <v>2594</v>
      </c>
      <c r="X9" s="258"/>
      <c r="Y9" s="258"/>
      <c r="Z9" s="258"/>
    </row>
    <row r="10" spans="1:26" ht="54.75" customHeight="1">
      <c r="A10" s="36" t="s">
        <v>1823</v>
      </c>
      <c r="B10" s="257">
        <v>350000</v>
      </c>
      <c r="C10" s="258" t="s">
        <v>1824</v>
      </c>
      <c r="D10" s="295" t="s">
        <v>1825</v>
      </c>
      <c r="E10" s="327" t="s">
        <v>1826</v>
      </c>
      <c r="F10" s="36">
        <v>3133967737</v>
      </c>
      <c r="G10" s="258" t="s">
        <v>1827</v>
      </c>
      <c r="H10" s="258" t="s">
        <v>1666</v>
      </c>
      <c r="I10" s="258" t="s">
        <v>1497</v>
      </c>
      <c r="J10" s="261" t="s">
        <v>1760</v>
      </c>
      <c r="K10" s="384" t="s">
        <v>1828</v>
      </c>
      <c r="L10" s="385" t="s">
        <v>1829</v>
      </c>
      <c r="M10" s="304"/>
      <c r="N10" s="258" t="s">
        <v>1731</v>
      </c>
      <c r="O10" s="258" t="s">
        <v>809</v>
      </c>
      <c r="P10" s="258"/>
      <c r="Q10" s="258" t="s">
        <v>1376</v>
      </c>
      <c r="R10" s="258"/>
      <c r="S10" s="258"/>
      <c r="T10" s="258" t="s">
        <v>1680</v>
      </c>
      <c r="U10" s="258"/>
      <c r="V10" s="384" t="s">
        <v>2611</v>
      </c>
      <c r="W10" s="264" t="s">
        <v>2654</v>
      </c>
      <c r="X10" s="258"/>
      <c r="Y10" s="258"/>
      <c r="Z10" s="258"/>
    </row>
    <row r="11" spans="1:26" ht="54.75" customHeight="1">
      <c r="B11" s="301">
        <v>6000000</v>
      </c>
      <c r="C11" s="258" t="s">
        <v>1830</v>
      </c>
      <c r="D11" s="295" t="s">
        <v>1831</v>
      </c>
      <c r="G11" s="258"/>
      <c r="H11" s="258"/>
      <c r="I11" s="258"/>
      <c r="J11" s="261"/>
      <c r="K11" s="258"/>
      <c r="L11" s="258"/>
      <c r="M11" s="304"/>
      <c r="N11" s="258"/>
      <c r="O11" s="258"/>
      <c r="P11" s="258"/>
      <c r="Q11" s="258"/>
      <c r="R11" s="258"/>
      <c r="S11" s="258"/>
      <c r="T11" s="258"/>
      <c r="U11" s="258"/>
      <c r="V11" s="264"/>
      <c r="W11" s="264"/>
      <c r="X11" s="258"/>
      <c r="Y11" s="258"/>
      <c r="Z11" s="258"/>
    </row>
    <row r="12" spans="1:26" ht="54.75" customHeight="1">
      <c r="A12" s="16" t="s">
        <v>1189</v>
      </c>
      <c r="B12" s="332">
        <f>SUM(B2:B11)</f>
        <v>10026121</v>
      </c>
      <c r="C12" s="258"/>
      <c r="D12" s="342"/>
      <c r="G12" s="258"/>
      <c r="H12" s="258"/>
      <c r="I12" s="258"/>
      <c r="J12" s="261"/>
      <c r="K12" s="258"/>
      <c r="L12" s="258"/>
      <c r="M12" s="304"/>
      <c r="N12" s="258"/>
      <c r="O12" s="258"/>
      <c r="P12" s="258"/>
      <c r="Q12" s="258"/>
      <c r="R12" s="258"/>
      <c r="S12" s="258"/>
      <c r="T12" s="258"/>
      <c r="U12" s="258"/>
      <c r="V12" s="264"/>
      <c r="W12" s="264"/>
      <c r="X12" s="258"/>
      <c r="Y12" s="258"/>
      <c r="Z12" s="258"/>
    </row>
    <row r="13" spans="1:26" ht="54.75" customHeight="1">
      <c r="B13" s="258"/>
      <c r="C13" s="258"/>
      <c r="D13" s="342"/>
      <c r="G13" s="258"/>
      <c r="H13" s="258"/>
      <c r="I13" s="258"/>
      <c r="J13" s="261"/>
      <c r="K13" s="258"/>
      <c r="L13" s="258"/>
      <c r="M13" s="304"/>
      <c r="N13" s="258"/>
      <c r="O13" s="258"/>
      <c r="P13" s="258"/>
      <c r="Q13" s="258"/>
      <c r="R13" s="258"/>
      <c r="S13" s="258"/>
      <c r="T13" s="258"/>
      <c r="U13" s="258"/>
      <c r="V13" s="264"/>
      <c r="W13" s="264"/>
      <c r="X13" s="258"/>
      <c r="Y13" s="258"/>
      <c r="Z13" s="258"/>
    </row>
    <row r="14" spans="1:26" ht="54.75" customHeight="1">
      <c r="B14" s="258"/>
      <c r="C14" s="258"/>
      <c r="D14" s="342"/>
      <c r="G14" s="258"/>
      <c r="H14" s="258"/>
      <c r="I14" s="258"/>
      <c r="J14" s="261"/>
      <c r="K14" s="258"/>
      <c r="L14" s="258"/>
      <c r="M14" s="304"/>
      <c r="N14" s="258"/>
      <c r="O14" s="258"/>
      <c r="P14" s="258"/>
      <c r="Q14" s="258"/>
      <c r="R14" s="258"/>
      <c r="S14" s="258"/>
      <c r="T14" s="258"/>
      <c r="U14" s="258"/>
      <c r="V14" s="264"/>
      <c r="W14" s="264"/>
      <c r="X14" s="258"/>
      <c r="Y14" s="258"/>
      <c r="Z14" s="258"/>
    </row>
    <row r="15" spans="1:26" ht="54.75" customHeight="1">
      <c r="B15" s="258"/>
      <c r="C15" s="258"/>
      <c r="D15" s="342"/>
      <c r="G15" s="258"/>
      <c r="H15" s="258"/>
      <c r="I15" s="258"/>
      <c r="J15" s="261"/>
      <c r="K15" s="258"/>
      <c r="L15" s="258"/>
      <c r="M15" s="304"/>
      <c r="N15" s="258"/>
      <c r="O15" s="258"/>
      <c r="P15" s="258"/>
      <c r="Q15" s="258"/>
      <c r="R15" s="258"/>
      <c r="S15" s="258"/>
      <c r="T15" s="258"/>
      <c r="U15" s="258"/>
      <c r="V15" s="264"/>
      <c r="W15" s="264"/>
      <c r="X15" s="258"/>
      <c r="Y15" s="258"/>
      <c r="Z15" s="258"/>
    </row>
    <row r="16" spans="1:26" ht="54.75" customHeight="1">
      <c r="B16" s="258"/>
      <c r="C16" s="258"/>
      <c r="D16" s="342"/>
      <c r="G16" s="258"/>
      <c r="H16" s="258"/>
      <c r="I16" s="258"/>
      <c r="J16" s="261"/>
      <c r="K16" s="258"/>
      <c r="L16" s="258"/>
      <c r="M16" s="304"/>
      <c r="N16" s="258"/>
      <c r="O16" s="258"/>
      <c r="P16" s="258"/>
      <c r="Q16" s="258"/>
      <c r="R16" s="258"/>
      <c r="S16" s="258"/>
      <c r="T16" s="258"/>
      <c r="U16" s="258"/>
      <c r="V16" s="264"/>
      <c r="W16" s="264"/>
      <c r="X16" s="258"/>
      <c r="Y16" s="258"/>
      <c r="Z16" s="258"/>
    </row>
    <row r="17" spans="2:26" ht="54.75" customHeight="1">
      <c r="B17" s="258"/>
      <c r="C17" s="258"/>
      <c r="D17" s="342"/>
      <c r="G17" s="258"/>
      <c r="H17" s="258"/>
      <c r="I17" s="258"/>
      <c r="J17" s="261"/>
      <c r="K17" s="258"/>
      <c r="L17" s="258"/>
      <c r="M17" s="304"/>
      <c r="N17" s="258"/>
      <c r="O17" s="258"/>
      <c r="P17" s="258"/>
      <c r="Q17" s="258"/>
      <c r="R17" s="258"/>
      <c r="S17" s="258"/>
      <c r="T17" s="258"/>
      <c r="U17" s="258"/>
      <c r="V17" s="264"/>
      <c r="W17" s="264"/>
      <c r="X17" s="258"/>
      <c r="Y17" s="258"/>
      <c r="Z17" s="258"/>
    </row>
    <row r="18" spans="2:26" ht="54.75" customHeight="1">
      <c r="B18" s="258"/>
      <c r="C18" s="258"/>
      <c r="D18" s="342"/>
      <c r="G18" s="258"/>
      <c r="H18" s="258"/>
      <c r="I18" s="258"/>
      <c r="J18" s="261"/>
      <c r="K18" s="258"/>
      <c r="L18" s="258"/>
      <c r="M18" s="304"/>
      <c r="N18" s="258"/>
      <c r="O18" s="258"/>
      <c r="P18" s="258"/>
      <c r="Q18" s="258"/>
      <c r="R18" s="258"/>
      <c r="S18" s="258"/>
      <c r="T18" s="258"/>
      <c r="U18" s="258"/>
      <c r="V18" s="264"/>
      <c r="W18" s="264"/>
      <c r="X18" s="258"/>
      <c r="Y18" s="258"/>
      <c r="Z18" s="258"/>
    </row>
    <row r="19" spans="2:26" ht="54.75" customHeight="1">
      <c r="B19" s="258"/>
      <c r="C19" s="258"/>
      <c r="D19" s="342"/>
      <c r="G19" s="258"/>
      <c r="H19" s="258"/>
      <c r="I19" s="258"/>
      <c r="J19" s="261"/>
      <c r="K19" s="258"/>
      <c r="L19" s="258"/>
      <c r="M19" s="304"/>
      <c r="N19" s="258"/>
      <c r="O19" s="258"/>
      <c r="P19" s="258"/>
      <c r="Q19" s="258"/>
      <c r="R19" s="258"/>
      <c r="S19" s="258"/>
      <c r="T19" s="258"/>
      <c r="U19" s="258"/>
      <c r="V19" s="264"/>
      <c r="W19" s="264"/>
      <c r="X19" s="258"/>
      <c r="Y19" s="258"/>
      <c r="Z19" s="258"/>
    </row>
    <row r="20" spans="2:26" ht="54.75" customHeight="1">
      <c r="B20" s="258"/>
      <c r="C20" s="258"/>
      <c r="D20" s="295"/>
      <c r="G20" s="258"/>
      <c r="H20" s="258"/>
      <c r="I20" s="258"/>
      <c r="J20" s="261"/>
      <c r="K20" s="258"/>
      <c r="L20" s="258"/>
      <c r="M20" s="304"/>
      <c r="N20" s="258"/>
      <c r="O20" s="258"/>
      <c r="P20" s="258"/>
      <c r="Q20" s="258"/>
      <c r="R20" s="258"/>
      <c r="S20" s="258"/>
      <c r="T20" s="258"/>
      <c r="U20" s="258"/>
      <c r="V20" s="264"/>
      <c r="W20" s="264"/>
      <c r="X20" s="258"/>
      <c r="Y20" s="258"/>
      <c r="Z20" s="25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C21"/>
  <sheetViews>
    <sheetView topLeftCell="A6" workbookViewId="0">
      <selection activeCell="B11" sqref="B11"/>
    </sheetView>
  </sheetViews>
  <sheetFormatPr baseColWidth="10" defaultColWidth="12.6328125" defaultRowHeight="15.75" customHeight="1"/>
  <cols>
    <col min="1" max="1" width="19" customWidth="1"/>
    <col min="4" max="4" width="53.08984375" customWidth="1"/>
    <col min="5" max="5" width="33.6328125" customWidth="1"/>
    <col min="7" max="7" width="34.08984375" customWidth="1"/>
    <col min="9" max="9" width="17.08984375" customWidth="1"/>
    <col min="10" max="10" width="17.453125" customWidth="1"/>
    <col min="11" max="11" width="59.90625" customWidth="1"/>
    <col min="12" max="12" width="52.453125" customWidth="1"/>
    <col min="13" max="13" width="14.7265625" customWidth="1"/>
    <col min="14" max="14" width="14.6328125" customWidth="1"/>
    <col min="22"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75" customHeight="1">
      <c r="A2" s="238" t="s">
        <v>1832</v>
      </c>
      <c r="B2" s="257">
        <v>436800</v>
      </c>
      <c r="C2" s="258" t="s">
        <v>1802</v>
      </c>
      <c r="D2" s="300" t="s">
        <v>446</v>
      </c>
      <c r="E2" s="302" t="s">
        <v>1833</v>
      </c>
      <c r="F2" s="258">
        <v>3203050229</v>
      </c>
      <c r="G2" s="258" t="s">
        <v>1834</v>
      </c>
      <c r="H2" s="238" t="s">
        <v>1835</v>
      </c>
      <c r="I2" s="238" t="s">
        <v>1836</v>
      </c>
      <c r="J2" s="261" t="s">
        <v>1837</v>
      </c>
      <c r="K2" s="384" t="s">
        <v>1838</v>
      </c>
      <c r="L2" s="385" t="s">
        <v>1839</v>
      </c>
      <c r="M2" s="304" t="s">
        <v>1840</v>
      </c>
      <c r="N2" s="258"/>
      <c r="O2" s="258" t="s">
        <v>809</v>
      </c>
      <c r="P2" s="256"/>
      <c r="Q2" s="258" t="s">
        <v>1548</v>
      </c>
      <c r="R2" s="258"/>
      <c r="S2" s="258"/>
      <c r="T2" s="258" t="s">
        <v>1841</v>
      </c>
      <c r="U2" s="258"/>
      <c r="V2" s="384" t="s">
        <v>2616</v>
      </c>
      <c r="W2" s="264" t="s">
        <v>2654</v>
      </c>
      <c r="X2" s="258"/>
      <c r="Y2" s="258"/>
      <c r="Z2" s="258"/>
      <c r="AA2" s="258"/>
      <c r="AB2" s="258"/>
      <c r="AC2" s="258"/>
    </row>
    <row r="3" spans="1:29" ht="54.75" customHeight="1">
      <c r="A3" s="36" t="s">
        <v>1842</v>
      </c>
      <c r="B3" s="257">
        <v>200000</v>
      </c>
      <c r="C3" s="258" t="s">
        <v>1843</v>
      </c>
      <c r="D3" s="295" t="s">
        <v>1844</v>
      </c>
      <c r="E3" s="327" t="s">
        <v>1845</v>
      </c>
      <c r="F3" s="36">
        <v>3108377237</v>
      </c>
      <c r="G3" s="258" t="s">
        <v>1846</v>
      </c>
      <c r="H3" s="258" t="s">
        <v>1847</v>
      </c>
      <c r="I3" s="258" t="s">
        <v>1848</v>
      </c>
      <c r="J3" s="261"/>
      <c r="K3" s="258" t="s">
        <v>1849</v>
      </c>
      <c r="L3" s="258" t="s">
        <v>1849</v>
      </c>
      <c r="M3" s="304"/>
      <c r="N3" s="258" t="s">
        <v>1850</v>
      </c>
      <c r="O3" s="258" t="s">
        <v>809</v>
      </c>
      <c r="P3" s="258"/>
      <c r="Q3" s="258" t="s">
        <v>1127</v>
      </c>
      <c r="R3" s="258"/>
      <c r="S3" s="258"/>
      <c r="T3" s="258"/>
      <c r="U3" s="258"/>
      <c r="V3" s="384" t="s">
        <v>2601</v>
      </c>
      <c r="W3" s="264" t="s">
        <v>2678</v>
      </c>
      <c r="X3" s="258"/>
      <c r="Y3" s="258"/>
      <c r="Z3" s="258"/>
      <c r="AA3" s="258"/>
      <c r="AB3" s="258"/>
      <c r="AC3" s="258"/>
    </row>
    <row r="4" spans="1:29" ht="54.75" customHeight="1">
      <c r="A4" s="36">
        <v>900450035</v>
      </c>
      <c r="B4" s="257">
        <v>748817</v>
      </c>
      <c r="C4" s="258" t="s">
        <v>1723</v>
      </c>
      <c r="D4" s="295" t="s">
        <v>1851</v>
      </c>
      <c r="E4" s="327" t="s">
        <v>1852</v>
      </c>
      <c r="F4" s="36">
        <v>3007491320</v>
      </c>
      <c r="G4" s="258" t="s">
        <v>1853</v>
      </c>
      <c r="H4" s="258" t="s">
        <v>1015</v>
      </c>
      <c r="I4" s="258" t="s">
        <v>1854</v>
      </c>
      <c r="J4" s="261" t="s">
        <v>1855</v>
      </c>
      <c r="K4" s="384" t="s">
        <v>1856</v>
      </c>
      <c r="L4" s="385" t="s">
        <v>1857</v>
      </c>
      <c r="M4" s="304" t="s">
        <v>1858</v>
      </c>
      <c r="N4" s="258" t="s">
        <v>1859</v>
      </c>
      <c r="O4" s="258" t="s">
        <v>809</v>
      </c>
      <c r="P4" s="258"/>
      <c r="Q4" s="258"/>
      <c r="R4" s="258"/>
      <c r="S4" s="258"/>
      <c r="T4" s="258" t="s">
        <v>1841</v>
      </c>
      <c r="U4" s="258"/>
      <c r="V4" s="384" t="s">
        <v>2617</v>
      </c>
      <c r="W4" s="264" t="s">
        <v>2637</v>
      </c>
      <c r="X4" s="258"/>
      <c r="Y4" s="258"/>
      <c r="Z4" s="258"/>
      <c r="AA4" s="258"/>
      <c r="AB4" s="258"/>
      <c r="AC4" s="258"/>
    </row>
    <row r="5" spans="1:29" ht="54.75" customHeight="1">
      <c r="A5" s="36" t="s">
        <v>1860</v>
      </c>
      <c r="B5" s="257">
        <v>430000</v>
      </c>
      <c r="C5" s="258" t="s">
        <v>1861</v>
      </c>
      <c r="D5" s="295" t="s">
        <v>1862</v>
      </c>
      <c r="E5" s="327" t="s">
        <v>1863</v>
      </c>
      <c r="F5" s="36">
        <v>3022647411</v>
      </c>
      <c r="G5" s="258" t="s">
        <v>1864</v>
      </c>
      <c r="H5" s="258" t="s">
        <v>1015</v>
      </c>
      <c r="I5" s="258" t="s">
        <v>1216</v>
      </c>
      <c r="J5" s="261" t="s">
        <v>1865</v>
      </c>
      <c r="K5" s="384" t="s">
        <v>1866</v>
      </c>
      <c r="L5" s="385" t="s">
        <v>1867</v>
      </c>
      <c r="M5" s="304" t="s">
        <v>1868</v>
      </c>
      <c r="N5" s="258" t="s">
        <v>1869</v>
      </c>
      <c r="O5" s="258" t="s">
        <v>809</v>
      </c>
      <c r="P5" s="258"/>
      <c r="Q5" s="258" t="s">
        <v>1127</v>
      </c>
      <c r="R5" s="258"/>
      <c r="S5" s="258"/>
      <c r="T5" s="258" t="s">
        <v>1841</v>
      </c>
      <c r="U5" s="258"/>
      <c r="V5" s="384" t="s">
        <v>2618</v>
      </c>
      <c r="W5" s="264" t="s">
        <v>2678</v>
      </c>
      <c r="X5" s="258"/>
      <c r="Y5" s="258"/>
      <c r="Z5" s="258"/>
      <c r="AA5" s="258"/>
      <c r="AB5" s="258"/>
      <c r="AC5" s="258"/>
    </row>
    <row r="6" spans="1:29" ht="54.75" customHeight="1">
      <c r="A6" s="343" t="s">
        <v>1870</v>
      </c>
      <c r="B6" s="306">
        <v>560000</v>
      </c>
      <c r="C6" s="258"/>
      <c r="D6" s="344" t="s">
        <v>1871</v>
      </c>
      <c r="E6" s="323" t="s">
        <v>1872</v>
      </c>
      <c r="F6" s="343">
        <v>3107035407</v>
      </c>
      <c r="G6" s="258" t="s">
        <v>1873</v>
      </c>
      <c r="H6" s="258" t="s">
        <v>1015</v>
      </c>
      <c r="I6" s="258" t="s">
        <v>1874</v>
      </c>
      <c r="J6" s="261" t="s">
        <v>1875</v>
      </c>
      <c r="K6" s="385" t="s">
        <v>1876</v>
      </c>
      <c r="L6" s="258" t="s">
        <v>1583</v>
      </c>
      <c r="M6" s="304" t="s">
        <v>1868</v>
      </c>
      <c r="N6" s="258" t="s">
        <v>1869</v>
      </c>
      <c r="O6" s="258" t="s">
        <v>809</v>
      </c>
      <c r="P6" s="258"/>
      <c r="Q6" s="258" t="s">
        <v>1877</v>
      </c>
      <c r="R6" s="258"/>
      <c r="S6" s="258"/>
      <c r="T6" s="258" t="s">
        <v>1841</v>
      </c>
      <c r="U6" s="258"/>
      <c r="V6" s="264" t="s">
        <v>2584</v>
      </c>
      <c r="W6" s="264" t="s">
        <v>2654</v>
      </c>
      <c r="X6" s="258"/>
      <c r="Y6" s="258"/>
      <c r="Z6" s="258"/>
      <c r="AA6" s="258"/>
      <c r="AB6" s="258"/>
      <c r="AC6" s="258"/>
    </row>
    <row r="7" spans="1:29" ht="54.75" customHeight="1">
      <c r="A7" s="343" t="s">
        <v>1878</v>
      </c>
      <c r="B7" s="257">
        <v>560000</v>
      </c>
      <c r="C7" s="258"/>
      <c r="D7" s="344" t="s">
        <v>1879</v>
      </c>
      <c r="E7" s="323" t="s">
        <v>1880</v>
      </c>
      <c r="F7" s="343">
        <v>3107035407</v>
      </c>
      <c r="G7" s="258" t="s">
        <v>1873</v>
      </c>
      <c r="H7" s="258" t="s">
        <v>1015</v>
      </c>
      <c r="I7" s="258" t="s">
        <v>1874</v>
      </c>
      <c r="J7" s="261" t="s">
        <v>1881</v>
      </c>
      <c r="K7" s="385" t="s">
        <v>1876</v>
      </c>
      <c r="L7" s="258" t="s">
        <v>1583</v>
      </c>
      <c r="M7" s="304" t="s">
        <v>1868</v>
      </c>
      <c r="N7" s="258" t="s">
        <v>1869</v>
      </c>
      <c r="O7" s="258" t="s">
        <v>809</v>
      </c>
      <c r="P7" s="258"/>
      <c r="Q7" s="258" t="s">
        <v>1877</v>
      </c>
      <c r="R7" s="258"/>
      <c r="S7" s="258"/>
      <c r="T7" s="258" t="s">
        <v>1841</v>
      </c>
      <c r="U7" s="258"/>
      <c r="V7" s="264" t="s">
        <v>2584</v>
      </c>
      <c r="W7" s="264" t="s">
        <v>2654</v>
      </c>
      <c r="X7" s="258"/>
      <c r="Y7" s="258"/>
      <c r="Z7" s="258"/>
      <c r="AA7" s="258"/>
      <c r="AB7" s="258"/>
      <c r="AC7" s="258"/>
    </row>
    <row r="8" spans="1:29" ht="54.75" customHeight="1">
      <c r="A8" s="343" t="s">
        <v>1882</v>
      </c>
      <c r="B8" s="257">
        <v>560000</v>
      </c>
      <c r="C8" s="258"/>
      <c r="D8" s="295" t="s">
        <v>1883</v>
      </c>
      <c r="E8" s="323" t="s">
        <v>1880</v>
      </c>
      <c r="F8" s="343">
        <v>3107035407</v>
      </c>
      <c r="G8" s="258" t="s">
        <v>1873</v>
      </c>
      <c r="H8" s="258" t="s">
        <v>1015</v>
      </c>
      <c r="I8" s="258" t="s">
        <v>1874</v>
      </c>
      <c r="J8" s="261" t="s">
        <v>1884</v>
      </c>
      <c r="K8" s="385" t="s">
        <v>1876</v>
      </c>
      <c r="L8" s="258" t="s">
        <v>1583</v>
      </c>
      <c r="M8" s="304" t="s">
        <v>1868</v>
      </c>
      <c r="N8" s="258" t="s">
        <v>1869</v>
      </c>
      <c r="O8" s="258" t="s">
        <v>809</v>
      </c>
      <c r="P8" s="258"/>
      <c r="Q8" s="258" t="s">
        <v>1877</v>
      </c>
      <c r="R8" s="258"/>
      <c r="S8" s="258"/>
      <c r="T8" s="258" t="s">
        <v>1841</v>
      </c>
      <c r="U8" s="258"/>
      <c r="V8" s="264" t="s">
        <v>2584</v>
      </c>
      <c r="W8" s="264" t="s">
        <v>2654</v>
      </c>
      <c r="X8" s="258"/>
      <c r="Y8" s="258"/>
      <c r="Z8" s="258"/>
      <c r="AA8" s="258"/>
      <c r="AB8" s="258"/>
      <c r="AC8" s="258"/>
    </row>
    <row r="9" spans="1:29" ht="54.75" customHeight="1">
      <c r="A9" s="36" t="s">
        <v>1885</v>
      </c>
      <c r="B9" s="257">
        <v>392000</v>
      </c>
      <c r="C9" s="258" t="s">
        <v>1886</v>
      </c>
      <c r="D9" s="295" t="s">
        <v>1887</v>
      </c>
      <c r="E9" s="327" t="s">
        <v>1888</v>
      </c>
      <c r="F9" s="36" t="s">
        <v>1889</v>
      </c>
      <c r="G9" s="258" t="s">
        <v>1890</v>
      </c>
      <c r="H9" s="258" t="s">
        <v>1015</v>
      </c>
      <c r="I9" s="258" t="s">
        <v>1298</v>
      </c>
      <c r="J9" s="261" t="s">
        <v>1891</v>
      </c>
      <c r="K9" s="384" t="s">
        <v>1892</v>
      </c>
      <c r="L9" s="258" t="s">
        <v>1893</v>
      </c>
      <c r="M9" s="304" t="s">
        <v>1894</v>
      </c>
      <c r="N9" s="258" t="s">
        <v>1895</v>
      </c>
      <c r="O9" s="258" t="s">
        <v>809</v>
      </c>
      <c r="P9" s="258"/>
      <c r="Q9" s="258" t="s">
        <v>1877</v>
      </c>
      <c r="R9" s="258"/>
      <c r="S9" s="258"/>
      <c r="T9" s="258" t="s">
        <v>1841</v>
      </c>
      <c r="U9" s="258"/>
      <c r="V9" s="384" t="s">
        <v>2601</v>
      </c>
      <c r="W9" s="264" t="s">
        <v>2678</v>
      </c>
      <c r="X9" s="258"/>
      <c r="Y9" s="258"/>
      <c r="Z9" s="258"/>
      <c r="AA9" s="258"/>
      <c r="AB9" s="258"/>
      <c r="AC9" s="258"/>
    </row>
    <row r="10" spans="1:29" ht="54.75" customHeight="1">
      <c r="A10" s="36" t="s">
        <v>1896</v>
      </c>
      <c r="B10" s="257">
        <v>490000</v>
      </c>
      <c r="C10" s="258" t="s">
        <v>1897</v>
      </c>
      <c r="D10" s="295" t="s">
        <v>1898</v>
      </c>
      <c r="E10" s="327" t="s">
        <v>1899</v>
      </c>
      <c r="F10" s="36">
        <v>3104417479</v>
      </c>
      <c r="G10" s="326" t="s">
        <v>1900</v>
      </c>
      <c r="H10" s="258" t="s">
        <v>1015</v>
      </c>
      <c r="I10" s="258" t="s">
        <v>1253</v>
      </c>
      <c r="J10" s="261" t="s">
        <v>1821</v>
      </c>
      <c r="K10" s="384" t="s">
        <v>1901</v>
      </c>
      <c r="L10" s="385" t="s">
        <v>1902</v>
      </c>
      <c r="M10" s="304" t="s">
        <v>1903</v>
      </c>
      <c r="N10" s="258" t="s">
        <v>1904</v>
      </c>
      <c r="O10" s="258" t="s">
        <v>809</v>
      </c>
      <c r="P10" s="258"/>
      <c r="Q10" s="258" t="s">
        <v>1527</v>
      </c>
      <c r="R10" s="258"/>
      <c r="S10" s="258"/>
      <c r="T10" s="258"/>
      <c r="U10" s="258"/>
      <c r="V10" s="384" t="s">
        <v>2619</v>
      </c>
      <c r="W10" s="264" t="s">
        <v>2686</v>
      </c>
      <c r="X10" s="258"/>
      <c r="Y10" s="258"/>
      <c r="Z10" s="258"/>
      <c r="AA10" s="258"/>
      <c r="AB10" s="258"/>
      <c r="AC10" s="258"/>
    </row>
    <row r="11" spans="1:29" ht="54.75" customHeight="1">
      <c r="B11" s="337">
        <f>SUM(B2:B10)</f>
        <v>4377617</v>
      </c>
      <c r="C11" s="258"/>
      <c r="D11" s="295"/>
      <c r="G11" s="258"/>
      <c r="H11" s="258"/>
      <c r="I11" s="258"/>
      <c r="J11" s="261"/>
      <c r="K11" s="258"/>
      <c r="L11" s="258"/>
      <c r="M11" s="304"/>
      <c r="N11" s="258"/>
      <c r="O11" s="258"/>
      <c r="P11" s="258"/>
      <c r="Q11" s="258"/>
      <c r="R11" s="258"/>
      <c r="S11" s="258"/>
      <c r="T11" s="258"/>
      <c r="U11" s="258"/>
      <c r="V11" s="264"/>
      <c r="W11" s="264"/>
      <c r="X11" s="258"/>
      <c r="Y11" s="258"/>
      <c r="Z11" s="258"/>
      <c r="AA11" s="258"/>
      <c r="AB11" s="258"/>
      <c r="AC11" s="258"/>
    </row>
    <row r="12" spans="1:29" ht="54.75" customHeight="1">
      <c r="C12" s="258"/>
      <c r="D12" s="295"/>
      <c r="G12" s="258"/>
      <c r="H12" s="258"/>
      <c r="I12" s="258"/>
      <c r="J12" s="261"/>
      <c r="K12" s="258"/>
      <c r="L12" s="258"/>
      <c r="M12" s="304"/>
      <c r="N12" s="258"/>
      <c r="O12" s="258"/>
      <c r="P12" s="258"/>
      <c r="Q12" s="258"/>
      <c r="R12" s="258"/>
      <c r="S12" s="258"/>
      <c r="T12" s="258"/>
      <c r="U12" s="258"/>
      <c r="V12" s="264"/>
      <c r="W12" s="264"/>
      <c r="X12" s="258"/>
      <c r="Y12" s="258"/>
      <c r="Z12" s="258"/>
      <c r="AA12" s="258"/>
      <c r="AB12" s="258"/>
      <c r="AC12" s="258"/>
    </row>
    <row r="13" spans="1:29" ht="54.75" customHeight="1">
      <c r="B13" s="258"/>
      <c r="C13" s="258"/>
      <c r="D13" s="295"/>
      <c r="G13" s="258"/>
      <c r="H13" s="258"/>
      <c r="I13" s="258"/>
      <c r="J13" s="261"/>
      <c r="K13" s="258"/>
      <c r="L13" s="258"/>
      <c r="M13" s="304"/>
      <c r="N13" s="258"/>
      <c r="O13" s="258"/>
      <c r="P13" s="258"/>
      <c r="Q13" s="258"/>
      <c r="R13" s="258"/>
      <c r="S13" s="258"/>
      <c r="T13" s="258"/>
      <c r="U13" s="258"/>
      <c r="V13" s="264"/>
      <c r="W13" s="264"/>
      <c r="X13" s="258"/>
      <c r="Y13" s="258"/>
      <c r="Z13" s="258"/>
      <c r="AA13" s="258"/>
      <c r="AB13" s="258"/>
      <c r="AC13" s="258"/>
    </row>
    <row r="14" spans="1:29" ht="54.75" customHeight="1">
      <c r="B14" s="258"/>
      <c r="C14" s="258"/>
      <c r="D14" s="295"/>
      <c r="G14" s="258"/>
      <c r="H14" s="258"/>
      <c r="I14" s="258"/>
      <c r="J14" s="261"/>
      <c r="K14" s="258"/>
      <c r="L14" s="258"/>
      <c r="M14" s="304"/>
      <c r="N14" s="258"/>
      <c r="O14" s="258"/>
      <c r="P14" s="258"/>
      <c r="Q14" s="258"/>
      <c r="R14" s="258"/>
      <c r="S14" s="258"/>
      <c r="T14" s="258"/>
      <c r="U14" s="258"/>
      <c r="V14" s="264"/>
      <c r="W14" s="264"/>
      <c r="X14" s="258"/>
      <c r="Y14" s="258"/>
      <c r="Z14" s="258"/>
      <c r="AA14" s="258"/>
      <c r="AB14" s="258"/>
      <c r="AC14" s="258"/>
    </row>
    <row r="15" spans="1:29" ht="54.75" customHeight="1">
      <c r="B15" s="258"/>
      <c r="C15" s="258"/>
      <c r="D15" s="295"/>
      <c r="G15" s="258"/>
      <c r="H15" s="258"/>
      <c r="I15" s="258"/>
      <c r="J15" s="261"/>
      <c r="K15" s="258"/>
      <c r="L15" s="258"/>
      <c r="M15" s="304"/>
      <c r="N15" s="258"/>
      <c r="O15" s="258"/>
      <c r="P15" s="258"/>
      <c r="Q15" s="258"/>
      <c r="R15" s="258"/>
      <c r="S15" s="258"/>
      <c r="T15" s="258"/>
      <c r="U15" s="258"/>
      <c r="V15" s="264"/>
      <c r="W15" s="264"/>
      <c r="X15" s="258"/>
      <c r="Y15" s="258"/>
      <c r="Z15" s="258"/>
      <c r="AA15" s="258"/>
      <c r="AB15" s="258"/>
      <c r="AC15" s="258"/>
    </row>
    <row r="16" spans="1:29" ht="54.75" customHeight="1">
      <c r="B16" s="258"/>
      <c r="C16" s="258"/>
      <c r="D16" s="295"/>
      <c r="G16" s="258"/>
      <c r="H16" s="258"/>
      <c r="I16" s="258"/>
      <c r="J16" s="261"/>
      <c r="K16" s="258"/>
      <c r="L16" s="258"/>
      <c r="M16" s="304"/>
      <c r="N16" s="258"/>
      <c r="O16" s="258"/>
      <c r="P16" s="258"/>
      <c r="Q16" s="258"/>
      <c r="R16" s="258"/>
      <c r="S16" s="258"/>
      <c r="T16" s="258"/>
      <c r="U16" s="258"/>
      <c r="V16" s="264"/>
      <c r="W16" s="264"/>
      <c r="X16" s="258"/>
      <c r="Y16" s="258"/>
      <c r="Z16" s="258"/>
      <c r="AA16" s="258"/>
      <c r="AB16" s="258"/>
      <c r="AC16" s="258"/>
    </row>
    <row r="17" spans="2:29" ht="54.75" customHeight="1">
      <c r="B17" s="258"/>
      <c r="C17" s="258"/>
      <c r="D17" s="295"/>
      <c r="G17" s="258"/>
      <c r="H17" s="258"/>
      <c r="I17" s="258"/>
      <c r="J17" s="261"/>
      <c r="K17" s="258"/>
      <c r="L17" s="258"/>
      <c r="M17" s="304"/>
      <c r="N17" s="258"/>
      <c r="O17" s="258"/>
      <c r="P17" s="258"/>
      <c r="Q17" s="258"/>
      <c r="R17" s="258"/>
      <c r="S17" s="258"/>
      <c r="T17" s="258"/>
      <c r="U17" s="258"/>
      <c r="V17" s="264"/>
      <c r="W17" s="264"/>
      <c r="X17" s="258"/>
      <c r="Y17" s="258"/>
      <c r="Z17" s="258"/>
      <c r="AA17" s="258"/>
      <c r="AB17" s="258"/>
      <c r="AC17" s="258"/>
    </row>
    <row r="18" spans="2:29" ht="54.75" customHeight="1">
      <c r="B18" s="258"/>
      <c r="C18" s="258"/>
      <c r="D18" s="295"/>
      <c r="G18" s="258"/>
      <c r="H18" s="258"/>
      <c r="I18" s="258"/>
      <c r="J18" s="261"/>
      <c r="K18" s="258"/>
      <c r="L18" s="258"/>
      <c r="M18" s="304"/>
      <c r="N18" s="258"/>
      <c r="O18" s="258"/>
      <c r="P18" s="258"/>
      <c r="Q18" s="258"/>
      <c r="R18" s="258"/>
      <c r="S18" s="258"/>
      <c r="T18" s="258"/>
      <c r="U18" s="258"/>
      <c r="V18" s="264"/>
      <c r="W18" s="264"/>
      <c r="X18" s="258"/>
      <c r="Y18" s="258"/>
      <c r="Z18" s="258"/>
      <c r="AA18" s="258"/>
      <c r="AB18" s="258"/>
      <c r="AC18" s="258"/>
    </row>
    <row r="19" spans="2:29" ht="54.75" customHeight="1">
      <c r="B19" s="258"/>
      <c r="C19" s="258"/>
      <c r="D19" s="295"/>
      <c r="G19" s="258"/>
      <c r="H19" s="258"/>
      <c r="I19" s="258"/>
      <c r="J19" s="261"/>
      <c r="K19" s="258"/>
      <c r="L19" s="258"/>
      <c r="M19" s="304"/>
      <c r="N19" s="258"/>
      <c r="O19" s="258"/>
      <c r="P19" s="258"/>
      <c r="Q19" s="258"/>
      <c r="R19" s="258"/>
      <c r="S19" s="258"/>
      <c r="T19" s="258"/>
      <c r="U19" s="258"/>
      <c r="V19" s="264"/>
      <c r="W19" s="264"/>
      <c r="X19" s="258"/>
      <c r="Y19" s="258"/>
      <c r="Z19" s="258"/>
      <c r="AA19" s="258"/>
      <c r="AB19" s="258"/>
      <c r="AC19" s="258"/>
    </row>
    <row r="20" spans="2:29" ht="54.75" customHeight="1">
      <c r="B20" s="258"/>
      <c r="C20" s="258"/>
      <c r="D20" s="295"/>
      <c r="G20" s="258"/>
      <c r="H20" s="258"/>
      <c r="I20" s="258"/>
      <c r="J20" s="261"/>
      <c r="K20" s="258"/>
      <c r="L20" s="258"/>
      <c r="M20" s="304"/>
      <c r="N20" s="258"/>
      <c r="O20" s="258"/>
      <c r="P20" s="258"/>
      <c r="Q20" s="258"/>
      <c r="R20" s="258"/>
      <c r="S20" s="258"/>
      <c r="T20" s="258"/>
      <c r="U20" s="258"/>
      <c r="V20" s="264"/>
      <c r="W20" s="264"/>
      <c r="X20" s="258"/>
      <c r="Y20" s="258"/>
      <c r="Z20" s="258"/>
      <c r="AA20" s="258"/>
      <c r="AB20" s="258"/>
      <c r="AC20" s="258"/>
    </row>
    <row r="21" spans="2:29" ht="54.75" customHeight="1">
      <c r="B21" s="258"/>
      <c r="C21" s="258"/>
      <c r="D21" s="295"/>
      <c r="G21" s="258"/>
      <c r="H21" s="258"/>
      <c r="I21" s="258"/>
      <c r="J21" s="261"/>
      <c r="K21" s="258"/>
      <c r="L21" s="258"/>
      <c r="M21" s="304"/>
      <c r="N21" s="258"/>
      <c r="O21" s="258"/>
      <c r="P21" s="258"/>
      <c r="Q21" s="258"/>
      <c r="R21" s="258"/>
      <c r="S21" s="258"/>
      <c r="T21" s="258"/>
      <c r="U21" s="258"/>
      <c r="V21" s="264"/>
      <c r="W21" s="264"/>
      <c r="X21" s="258"/>
      <c r="Y21" s="258"/>
      <c r="Z21" s="258"/>
      <c r="AA21" s="258"/>
      <c r="AB21" s="258"/>
      <c r="AC21" s="258"/>
    </row>
  </sheetData>
  <hyperlinks>
    <hyperlink ref="G10" r:id="rId1"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C15"/>
  <sheetViews>
    <sheetView topLeftCell="A4" workbookViewId="0">
      <selection activeCell="B7" sqref="B7"/>
    </sheetView>
  </sheetViews>
  <sheetFormatPr baseColWidth="10" defaultColWidth="12.6328125" defaultRowHeight="15.75" customHeight="1"/>
  <cols>
    <col min="1" max="2" width="15" customWidth="1"/>
    <col min="3" max="3" width="16.26953125" customWidth="1"/>
    <col min="4" max="4" width="52.08984375" customWidth="1"/>
    <col min="5" max="5" width="35" customWidth="1"/>
    <col min="6" max="6" width="27.7265625" customWidth="1"/>
    <col min="7" max="7" width="39.08984375" customWidth="1"/>
    <col min="8" max="8" width="20.453125" customWidth="1"/>
    <col min="9" max="9" width="21.90625" customWidth="1"/>
    <col min="10" max="10" width="17.90625" customWidth="1"/>
    <col min="11" max="11" width="61.90625" customWidth="1"/>
    <col min="12" max="12" width="50.36328125" customWidth="1"/>
    <col min="13" max="13" width="15.36328125" customWidth="1"/>
    <col min="14" max="14" width="14.08984375" customWidth="1"/>
    <col min="22"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75" customHeight="1">
      <c r="A2" s="36" t="s">
        <v>1905</v>
      </c>
      <c r="B2" s="306">
        <v>168000</v>
      </c>
      <c r="C2" s="258" t="s">
        <v>1761</v>
      </c>
      <c r="D2" s="295" t="s">
        <v>1906</v>
      </c>
      <c r="E2" s="327" t="s">
        <v>1907</v>
      </c>
      <c r="F2" s="36">
        <v>3147435993</v>
      </c>
      <c r="G2" s="258" t="s">
        <v>1908</v>
      </c>
      <c r="H2" s="258" t="s">
        <v>1015</v>
      </c>
      <c r="I2" s="258" t="s">
        <v>1909</v>
      </c>
      <c r="J2" s="261" t="s">
        <v>1910</v>
      </c>
      <c r="K2" s="385" t="s">
        <v>1911</v>
      </c>
      <c r="L2" s="258" t="s">
        <v>1912</v>
      </c>
      <c r="M2" s="304" t="s">
        <v>1913</v>
      </c>
      <c r="N2" s="258" t="s">
        <v>1914</v>
      </c>
      <c r="O2" s="258" t="s">
        <v>809</v>
      </c>
      <c r="P2" s="258"/>
      <c r="Q2" s="258"/>
      <c r="R2" s="258"/>
      <c r="S2" s="258"/>
      <c r="T2" s="258" t="s">
        <v>1841</v>
      </c>
      <c r="U2" s="258"/>
      <c r="V2" s="384" t="s">
        <v>2620</v>
      </c>
      <c r="W2" s="264" t="s">
        <v>2685</v>
      </c>
      <c r="X2" s="258"/>
      <c r="Y2" s="258"/>
      <c r="Z2" s="258"/>
      <c r="AA2" s="258"/>
      <c r="AB2" s="258"/>
      <c r="AC2" s="258"/>
    </row>
    <row r="3" spans="1:29" ht="54.75" customHeight="1">
      <c r="A3" s="36" t="s">
        <v>1915</v>
      </c>
      <c r="B3" s="257">
        <v>900000</v>
      </c>
      <c r="C3" s="258" t="s">
        <v>1766</v>
      </c>
      <c r="D3" s="295" t="s">
        <v>1916</v>
      </c>
      <c r="E3" s="327" t="s">
        <v>1917</v>
      </c>
      <c r="F3" s="36">
        <v>3003391384</v>
      </c>
      <c r="G3" s="258" t="s">
        <v>1918</v>
      </c>
      <c r="H3" s="258" t="s">
        <v>1015</v>
      </c>
      <c r="I3" s="258" t="s">
        <v>1919</v>
      </c>
      <c r="J3" s="261" t="s">
        <v>1920</v>
      </c>
      <c r="K3" s="384" t="s">
        <v>1921</v>
      </c>
      <c r="L3" s="385" t="s">
        <v>1922</v>
      </c>
      <c r="M3" s="304" t="s">
        <v>1923</v>
      </c>
      <c r="N3" s="258" t="s">
        <v>1869</v>
      </c>
      <c r="O3" s="258" t="s">
        <v>809</v>
      </c>
      <c r="P3" s="258"/>
      <c r="Q3" s="258" t="s">
        <v>1626</v>
      </c>
      <c r="R3" s="258"/>
      <c r="S3" s="258"/>
      <c r="T3" s="258" t="s">
        <v>1841</v>
      </c>
      <c r="U3" s="258"/>
      <c r="V3" s="384" t="s">
        <v>2621</v>
      </c>
      <c r="W3" s="264" t="s">
        <v>2671</v>
      </c>
      <c r="X3" s="258"/>
      <c r="Y3" s="258"/>
      <c r="Z3" s="258"/>
      <c r="AA3" s="258"/>
      <c r="AB3" s="258"/>
      <c r="AC3" s="258"/>
    </row>
    <row r="4" spans="1:29" ht="54.75" customHeight="1">
      <c r="A4" s="36" t="s">
        <v>1924</v>
      </c>
      <c r="B4" s="257">
        <v>420000</v>
      </c>
      <c r="C4" s="258" t="s">
        <v>1790</v>
      </c>
      <c r="D4" s="295" t="s">
        <v>1925</v>
      </c>
      <c r="E4" s="327" t="s">
        <v>1926</v>
      </c>
      <c r="F4" s="36">
        <v>3106724943</v>
      </c>
      <c r="G4" s="258" t="s">
        <v>1927</v>
      </c>
      <c r="H4" s="258" t="s">
        <v>1015</v>
      </c>
      <c r="I4" s="258" t="s">
        <v>1928</v>
      </c>
      <c r="J4" s="261" t="s">
        <v>1929</v>
      </c>
      <c r="K4" s="385" t="s">
        <v>1930</v>
      </c>
      <c r="L4" s="258" t="s">
        <v>1930</v>
      </c>
      <c r="M4" s="304" t="s">
        <v>1903</v>
      </c>
      <c r="N4" s="258" t="s">
        <v>1931</v>
      </c>
      <c r="O4" s="258" t="s">
        <v>809</v>
      </c>
      <c r="P4" s="258"/>
      <c r="Q4" s="258" t="s">
        <v>1360</v>
      </c>
      <c r="R4" s="258"/>
      <c r="S4" s="258"/>
      <c r="T4" s="258" t="s">
        <v>1841</v>
      </c>
      <c r="U4" s="258"/>
      <c r="V4" s="384" t="s">
        <v>2622</v>
      </c>
      <c r="W4" s="264" t="s">
        <v>2685</v>
      </c>
      <c r="X4" s="258"/>
      <c r="Y4" s="258"/>
      <c r="Z4" s="258"/>
      <c r="AA4" s="258"/>
      <c r="AB4" s="258"/>
      <c r="AC4" s="258"/>
    </row>
    <row r="5" spans="1:29" ht="54.75" customHeight="1">
      <c r="A5" s="36" t="s">
        <v>1932</v>
      </c>
      <c r="B5" s="257">
        <v>239118</v>
      </c>
      <c r="C5" s="258" t="s">
        <v>1043</v>
      </c>
      <c r="D5" s="295" t="s">
        <v>1933</v>
      </c>
      <c r="E5" s="327" t="s">
        <v>1934</v>
      </c>
      <c r="F5" s="36">
        <v>3148899154</v>
      </c>
      <c r="G5" s="258" t="s">
        <v>1935</v>
      </c>
      <c r="H5" s="258" t="s">
        <v>1015</v>
      </c>
      <c r="I5" s="258" t="s">
        <v>1936</v>
      </c>
      <c r="J5" s="261" t="s">
        <v>1937</v>
      </c>
      <c r="K5" s="385" t="s">
        <v>1938</v>
      </c>
      <c r="L5" s="385" t="s">
        <v>1939</v>
      </c>
      <c r="M5" s="304" t="s">
        <v>1940</v>
      </c>
      <c r="N5" s="258" t="s">
        <v>1868</v>
      </c>
      <c r="O5" s="258" t="s">
        <v>809</v>
      </c>
      <c r="P5" s="258"/>
      <c r="Q5" s="258"/>
      <c r="R5" s="258"/>
      <c r="S5" s="258"/>
      <c r="T5" s="258" t="s">
        <v>1841</v>
      </c>
      <c r="U5" s="258"/>
      <c r="V5" s="384" t="s">
        <v>2623</v>
      </c>
      <c r="W5" s="264" t="s">
        <v>2675</v>
      </c>
      <c r="X5" s="258"/>
      <c r="Y5" s="258"/>
      <c r="Z5" s="258"/>
      <c r="AA5" s="258"/>
      <c r="AB5" s="258"/>
      <c r="AC5" s="258"/>
    </row>
    <row r="6" spans="1:29" ht="54.75" customHeight="1">
      <c r="A6" s="36">
        <v>900568939</v>
      </c>
      <c r="B6" s="257">
        <v>560000</v>
      </c>
      <c r="C6" s="258" t="s">
        <v>1052</v>
      </c>
      <c r="D6" s="295" t="s">
        <v>1941</v>
      </c>
      <c r="E6" s="327" t="s">
        <v>1942</v>
      </c>
      <c r="F6" s="258">
        <v>3108392179</v>
      </c>
      <c r="G6" s="258" t="s">
        <v>1943</v>
      </c>
      <c r="H6" s="258" t="s">
        <v>1015</v>
      </c>
      <c r="I6" s="258" t="s">
        <v>1944</v>
      </c>
      <c r="J6" s="261" t="s">
        <v>1937</v>
      </c>
      <c r="K6" s="384" t="s">
        <v>1945</v>
      </c>
      <c r="L6" s="258" t="s">
        <v>1946</v>
      </c>
      <c r="M6" s="304" t="s">
        <v>1940</v>
      </c>
      <c r="N6" s="258" t="s">
        <v>1903</v>
      </c>
      <c r="O6" s="258" t="s">
        <v>1947</v>
      </c>
      <c r="P6" s="258"/>
      <c r="Q6" s="258" t="s">
        <v>1032</v>
      </c>
      <c r="R6" s="258"/>
      <c r="S6" s="258"/>
      <c r="T6" s="258"/>
      <c r="U6" s="258"/>
      <c r="V6" s="384" t="s">
        <v>2624</v>
      </c>
      <c r="W6" s="264" t="s">
        <v>2654</v>
      </c>
      <c r="X6" s="258"/>
      <c r="Y6" s="258"/>
      <c r="Z6" s="258"/>
      <c r="AA6" s="258"/>
      <c r="AB6" s="258"/>
      <c r="AC6" s="258"/>
    </row>
    <row r="7" spans="1:29" ht="54.75" customHeight="1">
      <c r="A7" s="36" t="s">
        <v>1948</v>
      </c>
      <c r="B7" s="257">
        <v>861000</v>
      </c>
      <c r="C7" s="258" t="s">
        <v>1949</v>
      </c>
      <c r="D7" s="295" t="s">
        <v>1950</v>
      </c>
      <c r="E7" s="327" t="s">
        <v>1951</v>
      </c>
      <c r="F7" s="36">
        <v>3182151615</v>
      </c>
      <c r="G7" s="258" t="s">
        <v>1952</v>
      </c>
      <c r="H7" s="258" t="s">
        <v>1015</v>
      </c>
      <c r="I7" s="258" t="s">
        <v>1953</v>
      </c>
      <c r="J7" s="261" t="s">
        <v>1954</v>
      </c>
      <c r="K7" s="384" t="s">
        <v>1955</v>
      </c>
      <c r="L7" s="385" t="s">
        <v>1956</v>
      </c>
      <c r="M7" s="304" t="s">
        <v>1957</v>
      </c>
      <c r="N7" s="258" t="s">
        <v>1868</v>
      </c>
      <c r="O7" s="258" t="s">
        <v>809</v>
      </c>
      <c r="P7" s="258"/>
      <c r="Q7" s="258" t="s">
        <v>1360</v>
      </c>
      <c r="R7" s="258"/>
      <c r="S7" s="258"/>
      <c r="T7" s="258"/>
      <c r="U7" s="258"/>
      <c r="V7" s="384" t="s">
        <v>2625</v>
      </c>
      <c r="W7" s="264" t="s">
        <v>2678</v>
      </c>
      <c r="X7" s="258"/>
      <c r="Y7" s="258"/>
      <c r="Z7" s="258"/>
      <c r="AA7" s="258"/>
      <c r="AB7" s="258"/>
      <c r="AC7" s="258"/>
    </row>
    <row r="8" spans="1:29" ht="54.75" customHeight="1">
      <c r="A8" s="36">
        <v>900655750</v>
      </c>
      <c r="B8" s="257">
        <v>199710</v>
      </c>
      <c r="C8" s="258" t="s">
        <v>1958</v>
      </c>
      <c r="D8" s="295" t="s">
        <v>1959</v>
      </c>
      <c r="E8" s="327" t="s">
        <v>1960</v>
      </c>
      <c r="F8" s="36">
        <v>4447261</v>
      </c>
      <c r="G8" s="258" t="s">
        <v>1961</v>
      </c>
      <c r="H8" s="258" t="s">
        <v>1666</v>
      </c>
      <c r="I8" s="258" t="s">
        <v>1962</v>
      </c>
      <c r="J8" s="261" t="s">
        <v>1963</v>
      </c>
      <c r="K8" s="384" t="s">
        <v>1964</v>
      </c>
      <c r="L8" s="385" t="s">
        <v>1965</v>
      </c>
      <c r="M8" s="304"/>
      <c r="N8" s="258" t="s">
        <v>1868</v>
      </c>
      <c r="O8" s="258" t="s">
        <v>809</v>
      </c>
      <c r="P8" s="258"/>
      <c r="Q8" s="258" t="s">
        <v>1032</v>
      </c>
      <c r="R8" s="258"/>
      <c r="S8" s="258"/>
      <c r="T8" s="258"/>
      <c r="U8" s="258"/>
      <c r="V8" s="384" t="s">
        <v>2626</v>
      </c>
      <c r="W8" s="264" t="s">
        <v>2684</v>
      </c>
      <c r="X8" s="258"/>
      <c r="Y8" s="258"/>
      <c r="Z8" s="258"/>
      <c r="AA8" s="258"/>
      <c r="AB8" s="258"/>
      <c r="AC8" s="258"/>
    </row>
    <row r="9" spans="1:29" ht="54.75" customHeight="1">
      <c r="B9" s="345">
        <f>SUM(B2:B8)</f>
        <v>3347828</v>
      </c>
      <c r="C9" s="258"/>
      <c r="D9" s="295"/>
      <c r="G9" s="258"/>
      <c r="H9" s="258"/>
      <c r="I9" s="258"/>
      <c r="J9" s="261"/>
      <c r="K9" s="258"/>
      <c r="L9" s="258"/>
      <c r="M9" s="304"/>
      <c r="N9" s="258"/>
      <c r="O9" s="258"/>
      <c r="P9" s="258"/>
      <c r="Q9" s="258"/>
      <c r="R9" s="258"/>
      <c r="S9" s="258"/>
      <c r="T9" s="258"/>
      <c r="U9" s="258"/>
      <c r="V9" s="264"/>
      <c r="W9" s="264"/>
      <c r="X9" s="258"/>
      <c r="Y9" s="258"/>
      <c r="Z9" s="258"/>
      <c r="AA9" s="258"/>
      <c r="AB9" s="258"/>
      <c r="AC9" s="258"/>
    </row>
    <row r="10" spans="1:29" ht="54.75" customHeight="1">
      <c r="C10" s="258"/>
      <c r="D10" s="295"/>
      <c r="G10" s="258"/>
      <c r="H10" s="258"/>
      <c r="I10" s="258"/>
      <c r="J10" s="261"/>
      <c r="K10" s="258"/>
      <c r="L10" s="258"/>
      <c r="M10" s="304"/>
      <c r="N10" s="258"/>
      <c r="O10" s="258"/>
      <c r="P10" s="258"/>
      <c r="Q10" s="258"/>
      <c r="R10" s="258"/>
      <c r="S10" s="258"/>
      <c r="T10" s="258"/>
      <c r="U10" s="258"/>
      <c r="V10" s="264"/>
      <c r="W10" s="264"/>
      <c r="X10" s="258"/>
      <c r="Y10" s="258"/>
      <c r="Z10" s="258"/>
      <c r="AA10" s="258"/>
      <c r="AB10" s="258"/>
      <c r="AC10" s="258"/>
    </row>
    <row r="11" spans="1:29" ht="54.75" customHeight="1">
      <c r="B11" s="258"/>
      <c r="C11" s="258"/>
      <c r="D11" s="295"/>
      <c r="G11" s="258"/>
      <c r="H11" s="258"/>
      <c r="I11" s="258"/>
      <c r="J11" s="261"/>
      <c r="K11" s="258"/>
      <c r="L11" s="258"/>
      <c r="M11" s="304"/>
      <c r="N11" s="258"/>
      <c r="O11" s="258"/>
      <c r="P11" s="258"/>
      <c r="Q11" s="258"/>
      <c r="R11" s="258"/>
      <c r="S11" s="258"/>
      <c r="T11" s="258"/>
      <c r="U11" s="258"/>
      <c r="V11" s="264"/>
      <c r="W11" s="264"/>
      <c r="X11" s="258"/>
      <c r="Y11" s="258"/>
      <c r="Z11" s="258"/>
      <c r="AA11" s="258"/>
      <c r="AB11" s="258"/>
      <c r="AC11" s="258"/>
    </row>
    <row r="12" spans="1:29" ht="54.75" customHeight="1">
      <c r="B12" s="258"/>
      <c r="C12" s="258"/>
      <c r="D12" s="295"/>
      <c r="G12" s="258"/>
      <c r="H12" s="258"/>
      <c r="I12" s="258"/>
      <c r="J12" s="261"/>
      <c r="K12" s="258"/>
      <c r="L12" s="258"/>
      <c r="M12" s="304"/>
      <c r="N12" s="258"/>
      <c r="O12" s="258"/>
      <c r="P12" s="258"/>
      <c r="Q12" s="258"/>
      <c r="R12" s="258"/>
      <c r="S12" s="258"/>
      <c r="T12" s="258"/>
      <c r="U12" s="258"/>
      <c r="V12" s="264"/>
      <c r="W12" s="264"/>
      <c r="X12" s="258"/>
      <c r="Y12" s="258"/>
      <c r="Z12" s="258"/>
      <c r="AA12" s="258"/>
      <c r="AB12" s="258"/>
      <c r="AC12" s="258"/>
    </row>
    <row r="13" spans="1:29" ht="54.75" customHeight="1">
      <c r="B13" s="258"/>
      <c r="C13" s="258"/>
      <c r="D13" s="295"/>
      <c r="G13" s="258"/>
      <c r="H13" s="258"/>
      <c r="I13" s="258"/>
      <c r="J13" s="261"/>
      <c r="K13" s="258"/>
      <c r="L13" s="258"/>
      <c r="M13" s="304"/>
      <c r="N13" s="258"/>
      <c r="O13" s="258"/>
      <c r="P13" s="258"/>
      <c r="Q13" s="258"/>
      <c r="R13" s="258"/>
      <c r="S13" s="258"/>
      <c r="T13" s="258"/>
      <c r="U13" s="258"/>
      <c r="V13" s="264"/>
      <c r="W13" s="264"/>
      <c r="X13" s="258"/>
      <c r="Y13" s="258"/>
      <c r="Z13" s="258"/>
      <c r="AA13" s="258"/>
      <c r="AB13" s="258"/>
      <c r="AC13" s="258"/>
    </row>
    <row r="14" spans="1:29" ht="54.75" customHeight="1">
      <c r="B14" s="258"/>
      <c r="C14" s="258"/>
      <c r="D14" s="295"/>
      <c r="G14" s="258"/>
      <c r="H14" s="258"/>
      <c r="I14" s="258"/>
      <c r="J14" s="261"/>
      <c r="K14" s="258"/>
      <c r="L14" s="258"/>
      <c r="M14" s="304"/>
      <c r="N14" s="258"/>
      <c r="O14" s="258"/>
      <c r="P14" s="258"/>
      <c r="Q14" s="258"/>
      <c r="R14" s="258"/>
      <c r="S14" s="258"/>
      <c r="T14" s="258"/>
      <c r="U14" s="258"/>
      <c r="V14" s="264"/>
      <c r="W14" s="264"/>
      <c r="X14" s="258"/>
      <c r="Y14" s="258"/>
      <c r="Z14" s="258"/>
      <c r="AA14" s="258"/>
      <c r="AB14" s="258"/>
      <c r="AC14" s="258"/>
    </row>
    <row r="15" spans="1:29" ht="54.75" customHeight="1">
      <c r="B15" s="258"/>
      <c r="C15" s="258"/>
      <c r="D15" s="295"/>
      <c r="G15" s="258"/>
      <c r="H15" s="258"/>
      <c r="I15" s="258"/>
      <c r="J15" s="261"/>
      <c r="K15" s="258"/>
      <c r="L15" s="258"/>
      <c r="M15" s="304"/>
      <c r="N15" s="258"/>
      <c r="O15" s="258"/>
      <c r="P15" s="258"/>
      <c r="Q15" s="258"/>
      <c r="R15" s="258"/>
      <c r="S15" s="258"/>
      <c r="T15" s="258"/>
      <c r="U15" s="258"/>
      <c r="V15" s="264"/>
      <c r="W15" s="264"/>
      <c r="X15" s="258"/>
      <c r="Y15" s="258"/>
      <c r="Z15" s="258"/>
      <c r="AA15" s="258"/>
      <c r="AB15" s="258"/>
      <c r="AC15" s="25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C26"/>
  <sheetViews>
    <sheetView topLeftCell="A9" workbookViewId="0">
      <selection activeCell="B2" sqref="B2"/>
    </sheetView>
  </sheetViews>
  <sheetFormatPr baseColWidth="10" defaultColWidth="12.6328125" defaultRowHeight="15.75" customHeight="1"/>
  <cols>
    <col min="1" max="1" width="15.6328125" customWidth="1"/>
    <col min="2" max="3" width="16.36328125" customWidth="1"/>
    <col min="4" max="4" width="46" customWidth="1"/>
    <col min="5" max="5" width="27.36328125" customWidth="1"/>
    <col min="6" max="6" width="18.36328125" customWidth="1"/>
    <col min="7" max="7" width="30" customWidth="1"/>
    <col min="8" max="8" width="20" customWidth="1"/>
    <col min="9" max="9" width="18.6328125" customWidth="1"/>
    <col min="10" max="10" width="15.36328125" customWidth="1"/>
    <col min="11" max="11" width="47.36328125" customWidth="1"/>
    <col min="12" max="12" width="40.36328125" customWidth="1"/>
    <col min="13" max="13" width="17.90625" customWidth="1"/>
    <col min="14" max="14" width="17.26953125" customWidth="1"/>
    <col min="22"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75" customHeight="1">
      <c r="A2" s="36">
        <v>9009504755</v>
      </c>
      <c r="B2" s="257">
        <v>240352</v>
      </c>
      <c r="C2" s="258" t="s">
        <v>1966</v>
      </c>
      <c r="D2" s="295" t="s">
        <v>1967</v>
      </c>
      <c r="E2" s="327" t="s">
        <v>1968</v>
      </c>
      <c r="F2" s="36">
        <v>3137326405</v>
      </c>
      <c r="G2" s="258" t="s">
        <v>1969</v>
      </c>
      <c r="H2" s="258" t="s">
        <v>1015</v>
      </c>
      <c r="I2" s="258" t="s">
        <v>1970</v>
      </c>
      <c r="J2" s="261" t="s">
        <v>1971</v>
      </c>
      <c r="K2" s="384" t="s">
        <v>1972</v>
      </c>
      <c r="L2" s="385" t="s">
        <v>1973</v>
      </c>
      <c r="M2" s="304" t="s">
        <v>1974</v>
      </c>
      <c r="N2" s="258" t="s">
        <v>1971</v>
      </c>
      <c r="O2" s="258" t="s">
        <v>809</v>
      </c>
      <c r="P2" s="258"/>
      <c r="Q2" s="258" t="s">
        <v>1975</v>
      </c>
      <c r="R2" s="258"/>
      <c r="S2" s="258"/>
      <c r="T2" s="258" t="s">
        <v>1976</v>
      </c>
      <c r="U2" s="258"/>
      <c r="V2" s="384" t="s">
        <v>2578</v>
      </c>
      <c r="W2" s="264" t="s">
        <v>2673</v>
      </c>
      <c r="X2" s="258"/>
      <c r="Y2" s="258"/>
      <c r="Z2" s="258"/>
      <c r="AA2" s="258"/>
      <c r="AB2" s="258"/>
      <c r="AC2" s="258"/>
    </row>
    <row r="3" spans="1:29" ht="54.75" customHeight="1">
      <c r="A3" s="36" t="s">
        <v>1977</v>
      </c>
      <c r="B3" s="257">
        <v>250000</v>
      </c>
      <c r="C3" s="258" t="s">
        <v>1978</v>
      </c>
      <c r="D3" s="295" t="s">
        <v>1979</v>
      </c>
      <c r="E3" s="327" t="s">
        <v>1980</v>
      </c>
      <c r="F3" s="36">
        <v>3157481539</v>
      </c>
      <c r="G3" s="326" t="s">
        <v>1981</v>
      </c>
      <c r="H3" s="258" t="s">
        <v>1015</v>
      </c>
      <c r="I3" s="258" t="s">
        <v>1982</v>
      </c>
      <c r="J3" s="261" t="s">
        <v>1983</v>
      </c>
      <c r="K3" s="385" t="s">
        <v>1984</v>
      </c>
      <c r="L3" s="258" t="s">
        <v>1984</v>
      </c>
      <c r="M3" s="304" t="s">
        <v>1985</v>
      </c>
      <c r="N3" s="258" t="s">
        <v>1971</v>
      </c>
      <c r="O3" s="258" t="s">
        <v>809</v>
      </c>
      <c r="P3" s="258"/>
      <c r="Q3" s="258" t="s">
        <v>1127</v>
      </c>
      <c r="R3" s="258"/>
      <c r="S3" s="258"/>
      <c r="T3" s="258" t="s">
        <v>1976</v>
      </c>
      <c r="U3" s="258"/>
      <c r="V3" s="384" t="s">
        <v>2627</v>
      </c>
      <c r="W3" s="264" t="s">
        <v>2637</v>
      </c>
      <c r="X3" s="258"/>
      <c r="Y3" s="258"/>
      <c r="Z3" s="258"/>
      <c r="AA3" s="258"/>
      <c r="AB3" s="258"/>
      <c r="AC3" s="258"/>
    </row>
    <row r="4" spans="1:29" ht="54.75" customHeight="1">
      <c r="A4" s="36" t="s">
        <v>1986</v>
      </c>
      <c r="B4" s="306">
        <v>500000</v>
      </c>
      <c r="C4" s="258" t="s">
        <v>1052</v>
      </c>
      <c r="D4" s="295" t="s">
        <v>1987</v>
      </c>
      <c r="E4" s="327" t="s">
        <v>1988</v>
      </c>
      <c r="F4" s="36">
        <v>3168895941</v>
      </c>
      <c r="G4" s="258" t="s">
        <v>1989</v>
      </c>
      <c r="H4" s="258" t="s">
        <v>1666</v>
      </c>
      <c r="I4" s="258" t="s">
        <v>1837</v>
      </c>
      <c r="J4" s="261" t="s">
        <v>1990</v>
      </c>
      <c r="K4" s="384" t="s">
        <v>1991</v>
      </c>
      <c r="L4" s="258" t="s">
        <v>1992</v>
      </c>
      <c r="M4" s="304"/>
      <c r="N4" s="258" t="s">
        <v>1993</v>
      </c>
      <c r="O4" s="258" t="s">
        <v>809</v>
      </c>
      <c r="P4" s="258"/>
      <c r="Q4" s="258" t="s">
        <v>1975</v>
      </c>
      <c r="R4" s="258"/>
      <c r="S4" s="258"/>
      <c r="T4" s="258" t="s">
        <v>1976</v>
      </c>
      <c r="U4" s="258"/>
      <c r="V4" s="384" t="s">
        <v>2628</v>
      </c>
      <c r="W4" s="264" t="s">
        <v>2654</v>
      </c>
      <c r="X4" s="258"/>
      <c r="Y4" s="258"/>
      <c r="Z4" s="258"/>
      <c r="AA4" s="258"/>
      <c r="AB4" s="258"/>
      <c r="AC4" s="258"/>
    </row>
    <row r="5" spans="1:29" ht="54.75" customHeight="1">
      <c r="A5" s="36">
        <v>900623242</v>
      </c>
      <c r="B5" s="306">
        <v>336000</v>
      </c>
      <c r="C5" s="258" t="s">
        <v>1088</v>
      </c>
      <c r="D5" s="346" t="s">
        <v>1994</v>
      </c>
      <c r="E5" s="327" t="s">
        <v>1995</v>
      </c>
      <c r="F5" s="36">
        <v>3157334329</v>
      </c>
      <c r="G5" s="258" t="s">
        <v>1996</v>
      </c>
      <c r="H5" s="258" t="s">
        <v>1015</v>
      </c>
      <c r="I5" s="258" t="s">
        <v>1997</v>
      </c>
      <c r="J5" s="261" t="s">
        <v>1990</v>
      </c>
      <c r="K5" s="384" t="s">
        <v>1998</v>
      </c>
      <c r="L5" s="258" t="s">
        <v>1999</v>
      </c>
      <c r="M5" s="304" t="s">
        <v>2000</v>
      </c>
      <c r="N5" s="258" t="s">
        <v>2001</v>
      </c>
      <c r="O5" s="258" t="s">
        <v>809</v>
      </c>
      <c r="P5" s="258"/>
      <c r="Q5" s="258" t="s">
        <v>1032</v>
      </c>
      <c r="R5" s="258"/>
      <c r="S5" s="258"/>
      <c r="T5" s="258" t="s">
        <v>1976</v>
      </c>
      <c r="U5" s="258"/>
      <c r="V5" s="384" t="s">
        <v>2629</v>
      </c>
      <c r="W5" s="264" t="s">
        <v>2678</v>
      </c>
      <c r="X5" s="258"/>
      <c r="Y5" s="258"/>
      <c r="Z5" s="258"/>
      <c r="AA5" s="258"/>
      <c r="AB5" s="258"/>
      <c r="AC5" s="258"/>
    </row>
    <row r="6" spans="1:29" ht="54.75" customHeight="1">
      <c r="A6" s="36" t="s">
        <v>2002</v>
      </c>
      <c r="B6" s="257">
        <v>165221</v>
      </c>
      <c r="C6" s="258" t="s">
        <v>1060</v>
      </c>
      <c r="D6" s="295" t="s">
        <v>2003</v>
      </c>
      <c r="E6" s="327" t="s">
        <v>2004</v>
      </c>
      <c r="F6" s="36">
        <v>3166910052</v>
      </c>
      <c r="G6" s="258" t="s">
        <v>2005</v>
      </c>
      <c r="H6" s="258" t="s">
        <v>1015</v>
      </c>
      <c r="I6" s="258" t="s">
        <v>2006</v>
      </c>
      <c r="J6" s="261" t="s">
        <v>2007</v>
      </c>
      <c r="K6" s="384" t="s">
        <v>2008</v>
      </c>
      <c r="L6" s="258" t="s">
        <v>2009</v>
      </c>
      <c r="M6" s="304" t="s">
        <v>2010</v>
      </c>
      <c r="N6" s="258" t="s">
        <v>1990</v>
      </c>
      <c r="O6" s="258" t="s">
        <v>809</v>
      </c>
      <c r="P6" s="258"/>
      <c r="Q6" s="258" t="s">
        <v>1877</v>
      </c>
      <c r="R6" s="258"/>
      <c r="S6" s="258"/>
      <c r="T6" s="258" t="s">
        <v>1976</v>
      </c>
      <c r="U6" s="258"/>
      <c r="V6" s="384" t="s">
        <v>2575</v>
      </c>
      <c r="W6" s="379" t="s">
        <v>2672</v>
      </c>
      <c r="X6" s="258"/>
      <c r="Y6" s="258"/>
      <c r="Z6" s="258"/>
      <c r="AA6" s="258"/>
      <c r="AB6" s="258"/>
      <c r="AC6" s="258"/>
    </row>
    <row r="7" spans="1:29" ht="54.75" customHeight="1">
      <c r="A7" s="36" t="s">
        <v>2011</v>
      </c>
      <c r="B7" s="257">
        <v>1064000</v>
      </c>
      <c r="C7" s="258" t="s">
        <v>2012</v>
      </c>
      <c r="D7" s="295" t="s">
        <v>2013</v>
      </c>
      <c r="E7" s="327" t="s">
        <v>2014</v>
      </c>
      <c r="F7" s="36">
        <v>3176413695</v>
      </c>
      <c r="G7" s="258" t="s">
        <v>2015</v>
      </c>
      <c r="H7" s="258" t="s">
        <v>2016</v>
      </c>
      <c r="I7" s="258" t="s">
        <v>2017</v>
      </c>
      <c r="J7" s="261" t="s">
        <v>2018</v>
      </c>
      <c r="K7" s="384" t="s">
        <v>2019</v>
      </c>
      <c r="L7" s="385" t="s">
        <v>2020</v>
      </c>
      <c r="M7" s="304" t="s">
        <v>2000</v>
      </c>
      <c r="N7" s="258" t="s">
        <v>1913</v>
      </c>
      <c r="O7" s="258" t="s">
        <v>809</v>
      </c>
      <c r="P7" s="258"/>
      <c r="Q7" s="258" t="s">
        <v>2021</v>
      </c>
      <c r="R7" s="258"/>
      <c r="S7" s="258"/>
      <c r="T7" s="258" t="s">
        <v>1976</v>
      </c>
      <c r="U7" s="258"/>
      <c r="V7" s="384" t="s">
        <v>2630</v>
      </c>
      <c r="W7" s="264" t="s">
        <v>2683</v>
      </c>
      <c r="X7" s="258"/>
      <c r="Y7" s="258"/>
      <c r="Z7" s="258"/>
      <c r="AA7" s="258"/>
      <c r="AB7" s="258"/>
      <c r="AC7" s="258"/>
    </row>
    <row r="8" spans="1:29" ht="54.75" customHeight="1">
      <c r="A8" s="36" t="s">
        <v>2022</v>
      </c>
      <c r="B8" s="292">
        <v>515200</v>
      </c>
      <c r="C8" s="36" t="s">
        <v>1723</v>
      </c>
      <c r="D8" s="295" t="s">
        <v>2023</v>
      </c>
      <c r="E8" s="327" t="s">
        <v>2024</v>
      </c>
      <c r="F8" s="36" t="s">
        <v>2025</v>
      </c>
      <c r="G8" s="36" t="s">
        <v>2026</v>
      </c>
      <c r="H8" s="258" t="s">
        <v>1666</v>
      </c>
      <c r="I8" s="258" t="s">
        <v>2027</v>
      </c>
      <c r="J8" s="261" t="s">
        <v>2028</v>
      </c>
      <c r="K8" s="384" t="s">
        <v>2029</v>
      </c>
      <c r="L8" s="385" t="s">
        <v>2030</v>
      </c>
      <c r="M8" s="304"/>
      <c r="N8" s="258" t="s">
        <v>2001</v>
      </c>
      <c r="O8" s="258" t="s">
        <v>809</v>
      </c>
      <c r="P8" s="258"/>
      <c r="Q8" s="258" t="s">
        <v>1975</v>
      </c>
      <c r="R8" s="258"/>
      <c r="S8" s="258"/>
      <c r="T8" s="258" t="s">
        <v>1976</v>
      </c>
      <c r="U8" s="258"/>
      <c r="V8" s="384" t="s">
        <v>2596</v>
      </c>
      <c r="W8" s="379" t="s">
        <v>2654</v>
      </c>
      <c r="X8" s="258"/>
      <c r="Y8" s="258"/>
      <c r="Z8" s="258"/>
      <c r="AA8" s="258"/>
      <c r="AB8" s="258"/>
      <c r="AC8" s="258"/>
    </row>
    <row r="9" spans="1:29" ht="54.75" customHeight="1">
      <c r="A9" s="36" t="s">
        <v>2031</v>
      </c>
      <c r="B9" s="257">
        <v>436800</v>
      </c>
      <c r="C9" s="258" t="s">
        <v>1060</v>
      </c>
      <c r="D9" s="295" t="s">
        <v>2032</v>
      </c>
      <c r="E9" s="327" t="s">
        <v>2033</v>
      </c>
      <c r="F9" s="36">
        <v>3103223599</v>
      </c>
      <c r="G9" s="258" t="s">
        <v>2034</v>
      </c>
      <c r="H9" s="258" t="s">
        <v>1015</v>
      </c>
      <c r="I9" s="258" t="s">
        <v>2035</v>
      </c>
      <c r="J9" s="261" t="s">
        <v>2036</v>
      </c>
      <c r="K9" s="384" t="s">
        <v>2037</v>
      </c>
      <c r="L9" s="385" t="s">
        <v>2038</v>
      </c>
      <c r="M9" s="304" t="s">
        <v>2000</v>
      </c>
      <c r="N9" s="258" t="s">
        <v>1990</v>
      </c>
      <c r="O9" s="258" t="s">
        <v>809</v>
      </c>
      <c r="P9" s="258"/>
      <c r="Q9" s="258" t="s">
        <v>1975</v>
      </c>
      <c r="R9" s="258"/>
      <c r="S9" s="258"/>
      <c r="T9" s="258" t="s">
        <v>1976</v>
      </c>
      <c r="U9" s="258"/>
      <c r="V9" s="384" t="s">
        <v>2631</v>
      </c>
      <c r="W9" s="264" t="s">
        <v>2676</v>
      </c>
      <c r="X9" s="258"/>
      <c r="Y9" s="258"/>
      <c r="Z9" s="258"/>
      <c r="AA9" s="258"/>
      <c r="AB9" s="258"/>
      <c r="AC9" s="258"/>
    </row>
    <row r="10" spans="1:29" ht="54.75" customHeight="1">
      <c r="A10" s="36" t="s">
        <v>2039</v>
      </c>
      <c r="B10" s="257">
        <v>548800</v>
      </c>
      <c r="C10" s="258" t="s">
        <v>1824</v>
      </c>
      <c r="D10" s="295" t="s">
        <v>2040</v>
      </c>
      <c r="E10" s="327" t="s">
        <v>2041</v>
      </c>
      <c r="F10" s="36">
        <v>3152426887</v>
      </c>
      <c r="G10" s="326" t="s">
        <v>2042</v>
      </c>
      <c r="H10" s="258" t="s">
        <v>1015</v>
      </c>
      <c r="I10" s="258" t="s">
        <v>2043</v>
      </c>
      <c r="J10" s="261" t="s">
        <v>2044</v>
      </c>
      <c r="K10" s="384" t="s">
        <v>2045</v>
      </c>
      <c r="L10" s="258" t="s">
        <v>2046</v>
      </c>
      <c r="M10" s="304" t="s">
        <v>2047</v>
      </c>
      <c r="N10" s="258" t="s">
        <v>2048</v>
      </c>
      <c r="O10" s="258" t="s">
        <v>809</v>
      </c>
      <c r="P10" s="258"/>
      <c r="Q10" s="258" t="s">
        <v>1127</v>
      </c>
      <c r="R10" s="258"/>
      <c r="S10" s="258"/>
      <c r="T10" s="258" t="s">
        <v>1976</v>
      </c>
      <c r="U10" s="258"/>
      <c r="V10" s="384" t="s">
        <v>2573</v>
      </c>
      <c r="W10" s="379" t="s">
        <v>2573</v>
      </c>
      <c r="X10" s="258"/>
      <c r="Y10" s="258"/>
      <c r="Z10" s="258"/>
      <c r="AA10" s="258"/>
      <c r="AB10" s="258"/>
      <c r="AC10" s="258"/>
    </row>
    <row r="11" spans="1:29" ht="54.75" customHeight="1">
      <c r="A11" s="36" t="s">
        <v>2049</v>
      </c>
      <c r="B11" s="257">
        <v>548000</v>
      </c>
      <c r="C11" s="258" t="s">
        <v>1861</v>
      </c>
      <c r="D11" s="295" t="s">
        <v>2050</v>
      </c>
      <c r="E11" s="327" t="s">
        <v>2051</v>
      </c>
      <c r="F11" s="36">
        <v>3187172136</v>
      </c>
      <c r="G11" s="258" t="s">
        <v>2052</v>
      </c>
      <c r="H11" s="258" t="s">
        <v>1015</v>
      </c>
      <c r="I11" s="258" t="s">
        <v>1450</v>
      </c>
      <c r="J11" s="261" t="s">
        <v>2053</v>
      </c>
      <c r="K11" s="385" t="s">
        <v>2054</v>
      </c>
      <c r="L11" s="258" t="s">
        <v>2054</v>
      </c>
      <c r="M11" s="304" t="s">
        <v>2047</v>
      </c>
      <c r="N11" s="258" t="s">
        <v>2048</v>
      </c>
      <c r="O11" s="258" t="s">
        <v>809</v>
      </c>
      <c r="P11" s="258"/>
      <c r="Q11" s="258" t="s">
        <v>2021</v>
      </c>
      <c r="R11" s="258"/>
      <c r="S11" s="258"/>
      <c r="T11" s="258" t="s">
        <v>1976</v>
      </c>
      <c r="U11" s="258"/>
      <c r="V11" s="384" t="s">
        <v>2632</v>
      </c>
      <c r="W11" s="264" t="s">
        <v>2684</v>
      </c>
      <c r="X11" s="258"/>
      <c r="Y11" s="258"/>
      <c r="Z11" s="258"/>
      <c r="AA11" s="258"/>
      <c r="AB11" s="258"/>
      <c r="AC11" s="258"/>
    </row>
    <row r="12" spans="1:29" ht="54.75" customHeight="1">
      <c r="B12" s="337">
        <f>SUM(B2:B11)</f>
        <v>4604373</v>
      </c>
      <c r="C12" s="258"/>
      <c r="D12" s="295"/>
      <c r="G12" s="258"/>
      <c r="H12" s="258"/>
      <c r="I12" s="258"/>
      <c r="J12" s="261"/>
      <c r="K12" s="258"/>
      <c r="L12" s="258"/>
      <c r="M12" s="304"/>
      <c r="N12" s="258"/>
      <c r="O12" s="258"/>
      <c r="P12" s="258"/>
      <c r="Q12" s="258"/>
      <c r="R12" s="258"/>
      <c r="S12" s="258"/>
      <c r="T12" s="258"/>
      <c r="U12" s="258"/>
      <c r="V12" s="264"/>
      <c r="W12" s="264"/>
      <c r="X12" s="258"/>
      <c r="Y12" s="258"/>
      <c r="Z12" s="258"/>
      <c r="AA12" s="258"/>
      <c r="AB12" s="258"/>
      <c r="AC12" s="258"/>
    </row>
    <row r="13" spans="1:29" ht="54.75" customHeight="1">
      <c r="B13" s="258"/>
      <c r="C13" s="258"/>
      <c r="D13" s="295"/>
      <c r="G13" s="258"/>
      <c r="H13" s="258"/>
      <c r="I13" s="258"/>
      <c r="J13" s="261"/>
      <c r="K13" s="258"/>
      <c r="L13" s="258"/>
      <c r="M13" s="304"/>
      <c r="N13" s="258"/>
      <c r="O13" s="258"/>
      <c r="P13" s="258"/>
      <c r="Q13" s="258"/>
      <c r="R13" s="258"/>
      <c r="S13" s="258"/>
      <c r="T13" s="258"/>
      <c r="U13" s="258"/>
      <c r="V13" s="264"/>
      <c r="W13" s="264"/>
      <c r="X13" s="258"/>
      <c r="Y13" s="258"/>
      <c r="Z13" s="258"/>
      <c r="AA13" s="258"/>
      <c r="AB13" s="258"/>
      <c r="AC13" s="258"/>
    </row>
    <row r="14" spans="1:29" ht="54.75" customHeight="1">
      <c r="B14" s="258"/>
      <c r="C14" s="258"/>
      <c r="D14" s="295"/>
      <c r="G14" s="258"/>
      <c r="H14" s="258"/>
      <c r="I14" s="258"/>
      <c r="J14" s="261"/>
      <c r="K14" s="258"/>
      <c r="L14" s="258"/>
      <c r="M14" s="304"/>
      <c r="N14" s="258"/>
      <c r="O14" s="258"/>
      <c r="P14" s="258"/>
      <c r="Q14" s="258"/>
      <c r="R14" s="258"/>
      <c r="S14" s="258"/>
      <c r="T14" s="258"/>
      <c r="U14" s="258"/>
      <c r="V14" s="264"/>
      <c r="W14" s="264"/>
      <c r="X14" s="258"/>
      <c r="Y14" s="258"/>
      <c r="Z14" s="258"/>
      <c r="AA14" s="258"/>
      <c r="AB14" s="258"/>
      <c r="AC14" s="258"/>
    </row>
    <row r="15" spans="1:29" ht="54.75" customHeight="1">
      <c r="B15" s="258"/>
      <c r="C15" s="258"/>
      <c r="D15" s="295"/>
      <c r="G15" s="258"/>
      <c r="H15" s="258"/>
      <c r="I15" s="258"/>
      <c r="J15" s="261"/>
      <c r="K15" s="258"/>
      <c r="L15" s="258"/>
      <c r="M15" s="304"/>
      <c r="N15" s="258"/>
      <c r="O15" s="258"/>
      <c r="P15" s="258"/>
      <c r="Q15" s="258"/>
      <c r="R15" s="258"/>
      <c r="S15" s="258"/>
      <c r="T15" s="258"/>
      <c r="U15" s="258"/>
      <c r="V15" s="264"/>
      <c r="W15" s="264"/>
      <c r="X15" s="258"/>
      <c r="Y15" s="258"/>
      <c r="Z15" s="258"/>
      <c r="AA15" s="258"/>
      <c r="AB15" s="258"/>
      <c r="AC15" s="258"/>
    </row>
    <row r="16" spans="1:29" ht="54.75" customHeight="1">
      <c r="B16" s="258"/>
      <c r="C16" s="258"/>
      <c r="D16" s="295"/>
      <c r="G16" s="258"/>
      <c r="H16" s="258"/>
      <c r="I16" s="258"/>
      <c r="J16" s="261"/>
      <c r="K16" s="258"/>
      <c r="L16" s="258"/>
      <c r="M16" s="304"/>
      <c r="N16" s="258"/>
      <c r="O16" s="258"/>
      <c r="P16" s="258"/>
      <c r="Q16" s="258"/>
      <c r="R16" s="258"/>
      <c r="S16" s="258"/>
      <c r="T16" s="258"/>
      <c r="U16" s="258"/>
      <c r="V16" s="264"/>
      <c r="W16" s="264"/>
      <c r="X16" s="258"/>
      <c r="Y16" s="258"/>
      <c r="Z16" s="258"/>
      <c r="AA16" s="258"/>
      <c r="AB16" s="258"/>
      <c r="AC16" s="258"/>
    </row>
    <row r="17" spans="2:29" ht="54.75" customHeight="1">
      <c r="B17" s="258"/>
      <c r="C17" s="258"/>
      <c r="D17" s="295"/>
      <c r="G17" s="258"/>
      <c r="H17" s="258"/>
      <c r="I17" s="258"/>
      <c r="J17" s="261"/>
      <c r="K17" s="258"/>
      <c r="L17" s="258"/>
      <c r="M17" s="304"/>
      <c r="N17" s="258"/>
      <c r="O17" s="258"/>
      <c r="P17" s="258"/>
      <c r="Q17" s="258"/>
      <c r="R17" s="258"/>
      <c r="S17" s="258"/>
      <c r="T17" s="258"/>
      <c r="U17" s="258"/>
      <c r="V17" s="264"/>
      <c r="W17" s="264"/>
      <c r="X17" s="258"/>
      <c r="Y17" s="258"/>
      <c r="Z17" s="258"/>
      <c r="AA17" s="258"/>
      <c r="AB17" s="258"/>
      <c r="AC17" s="258"/>
    </row>
    <row r="18" spans="2:29" ht="54.75" customHeight="1">
      <c r="B18" s="258"/>
      <c r="C18" s="258"/>
      <c r="D18" s="295"/>
      <c r="G18" s="258"/>
      <c r="H18" s="258"/>
      <c r="I18" s="258"/>
      <c r="J18" s="261"/>
      <c r="K18" s="258"/>
      <c r="L18" s="258"/>
      <c r="M18" s="304"/>
      <c r="N18" s="258"/>
      <c r="O18" s="258"/>
      <c r="P18" s="258"/>
      <c r="Q18" s="258"/>
      <c r="R18" s="258"/>
      <c r="S18" s="258"/>
      <c r="T18" s="258"/>
      <c r="U18" s="258"/>
      <c r="V18" s="264"/>
      <c r="W18" s="264"/>
      <c r="X18" s="258"/>
      <c r="Y18" s="258"/>
      <c r="Z18" s="258"/>
      <c r="AA18" s="258"/>
      <c r="AB18" s="258"/>
      <c r="AC18" s="258"/>
    </row>
    <row r="19" spans="2:29" ht="54.75" customHeight="1">
      <c r="B19" s="258"/>
      <c r="C19" s="258"/>
      <c r="D19" s="295"/>
      <c r="G19" s="258"/>
      <c r="H19" s="258"/>
      <c r="I19" s="258"/>
      <c r="J19" s="261"/>
      <c r="K19" s="258"/>
      <c r="L19" s="258"/>
      <c r="M19" s="304"/>
      <c r="N19" s="258"/>
      <c r="O19" s="258"/>
      <c r="P19" s="258"/>
      <c r="Q19" s="258"/>
      <c r="R19" s="258"/>
      <c r="S19" s="258"/>
      <c r="T19" s="258"/>
      <c r="U19" s="258"/>
      <c r="V19" s="264"/>
      <c r="W19" s="264"/>
      <c r="X19" s="258"/>
      <c r="Y19" s="258"/>
      <c r="Z19" s="258"/>
      <c r="AA19" s="258"/>
      <c r="AB19" s="258"/>
      <c r="AC19" s="258"/>
    </row>
    <row r="20" spans="2:29" ht="54.75" customHeight="1">
      <c r="B20" s="258"/>
      <c r="C20" s="258"/>
      <c r="D20" s="295"/>
      <c r="G20" s="258"/>
      <c r="H20" s="258"/>
      <c r="I20" s="258"/>
      <c r="J20" s="261"/>
      <c r="K20" s="258"/>
      <c r="L20" s="258"/>
      <c r="M20" s="304"/>
      <c r="N20" s="258"/>
      <c r="O20" s="258"/>
      <c r="P20" s="258"/>
      <c r="Q20" s="258"/>
      <c r="R20" s="258"/>
      <c r="S20" s="258"/>
      <c r="T20" s="258"/>
      <c r="U20" s="258"/>
      <c r="V20" s="264"/>
      <c r="W20" s="264"/>
      <c r="X20" s="258"/>
      <c r="Y20" s="258"/>
      <c r="Z20" s="258"/>
      <c r="AA20" s="258"/>
      <c r="AB20" s="258"/>
      <c r="AC20" s="258"/>
    </row>
    <row r="21" spans="2:29" ht="54.75" customHeight="1">
      <c r="B21" s="258"/>
      <c r="C21" s="258"/>
      <c r="D21" s="295"/>
      <c r="G21" s="258"/>
      <c r="H21" s="258"/>
      <c r="I21" s="258"/>
      <c r="J21" s="261"/>
      <c r="K21" s="258"/>
      <c r="L21" s="258"/>
      <c r="M21" s="304"/>
      <c r="N21" s="258"/>
      <c r="O21" s="258"/>
      <c r="P21" s="258"/>
      <c r="Q21" s="258"/>
      <c r="R21" s="258"/>
      <c r="S21" s="258"/>
      <c r="T21" s="258"/>
      <c r="U21" s="258"/>
      <c r="V21" s="264"/>
      <c r="W21" s="264"/>
      <c r="X21" s="258"/>
      <c r="Y21" s="258"/>
      <c r="Z21" s="258"/>
      <c r="AA21" s="258"/>
      <c r="AB21" s="258"/>
      <c r="AC21" s="258"/>
    </row>
    <row r="22" spans="2:29" ht="54.75" customHeight="1">
      <c r="B22" s="258"/>
      <c r="C22" s="258"/>
      <c r="D22" s="295"/>
      <c r="G22" s="258"/>
      <c r="H22" s="258"/>
      <c r="I22" s="258"/>
      <c r="J22" s="261"/>
      <c r="K22" s="258"/>
      <c r="L22" s="258"/>
      <c r="M22" s="304"/>
      <c r="N22" s="258"/>
      <c r="O22" s="258"/>
      <c r="P22" s="258"/>
      <c r="Q22" s="258"/>
      <c r="R22" s="258"/>
      <c r="S22" s="258"/>
      <c r="T22" s="258"/>
      <c r="U22" s="258"/>
      <c r="V22" s="264"/>
      <c r="W22" s="264"/>
      <c r="X22" s="258"/>
      <c r="Y22" s="258"/>
      <c r="Z22" s="258"/>
      <c r="AA22" s="258"/>
      <c r="AB22" s="258"/>
      <c r="AC22" s="258"/>
    </row>
    <row r="23" spans="2:29" ht="54.75" customHeight="1">
      <c r="B23" s="258"/>
      <c r="C23" s="258"/>
      <c r="D23" s="295"/>
      <c r="G23" s="258"/>
      <c r="H23" s="258"/>
      <c r="I23" s="258"/>
      <c r="J23" s="261"/>
      <c r="K23" s="258"/>
      <c r="L23" s="258"/>
      <c r="M23" s="304"/>
      <c r="N23" s="258"/>
      <c r="O23" s="258"/>
      <c r="P23" s="258"/>
      <c r="Q23" s="258"/>
      <c r="R23" s="258"/>
      <c r="S23" s="258"/>
      <c r="T23" s="258"/>
      <c r="U23" s="258"/>
      <c r="V23" s="264"/>
      <c r="W23" s="264"/>
      <c r="X23" s="258"/>
      <c r="Y23" s="258"/>
      <c r="Z23" s="258"/>
      <c r="AA23" s="258"/>
      <c r="AB23" s="258"/>
      <c r="AC23" s="258"/>
    </row>
    <row r="24" spans="2:29" ht="54.75" customHeight="1">
      <c r="B24" s="258"/>
      <c r="C24" s="258"/>
      <c r="D24" s="295"/>
      <c r="G24" s="258"/>
      <c r="H24" s="258"/>
      <c r="I24" s="258"/>
      <c r="J24" s="261"/>
      <c r="K24" s="258"/>
      <c r="L24" s="258"/>
      <c r="M24" s="304"/>
      <c r="N24" s="258"/>
      <c r="O24" s="258"/>
      <c r="P24" s="258"/>
      <c r="Q24" s="258"/>
      <c r="R24" s="258"/>
      <c r="S24" s="258"/>
      <c r="T24" s="258"/>
      <c r="U24" s="258"/>
      <c r="V24" s="264"/>
      <c r="W24" s="264"/>
      <c r="X24" s="258"/>
      <c r="Y24" s="258"/>
      <c r="Z24" s="258"/>
      <c r="AA24" s="258"/>
      <c r="AB24" s="258"/>
      <c r="AC24" s="258"/>
    </row>
    <row r="25" spans="2:29" ht="54.75" customHeight="1">
      <c r="B25" s="258"/>
      <c r="C25" s="258"/>
      <c r="D25" s="295"/>
      <c r="G25" s="258"/>
      <c r="H25" s="258"/>
      <c r="I25" s="258"/>
      <c r="J25" s="261"/>
      <c r="K25" s="258"/>
      <c r="L25" s="258"/>
      <c r="M25" s="304"/>
      <c r="N25" s="258"/>
      <c r="O25" s="258"/>
      <c r="P25" s="258"/>
      <c r="Q25" s="258"/>
      <c r="R25" s="258"/>
      <c r="S25" s="258"/>
      <c r="T25" s="258"/>
      <c r="U25" s="258"/>
      <c r="V25" s="264"/>
      <c r="W25" s="264"/>
      <c r="X25" s="258"/>
      <c r="Y25" s="258"/>
      <c r="Z25" s="258"/>
      <c r="AA25" s="258"/>
      <c r="AB25" s="258"/>
      <c r="AC25" s="258"/>
    </row>
    <row r="26" spans="2:29" ht="54.75" customHeight="1">
      <c r="B26" s="258"/>
      <c r="C26" s="258"/>
      <c r="D26" s="295"/>
      <c r="G26" s="258"/>
      <c r="H26" s="258"/>
      <c r="I26" s="258"/>
      <c r="J26" s="261"/>
      <c r="K26" s="258"/>
      <c r="L26" s="258"/>
      <c r="M26" s="304"/>
      <c r="N26" s="258"/>
      <c r="O26" s="258"/>
      <c r="P26" s="258"/>
      <c r="Q26" s="258"/>
      <c r="R26" s="258"/>
      <c r="S26" s="258"/>
      <c r="T26" s="258"/>
      <c r="U26" s="258"/>
      <c r="V26" s="264"/>
      <c r="W26" s="264"/>
      <c r="X26" s="258"/>
      <c r="Y26" s="258"/>
      <c r="Z26" s="258"/>
      <c r="AA26" s="258"/>
      <c r="AB26" s="258"/>
      <c r="AC26" s="258"/>
    </row>
  </sheetData>
  <hyperlinks>
    <hyperlink ref="G3" r:id="rId1" xr:uid="{00000000-0004-0000-1600-000000000000}"/>
    <hyperlink ref="G10" r:id="rId2" xr:uid="{00000000-0004-0000-1600-000001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C16"/>
  <sheetViews>
    <sheetView topLeftCell="A3" workbookViewId="0">
      <selection activeCell="B7" sqref="B7"/>
    </sheetView>
  </sheetViews>
  <sheetFormatPr baseColWidth="10" defaultColWidth="12.6328125" defaultRowHeight="15.75" customHeight="1"/>
  <cols>
    <col min="1" max="1" width="15.26953125" customWidth="1"/>
    <col min="2" max="2" width="17.26953125" customWidth="1"/>
    <col min="3" max="3" width="15.26953125" customWidth="1"/>
    <col min="4" max="4" width="41.08984375" customWidth="1"/>
    <col min="5" max="5" width="32.7265625" customWidth="1"/>
    <col min="7" max="7" width="22.7265625" customWidth="1"/>
    <col min="9" max="9" width="21.08984375" customWidth="1"/>
    <col min="10" max="10" width="17.90625" customWidth="1"/>
    <col min="11" max="11" width="53.08984375" customWidth="1"/>
    <col min="12" max="12" width="43.453125" customWidth="1"/>
    <col min="14" max="14" width="18.26953125" customWidth="1"/>
    <col min="22" max="22" width="15.26953125" style="368" customWidth="1"/>
    <col min="23"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75" customHeight="1">
      <c r="A2" s="36" t="s">
        <v>2055</v>
      </c>
      <c r="B2" s="257">
        <v>257599</v>
      </c>
      <c r="C2" s="258" t="s">
        <v>591</v>
      </c>
      <c r="D2" s="295" t="s">
        <v>2056</v>
      </c>
      <c r="E2" s="327" t="s">
        <v>2057</v>
      </c>
      <c r="F2" s="36">
        <v>5135200</v>
      </c>
      <c r="G2" s="258" t="s">
        <v>883</v>
      </c>
      <c r="H2" s="258" t="s">
        <v>1666</v>
      </c>
      <c r="I2" s="258" t="s">
        <v>2058</v>
      </c>
      <c r="J2" s="261" t="s">
        <v>2059</v>
      </c>
      <c r="K2" s="389" t="s">
        <v>2060</v>
      </c>
      <c r="L2" s="347" t="s">
        <v>2060</v>
      </c>
      <c r="M2" s="304"/>
      <c r="N2" s="258" t="s">
        <v>2061</v>
      </c>
      <c r="O2" s="258" t="s">
        <v>809</v>
      </c>
      <c r="P2" s="258"/>
      <c r="Q2" s="258"/>
      <c r="R2" s="258"/>
      <c r="S2" s="258"/>
      <c r="T2" s="258" t="s">
        <v>1841</v>
      </c>
      <c r="U2" s="258"/>
      <c r="V2" s="384" t="s">
        <v>2633</v>
      </c>
      <c r="W2" s="264" t="s">
        <v>2682</v>
      </c>
      <c r="X2" s="258"/>
      <c r="Y2" s="258"/>
      <c r="Z2" s="258"/>
      <c r="AA2" s="258"/>
      <c r="AB2" s="258"/>
      <c r="AC2" s="258"/>
    </row>
    <row r="3" spans="1:29" ht="54.75" customHeight="1">
      <c r="A3" s="36" t="s">
        <v>2062</v>
      </c>
      <c r="B3" s="306">
        <v>150000</v>
      </c>
      <c r="C3" s="258" t="s">
        <v>2063</v>
      </c>
      <c r="D3" s="295" t="s">
        <v>2064</v>
      </c>
      <c r="E3" s="327" t="s">
        <v>2065</v>
      </c>
      <c r="F3" s="36">
        <v>3224601515</v>
      </c>
      <c r="G3" s="258" t="s">
        <v>2066</v>
      </c>
      <c r="H3" s="258" t="s">
        <v>1666</v>
      </c>
      <c r="I3" s="258"/>
      <c r="J3" s="261" t="s">
        <v>2067</v>
      </c>
      <c r="K3" s="258" t="s">
        <v>2068</v>
      </c>
      <c r="L3" s="258" t="s">
        <v>2068</v>
      </c>
      <c r="M3" s="304"/>
      <c r="N3" s="258" t="s">
        <v>1974</v>
      </c>
      <c r="O3" s="258" t="s">
        <v>809</v>
      </c>
      <c r="P3" s="258"/>
      <c r="Q3" s="258"/>
      <c r="R3" s="258"/>
      <c r="S3" s="258"/>
      <c r="T3" s="258" t="s">
        <v>1841</v>
      </c>
      <c r="U3" s="258"/>
      <c r="V3" s="264" t="s">
        <v>2605</v>
      </c>
      <c r="W3" s="264" t="s">
        <v>2676</v>
      </c>
      <c r="X3" s="258"/>
      <c r="Y3" s="258"/>
      <c r="Z3" s="258"/>
      <c r="AA3" s="258"/>
      <c r="AB3" s="258"/>
      <c r="AC3" s="258"/>
    </row>
    <row r="4" spans="1:29" ht="54.75" customHeight="1">
      <c r="A4" s="36" t="s">
        <v>2069</v>
      </c>
      <c r="B4" s="257">
        <v>390000</v>
      </c>
      <c r="C4" s="258" t="s">
        <v>1070</v>
      </c>
      <c r="D4" s="295" t="s">
        <v>2070</v>
      </c>
      <c r="E4" s="327" t="s">
        <v>2071</v>
      </c>
      <c r="F4" s="36">
        <v>7451191</v>
      </c>
      <c r="G4" s="258" t="s">
        <v>2072</v>
      </c>
      <c r="H4" s="258" t="s">
        <v>1015</v>
      </c>
      <c r="I4" s="258" t="s">
        <v>2073</v>
      </c>
      <c r="J4" s="261" t="s">
        <v>2074</v>
      </c>
      <c r="K4" s="258" t="s">
        <v>2075</v>
      </c>
      <c r="L4" s="258" t="s">
        <v>2075</v>
      </c>
      <c r="M4" s="304" t="s">
        <v>2076</v>
      </c>
      <c r="N4" s="258" t="s">
        <v>2074</v>
      </c>
      <c r="O4" s="258" t="s">
        <v>809</v>
      </c>
      <c r="P4" s="258"/>
      <c r="Q4" s="258" t="s">
        <v>1527</v>
      </c>
      <c r="R4" s="258"/>
      <c r="S4" s="258"/>
      <c r="T4" s="258" t="s">
        <v>1841</v>
      </c>
      <c r="U4" s="258"/>
      <c r="V4" s="264" t="s">
        <v>2578</v>
      </c>
      <c r="W4" s="264" t="s">
        <v>2673</v>
      </c>
      <c r="X4" s="258"/>
      <c r="Y4" s="258"/>
      <c r="Z4" s="258"/>
      <c r="AA4" s="258"/>
      <c r="AB4" s="258"/>
      <c r="AC4" s="258"/>
    </row>
    <row r="5" spans="1:29" ht="54.75" customHeight="1">
      <c r="A5" s="36" t="s">
        <v>2077</v>
      </c>
      <c r="B5" s="257">
        <v>450000</v>
      </c>
      <c r="C5" s="258" t="s">
        <v>1949</v>
      </c>
      <c r="D5" s="295" t="s">
        <v>2078</v>
      </c>
      <c r="E5" s="327" t="s">
        <v>2079</v>
      </c>
      <c r="F5" s="36">
        <v>3115738653</v>
      </c>
      <c r="G5" s="36" t="s">
        <v>2080</v>
      </c>
      <c r="H5" s="258" t="s">
        <v>1015</v>
      </c>
      <c r="I5" s="258" t="s">
        <v>2081</v>
      </c>
      <c r="J5" s="261" t="s">
        <v>2082</v>
      </c>
      <c r="K5" s="390" t="s">
        <v>2083</v>
      </c>
      <c r="L5" s="258" t="s">
        <v>2084</v>
      </c>
      <c r="M5" s="304" t="s">
        <v>2085</v>
      </c>
      <c r="N5" s="258" t="s">
        <v>2086</v>
      </c>
      <c r="O5" s="258" t="s">
        <v>809</v>
      </c>
      <c r="P5" s="258"/>
      <c r="Q5" s="258" t="s">
        <v>1234</v>
      </c>
      <c r="R5" s="258"/>
      <c r="S5" s="258"/>
      <c r="T5" s="258" t="s">
        <v>1841</v>
      </c>
      <c r="U5" s="258"/>
      <c r="V5" s="384" t="s">
        <v>2634</v>
      </c>
      <c r="W5" s="264" t="s">
        <v>2676</v>
      </c>
      <c r="X5" s="258"/>
      <c r="Y5" s="258"/>
      <c r="Z5" s="258"/>
      <c r="AA5" s="258"/>
      <c r="AB5" s="258"/>
      <c r="AC5" s="258"/>
    </row>
    <row r="6" spans="1:29" ht="54.75" customHeight="1">
      <c r="A6" s="36" t="s">
        <v>2087</v>
      </c>
      <c r="B6" s="257">
        <v>450000</v>
      </c>
      <c r="C6" s="258" t="s">
        <v>591</v>
      </c>
      <c r="D6" s="295" t="s">
        <v>2088</v>
      </c>
      <c r="E6" s="327" t="s">
        <v>2089</v>
      </c>
      <c r="F6" s="36">
        <v>3508190147</v>
      </c>
      <c r="G6" s="258" t="s">
        <v>2090</v>
      </c>
      <c r="H6" s="258" t="s">
        <v>1015</v>
      </c>
      <c r="I6" s="258" t="s">
        <v>2091</v>
      </c>
      <c r="J6" s="261" t="s">
        <v>2092</v>
      </c>
      <c r="K6" s="384" t="s">
        <v>2093</v>
      </c>
      <c r="L6" s="258" t="s">
        <v>2094</v>
      </c>
      <c r="M6" s="304" t="s">
        <v>2095</v>
      </c>
      <c r="N6" s="258" t="s">
        <v>2096</v>
      </c>
      <c r="O6" s="258" t="s">
        <v>809</v>
      </c>
      <c r="P6" s="258"/>
      <c r="Q6" s="258" t="s">
        <v>1671</v>
      </c>
      <c r="R6" s="258"/>
      <c r="S6" s="258"/>
      <c r="T6" s="258" t="s">
        <v>1841</v>
      </c>
      <c r="U6" s="258"/>
      <c r="V6" s="264" t="s">
        <v>2578</v>
      </c>
      <c r="W6" s="264" t="s">
        <v>2673</v>
      </c>
      <c r="X6" s="258"/>
      <c r="Y6" s="258"/>
      <c r="Z6" s="258"/>
      <c r="AA6" s="258"/>
      <c r="AB6" s="258"/>
      <c r="AC6" s="258"/>
    </row>
    <row r="7" spans="1:29" ht="54.75" customHeight="1">
      <c r="A7" s="36" t="s">
        <v>866</v>
      </c>
      <c r="B7" s="257">
        <v>400000</v>
      </c>
      <c r="C7" s="258" t="s">
        <v>1949</v>
      </c>
      <c r="D7" s="295" t="s">
        <v>867</v>
      </c>
      <c r="E7" s="327" t="s">
        <v>2097</v>
      </c>
      <c r="F7" s="36">
        <v>3104460274</v>
      </c>
      <c r="G7" s="258" t="s">
        <v>2098</v>
      </c>
      <c r="H7" s="258" t="s">
        <v>1015</v>
      </c>
      <c r="I7" s="258" t="s">
        <v>2099</v>
      </c>
      <c r="J7" s="261" t="s">
        <v>2092</v>
      </c>
      <c r="K7" s="384" t="s">
        <v>2100</v>
      </c>
      <c r="L7" s="385" t="s">
        <v>2101</v>
      </c>
      <c r="M7" s="304" t="s">
        <v>2102</v>
      </c>
      <c r="N7" s="258" t="s">
        <v>2103</v>
      </c>
      <c r="O7" s="258" t="s">
        <v>809</v>
      </c>
      <c r="P7" s="258"/>
      <c r="Q7" s="258" t="s">
        <v>1234</v>
      </c>
      <c r="R7" s="258"/>
      <c r="S7" s="258"/>
      <c r="T7" s="258" t="s">
        <v>1841</v>
      </c>
      <c r="U7" s="258"/>
      <c r="V7" s="264" t="s">
        <v>2575</v>
      </c>
      <c r="W7" s="264" t="s">
        <v>2672</v>
      </c>
      <c r="X7" s="258"/>
      <c r="Y7" s="258"/>
      <c r="Z7" s="258"/>
      <c r="AA7" s="258"/>
      <c r="AB7" s="258"/>
      <c r="AC7" s="258"/>
    </row>
    <row r="8" spans="1:29" ht="54.75" customHeight="1">
      <c r="A8" s="36"/>
      <c r="B8" s="337">
        <f>SUM(B2:B7)</f>
        <v>2097599</v>
      </c>
      <c r="C8" s="258"/>
      <c r="D8" s="295"/>
      <c r="E8" s="293"/>
      <c r="F8" s="36"/>
      <c r="G8" s="258"/>
      <c r="H8" s="258"/>
      <c r="I8" s="258"/>
      <c r="J8" s="261"/>
      <c r="K8" s="258"/>
      <c r="L8" s="258"/>
      <c r="M8" s="304"/>
      <c r="N8" s="258"/>
      <c r="O8" s="258"/>
      <c r="P8" s="258"/>
      <c r="Q8" s="258"/>
      <c r="R8" s="258"/>
      <c r="S8" s="258"/>
      <c r="T8" s="258"/>
      <c r="U8" s="258"/>
      <c r="V8" s="264"/>
      <c r="W8" s="264"/>
      <c r="X8" s="258"/>
      <c r="Y8" s="258"/>
      <c r="Z8" s="258"/>
      <c r="AA8" s="258"/>
      <c r="AB8" s="258"/>
      <c r="AC8" s="258"/>
    </row>
    <row r="9" spans="1:29" ht="54.75" customHeight="1">
      <c r="A9" s="36"/>
      <c r="B9" s="257"/>
      <c r="C9" s="258"/>
      <c r="D9" s="295"/>
      <c r="E9" s="293"/>
      <c r="F9" s="36"/>
      <c r="G9" s="258"/>
      <c r="H9" s="258"/>
      <c r="I9" s="258"/>
      <c r="J9" s="261"/>
      <c r="K9" s="258"/>
      <c r="L9" s="258"/>
      <c r="M9" s="304"/>
      <c r="N9" s="258"/>
      <c r="O9" s="258"/>
      <c r="P9" s="258"/>
      <c r="Q9" s="258"/>
      <c r="R9" s="258"/>
      <c r="S9" s="258"/>
      <c r="T9" s="258"/>
      <c r="U9" s="258"/>
      <c r="V9" s="264"/>
      <c r="W9" s="264"/>
      <c r="X9" s="258"/>
      <c r="Y9" s="258"/>
      <c r="Z9" s="258"/>
      <c r="AA9" s="258"/>
      <c r="AB9" s="258"/>
      <c r="AC9" s="258"/>
    </row>
    <row r="10" spans="1:29" ht="54.75" customHeight="1">
      <c r="A10" s="36"/>
      <c r="B10" s="257"/>
      <c r="C10" s="258"/>
      <c r="D10" s="295"/>
      <c r="E10" s="293"/>
      <c r="F10" s="36"/>
      <c r="G10" s="258"/>
      <c r="H10" s="258"/>
      <c r="I10" s="258"/>
      <c r="J10" s="261"/>
      <c r="K10" s="258"/>
      <c r="L10" s="258"/>
      <c r="M10" s="304"/>
      <c r="N10" s="258"/>
      <c r="O10" s="258"/>
      <c r="P10" s="258"/>
      <c r="Q10" s="258"/>
      <c r="R10" s="258"/>
      <c r="S10" s="258"/>
      <c r="T10" s="258"/>
      <c r="U10" s="258"/>
      <c r="V10" s="264"/>
      <c r="W10" s="264"/>
      <c r="X10" s="258"/>
      <c r="Y10" s="258"/>
      <c r="Z10" s="258"/>
      <c r="AA10" s="258"/>
      <c r="AB10" s="258"/>
      <c r="AC10" s="258"/>
    </row>
    <row r="11" spans="1:29" ht="54.75" customHeight="1">
      <c r="A11" s="36"/>
      <c r="B11" s="257"/>
      <c r="C11" s="258"/>
      <c r="D11" s="295"/>
      <c r="E11" s="293"/>
      <c r="F11" s="36"/>
      <c r="G11" s="258"/>
      <c r="H11" s="258"/>
      <c r="I11" s="258"/>
      <c r="J11" s="261"/>
      <c r="K11" s="258"/>
      <c r="L11" s="258"/>
      <c r="M11" s="304"/>
      <c r="N11" s="258"/>
      <c r="O11" s="258"/>
      <c r="P11" s="258"/>
      <c r="Q11" s="258"/>
      <c r="R11" s="258"/>
      <c r="S11" s="258"/>
      <c r="T11" s="258"/>
      <c r="U11" s="258"/>
      <c r="V11" s="264"/>
      <c r="W11" s="264"/>
      <c r="X11" s="258"/>
      <c r="Y11" s="258"/>
      <c r="Z11" s="258"/>
      <c r="AA11" s="258"/>
      <c r="AB11" s="258"/>
      <c r="AC11" s="258"/>
    </row>
    <row r="12" spans="1:29" ht="54.75" customHeight="1">
      <c r="A12" s="36"/>
      <c r="B12" s="257"/>
      <c r="C12" s="258"/>
      <c r="D12" s="295"/>
      <c r="E12" s="293"/>
      <c r="F12" s="36"/>
      <c r="G12" s="258"/>
      <c r="H12" s="258"/>
      <c r="I12" s="258"/>
      <c r="J12" s="261"/>
      <c r="K12" s="258"/>
      <c r="L12" s="258"/>
      <c r="M12" s="304"/>
      <c r="N12" s="258"/>
      <c r="O12" s="258"/>
      <c r="P12" s="258"/>
      <c r="Q12" s="258"/>
      <c r="R12" s="258"/>
      <c r="S12" s="258"/>
      <c r="T12" s="258"/>
      <c r="U12" s="258"/>
      <c r="V12" s="264"/>
      <c r="W12" s="264"/>
      <c r="X12" s="258"/>
      <c r="Y12" s="258"/>
      <c r="Z12" s="258"/>
      <c r="AA12" s="258"/>
      <c r="AB12" s="258"/>
      <c r="AC12" s="258"/>
    </row>
    <row r="13" spans="1:29" ht="54.75" customHeight="1">
      <c r="A13" s="36"/>
      <c r="B13" s="257"/>
      <c r="C13" s="258"/>
      <c r="D13" s="295"/>
      <c r="E13" s="293"/>
      <c r="F13" s="36"/>
      <c r="G13" s="258"/>
      <c r="H13" s="258"/>
      <c r="I13" s="258"/>
      <c r="J13" s="261"/>
      <c r="K13" s="258"/>
      <c r="L13" s="258"/>
      <c r="M13" s="304"/>
      <c r="N13" s="258"/>
      <c r="O13" s="258"/>
      <c r="P13" s="258"/>
      <c r="Q13" s="258"/>
      <c r="R13" s="258"/>
      <c r="S13" s="258"/>
      <c r="T13" s="258"/>
      <c r="U13" s="258"/>
      <c r="V13" s="264"/>
      <c r="W13" s="264"/>
      <c r="X13" s="258"/>
      <c r="Y13" s="258"/>
      <c r="Z13" s="258"/>
      <c r="AA13" s="258"/>
      <c r="AB13" s="258"/>
      <c r="AC13" s="258"/>
    </row>
    <row r="14" spans="1:29" ht="54.75" customHeight="1">
      <c r="A14" s="36"/>
      <c r="B14" s="257"/>
      <c r="C14" s="258"/>
      <c r="D14" s="295"/>
      <c r="E14" s="293"/>
      <c r="F14" s="36"/>
      <c r="G14" s="258"/>
      <c r="H14" s="258"/>
      <c r="I14" s="258"/>
      <c r="J14" s="261"/>
      <c r="K14" s="258"/>
      <c r="L14" s="258"/>
      <c r="M14" s="304"/>
      <c r="N14" s="258"/>
      <c r="O14" s="258"/>
      <c r="P14" s="258"/>
      <c r="Q14" s="258"/>
      <c r="R14" s="258"/>
      <c r="S14" s="258"/>
      <c r="T14" s="258"/>
      <c r="U14" s="258"/>
      <c r="V14" s="264"/>
      <c r="W14" s="264"/>
      <c r="X14" s="258"/>
      <c r="Y14" s="258"/>
      <c r="Z14" s="258"/>
      <c r="AA14" s="258"/>
      <c r="AB14" s="258"/>
      <c r="AC14" s="258"/>
    </row>
    <row r="15" spans="1:29" ht="54.75" customHeight="1">
      <c r="A15" s="36"/>
      <c r="B15" s="257"/>
      <c r="C15" s="258"/>
      <c r="D15" s="295"/>
      <c r="E15" s="293"/>
      <c r="F15" s="36"/>
      <c r="G15" s="258"/>
      <c r="H15" s="258"/>
      <c r="I15" s="258"/>
      <c r="J15" s="261"/>
      <c r="K15" s="258"/>
      <c r="L15" s="258"/>
      <c r="M15" s="304"/>
      <c r="N15" s="258"/>
      <c r="O15" s="258"/>
      <c r="P15" s="258"/>
      <c r="Q15" s="258"/>
      <c r="R15" s="258"/>
      <c r="S15" s="258"/>
      <c r="T15" s="258"/>
      <c r="U15" s="258"/>
      <c r="V15" s="264"/>
      <c r="W15" s="264"/>
      <c r="X15" s="258"/>
      <c r="Y15" s="258"/>
      <c r="Z15" s="258"/>
      <c r="AA15" s="258"/>
      <c r="AB15" s="258"/>
      <c r="AC15" s="258"/>
    </row>
    <row r="16" spans="1:29" ht="54.75" customHeight="1">
      <c r="A16" s="36"/>
      <c r="B16" s="257"/>
      <c r="C16" s="258"/>
      <c r="D16" s="295"/>
      <c r="E16" s="293"/>
      <c r="F16" s="36"/>
      <c r="G16" s="258"/>
      <c r="H16" s="258"/>
      <c r="I16" s="258"/>
      <c r="J16" s="261"/>
      <c r="K16" s="258"/>
      <c r="L16" s="258"/>
      <c r="M16" s="304"/>
      <c r="N16" s="258"/>
      <c r="O16" s="258"/>
      <c r="P16" s="258"/>
      <c r="Q16" s="258"/>
      <c r="R16" s="258"/>
      <c r="S16" s="258"/>
      <c r="T16" s="258"/>
      <c r="U16" s="258"/>
      <c r="V16" s="264"/>
      <c r="W16" s="264"/>
      <c r="X16" s="258"/>
      <c r="Y16" s="258"/>
      <c r="Z16" s="258"/>
      <c r="AA16" s="258"/>
      <c r="AB16" s="258"/>
      <c r="AC16" s="25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C19"/>
  <sheetViews>
    <sheetView tabSelected="1" topLeftCell="A12" workbookViewId="0">
      <selection activeCell="B15" sqref="B15"/>
    </sheetView>
  </sheetViews>
  <sheetFormatPr baseColWidth="10" defaultColWidth="12.6328125" defaultRowHeight="15.75" customHeight="1"/>
  <cols>
    <col min="1" max="1" width="17.7265625" customWidth="1"/>
    <col min="3" max="3" width="14" customWidth="1"/>
    <col min="4" max="4" width="51.6328125" customWidth="1"/>
    <col min="5" max="5" width="39.90625" customWidth="1"/>
    <col min="7" max="7" width="30.08984375" customWidth="1"/>
    <col min="11" max="11" width="57.6328125" customWidth="1"/>
    <col min="12" max="12" width="72.453125" customWidth="1"/>
    <col min="22"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75" customHeight="1">
      <c r="A2" s="36" t="s">
        <v>2104</v>
      </c>
      <c r="B2" s="306">
        <v>420000</v>
      </c>
      <c r="C2" s="258" t="s">
        <v>2105</v>
      </c>
      <c r="D2" s="295" t="s">
        <v>2106</v>
      </c>
      <c r="E2" s="327" t="s">
        <v>2107</v>
      </c>
      <c r="F2" s="36">
        <v>6043584586</v>
      </c>
      <c r="G2" s="258" t="s">
        <v>2108</v>
      </c>
      <c r="H2" s="258" t="s">
        <v>1015</v>
      </c>
      <c r="I2" s="258" t="s">
        <v>2109</v>
      </c>
      <c r="J2" s="261" t="s">
        <v>2110</v>
      </c>
      <c r="K2" s="384" t="s">
        <v>2111</v>
      </c>
      <c r="L2" s="385" t="s">
        <v>2112</v>
      </c>
      <c r="M2" s="304" t="s">
        <v>2113</v>
      </c>
      <c r="N2" s="258" t="s">
        <v>2114</v>
      </c>
      <c r="O2" s="258" t="s">
        <v>809</v>
      </c>
      <c r="P2" s="258"/>
      <c r="Q2" s="258" t="s">
        <v>1127</v>
      </c>
      <c r="R2" s="258"/>
      <c r="S2" s="258"/>
      <c r="T2" s="258" t="s">
        <v>1841</v>
      </c>
      <c r="U2" s="258"/>
      <c r="V2" s="384" t="s">
        <v>2635</v>
      </c>
      <c r="W2" s="264" t="s">
        <v>2676</v>
      </c>
      <c r="X2" s="258"/>
      <c r="Y2" s="258"/>
      <c r="Z2" s="258"/>
      <c r="AA2" s="258"/>
      <c r="AB2" s="258"/>
      <c r="AC2" s="258"/>
    </row>
    <row r="3" spans="1:29" ht="54.75" customHeight="1">
      <c r="A3" s="36" t="s">
        <v>2115</v>
      </c>
      <c r="B3" s="257">
        <v>300000</v>
      </c>
      <c r="C3" s="258" t="s">
        <v>2116</v>
      </c>
      <c r="D3" s="295" t="s">
        <v>2117</v>
      </c>
      <c r="E3" s="327" t="s">
        <v>2118</v>
      </c>
      <c r="F3" s="36">
        <v>3148300959</v>
      </c>
      <c r="G3" s="258" t="s">
        <v>2119</v>
      </c>
      <c r="H3" s="258" t="s">
        <v>1015</v>
      </c>
      <c r="I3" s="258" t="s">
        <v>2120</v>
      </c>
      <c r="J3" s="261" t="s">
        <v>2121</v>
      </c>
      <c r="K3" s="384" t="s">
        <v>2122</v>
      </c>
      <c r="L3" s="258" t="s">
        <v>2123</v>
      </c>
      <c r="M3" s="304"/>
      <c r="N3" s="258" t="s">
        <v>2124</v>
      </c>
      <c r="O3" s="258" t="s">
        <v>809</v>
      </c>
      <c r="P3" s="258"/>
      <c r="Q3" s="258" t="s">
        <v>1234</v>
      </c>
      <c r="R3" s="258"/>
      <c r="S3" s="258"/>
      <c r="T3" s="258" t="s">
        <v>1841</v>
      </c>
      <c r="U3" s="258"/>
      <c r="V3" s="384" t="s">
        <v>2580</v>
      </c>
      <c r="W3" s="264" t="s">
        <v>2681</v>
      </c>
      <c r="X3" s="258"/>
      <c r="Y3" s="258"/>
      <c r="Z3" s="258"/>
      <c r="AA3" s="258"/>
      <c r="AB3" s="258"/>
      <c r="AC3" s="258"/>
    </row>
    <row r="4" spans="1:29" ht="54.75" customHeight="1">
      <c r="A4" s="36">
        <v>901399037</v>
      </c>
      <c r="B4" s="257">
        <v>300000</v>
      </c>
      <c r="C4" s="36" t="s">
        <v>1312</v>
      </c>
      <c r="D4" s="295" t="s">
        <v>2125</v>
      </c>
      <c r="E4" s="327" t="s">
        <v>2126</v>
      </c>
      <c r="F4" s="348">
        <v>3207200248</v>
      </c>
      <c r="G4" s="258" t="s">
        <v>2127</v>
      </c>
      <c r="H4" s="258" t="s">
        <v>1015</v>
      </c>
      <c r="I4" s="258" t="s">
        <v>2128</v>
      </c>
      <c r="J4" s="261" t="s">
        <v>2129</v>
      </c>
      <c r="K4" s="384" t="s">
        <v>2130</v>
      </c>
      <c r="L4" s="384" t="s">
        <v>2130</v>
      </c>
      <c r="M4" s="304" t="s">
        <v>1233</v>
      </c>
      <c r="N4" s="258" t="s">
        <v>2131</v>
      </c>
      <c r="O4" s="258" t="s">
        <v>809</v>
      </c>
      <c r="P4" s="258"/>
      <c r="Q4" s="258" t="s">
        <v>1127</v>
      </c>
      <c r="R4" s="258"/>
      <c r="S4" s="258"/>
      <c r="T4" s="258" t="s">
        <v>1841</v>
      </c>
      <c r="U4" s="258"/>
      <c r="V4" s="384" t="s">
        <v>2573</v>
      </c>
      <c r="W4" s="264" t="s">
        <v>2573</v>
      </c>
      <c r="X4" s="258"/>
      <c r="Y4" s="258"/>
      <c r="Z4" s="258"/>
      <c r="AA4" s="258"/>
      <c r="AB4" s="258"/>
      <c r="AC4" s="258"/>
    </row>
    <row r="5" spans="1:29" ht="54.75" customHeight="1">
      <c r="A5" s="36" t="s">
        <v>2132</v>
      </c>
      <c r="B5" s="257">
        <v>300000</v>
      </c>
      <c r="C5" s="36" t="s">
        <v>2133</v>
      </c>
      <c r="D5" s="295" t="s">
        <v>2134</v>
      </c>
      <c r="E5" s="327" t="s">
        <v>2135</v>
      </c>
      <c r="F5" s="348">
        <v>3183382318</v>
      </c>
      <c r="G5" s="258" t="s">
        <v>2136</v>
      </c>
      <c r="H5" s="258" t="s">
        <v>1015</v>
      </c>
      <c r="I5" s="258" t="s">
        <v>2137</v>
      </c>
      <c r="J5" s="261" t="s">
        <v>2138</v>
      </c>
      <c r="K5" s="384" t="s">
        <v>2139</v>
      </c>
      <c r="L5" s="385" t="s">
        <v>2140</v>
      </c>
      <c r="M5" s="304" t="s">
        <v>2141</v>
      </c>
      <c r="N5" s="258" t="s">
        <v>2142</v>
      </c>
      <c r="O5" s="258" t="s">
        <v>809</v>
      </c>
      <c r="P5" s="258"/>
      <c r="Q5" s="258" t="s">
        <v>1732</v>
      </c>
      <c r="R5" s="258"/>
      <c r="S5" s="258"/>
      <c r="T5" s="258" t="s">
        <v>1841</v>
      </c>
      <c r="U5" s="258"/>
      <c r="V5" s="384" t="s">
        <v>2636</v>
      </c>
      <c r="W5" s="264" t="s">
        <v>2682</v>
      </c>
      <c r="X5" s="258"/>
      <c r="Y5" s="258"/>
      <c r="Z5" s="258"/>
      <c r="AA5" s="258"/>
      <c r="AB5" s="258"/>
      <c r="AC5" s="258"/>
    </row>
    <row r="6" spans="1:29" ht="54.75" customHeight="1">
      <c r="A6" s="36" t="s">
        <v>2143</v>
      </c>
      <c r="B6" s="257">
        <v>1785000</v>
      </c>
      <c r="C6" s="258" t="s">
        <v>2144</v>
      </c>
      <c r="D6" s="295" t="s">
        <v>2145</v>
      </c>
      <c r="E6" s="327" t="s">
        <v>2146</v>
      </c>
      <c r="F6" s="36">
        <v>3182153952</v>
      </c>
      <c r="G6" s="258" t="s">
        <v>2147</v>
      </c>
      <c r="H6" s="258" t="s">
        <v>1015</v>
      </c>
      <c r="I6" s="258" t="s">
        <v>2148</v>
      </c>
      <c r="J6" s="261" t="s">
        <v>2149</v>
      </c>
      <c r="K6" s="258" t="s">
        <v>2150</v>
      </c>
      <c r="L6" s="258" t="s">
        <v>2150</v>
      </c>
      <c r="M6" s="304" t="s">
        <v>2151</v>
      </c>
      <c r="N6" s="258" t="s">
        <v>2152</v>
      </c>
      <c r="O6" s="258" t="s">
        <v>809</v>
      </c>
      <c r="P6" s="258"/>
      <c r="Q6" s="258" t="s">
        <v>1732</v>
      </c>
      <c r="R6" s="258"/>
      <c r="S6" s="258"/>
      <c r="T6" s="258" t="s">
        <v>1841</v>
      </c>
      <c r="U6" s="258"/>
      <c r="V6" s="384" t="s">
        <v>2637</v>
      </c>
      <c r="W6" s="264" t="s">
        <v>2637</v>
      </c>
      <c r="X6" s="258"/>
      <c r="Y6" s="258"/>
      <c r="Z6" s="258"/>
      <c r="AA6" s="258"/>
      <c r="AB6" s="258"/>
      <c r="AC6" s="258"/>
    </row>
    <row r="7" spans="1:29" ht="54.75" customHeight="1">
      <c r="A7" s="36" t="s">
        <v>2153</v>
      </c>
      <c r="B7" s="257">
        <v>4646000</v>
      </c>
      <c r="C7" s="258" t="s">
        <v>1088</v>
      </c>
      <c r="D7" s="295" t="s">
        <v>2154</v>
      </c>
      <c r="E7" s="327" t="s">
        <v>2155</v>
      </c>
      <c r="F7" s="36">
        <v>3138034349</v>
      </c>
      <c r="G7" s="258" t="s">
        <v>2156</v>
      </c>
      <c r="H7" s="258" t="s">
        <v>1015</v>
      </c>
      <c r="I7" s="258" t="s">
        <v>2157</v>
      </c>
      <c r="J7" s="261" t="s">
        <v>2158</v>
      </c>
      <c r="K7" s="385" t="s">
        <v>2159</v>
      </c>
      <c r="L7" s="258" t="s">
        <v>2159</v>
      </c>
      <c r="M7" s="304" t="s">
        <v>2160</v>
      </c>
      <c r="N7" s="258" t="s">
        <v>2161</v>
      </c>
      <c r="O7" s="258" t="s">
        <v>809</v>
      </c>
      <c r="P7" s="258"/>
      <c r="Q7" s="258" t="s">
        <v>1127</v>
      </c>
      <c r="R7" s="258"/>
      <c r="S7" s="258"/>
      <c r="T7" s="258" t="s">
        <v>1841</v>
      </c>
      <c r="U7" s="258"/>
      <c r="V7" s="384" t="s">
        <v>2638</v>
      </c>
      <c r="W7" s="264" t="s">
        <v>2683</v>
      </c>
      <c r="X7" s="258"/>
      <c r="Y7" s="258"/>
      <c r="Z7" s="258"/>
      <c r="AA7" s="258"/>
      <c r="AB7" s="258"/>
      <c r="AC7" s="258"/>
    </row>
    <row r="8" spans="1:29" ht="54.75" customHeight="1">
      <c r="A8" s="36" t="s">
        <v>2162</v>
      </c>
      <c r="B8" s="257">
        <v>3720000</v>
      </c>
      <c r="C8" s="258" t="s">
        <v>2163</v>
      </c>
      <c r="D8" s="295" t="s">
        <v>2164</v>
      </c>
      <c r="E8" s="327" t="s">
        <v>2165</v>
      </c>
      <c r="F8" s="36">
        <v>3011060188</v>
      </c>
      <c r="G8" s="258" t="s">
        <v>2166</v>
      </c>
      <c r="H8" s="258" t="s">
        <v>1015</v>
      </c>
      <c r="I8" s="258" t="s">
        <v>1646</v>
      </c>
      <c r="J8" s="261" t="s">
        <v>2167</v>
      </c>
      <c r="K8" s="384" t="s">
        <v>2168</v>
      </c>
      <c r="L8" s="385" t="s">
        <v>2169</v>
      </c>
      <c r="M8" s="304" t="s">
        <v>2170</v>
      </c>
      <c r="N8" s="258" t="s">
        <v>2114</v>
      </c>
      <c r="O8" s="258" t="s">
        <v>809</v>
      </c>
      <c r="P8" s="258"/>
      <c r="Q8" s="258" t="s">
        <v>2021</v>
      </c>
      <c r="R8" s="258"/>
      <c r="S8" s="258"/>
      <c r="T8" s="258" t="s">
        <v>1841</v>
      </c>
      <c r="U8" s="258"/>
      <c r="V8" s="384" t="s">
        <v>2169</v>
      </c>
      <c r="W8" s="264" t="s">
        <v>2681</v>
      </c>
      <c r="X8" s="258"/>
      <c r="Y8" s="258"/>
      <c r="Z8" s="258"/>
      <c r="AA8" s="258"/>
      <c r="AB8" s="258"/>
      <c r="AC8" s="258"/>
    </row>
    <row r="9" spans="1:29" ht="54.75" customHeight="1">
      <c r="A9" s="36" t="s">
        <v>2171</v>
      </c>
      <c r="B9" s="257">
        <v>420000</v>
      </c>
      <c r="C9" s="258" t="s">
        <v>1949</v>
      </c>
      <c r="D9" s="295" t="s">
        <v>2172</v>
      </c>
      <c r="E9" s="327" t="s">
        <v>2173</v>
      </c>
      <c r="F9" s="36">
        <v>3137567643</v>
      </c>
      <c r="G9" s="258" t="s">
        <v>2174</v>
      </c>
      <c r="H9" s="258" t="s">
        <v>1015</v>
      </c>
      <c r="I9" s="258" t="s">
        <v>553</v>
      </c>
      <c r="J9" s="261" t="s">
        <v>2151</v>
      </c>
      <c r="K9" s="258" t="s">
        <v>2175</v>
      </c>
      <c r="L9" s="385" t="s">
        <v>2176</v>
      </c>
      <c r="M9" s="304" t="s">
        <v>1233</v>
      </c>
      <c r="N9" s="258" t="s">
        <v>2114</v>
      </c>
      <c r="O9" s="258" t="s">
        <v>809</v>
      </c>
      <c r="P9" s="258"/>
      <c r="Q9" s="258" t="s">
        <v>1732</v>
      </c>
      <c r="R9" s="258"/>
      <c r="S9" s="258"/>
      <c r="T9" s="258" t="s">
        <v>1841</v>
      </c>
      <c r="U9" s="258"/>
      <c r="V9" s="264" t="s">
        <v>2575</v>
      </c>
      <c r="W9" s="379" t="s">
        <v>2672</v>
      </c>
      <c r="X9" s="258"/>
      <c r="Y9" s="258"/>
      <c r="Z9" s="258"/>
      <c r="AA9" s="258"/>
      <c r="AB9" s="258"/>
      <c r="AC9" s="258"/>
    </row>
    <row r="10" spans="1:29" ht="54.75" customHeight="1">
      <c r="A10" s="36">
        <v>21638059</v>
      </c>
      <c r="B10" s="257">
        <v>190000</v>
      </c>
      <c r="C10" s="258" t="s">
        <v>2177</v>
      </c>
      <c r="D10" s="295" t="s">
        <v>2178</v>
      </c>
      <c r="E10" s="327" t="s">
        <v>2178</v>
      </c>
      <c r="F10" s="36">
        <v>3046121069</v>
      </c>
      <c r="G10" s="258" t="s">
        <v>2179</v>
      </c>
      <c r="H10" s="258" t="s">
        <v>1015</v>
      </c>
      <c r="I10" s="258" t="s">
        <v>2180</v>
      </c>
      <c r="J10" s="261" t="s">
        <v>2181</v>
      </c>
      <c r="K10" s="258" t="s">
        <v>2182</v>
      </c>
      <c r="L10" s="385" t="s">
        <v>2183</v>
      </c>
      <c r="M10" s="304" t="s">
        <v>2184</v>
      </c>
      <c r="N10" s="258" t="s">
        <v>2185</v>
      </c>
      <c r="O10" s="258" t="s">
        <v>809</v>
      </c>
      <c r="P10" s="258"/>
      <c r="Q10" s="258" t="s">
        <v>2186</v>
      </c>
      <c r="R10" s="258"/>
      <c r="S10" s="258"/>
      <c r="T10" s="258" t="s">
        <v>1841</v>
      </c>
      <c r="U10" s="258"/>
      <c r="V10" s="384" t="s">
        <v>2639</v>
      </c>
      <c r="W10" s="264" t="s">
        <v>2654</v>
      </c>
      <c r="X10" s="258"/>
      <c r="Y10" s="258"/>
      <c r="Z10" s="258"/>
      <c r="AA10" s="258"/>
      <c r="AB10" s="258"/>
      <c r="AC10" s="258"/>
    </row>
    <row r="11" spans="1:29" ht="54.75" customHeight="1">
      <c r="A11" s="36" t="s">
        <v>2187</v>
      </c>
      <c r="B11" s="257">
        <v>490000</v>
      </c>
      <c r="C11" s="258" t="s">
        <v>1949</v>
      </c>
      <c r="D11" s="295" t="s">
        <v>2188</v>
      </c>
      <c r="E11" s="327" t="s">
        <v>2189</v>
      </c>
      <c r="F11" s="36">
        <v>3175133826</v>
      </c>
      <c r="G11" s="258" t="s">
        <v>2190</v>
      </c>
      <c r="H11" s="258" t="s">
        <v>1666</v>
      </c>
      <c r="I11" s="258" t="s">
        <v>1744</v>
      </c>
      <c r="J11" s="261" t="s">
        <v>2191</v>
      </c>
      <c r="K11" s="258" t="s">
        <v>2192</v>
      </c>
      <c r="L11" s="258" t="s">
        <v>2192</v>
      </c>
      <c r="M11" s="304"/>
      <c r="N11" s="258" t="s">
        <v>2193</v>
      </c>
      <c r="O11" s="258" t="s">
        <v>809</v>
      </c>
      <c r="P11" s="258"/>
      <c r="Q11" s="258" t="s">
        <v>1732</v>
      </c>
      <c r="R11" s="258"/>
      <c r="S11" s="258"/>
      <c r="T11" s="258" t="s">
        <v>1841</v>
      </c>
      <c r="U11" s="258"/>
      <c r="V11" s="384" t="s">
        <v>2030</v>
      </c>
      <c r="W11" s="264" t="s">
        <v>2654</v>
      </c>
      <c r="X11" s="258"/>
      <c r="Y11" s="258"/>
      <c r="Z11" s="258"/>
      <c r="AA11" s="258"/>
      <c r="AB11" s="258"/>
      <c r="AC11" s="258"/>
    </row>
    <row r="12" spans="1:29" ht="54.75" customHeight="1">
      <c r="A12" s="36" t="s">
        <v>2194</v>
      </c>
      <c r="B12" s="257">
        <v>375712</v>
      </c>
      <c r="C12" s="258" t="s">
        <v>2105</v>
      </c>
      <c r="D12" s="295" t="s">
        <v>2195</v>
      </c>
      <c r="E12" s="327" t="s">
        <v>2196</v>
      </c>
      <c r="F12" s="36">
        <v>3152720886</v>
      </c>
      <c r="G12" s="258" t="s">
        <v>2197</v>
      </c>
      <c r="H12" s="258" t="s">
        <v>1015</v>
      </c>
      <c r="I12" s="258" t="s">
        <v>2198</v>
      </c>
      <c r="J12" s="261" t="s">
        <v>2199</v>
      </c>
      <c r="K12" s="258" t="s">
        <v>2200</v>
      </c>
      <c r="L12" s="385" t="s">
        <v>2200</v>
      </c>
      <c r="M12" s="304" t="s">
        <v>2184</v>
      </c>
      <c r="N12" s="258" t="s">
        <v>2201</v>
      </c>
      <c r="O12" s="258" t="s">
        <v>809</v>
      </c>
      <c r="P12" s="258"/>
      <c r="Q12" s="258" t="s">
        <v>1732</v>
      </c>
      <c r="R12" s="258"/>
      <c r="S12" s="258"/>
      <c r="T12" s="258" t="s">
        <v>1841</v>
      </c>
      <c r="U12" s="258"/>
      <c r="V12" s="384" t="s">
        <v>2200</v>
      </c>
      <c r="W12" s="379" t="s">
        <v>2637</v>
      </c>
      <c r="X12" s="258"/>
      <c r="Y12" s="258"/>
      <c r="Z12" s="258"/>
      <c r="AA12" s="258"/>
      <c r="AB12" s="258"/>
      <c r="AC12" s="258"/>
    </row>
    <row r="13" spans="1:29" ht="54.75" customHeight="1">
      <c r="A13" s="36" t="s">
        <v>2202</v>
      </c>
      <c r="B13" s="257">
        <v>583072</v>
      </c>
      <c r="C13" s="258" t="s">
        <v>2203</v>
      </c>
      <c r="D13" s="295" t="s">
        <v>2204</v>
      </c>
      <c r="E13" s="327" t="s">
        <v>2205</v>
      </c>
      <c r="F13" s="36" t="s">
        <v>2206</v>
      </c>
      <c r="G13" s="258" t="s">
        <v>2207</v>
      </c>
      <c r="H13" s="258" t="s">
        <v>2208</v>
      </c>
      <c r="I13" s="258" t="s">
        <v>2209</v>
      </c>
      <c r="J13" s="261" t="s">
        <v>2210</v>
      </c>
      <c r="K13" s="391" t="s">
        <v>2211</v>
      </c>
      <c r="L13" s="391" t="s">
        <v>2211</v>
      </c>
      <c r="M13" s="304" t="s">
        <v>2212</v>
      </c>
      <c r="N13" s="258" t="s">
        <v>2213</v>
      </c>
      <c r="O13" s="258" t="s">
        <v>809</v>
      </c>
      <c r="P13" s="258"/>
      <c r="Q13" s="258" t="s">
        <v>1360</v>
      </c>
      <c r="R13" s="258"/>
      <c r="S13" s="258"/>
      <c r="T13" s="258" t="s">
        <v>1841</v>
      </c>
      <c r="U13" s="258"/>
      <c r="V13" s="384" t="s">
        <v>2640</v>
      </c>
      <c r="W13" s="264" t="s">
        <v>2679</v>
      </c>
      <c r="X13" s="258"/>
      <c r="Y13" s="258"/>
      <c r="Z13" s="258"/>
      <c r="AA13" s="258"/>
      <c r="AB13" s="258"/>
      <c r="AC13" s="258"/>
    </row>
    <row r="14" spans="1:29" ht="54.75" customHeight="1">
      <c r="A14" s="36">
        <v>1028010012</v>
      </c>
      <c r="B14" s="306">
        <v>500000</v>
      </c>
      <c r="C14" s="258" t="s">
        <v>2214</v>
      </c>
      <c r="D14" s="300" t="s">
        <v>2215</v>
      </c>
      <c r="E14" s="327" t="s">
        <v>2216</v>
      </c>
      <c r="F14" s="350">
        <v>3008316662</v>
      </c>
      <c r="G14" s="258" t="s">
        <v>2217</v>
      </c>
      <c r="H14" s="258" t="s">
        <v>1015</v>
      </c>
      <c r="I14" s="258" t="s">
        <v>2218</v>
      </c>
      <c r="J14" s="261" t="s">
        <v>2219</v>
      </c>
      <c r="K14" s="349" t="s">
        <v>2220</v>
      </c>
      <c r="L14" s="391" t="s">
        <v>2221</v>
      </c>
      <c r="M14" s="304" t="s">
        <v>2212</v>
      </c>
      <c r="N14" s="258" t="s">
        <v>2184</v>
      </c>
      <c r="O14" s="258" t="s">
        <v>809</v>
      </c>
      <c r="P14" s="258"/>
      <c r="Q14" s="258" t="s">
        <v>1127</v>
      </c>
      <c r="R14" s="258"/>
      <c r="S14" s="258"/>
      <c r="T14" s="258" t="s">
        <v>1841</v>
      </c>
      <c r="U14" s="258"/>
      <c r="V14" s="384" t="s">
        <v>2221</v>
      </c>
      <c r="W14" s="379" t="s">
        <v>2637</v>
      </c>
      <c r="X14" s="258"/>
      <c r="Y14" s="258"/>
      <c r="Z14" s="258"/>
      <c r="AA14" s="258"/>
      <c r="AB14" s="258"/>
      <c r="AC14" s="258"/>
    </row>
    <row r="15" spans="1:29" ht="54.75" customHeight="1">
      <c r="A15" s="36"/>
      <c r="B15" s="337">
        <f>SUM(B2:B14)</f>
        <v>14029784</v>
      </c>
      <c r="C15" s="258"/>
      <c r="D15" s="295"/>
      <c r="E15" s="293"/>
      <c r="F15" s="351"/>
      <c r="G15" s="258"/>
      <c r="H15" s="258"/>
      <c r="I15" s="258"/>
      <c r="J15" s="261"/>
      <c r="K15" s="258"/>
      <c r="L15" s="258"/>
      <c r="M15" s="304"/>
      <c r="N15" s="258"/>
      <c r="O15" s="258"/>
      <c r="P15" s="258"/>
      <c r="Q15" s="258"/>
      <c r="R15" s="258"/>
      <c r="S15" s="258"/>
      <c r="T15" s="258"/>
      <c r="U15" s="258"/>
      <c r="V15" s="264"/>
      <c r="W15" s="264"/>
      <c r="X15" s="258"/>
      <c r="Y15" s="258"/>
      <c r="Z15" s="258"/>
      <c r="AA15" s="258"/>
      <c r="AB15" s="258"/>
      <c r="AC15" s="258"/>
    </row>
    <row r="16" spans="1:29" ht="54.75" customHeight="1">
      <c r="A16" s="36"/>
      <c r="B16" s="257"/>
      <c r="C16" s="258"/>
      <c r="D16" s="295"/>
      <c r="E16" s="293"/>
      <c r="F16" s="36"/>
      <c r="G16" s="258"/>
      <c r="H16" s="258"/>
      <c r="I16" s="258"/>
      <c r="J16" s="261"/>
      <c r="K16" s="258"/>
      <c r="L16" s="258"/>
      <c r="M16" s="304"/>
      <c r="N16" s="258"/>
      <c r="O16" s="258"/>
      <c r="P16" s="258"/>
      <c r="Q16" s="258"/>
      <c r="R16" s="258"/>
      <c r="S16" s="258"/>
      <c r="T16" s="258"/>
      <c r="U16" s="258"/>
      <c r="V16" s="264"/>
      <c r="W16" s="264"/>
      <c r="X16" s="258"/>
      <c r="Y16" s="258"/>
      <c r="Z16" s="258"/>
      <c r="AA16" s="258"/>
      <c r="AB16" s="258"/>
      <c r="AC16" s="258"/>
    </row>
    <row r="17" spans="1:29" ht="54.75" customHeight="1">
      <c r="A17" s="292">
        <f>B15+'NOVIEMBRE 2024'!B8+'OCTUBRE 2024'!B12+'SEPTIEMBRE 2024'!B9+'AGOSTO 2024'!B11+'JULIO 2024'!B12+'JUNIO 2024'!B14+'MAYO 2024'!B17+'ABRIL 2024'!B20+'MARZO 2024'!B29+'FEBRERO 2024'!B24+'ENERO 2024'!B16</f>
        <v>95263523</v>
      </c>
      <c r="B17" s="257"/>
      <c r="C17" s="258"/>
      <c r="D17" s="295"/>
      <c r="E17" s="293"/>
      <c r="F17" s="36"/>
      <c r="G17" s="258"/>
      <c r="H17" s="258"/>
      <c r="I17" s="258"/>
      <c r="J17" s="261"/>
      <c r="K17" s="258"/>
      <c r="L17" s="258"/>
      <c r="M17" s="304"/>
      <c r="N17" s="258"/>
      <c r="O17" s="258"/>
      <c r="P17" s="258"/>
      <c r="Q17" s="258"/>
      <c r="R17" s="258"/>
      <c r="S17" s="258"/>
      <c r="T17" s="258"/>
      <c r="U17" s="258"/>
      <c r="V17" s="264"/>
      <c r="W17" s="264"/>
      <c r="X17" s="258"/>
      <c r="Y17" s="258"/>
      <c r="Z17" s="258"/>
      <c r="AA17" s="258"/>
      <c r="AB17" s="258"/>
      <c r="AC17" s="258"/>
    </row>
    <row r="18" spans="1:29" ht="54.75" customHeight="1">
      <c r="A18" s="292">
        <f>A17/12</f>
        <v>7938626.916666667</v>
      </c>
      <c r="B18" s="257"/>
      <c r="C18" s="258"/>
      <c r="D18" s="295"/>
      <c r="E18" s="293"/>
      <c r="F18" s="36"/>
      <c r="G18" s="258"/>
      <c r="H18" s="258"/>
      <c r="I18" s="258"/>
      <c r="J18" s="261"/>
      <c r="K18" s="258"/>
      <c r="L18" s="258"/>
      <c r="M18" s="304"/>
      <c r="N18" s="258"/>
      <c r="O18" s="258"/>
      <c r="P18" s="258"/>
      <c r="Q18" s="258"/>
      <c r="R18" s="258"/>
      <c r="S18" s="258"/>
      <c r="T18" s="258"/>
      <c r="U18" s="258"/>
      <c r="V18" s="264"/>
      <c r="W18" s="264"/>
      <c r="X18" s="258"/>
      <c r="Y18" s="258"/>
      <c r="Z18" s="258"/>
      <c r="AA18" s="258"/>
      <c r="AB18" s="258"/>
      <c r="AC18" s="258"/>
    </row>
    <row r="19" spans="1:29" ht="54.75" customHeight="1">
      <c r="A19" s="36"/>
      <c r="B19" s="257"/>
      <c r="C19" s="258"/>
      <c r="D19" s="295"/>
      <c r="E19" s="293"/>
      <c r="F19" s="36"/>
      <c r="G19" s="258"/>
      <c r="H19" s="258"/>
      <c r="I19" s="258"/>
      <c r="J19" s="261"/>
      <c r="K19" s="258"/>
      <c r="L19" s="258"/>
      <c r="M19" s="304"/>
      <c r="N19" s="258"/>
      <c r="O19" s="258"/>
      <c r="P19" s="258"/>
      <c r="Q19" s="258"/>
      <c r="R19" s="258"/>
      <c r="S19" s="258"/>
      <c r="T19" s="258"/>
      <c r="U19" s="258"/>
      <c r="V19" s="264"/>
      <c r="W19" s="264"/>
      <c r="X19" s="258"/>
      <c r="Y19" s="258"/>
      <c r="Z19" s="258"/>
      <c r="AA19" s="258"/>
      <c r="AB19" s="258"/>
      <c r="AC19" s="25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C23"/>
  <sheetViews>
    <sheetView topLeftCell="A7" workbookViewId="0">
      <selection activeCell="B11" sqref="B11"/>
    </sheetView>
  </sheetViews>
  <sheetFormatPr baseColWidth="10" defaultColWidth="12.6328125" defaultRowHeight="15.75" customHeight="1"/>
  <cols>
    <col min="1" max="1" width="17.90625" customWidth="1"/>
    <col min="2" max="2" width="17" customWidth="1"/>
    <col min="3" max="3" width="16" customWidth="1"/>
    <col min="4" max="4" width="44.90625" customWidth="1"/>
    <col min="5" max="5" width="31" customWidth="1"/>
    <col min="6" max="6" width="20.08984375" customWidth="1"/>
    <col min="7" max="7" width="33.6328125" customWidth="1"/>
    <col min="8" max="8" width="20.26953125" customWidth="1"/>
    <col min="9" max="9" width="15" customWidth="1"/>
    <col min="10" max="10" width="15.26953125" customWidth="1"/>
    <col min="11" max="11" width="54.08984375" customWidth="1"/>
    <col min="12" max="12" width="38.90625" customWidth="1"/>
    <col min="13" max="13" width="18.90625" customWidth="1"/>
    <col min="14" max="14" width="14.7265625" customWidth="1"/>
    <col min="22" max="22" width="22.81640625" style="368" customWidth="1"/>
    <col min="23"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 customHeight="1">
      <c r="A2" s="325">
        <v>800229325</v>
      </c>
      <c r="B2" s="352">
        <v>137687</v>
      </c>
      <c r="C2" s="325" t="s">
        <v>2222</v>
      </c>
      <c r="D2" s="346" t="s">
        <v>2223</v>
      </c>
      <c r="E2" s="324" t="s">
        <v>2224</v>
      </c>
      <c r="F2" s="325" t="s">
        <v>2225</v>
      </c>
      <c r="G2" s="325" t="s">
        <v>2226</v>
      </c>
      <c r="H2" s="325" t="s">
        <v>540</v>
      </c>
      <c r="I2" s="325" t="s">
        <v>2227</v>
      </c>
      <c r="J2" s="353" t="s">
        <v>2228</v>
      </c>
      <c r="K2" s="325" t="s">
        <v>2229</v>
      </c>
      <c r="L2" s="325" t="s">
        <v>2230</v>
      </c>
      <c r="M2" s="354" t="s">
        <v>2231</v>
      </c>
      <c r="N2" s="325" t="s">
        <v>2232</v>
      </c>
      <c r="O2" s="325" t="s">
        <v>1542</v>
      </c>
      <c r="P2" s="325"/>
      <c r="Q2" s="325" t="s">
        <v>1626</v>
      </c>
      <c r="R2" s="325"/>
      <c r="S2" s="325"/>
      <c r="T2" s="325" t="s">
        <v>1976</v>
      </c>
      <c r="U2" s="325"/>
      <c r="V2" s="373" t="s">
        <v>2604</v>
      </c>
      <c r="W2" s="373" t="s">
        <v>2673</v>
      </c>
      <c r="X2" s="325"/>
      <c r="Y2" s="325"/>
      <c r="Z2" s="325"/>
      <c r="AA2" s="325"/>
      <c r="AB2" s="325"/>
      <c r="AC2" s="325"/>
    </row>
    <row r="3" spans="1:29" ht="54" customHeight="1">
      <c r="A3" s="325" t="s">
        <v>2233</v>
      </c>
      <c r="B3" s="352">
        <v>300000</v>
      </c>
      <c r="C3" s="325" t="s">
        <v>1843</v>
      </c>
      <c r="D3" s="346" t="s">
        <v>2234</v>
      </c>
      <c r="E3" s="324" t="s">
        <v>2235</v>
      </c>
      <c r="F3" s="325">
        <v>3146301081</v>
      </c>
      <c r="G3" s="325" t="s">
        <v>2236</v>
      </c>
      <c r="H3" s="325" t="s">
        <v>1015</v>
      </c>
      <c r="I3" s="325" t="s">
        <v>2237</v>
      </c>
      <c r="J3" s="353" t="s">
        <v>2238</v>
      </c>
      <c r="K3" s="393" t="s">
        <v>2239</v>
      </c>
      <c r="L3" s="392" t="s">
        <v>2240</v>
      </c>
      <c r="M3" s="354" t="s">
        <v>2241</v>
      </c>
      <c r="N3" s="325" t="s">
        <v>2242</v>
      </c>
      <c r="O3" s="325" t="s">
        <v>1542</v>
      </c>
      <c r="P3" s="325"/>
      <c r="Q3" s="325" t="s">
        <v>1626</v>
      </c>
      <c r="R3" s="325"/>
      <c r="S3" s="325"/>
      <c r="T3" s="325"/>
      <c r="U3" s="325"/>
      <c r="V3" s="393" t="s">
        <v>2641</v>
      </c>
      <c r="W3" s="373" t="s">
        <v>2676</v>
      </c>
      <c r="X3" s="325"/>
      <c r="Y3" s="325"/>
      <c r="Z3" s="325"/>
      <c r="AA3" s="325"/>
      <c r="AB3" s="325"/>
      <c r="AC3" s="325"/>
    </row>
    <row r="4" spans="1:29" ht="54" customHeight="1">
      <c r="A4" s="325">
        <v>832006950</v>
      </c>
      <c r="B4" s="352">
        <v>241530</v>
      </c>
      <c r="C4" s="325" t="s">
        <v>2222</v>
      </c>
      <c r="D4" s="346" t="s">
        <v>2243</v>
      </c>
      <c r="E4" s="324" t="s">
        <v>2244</v>
      </c>
      <c r="F4" s="325">
        <v>8264401</v>
      </c>
      <c r="G4" s="325" t="s">
        <v>2245</v>
      </c>
      <c r="H4" s="325" t="s">
        <v>540</v>
      </c>
      <c r="I4" s="325" t="s">
        <v>2246</v>
      </c>
      <c r="J4" s="353" t="s">
        <v>2238</v>
      </c>
      <c r="K4" s="394" t="s">
        <v>2247</v>
      </c>
      <c r="L4" s="392" t="s">
        <v>2248</v>
      </c>
      <c r="M4" s="354" t="s">
        <v>2231</v>
      </c>
      <c r="N4" s="325" t="s">
        <v>2232</v>
      </c>
      <c r="O4" s="325" t="s">
        <v>1542</v>
      </c>
      <c r="P4" s="325"/>
      <c r="Q4" s="325" t="s">
        <v>1626</v>
      </c>
      <c r="R4" s="325"/>
      <c r="S4" s="325"/>
      <c r="T4" s="325" t="s">
        <v>1976</v>
      </c>
      <c r="U4" s="325"/>
      <c r="V4" s="393" t="s">
        <v>2642</v>
      </c>
      <c r="W4" s="373" t="s">
        <v>2672</v>
      </c>
      <c r="X4" s="325"/>
      <c r="Y4" s="325"/>
      <c r="Z4" s="325"/>
      <c r="AA4" s="325"/>
      <c r="AB4" s="325"/>
      <c r="AC4" s="325"/>
    </row>
    <row r="5" spans="1:29" ht="54" customHeight="1">
      <c r="A5" s="325">
        <v>10537779840</v>
      </c>
      <c r="B5" s="352">
        <v>190582</v>
      </c>
      <c r="C5" s="325" t="s">
        <v>1043</v>
      </c>
      <c r="D5" s="346" t="s">
        <v>2249</v>
      </c>
      <c r="E5" s="324" t="s">
        <v>2249</v>
      </c>
      <c r="F5" s="336">
        <v>3117173274</v>
      </c>
      <c r="G5" s="325" t="s">
        <v>2250</v>
      </c>
      <c r="H5" s="325" t="s">
        <v>540</v>
      </c>
      <c r="I5" s="325" t="s">
        <v>2251</v>
      </c>
      <c r="J5" s="353" t="s">
        <v>2252</v>
      </c>
      <c r="K5" s="392" t="s">
        <v>2253</v>
      </c>
      <c r="L5" s="325" t="s">
        <v>2192</v>
      </c>
      <c r="M5" s="354" t="s">
        <v>1180</v>
      </c>
      <c r="N5" s="325" t="s">
        <v>2254</v>
      </c>
      <c r="O5" s="325" t="s">
        <v>1542</v>
      </c>
      <c r="P5" s="325"/>
      <c r="Q5" s="325" t="s">
        <v>1548</v>
      </c>
      <c r="R5" s="325"/>
      <c r="S5" s="325"/>
      <c r="T5" s="325" t="s">
        <v>1976</v>
      </c>
      <c r="U5" s="325"/>
      <c r="V5" s="393" t="s">
        <v>2030</v>
      </c>
      <c r="W5" s="373" t="s">
        <v>2654</v>
      </c>
      <c r="X5" s="325"/>
      <c r="Y5" s="325"/>
      <c r="Z5" s="325"/>
      <c r="AA5" s="325"/>
      <c r="AB5" s="325"/>
      <c r="AC5" s="325"/>
    </row>
    <row r="6" spans="1:29" ht="54" customHeight="1">
      <c r="A6" s="325" t="s">
        <v>2255</v>
      </c>
      <c r="B6" s="352">
        <v>383880</v>
      </c>
      <c r="C6" s="325" t="s">
        <v>2256</v>
      </c>
      <c r="D6" s="346" t="s">
        <v>2257</v>
      </c>
      <c r="E6" s="324" t="s">
        <v>2258</v>
      </c>
      <c r="F6" s="325">
        <v>4443815</v>
      </c>
      <c r="G6" s="325" t="s">
        <v>2259</v>
      </c>
      <c r="H6" s="325" t="s">
        <v>540</v>
      </c>
      <c r="I6" s="325" t="s">
        <v>1325</v>
      </c>
      <c r="J6" s="353" t="s">
        <v>2260</v>
      </c>
      <c r="K6" s="325" t="s">
        <v>2261</v>
      </c>
      <c r="L6" s="392" t="s">
        <v>2262</v>
      </c>
      <c r="M6" s="354" t="s">
        <v>1160</v>
      </c>
      <c r="N6" s="325" t="s">
        <v>2254</v>
      </c>
      <c r="O6" s="325" t="s">
        <v>1542</v>
      </c>
      <c r="P6" s="325"/>
      <c r="Q6" s="325" t="s">
        <v>1527</v>
      </c>
      <c r="R6" s="325"/>
      <c r="S6" s="325"/>
      <c r="T6" s="325" t="s">
        <v>1976</v>
      </c>
      <c r="U6" s="325"/>
      <c r="V6" s="393" t="s">
        <v>2262</v>
      </c>
      <c r="W6" s="373" t="s">
        <v>2680</v>
      </c>
      <c r="X6" s="325"/>
      <c r="Y6" s="325"/>
      <c r="Z6" s="325"/>
      <c r="AA6" s="325"/>
      <c r="AB6" s="325"/>
      <c r="AC6" s="325"/>
    </row>
    <row r="7" spans="1:29" ht="54" customHeight="1">
      <c r="A7" s="325" t="s">
        <v>2263</v>
      </c>
      <c r="B7" s="352">
        <v>194880</v>
      </c>
      <c r="C7" s="325" t="s">
        <v>1843</v>
      </c>
      <c r="D7" s="346" t="s">
        <v>2264</v>
      </c>
      <c r="E7" s="324" t="s">
        <v>2265</v>
      </c>
      <c r="F7" s="325">
        <v>8162842</v>
      </c>
      <c r="G7" s="325" t="s">
        <v>2266</v>
      </c>
      <c r="H7" s="325" t="s">
        <v>1015</v>
      </c>
      <c r="I7" s="325" t="s">
        <v>2267</v>
      </c>
      <c r="J7" s="353" t="s">
        <v>2268</v>
      </c>
      <c r="K7" s="393" t="s">
        <v>2269</v>
      </c>
      <c r="L7" s="392" t="s">
        <v>2270</v>
      </c>
      <c r="M7" s="354" t="s">
        <v>2271</v>
      </c>
      <c r="N7" s="325" t="s">
        <v>2232</v>
      </c>
      <c r="O7" s="325" t="s">
        <v>1542</v>
      </c>
      <c r="P7" s="325"/>
      <c r="Q7" s="325" t="s">
        <v>2272</v>
      </c>
      <c r="R7" s="325"/>
      <c r="S7" s="325"/>
      <c r="T7" s="325" t="s">
        <v>1976</v>
      </c>
      <c r="U7" s="325"/>
      <c r="V7" s="393" t="s">
        <v>2030</v>
      </c>
      <c r="W7" s="373" t="s">
        <v>2654</v>
      </c>
      <c r="X7" s="325"/>
      <c r="Y7" s="325"/>
      <c r="Z7" s="325"/>
      <c r="AA7" s="325"/>
      <c r="AB7" s="325"/>
      <c r="AC7" s="325"/>
    </row>
    <row r="8" spans="1:29" ht="54" customHeight="1">
      <c r="A8" s="352" t="s">
        <v>2273</v>
      </c>
      <c r="B8" s="352">
        <v>377097</v>
      </c>
      <c r="C8" s="325" t="s">
        <v>2274</v>
      </c>
      <c r="D8" s="346" t="s">
        <v>2275</v>
      </c>
      <c r="E8" s="324" t="s">
        <v>2276</v>
      </c>
      <c r="F8" s="325">
        <v>3153404278</v>
      </c>
      <c r="G8" s="325" t="s">
        <v>2277</v>
      </c>
      <c r="H8" s="325" t="s">
        <v>1015</v>
      </c>
      <c r="I8" s="325" t="s">
        <v>1710</v>
      </c>
      <c r="J8" s="353" t="s">
        <v>2278</v>
      </c>
      <c r="K8" s="325" t="s">
        <v>2279</v>
      </c>
      <c r="L8" s="392" t="s">
        <v>2279</v>
      </c>
      <c r="M8" s="354" t="s">
        <v>2280</v>
      </c>
      <c r="N8" s="325" t="s">
        <v>1180</v>
      </c>
      <c r="O8" s="325" t="s">
        <v>1542</v>
      </c>
      <c r="P8" s="325"/>
      <c r="Q8" s="325" t="s">
        <v>1877</v>
      </c>
      <c r="R8" s="325"/>
      <c r="S8" s="325"/>
      <c r="T8" s="325"/>
      <c r="U8" s="325"/>
      <c r="V8" s="393" t="s">
        <v>2643</v>
      </c>
      <c r="W8" s="373" t="s">
        <v>2672</v>
      </c>
      <c r="X8" s="325"/>
      <c r="Y8" s="325"/>
      <c r="Z8" s="325"/>
      <c r="AA8" s="325"/>
      <c r="AB8" s="325"/>
      <c r="AC8" s="325"/>
    </row>
    <row r="9" spans="1:29" ht="54" customHeight="1">
      <c r="A9" s="325" t="s">
        <v>2281</v>
      </c>
      <c r="B9" s="352">
        <v>512520</v>
      </c>
      <c r="C9" s="325" t="s">
        <v>2256</v>
      </c>
      <c r="D9" s="346" t="s">
        <v>2282</v>
      </c>
      <c r="E9" s="324" t="s">
        <v>2283</v>
      </c>
      <c r="F9" s="325">
        <v>3235829085</v>
      </c>
      <c r="G9" s="325" t="s">
        <v>2284</v>
      </c>
      <c r="H9" s="325" t="s">
        <v>540</v>
      </c>
      <c r="I9" s="325" t="s">
        <v>2285</v>
      </c>
      <c r="J9" s="353" t="s">
        <v>2278</v>
      </c>
      <c r="K9" s="392" t="s">
        <v>2286</v>
      </c>
      <c r="L9" s="392" t="s">
        <v>2286</v>
      </c>
      <c r="M9" s="354" t="s">
        <v>2280</v>
      </c>
      <c r="N9" s="325" t="s">
        <v>1233</v>
      </c>
      <c r="O9" s="325" t="s">
        <v>1542</v>
      </c>
      <c r="P9" s="325"/>
      <c r="Q9" s="325" t="s">
        <v>1527</v>
      </c>
      <c r="R9" s="325"/>
      <c r="S9" s="325"/>
      <c r="T9" s="325"/>
      <c r="U9" s="325"/>
      <c r="V9" s="393" t="s">
        <v>2644</v>
      </c>
      <c r="W9" s="373" t="s">
        <v>2672</v>
      </c>
      <c r="X9" s="325"/>
      <c r="Y9" s="325"/>
      <c r="Z9" s="325"/>
      <c r="AA9" s="325"/>
      <c r="AB9" s="325"/>
      <c r="AC9" s="325"/>
    </row>
    <row r="10" spans="1:29" ht="54" customHeight="1">
      <c r="A10" s="325" t="s">
        <v>2287</v>
      </c>
      <c r="B10" s="352">
        <v>854117</v>
      </c>
      <c r="C10" s="325" t="s">
        <v>2256</v>
      </c>
      <c r="D10" s="346" t="s">
        <v>2288</v>
      </c>
      <c r="E10" s="324" t="s">
        <v>2283</v>
      </c>
      <c r="F10" s="325">
        <v>3214597939</v>
      </c>
      <c r="G10" s="325" t="s">
        <v>2289</v>
      </c>
      <c r="H10" s="325" t="s">
        <v>540</v>
      </c>
      <c r="I10" s="325" t="s">
        <v>2285</v>
      </c>
      <c r="J10" s="353" t="s">
        <v>2278</v>
      </c>
      <c r="K10" s="325" t="s">
        <v>2286</v>
      </c>
      <c r="L10" s="392" t="s">
        <v>2286</v>
      </c>
      <c r="M10" s="354" t="s">
        <v>2280</v>
      </c>
      <c r="N10" s="325" t="s">
        <v>2271</v>
      </c>
      <c r="O10" s="325" t="s">
        <v>1542</v>
      </c>
      <c r="P10" s="325"/>
      <c r="Q10" s="325" t="s">
        <v>1527</v>
      </c>
      <c r="R10" s="325"/>
      <c r="S10" s="325"/>
      <c r="T10" s="325"/>
      <c r="U10" s="325"/>
      <c r="V10" s="393" t="s">
        <v>2644</v>
      </c>
      <c r="W10" s="373" t="s">
        <v>2672</v>
      </c>
      <c r="X10" s="325"/>
      <c r="Y10" s="325"/>
      <c r="Z10" s="325"/>
      <c r="AA10" s="325"/>
      <c r="AB10" s="325"/>
      <c r="AC10" s="325"/>
    </row>
    <row r="11" spans="1:29" ht="54" customHeight="1">
      <c r="A11" s="325" t="s">
        <v>2290</v>
      </c>
      <c r="B11" s="352">
        <v>738335</v>
      </c>
      <c r="C11" s="325" t="s">
        <v>2256</v>
      </c>
      <c r="D11" s="346" t="s">
        <v>2291</v>
      </c>
      <c r="E11" s="324" t="s">
        <v>2292</v>
      </c>
      <c r="F11" s="325">
        <v>3207255066</v>
      </c>
      <c r="G11" s="355" t="s">
        <v>2293</v>
      </c>
      <c r="H11" s="325" t="s">
        <v>540</v>
      </c>
      <c r="I11" s="325" t="s">
        <v>2285</v>
      </c>
      <c r="J11" s="353" t="s">
        <v>2278</v>
      </c>
      <c r="K11" s="325" t="s">
        <v>2286</v>
      </c>
      <c r="L11" s="392" t="s">
        <v>2286</v>
      </c>
      <c r="M11" s="354" t="s">
        <v>2294</v>
      </c>
      <c r="N11" s="325" t="s">
        <v>2271</v>
      </c>
      <c r="O11" s="325" t="s">
        <v>1542</v>
      </c>
      <c r="P11" s="325"/>
      <c r="Q11" s="325" t="s">
        <v>1527</v>
      </c>
      <c r="R11" s="325"/>
      <c r="S11" s="325"/>
      <c r="T11" s="325"/>
      <c r="U11" s="325"/>
      <c r="V11" s="393" t="s">
        <v>2644</v>
      </c>
      <c r="W11" s="373" t="s">
        <v>2672</v>
      </c>
      <c r="X11" s="325"/>
      <c r="Y11" s="325"/>
      <c r="Z11" s="325"/>
      <c r="AA11" s="325"/>
      <c r="AB11" s="325"/>
      <c r="AC11" s="325"/>
    </row>
    <row r="12" spans="1:29" ht="54" customHeight="1">
      <c r="A12" s="325"/>
      <c r="B12" s="352"/>
      <c r="C12" s="325"/>
      <c r="D12" s="346"/>
      <c r="E12" s="324"/>
      <c r="F12" s="325"/>
      <c r="G12" s="325"/>
      <c r="H12" s="325"/>
      <c r="I12" s="325"/>
      <c r="J12" s="353"/>
      <c r="K12" s="325"/>
      <c r="L12" s="325"/>
      <c r="M12" s="354"/>
      <c r="N12" s="325"/>
      <c r="O12" s="325"/>
      <c r="P12" s="325"/>
      <c r="Q12" s="325"/>
      <c r="R12" s="325"/>
      <c r="S12" s="325"/>
      <c r="T12" s="325"/>
      <c r="U12" s="325"/>
      <c r="V12" s="373"/>
      <c r="W12" s="373"/>
      <c r="X12" s="325"/>
      <c r="Y12" s="325"/>
      <c r="Z12" s="325"/>
      <c r="AA12" s="325"/>
      <c r="AB12" s="325"/>
      <c r="AC12" s="325"/>
    </row>
    <row r="13" spans="1:29" ht="54" customHeight="1">
      <c r="A13" s="21"/>
      <c r="B13" s="356">
        <f>SUM(B2:B11)</f>
        <v>3930628</v>
      </c>
      <c r="C13" s="21"/>
      <c r="D13" s="357"/>
      <c r="E13" s="144"/>
      <c r="F13" s="21"/>
      <c r="G13" s="21"/>
      <c r="H13" s="21"/>
      <c r="I13" s="21"/>
      <c r="J13" s="358"/>
      <c r="K13" s="21"/>
      <c r="L13" s="21"/>
      <c r="M13" s="359"/>
      <c r="N13" s="21"/>
      <c r="O13" s="21"/>
      <c r="P13" s="21"/>
      <c r="Q13" s="21"/>
      <c r="R13" s="21"/>
      <c r="S13" s="21"/>
      <c r="T13" s="21"/>
      <c r="U13" s="21"/>
      <c r="V13" s="82"/>
      <c r="W13" s="82"/>
      <c r="X13" s="21"/>
      <c r="Y13" s="21"/>
      <c r="Z13" s="21"/>
      <c r="AA13" s="21"/>
      <c r="AB13" s="21"/>
      <c r="AC13" s="21"/>
    </row>
    <row r="14" spans="1:29" ht="54" customHeight="1">
      <c r="A14" s="21"/>
      <c r="B14" s="360"/>
      <c r="C14" s="21"/>
      <c r="D14" s="357"/>
      <c r="E14" s="144"/>
      <c r="F14" s="21"/>
      <c r="G14" s="21"/>
      <c r="H14" s="21"/>
      <c r="I14" s="21"/>
      <c r="J14" s="358"/>
      <c r="K14" s="21"/>
      <c r="L14" s="21"/>
      <c r="M14" s="359"/>
      <c r="N14" s="21"/>
      <c r="O14" s="21"/>
      <c r="P14" s="21"/>
      <c r="Q14" s="21"/>
      <c r="R14" s="21"/>
      <c r="S14" s="21"/>
      <c r="T14" s="21"/>
      <c r="U14" s="21"/>
      <c r="V14" s="82"/>
      <c r="W14" s="82"/>
      <c r="X14" s="21"/>
      <c r="Y14" s="21"/>
      <c r="Z14" s="21"/>
      <c r="AA14" s="21"/>
      <c r="AB14" s="21"/>
      <c r="AC14" s="21"/>
    </row>
    <row r="15" spans="1:29" ht="54" customHeight="1">
      <c r="A15" s="21"/>
      <c r="B15" s="360"/>
      <c r="C15" s="21"/>
      <c r="D15" s="357"/>
      <c r="E15" s="144"/>
      <c r="F15" s="21"/>
      <c r="G15" s="21"/>
      <c r="H15" s="21"/>
      <c r="I15" s="21"/>
      <c r="J15" s="358"/>
      <c r="K15" s="21"/>
      <c r="L15" s="21"/>
      <c r="M15" s="359"/>
      <c r="N15" s="21"/>
      <c r="O15" s="21"/>
      <c r="P15" s="21"/>
      <c r="Q15" s="21"/>
      <c r="R15" s="21"/>
      <c r="S15" s="21"/>
      <c r="T15" s="21"/>
      <c r="U15" s="21"/>
      <c r="V15" s="82"/>
      <c r="W15" s="82"/>
      <c r="X15" s="21"/>
      <c r="Y15" s="21"/>
      <c r="Z15" s="21"/>
      <c r="AA15" s="21"/>
      <c r="AB15" s="21"/>
      <c r="AC15" s="21"/>
    </row>
    <row r="16" spans="1:29" ht="54" customHeight="1">
      <c r="A16" s="21"/>
      <c r="B16" s="360"/>
      <c r="C16" s="21"/>
      <c r="D16" s="357"/>
      <c r="E16" s="144"/>
      <c r="F16" s="21"/>
      <c r="G16" s="21"/>
      <c r="H16" s="21"/>
      <c r="I16" s="21"/>
      <c r="J16" s="358"/>
      <c r="K16" s="21"/>
      <c r="L16" s="21"/>
      <c r="M16" s="359"/>
      <c r="N16" s="21"/>
      <c r="O16" s="21"/>
      <c r="P16" s="21"/>
      <c r="Q16" s="21"/>
      <c r="R16" s="21"/>
      <c r="S16" s="21"/>
      <c r="T16" s="21"/>
      <c r="U16" s="21"/>
      <c r="V16" s="82"/>
      <c r="W16" s="82"/>
      <c r="X16" s="21"/>
      <c r="Y16" s="21"/>
      <c r="Z16" s="21"/>
      <c r="AA16" s="21"/>
      <c r="AB16" s="21"/>
      <c r="AC16" s="21"/>
    </row>
    <row r="17" spans="1:29" ht="54" customHeight="1">
      <c r="A17" s="21"/>
      <c r="B17" s="360"/>
      <c r="C17" s="21"/>
      <c r="D17" s="357"/>
      <c r="E17" s="144"/>
      <c r="F17" s="21"/>
      <c r="G17" s="21"/>
      <c r="H17" s="21"/>
      <c r="I17" s="21"/>
      <c r="J17" s="358"/>
      <c r="K17" s="21"/>
      <c r="L17" s="21"/>
      <c r="M17" s="359"/>
      <c r="N17" s="21"/>
      <c r="O17" s="21"/>
      <c r="P17" s="21"/>
      <c r="Q17" s="21"/>
      <c r="R17" s="21"/>
      <c r="S17" s="21"/>
      <c r="T17" s="21"/>
      <c r="U17" s="21"/>
      <c r="V17" s="82"/>
      <c r="W17" s="82"/>
      <c r="X17" s="21"/>
      <c r="Y17" s="21"/>
      <c r="Z17" s="21"/>
      <c r="AA17" s="21"/>
      <c r="AB17" s="21"/>
      <c r="AC17" s="21"/>
    </row>
    <row r="18" spans="1:29" ht="54" customHeight="1">
      <c r="A18" s="21"/>
      <c r="B18" s="360"/>
      <c r="C18" s="21"/>
      <c r="D18" s="357"/>
      <c r="E18" s="144"/>
      <c r="F18" s="21"/>
      <c r="G18" s="21"/>
      <c r="H18" s="21"/>
      <c r="I18" s="21"/>
      <c r="J18" s="358"/>
      <c r="K18" s="21"/>
      <c r="L18" s="21"/>
      <c r="M18" s="359"/>
      <c r="N18" s="21"/>
      <c r="O18" s="21"/>
      <c r="P18" s="21"/>
      <c r="Q18" s="21"/>
      <c r="R18" s="21"/>
      <c r="S18" s="21"/>
      <c r="T18" s="21"/>
      <c r="U18" s="21"/>
      <c r="V18" s="82"/>
      <c r="W18" s="82"/>
      <c r="X18" s="21"/>
      <c r="Y18" s="21"/>
      <c r="Z18" s="21"/>
      <c r="AA18" s="21"/>
      <c r="AB18" s="21"/>
      <c r="AC18" s="21"/>
    </row>
    <row r="19" spans="1:29" ht="54" customHeight="1">
      <c r="A19" s="21"/>
      <c r="B19" s="360"/>
      <c r="C19" s="21"/>
      <c r="D19" s="357"/>
      <c r="E19" s="144"/>
      <c r="F19" s="21"/>
      <c r="G19" s="21"/>
      <c r="H19" s="21"/>
      <c r="I19" s="21"/>
      <c r="J19" s="358"/>
      <c r="K19" s="21"/>
      <c r="L19" s="21"/>
      <c r="M19" s="359"/>
      <c r="N19" s="21"/>
      <c r="O19" s="21"/>
      <c r="P19" s="21"/>
      <c r="Q19" s="21"/>
      <c r="R19" s="21"/>
      <c r="S19" s="21"/>
      <c r="T19" s="21"/>
      <c r="U19" s="21"/>
      <c r="V19" s="82"/>
      <c r="W19" s="82"/>
      <c r="X19" s="21"/>
      <c r="Y19" s="21"/>
      <c r="Z19" s="21"/>
      <c r="AA19" s="21"/>
      <c r="AB19" s="21"/>
      <c r="AC19" s="21"/>
    </row>
    <row r="20" spans="1:29" ht="54" customHeight="1">
      <c r="A20" s="21"/>
      <c r="B20" s="360"/>
      <c r="C20" s="21"/>
      <c r="D20" s="357"/>
      <c r="E20" s="144"/>
      <c r="F20" s="21"/>
      <c r="G20" s="21"/>
      <c r="H20" s="21"/>
      <c r="I20" s="21"/>
      <c r="J20" s="358"/>
      <c r="K20" s="21"/>
      <c r="L20" s="21"/>
      <c r="M20" s="359"/>
      <c r="N20" s="21"/>
      <c r="O20" s="21"/>
      <c r="P20" s="21"/>
      <c r="Q20" s="21"/>
      <c r="R20" s="21"/>
      <c r="S20" s="21"/>
      <c r="T20" s="21"/>
      <c r="U20" s="21"/>
      <c r="V20" s="82"/>
      <c r="W20" s="82"/>
      <c r="X20" s="21"/>
      <c r="Y20" s="21"/>
      <c r="Z20" s="21"/>
      <c r="AA20" s="21"/>
      <c r="AB20" s="21"/>
      <c r="AC20" s="21"/>
    </row>
    <row r="21" spans="1:29" ht="54" customHeight="1">
      <c r="A21" s="21"/>
      <c r="B21" s="360"/>
      <c r="C21" s="21"/>
      <c r="D21" s="357"/>
      <c r="E21" s="144"/>
      <c r="F21" s="21"/>
      <c r="G21" s="21"/>
      <c r="H21" s="21"/>
      <c r="I21" s="21"/>
      <c r="J21" s="358"/>
      <c r="K21" s="21"/>
      <c r="L21" s="21"/>
      <c r="M21" s="359"/>
      <c r="N21" s="21"/>
      <c r="O21" s="21"/>
      <c r="P21" s="21"/>
      <c r="Q21" s="21"/>
      <c r="R21" s="21"/>
      <c r="S21" s="21"/>
      <c r="T21" s="21"/>
      <c r="U21" s="21"/>
      <c r="V21" s="82"/>
      <c r="W21" s="82"/>
      <c r="X21" s="21"/>
      <c r="Y21" s="21"/>
      <c r="Z21" s="21"/>
      <c r="AA21" s="21"/>
      <c r="AB21" s="21"/>
      <c r="AC21" s="21"/>
    </row>
    <row r="22" spans="1:29" ht="54" customHeight="1">
      <c r="A22" s="21"/>
      <c r="B22" s="360"/>
      <c r="C22" s="21"/>
      <c r="D22" s="357"/>
      <c r="E22" s="144"/>
      <c r="F22" s="21"/>
      <c r="G22" s="21"/>
      <c r="H22" s="21"/>
      <c r="I22" s="21"/>
      <c r="J22" s="358"/>
      <c r="K22" s="21"/>
      <c r="L22" s="21"/>
      <c r="M22" s="359"/>
      <c r="N22" s="21"/>
      <c r="O22" s="21"/>
      <c r="P22" s="21"/>
      <c r="Q22" s="21"/>
      <c r="R22" s="21"/>
      <c r="S22" s="21"/>
      <c r="T22" s="21"/>
      <c r="U22" s="21"/>
      <c r="V22" s="82"/>
      <c r="W22" s="82"/>
      <c r="X22" s="21"/>
      <c r="Y22" s="21"/>
      <c r="Z22" s="21"/>
      <c r="AA22" s="21"/>
      <c r="AB22" s="21"/>
      <c r="AC22" s="21"/>
    </row>
    <row r="23" spans="1:29" ht="54" customHeight="1">
      <c r="A23" s="21"/>
      <c r="B23" s="360"/>
      <c r="C23" s="21"/>
      <c r="D23" s="357"/>
      <c r="E23" s="144"/>
      <c r="F23" s="21"/>
      <c r="G23" s="21"/>
      <c r="H23" s="21"/>
      <c r="I23" s="21"/>
      <c r="J23" s="358"/>
      <c r="K23" s="21"/>
      <c r="L23" s="21"/>
      <c r="M23" s="359"/>
      <c r="N23" s="21"/>
      <c r="O23" s="21"/>
      <c r="P23" s="21"/>
      <c r="Q23" s="21"/>
      <c r="R23" s="21"/>
      <c r="S23" s="21"/>
      <c r="T23" s="21"/>
      <c r="U23" s="21"/>
      <c r="V23" s="82"/>
      <c r="W23" s="82"/>
      <c r="X23" s="21"/>
      <c r="Y23" s="21"/>
      <c r="Z23" s="21"/>
      <c r="AA23" s="21"/>
      <c r="AB23" s="21"/>
      <c r="AC23" s="21"/>
    </row>
  </sheetData>
  <hyperlinks>
    <hyperlink ref="G11" r:id="rId1"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C22"/>
  <sheetViews>
    <sheetView topLeftCell="A14" workbookViewId="0">
      <selection activeCell="B17" sqref="B17"/>
    </sheetView>
  </sheetViews>
  <sheetFormatPr baseColWidth="10" defaultColWidth="12.6328125" defaultRowHeight="15.75" customHeight="1"/>
  <cols>
    <col min="1" max="1" width="16.90625" customWidth="1"/>
    <col min="2" max="2" width="15.7265625" customWidth="1"/>
    <col min="3" max="3" width="15.36328125" customWidth="1"/>
    <col min="4" max="4" width="39.453125" customWidth="1"/>
    <col min="5" max="5" width="29.7265625" customWidth="1"/>
    <col min="6" max="6" width="17.08984375" customWidth="1"/>
    <col min="7" max="7" width="41.453125" customWidth="1"/>
    <col min="8" max="8" width="16" customWidth="1"/>
    <col min="9" max="9" width="18.6328125" customWidth="1"/>
    <col min="10" max="10" width="20.26953125" customWidth="1"/>
    <col min="11" max="11" width="43.453125" customWidth="1"/>
    <col min="12" max="12" width="42.08984375" customWidth="1"/>
    <col min="13" max="13" width="17.26953125" customWidth="1"/>
    <col min="14" max="14" width="19.36328125" customWidth="1"/>
    <col min="15" max="15" width="18.6328125" customWidth="1"/>
    <col min="16" max="16" width="19" customWidth="1"/>
    <col min="17" max="17" width="29.08984375" customWidth="1"/>
    <col min="22" max="22" width="18.6328125" style="368" customWidth="1"/>
    <col min="23"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 customHeight="1">
      <c r="A2" s="325" t="s">
        <v>2295</v>
      </c>
      <c r="B2" s="352">
        <v>739986</v>
      </c>
      <c r="C2" s="325" t="s">
        <v>2105</v>
      </c>
      <c r="D2" s="346" t="s">
        <v>2296</v>
      </c>
      <c r="E2" s="324" t="s">
        <v>2297</v>
      </c>
      <c r="F2" s="325">
        <v>3220045</v>
      </c>
      <c r="G2" s="325" t="s">
        <v>2298</v>
      </c>
      <c r="H2" s="325" t="s">
        <v>1015</v>
      </c>
      <c r="I2" s="325" t="s">
        <v>2299</v>
      </c>
      <c r="J2" s="353" t="s">
        <v>2300</v>
      </c>
      <c r="K2" s="393" t="s">
        <v>2301</v>
      </c>
      <c r="L2" s="392" t="s">
        <v>2302</v>
      </c>
      <c r="M2" s="354" t="s">
        <v>2241</v>
      </c>
      <c r="N2" s="325" t="s">
        <v>2303</v>
      </c>
      <c r="O2" s="325" t="s">
        <v>809</v>
      </c>
      <c r="P2" s="325"/>
      <c r="Q2" s="325" t="s">
        <v>1626</v>
      </c>
      <c r="R2" s="325"/>
      <c r="S2" s="325"/>
      <c r="T2" s="325" t="s">
        <v>1976</v>
      </c>
      <c r="U2" s="325"/>
      <c r="V2" s="393" t="s">
        <v>2645</v>
      </c>
      <c r="W2" s="373" t="s">
        <v>2672</v>
      </c>
      <c r="X2" s="325"/>
      <c r="Y2" s="325"/>
      <c r="Z2" s="325"/>
      <c r="AA2" s="325"/>
      <c r="AB2" s="325"/>
      <c r="AC2" s="325"/>
    </row>
    <row r="3" spans="1:29" ht="54" customHeight="1">
      <c r="A3" s="325">
        <v>901111226</v>
      </c>
      <c r="B3" s="352">
        <v>400000</v>
      </c>
      <c r="C3" s="36" t="s">
        <v>1966</v>
      </c>
      <c r="D3" s="346" t="s">
        <v>2304</v>
      </c>
      <c r="E3" s="327" t="s">
        <v>2305</v>
      </c>
      <c r="F3" s="36">
        <v>3116355851</v>
      </c>
      <c r="G3" s="355" t="s">
        <v>2306</v>
      </c>
      <c r="H3" s="325" t="s">
        <v>1015</v>
      </c>
      <c r="I3" s="325" t="s">
        <v>2307</v>
      </c>
      <c r="J3" s="353" t="s">
        <v>2308</v>
      </c>
      <c r="K3" s="393" t="s">
        <v>2309</v>
      </c>
      <c r="L3" s="325" t="s">
        <v>2310</v>
      </c>
      <c r="M3" s="354" t="s">
        <v>2241</v>
      </c>
      <c r="N3" s="325" t="s">
        <v>2303</v>
      </c>
      <c r="O3" s="325" t="s">
        <v>1542</v>
      </c>
      <c r="P3" s="325"/>
      <c r="Q3" s="325" t="s">
        <v>1626</v>
      </c>
      <c r="R3" s="325"/>
      <c r="S3" s="325"/>
      <c r="T3" s="325" t="s">
        <v>1976</v>
      </c>
      <c r="U3" s="325"/>
      <c r="V3" s="393" t="s">
        <v>2646</v>
      </c>
      <c r="W3" s="373" t="s">
        <v>2673</v>
      </c>
      <c r="X3" s="325"/>
      <c r="Y3" s="325"/>
      <c r="Z3" s="325"/>
      <c r="AA3" s="325"/>
      <c r="AB3" s="325"/>
      <c r="AC3" s="325"/>
    </row>
    <row r="4" spans="1:29" ht="54" customHeight="1">
      <c r="A4" s="325" t="s">
        <v>2311</v>
      </c>
      <c r="B4" s="352">
        <v>275000</v>
      </c>
      <c r="C4" s="325" t="s">
        <v>1052</v>
      </c>
      <c r="D4" s="346" t="s">
        <v>2312</v>
      </c>
      <c r="E4" s="324" t="s">
        <v>2313</v>
      </c>
      <c r="F4" s="325">
        <v>3155833721</v>
      </c>
      <c r="G4" s="355" t="s">
        <v>2314</v>
      </c>
      <c r="H4" s="325" t="s">
        <v>1015</v>
      </c>
      <c r="I4" s="325" t="s">
        <v>2315</v>
      </c>
      <c r="J4" s="353" t="s">
        <v>2316</v>
      </c>
      <c r="K4" s="393" t="s">
        <v>2317</v>
      </c>
      <c r="L4" s="392" t="s">
        <v>2318</v>
      </c>
      <c r="M4" s="354" t="s">
        <v>2241</v>
      </c>
      <c r="N4" s="325" t="s">
        <v>2319</v>
      </c>
      <c r="O4" s="325" t="s">
        <v>1542</v>
      </c>
      <c r="P4" s="325"/>
      <c r="Q4" s="325" t="s">
        <v>1234</v>
      </c>
      <c r="R4" s="325"/>
      <c r="S4" s="325"/>
      <c r="T4" s="325" t="s">
        <v>1976</v>
      </c>
      <c r="U4" s="325"/>
      <c r="V4" s="393" t="s">
        <v>2647</v>
      </c>
      <c r="W4" s="373" t="s">
        <v>2654</v>
      </c>
      <c r="X4" s="325"/>
      <c r="Y4" s="325"/>
      <c r="Z4" s="325"/>
      <c r="AA4" s="325"/>
      <c r="AB4" s="325"/>
      <c r="AC4" s="325"/>
    </row>
    <row r="5" spans="1:29" ht="54" customHeight="1">
      <c r="A5" s="325">
        <v>9012621801</v>
      </c>
      <c r="B5" s="352">
        <v>324800</v>
      </c>
      <c r="C5" s="325" t="s">
        <v>1060</v>
      </c>
      <c r="D5" s="346" t="s">
        <v>2320</v>
      </c>
      <c r="E5" s="324" t="s">
        <v>2321</v>
      </c>
      <c r="F5" s="325">
        <v>3127643098</v>
      </c>
      <c r="G5" s="325" t="s">
        <v>2322</v>
      </c>
      <c r="H5" s="325" t="s">
        <v>1015</v>
      </c>
      <c r="I5" s="325" t="s">
        <v>2323</v>
      </c>
      <c r="J5" s="353" t="s">
        <v>2324</v>
      </c>
      <c r="K5" s="325" t="s">
        <v>2325</v>
      </c>
      <c r="L5" s="392" t="s">
        <v>2325</v>
      </c>
      <c r="M5" s="354" t="s">
        <v>1219</v>
      </c>
      <c r="N5" s="325" t="s">
        <v>2319</v>
      </c>
      <c r="O5" s="325" t="s">
        <v>1542</v>
      </c>
      <c r="P5" s="325"/>
      <c r="Q5" s="325" t="s">
        <v>1234</v>
      </c>
      <c r="R5" s="325"/>
      <c r="S5" s="325"/>
      <c r="T5" s="325" t="s">
        <v>1976</v>
      </c>
      <c r="U5" s="325"/>
      <c r="V5" s="373" t="s">
        <v>2325</v>
      </c>
      <c r="W5" s="373" t="s">
        <v>2654</v>
      </c>
      <c r="X5" s="325"/>
      <c r="Y5" s="325"/>
      <c r="Z5" s="325"/>
      <c r="AA5" s="325"/>
      <c r="AB5" s="325"/>
      <c r="AC5" s="325"/>
    </row>
    <row r="6" spans="1:29" ht="54" customHeight="1">
      <c r="A6" s="325" t="s">
        <v>2326</v>
      </c>
      <c r="B6" s="352">
        <v>392000</v>
      </c>
      <c r="C6" s="325" t="s">
        <v>1023</v>
      </c>
      <c r="D6" s="346" t="s">
        <v>2327</v>
      </c>
      <c r="E6" s="324" t="s">
        <v>2328</v>
      </c>
      <c r="F6" s="325">
        <v>3173733414</v>
      </c>
      <c r="G6" s="325" t="s">
        <v>2329</v>
      </c>
      <c r="H6" s="325" t="s">
        <v>1015</v>
      </c>
      <c r="I6" s="325" t="s">
        <v>2330</v>
      </c>
      <c r="J6" s="353" t="s">
        <v>2331</v>
      </c>
      <c r="K6" s="325" t="s">
        <v>2332</v>
      </c>
      <c r="L6" s="395" t="s">
        <v>2333</v>
      </c>
      <c r="M6" s="354" t="s">
        <v>1219</v>
      </c>
      <c r="N6" s="325" t="s">
        <v>2319</v>
      </c>
      <c r="O6" s="325" t="s">
        <v>1542</v>
      </c>
      <c r="P6" s="325"/>
      <c r="Q6" s="325" t="s">
        <v>1626</v>
      </c>
      <c r="R6" s="325"/>
      <c r="S6" s="325"/>
      <c r="T6" s="325" t="s">
        <v>1976</v>
      </c>
      <c r="U6" s="325"/>
      <c r="V6" s="393" t="s">
        <v>2648</v>
      </c>
      <c r="W6" s="373" t="s">
        <v>2679</v>
      </c>
      <c r="X6" s="325"/>
      <c r="Y6" s="325"/>
      <c r="Z6" s="325"/>
      <c r="AA6" s="325"/>
      <c r="AB6" s="325"/>
      <c r="AC6" s="325"/>
    </row>
    <row r="7" spans="1:29" ht="54" customHeight="1">
      <c r="A7" s="325">
        <v>9015580534</v>
      </c>
      <c r="B7" s="352">
        <v>398444</v>
      </c>
      <c r="C7" s="325" t="s">
        <v>2105</v>
      </c>
      <c r="D7" s="346" t="s">
        <v>2334</v>
      </c>
      <c r="E7" s="324" t="s">
        <v>2335</v>
      </c>
      <c r="F7" s="325">
        <v>3194164380</v>
      </c>
      <c r="G7" s="325" t="s">
        <v>2336</v>
      </c>
      <c r="H7" s="325" t="s">
        <v>1015</v>
      </c>
      <c r="I7" s="325" t="s">
        <v>1406</v>
      </c>
      <c r="J7" s="353" t="s">
        <v>2337</v>
      </c>
      <c r="K7" s="325" t="s">
        <v>2338</v>
      </c>
      <c r="L7" s="392" t="s">
        <v>2339</v>
      </c>
      <c r="M7" s="354" t="s">
        <v>1219</v>
      </c>
      <c r="N7" s="325" t="s">
        <v>2319</v>
      </c>
      <c r="O7" s="325" t="s">
        <v>2340</v>
      </c>
      <c r="P7" s="325"/>
      <c r="Q7" s="325" t="s">
        <v>1234</v>
      </c>
      <c r="R7" s="325"/>
      <c r="S7" s="325"/>
      <c r="T7" s="325" t="s">
        <v>1976</v>
      </c>
      <c r="U7" s="325"/>
      <c r="V7" s="393" t="s">
        <v>2649</v>
      </c>
      <c r="W7" s="373" t="s">
        <v>2673</v>
      </c>
      <c r="X7" s="325"/>
      <c r="Y7" s="325"/>
      <c r="Z7" s="325"/>
      <c r="AA7" s="325"/>
      <c r="AB7" s="325"/>
      <c r="AC7" s="325"/>
    </row>
    <row r="8" spans="1:29" ht="54" customHeight="1">
      <c r="A8" s="325" t="s">
        <v>2341</v>
      </c>
      <c r="B8" s="361">
        <v>560000</v>
      </c>
      <c r="C8" s="325" t="s">
        <v>1060</v>
      </c>
      <c r="D8" s="346" t="s">
        <v>2342</v>
      </c>
      <c r="E8" s="324" t="s">
        <v>2343</v>
      </c>
      <c r="F8" s="325">
        <v>3134235164</v>
      </c>
      <c r="G8" s="325" t="s">
        <v>2344</v>
      </c>
      <c r="H8" s="325" t="s">
        <v>1015</v>
      </c>
      <c r="I8" s="325" t="s">
        <v>1581</v>
      </c>
      <c r="J8" s="353" t="s">
        <v>2345</v>
      </c>
      <c r="K8" s="325" t="s">
        <v>2346</v>
      </c>
      <c r="L8" s="392" t="s">
        <v>2347</v>
      </c>
      <c r="M8" s="354" t="s">
        <v>1219</v>
      </c>
      <c r="N8" s="325" t="s">
        <v>2319</v>
      </c>
      <c r="O8" s="325" t="s">
        <v>809</v>
      </c>
      <c r="P8" s="325"/>
      <c r="Q8" s="325" t="s">
        <v>1360</v>
      </c>
      <c r="R8" s="325"/>
      <c r="S8" s="325"/>
      <c r="T8" s="325" t="s">
        <v>1976</v>
      </c>
      <c r="U8" s="325"/>
      <c r="V8" s="393" t="s">
        <v>2347</v>
      </c>
      <c r="W8" s="373" t="s">
        <v>2654</v>
      </c>
      <c r="X8" s="325"/>
      <c r="Y8" s="325"/>
      <c r="Z8" s="325"/>
      <c r="AA8" s="325"/>
      <c r="AB8" s="325"/>
      <c r="AC8" s="325"/>
    </row>
    <row r="9" spans="1:29" ht="54" customHeight="1">
      <c r="A9" s="325" t="s">
        <v>2348</v>
      </c>
      <c r="B9" s="352">
        <v>560000</v>
      </c>
      <c r="C9" s="325" t="s">
        <v>1949</v>
      </c>
      <c r="D9" s="346" t="s">
        <v>2349</v>
      </c>
      <c r="E9" s="324" t="s">
        <v>2350</v>
      </c>
      <c r="F9" s="325">
        <v>3013309156</v>
      </c>
      <c r="G9" s="355" t="s">
        <v>2351</v>
      </c>
      <c r="H9" s="325" t="s">
        <v>1015</v>
      </c>
      <c r="I9" s="325" t="s">
        <v>1259</v>
      </c>
      <c r="J9" s="353" t="s">
        <v>2316</v>
      </c>
      <c r="K9" s="325" t="s">
        <v>2352</v>
      </c>
      <c r="L9" s="392" t="s">
        <v>2352</v>
      </c>
      <c r="M9" s="354" t="s">
        <v>2241</v>
      </c>
      <c r="N9" s="325" t="s">
        <v>2231</v>
      </c>
      <c r="O9" s="325" t="s">
        <v>809</v>
      </c>
      <c r="P9" s="325"/>
      <c r="Q9" s="325" t="s">
        <v>1527</v>
      </c>
      <c r="R9" s="325"/>
      <c r="S9" s="325"/>
      <c r="T9" s="325" t="s">
        <v>1976</v>
      </c>
      <c r="U9" s="325"/>
      <c r="V9" s="393" t="s">
        <v>2650</v>
      </c>
      <c r="W9" s="373" t="s">
        <v>2654</v>
      </c>
      <c r="X9" s="325"/>
      <c r="Y9" s="325"/>
      <c r="Z9" s="325"/>
      <c r="AA9" s="325"/>
      <c r="AB9" s="325"/>
      <c r="AC9" s="325"/>
    </row>
    <row r="10" spans="1:29" ht="54" customHeight="1">
      <c r="A10" s="325" t="s">
        <v>2353</v>
      </c>
      <c r="B10" s="352">
        <v>350000</v>
      </c>
      <c r="C10" s="325" t="s">
        <v>2105</v>
      </c>
      <c r="D10" s="346" t="s">
        <v>2354</v>
      </c>
      <c r="E10" s="324" t="s">
        <v>2355</v>
      </c>
      <c r="F10" s="325">
        <v>3008013132</v>
      </c>
      <c r="G10" s="325" t="s">
        <v>2356</v>
      </c>
      <c r="H10" s="325" t="s">
        <v>1015</v>
      </c>
      <c r="I10" s="325" t="s">
        <v>2357</v>
      </c>
      <c r="J10" s="353" t="s">
        <v>2358</v>
      </c>
      <c r="K10" s="325" t="s">
        <v>2359</v>
      </c>
      <c r="L10" s="392" t="s">
        <v>2360</v>
      </c>
      <c r="M10" s="354" t="s">
        <v>2241</v>
      </c>
      <c r="N10" s="325" t="s">
        <v>2254</v>
      </c>
      <c r="O10" s="325" t="s">
        <v>809</v>
      </c>
      <c r="P10" s="325"/>
      <c r="Q10" s="325" t="s">
        <v>1360</v>
      </c>
      <c r="R10" s="325"/>
      <c r="S10" s="325"/>
      <c r="T10" s="325" t="s">
        <v>1976</v>
      </c>
      <c r="U10" s="325"/>
      <c r="V10" s="393" t="s">
        <v>2651</v>
      </c>
      <c r="W10" s="373" t="s">
        <v>2679</v>
      </c>
      <c r="X10" s="325"/>
      <c r="Y10" s="325"/>
      <c r="Z10" s="325"/>
      <c r="AA10" s="325"/>
      <c r="AB10" s="325"/>
      <c r="AC10" s="325"/>
    </row>
    <row r="11" spans="1:29" ht="54" customHeight="1">
      <c r="A11" s="325" t="s">
        <v>2361</v>
      </c>
      <c r="B11" s="352">
        <v>955400</v>
      </c>
      <c r="C11" s="325" t="s">
        <v>2362</v>
      </c>
      <c r="D11" s="346" t="s">
        <v>2363</v>
      </c>
      <c r="E11" s="324" t="s">
        <v>2364</v>
      </c>
      <c r="F11" s="325">
        <v>3148768182</v>
      </c>
      <c r="G11" s="325" t="s">
        <v>2365</v>
      </c>
      <c r="H11" s="325" t="s">
        <v>1015</v>
      </c>
      <c r="I11" s="325" t="s">
        <v>2366</v>
      </c>
      <c r="J11" s="353" t="s">
        <v>2358</v>
      </c>
      <c r="K11" s="325" t="s">
        <v>2367</v>
      </c>
      <c r="L11" s="392" t="s">
        <v>2367</v>
      </c>
      <c r="M11" s="354" t="s">
        <v>1219</v>
      </c>
      <c r="N11" s="325" t="s">
        <v>1180</v>
      </c>
      <c r="O11" s="325" t="s">
        <v>809</v>
      </c>
      <c r="P11" s="325"/>
      <c r="Q11" s="325" t="s">
        <v>1360</v>
      </c>
      <c r="R11" s="325"/>
      <c r="S11" s="325"/>
      <c r="T11" s="325"/>
      <c r="U11" s="325"/>
      <c r="V11" s="393" t="s">
        <v>2575</v>
      </c>
      <c r="W11" s="373" t="s">
        <v>2672</v>
      </c>
      <c r="X11" s="325"/>
      <c r="Y11" s="325"/>
      <c r="Z11" s="325"/>
      <c r="AA11" s="325"/>
      <c r="AB11" s="325"/>
      <c r="AC11" s="325"/>
    </row>
    <row r="12" spans="1:29" ht="54" customHeight="1">
      <c r="A12" s="325" t="s">
        <v>2368</v>
      </c>
      <c r="B12" s="352">
        <v>730000</v>
      </c>
      <c r="C12" s="325" t="s">
        <v>1949</v>
      </c>
      <c r="D12" s="346" t="s">
        <v>2369</v>
      </c>
      <c r="E12" s="324" t="s">
        <v>2370</v>
      </c>
      <c r="F12" s="325">
        <v>3117863801</v>
      </c>
      <c r="G12" s="325" t="s">
        <v>2371</v>
      </c>
      <c r="H12" s="325" t="s">
        <v>1015</v>
      </c>
      <c r="I12" s="325" t="s">
        <v>2372</v>
      </c>
      <c r="J12" s="353" t="s">
        <v>2373</v>
      </c>
      <c r="K12" s="325" t="s">
        <v>2374</v>
      </c>
      <c r="L12" s="392" t="s">
        <v>2374</v>
      </c>
      <c r="M12" s="354" t="s">
        <v>2241</v>
      </c>
      <c r="N12" s="325" t="s">
        <v>1244</v>
      </c>
      <c r="O12" s="325" t="s">
        <v>809</v>
      </c>
      <c r="P12" s="325"/>
      <c r="Q12" s="325" t="s">
        <v>1527</v>
      </c>
      <c r="R12" s="325"/>
      <c r="S12" s="325"/>
      <c r="T12" s="325"/>
      <c r="U12" s="325"/>
      <c r="V12" s="393" t="s">
        <v>2652</v>
      </c>
      <c r="W12" s="373" t="s">
        <v>2675</v>
      </c>
      <c r="X12" s="325"/>
      <c r="Y12" s="325"/>
      <c r="Z12" s="325"/>
      <c r="AA12" s="325"/>
      <c r="AB12" s="325"/>
      <c r="AC12" s="325"/>
    </row>
    <row r="13" spans="1:29" ht="54" customHeight="1">
      <c r="A13" s="325" t="s">
        <v>2375</v>
      </c>
      <c r="B13" s="352">
        <v>350000</v>
      </c>
      <c r="C13" s="325" t="s">
        <v>2214</v>
      </c>
      <c r="D13" s="346" t="s">
        <v>2376</v>
      </c>
      <c r="E13" s="324" t="s">
        <v>2376</v>
      </c>
      <c r="F13" s="325">
        <v>3207071096</v>
      </c>
      <c r="G13" s="325" t="s">
        <v>2377</v>
      </c>
      <c r="H13" s="325" t="s">
        <v>1015</v>
      </c>
      <c r="I13" s="325" t="s">
        <v>1685</v>
      </c>
      <c r="J13" s="353" t="s">
        <v>2378</v>
      </c>
      <c r="K13" s="325" t="s">
        <v>2379</v>
      </c>
      <c r="L13" s="392" t="s">
        <v>2380</v>
      </c>
      <c r="M13" s="354" t="s">
        <v>2381</v>
      </c>
      <c r="N13" s="325" t="s">
        <v>2382</v>
      </c>
      <c r="O13" s="325" t="s">
        <v>1542</v>
      </c>
      <c r="P13" s="325"/>
      <c r="Q13" s="325" t="s">
        <v>1234</v>
      </c>
      <c r="R13" s="325"/>
      <c r="S13" s="325"/>
      <c r="T13" s="325"/>
      <c r="U13" s="325"/>
      <c r="V13" s="393" t="s">
        <v>2653</v>
      </c>
      <c r="W13" s="373" t="s">
        <v>2654</v>
      </c>
      <c r="X13" s="325"/>
      <c r="Y13" s="325"/>
      <c r="Z13" s="325"/>
      <c r="AA13" s="325"/>
      <c r="AB13" s="325"/>
      <c r="AC13" s="325"/>
    </row>
    <row r="14" spans="1:29" ht="54" customHeight="1">
      <c r="A14" s="325" t="s">
        <v>2383</v>
      </c>
      <c r="B14" s="352">
        <v>500000</v>
      </c>
      <c r="C14" s="325" t="s">
        <v>624</v>
      </c>
      <c r="D14" s="346" t="s">
        <v>2384</v>
      </c>
      <c r="E14" s="324" t="s">
        <v>2385</v>
      </c>
      <c r="F14" s="325">
        <v>3207031314</v>
      </c>
      <c r="G14" s="325" t="s">
        <v>2386</v>
      </c>
      <c r="H14" s="325" t="s">
        <v>1015</v>
      </c>
      <c r="I14" s="325" t="s">
        <v>2387</v>
      </c>
      <c r="J14" s="353" t="s">
        <v>2378</v>
      </c>
      <c r="K14" s="325" t="s">
        <v>2379</v>
      </c>
      <c r="L14" s="392" t="s">
        <v>2380</v>
      </c>
      <c r="M14" s="354" t="s">
        <v>2381</v>
      </c>
      <c r="N14" s="325" t="s">
        <v>2382</v>
      </c>
      <c r="O14" s="325" t="s">
        <v>809</v>
      </c>
      <c r="P14" s="325"/>
      <c r="Q14" s="325" t="s">
        <v>1234</v>
      </c>
      <c r="R14" s="325"/>
      <c r="S14" s="325"/>
      <c r="T14" s="325"/>
      <c r="U14" s="325"/>
      <c r="V14" s="393" t="s">
        <v>2653</v>
      </c>
      <c r="W14" s="373" t="s">
        <v>2654</v>
      </c>
      <c r="X14" s="325"/>
      <c r="Y14" s="325"/>
      <c r="Z14" s="325"/>
      <c r="AA14" s="325"/>
      <c r="AB14" s="325"/>
      <c r="AC14" s="325"/>
    </row>
    <row r="15" spans="1:29" ht="54" customHeight="1">
      <c r="A15" s="325" t="s">
        <v>2388</v>
      </c>
      <c r="B15" s="352">
        <v>500000</v>
      </c>
      <c r="C15" s="325" t="s">
        <v>1802</v>
      </c>
      <c r="D15" s="346" t="s">
        <v>2389</v>
      </c>
      <c r="E15" s="324" t="s">
        <v>2390</v>
      </c>
      <c r="F15" s="325">
        <v>3183788862</v>
      </c>
      <c r="G15" s="325" t="s">
        <v>2391</v>
      </c>
      <c r="H15" s="325" t="s">
        <v>1015</v>
      </c>
      <c r="I15" s="325" t="s">
        <v>2392</v>
      </c>
      <c r="J15" s="353" t="s">
        <v>2393</v>
      </c>
      <c r="K15" s="325" t="s">
        <v>2394</v>
      </c>
      <c r="L15" s="392" t="s">
        <v>2395</v>
      </c>
      <c r="M15" s="354" t="s">
        <v>1260</v>
      </c>
      <c r="N15" s="325" t="s">
        <v>2382</v>
      </c>
      <c r="O15" s="325" t="s">
        <v>809</v>
      </c>
      <c r="P15" s="325"/>
      <c r="Q15" s="325" t="s">
        <v>1626</v>
      </c>
      <c r="R15" s="325"/>
      <c r="S15" s="325"/>
      <c r="T15" s="325"/>
      <c r="U15" s="325"/>
      <c r="V15" s="393" t="s">
        <v>2654</v>
      </c>
      <c r="W15" s="373" t="s">
        <v>2654</v>
      </c>
      <c r="X15" s="325"/>
      <c r="Y15" s="325"/>
      <c r="Z15" s="325"/>
      <c r="AA15" s="325"/>
      <c r="AB15" s="325"/>
      <c r="AC15" s="325"/>
    </row>
    <row r="16" spans="1:29" ht="54" customHeight="1">
      <c r="A16" s="325" t="s">
        <v>2396</v>
      </c>
      <c r="B16" s="352">
        <v>69900</v>
      </c>
      <c r="C16" s="325" t="s">
        <v>1060</v>
      </c>
      <c r="D16" s="346" t="s">
        <v>2397</v>
      </c>
      <c r="E16" s="324" t="s">
        <v>2398</v>
      </c>
      <c r="F16" s="325">
        <v>3138955603</v>
      </c>
      <c r="G16" s="355" t="s">
        <v>2399</v>
      </c>
      <c r="H16" s="325" t="s">
        <v>1015</v>
      </c>
      <c r="I16" s="325" t="s">
        <v>2400</v>
      </c>
      <c r="J16" s="353" t="s">
        <v>2393</v>
      </c>
      <c r="K16" s="325" t="s">
        <v>2401</v>
      </c>
      <c r="L16" s="392" t="s">
        <v>2401</v>
      </c>
      <c r="M16" s="354" t="s">
        <v>1260</v>
      </c>
      <c r="N16" s="325" t="s">
        <v>2382</v>
      </c>
      <c r="O16" s="325" t="s">
        <v>1542</v>
      </c>
      <c r="P16" s="325"/>
      <c r="Q16" s="325" t="s">
        <v>1626</v>
      </c>
      <c r="R16" s="325"/>
      <c r="S16" s="325"/>
      <c r="T16" s="325"/>
      <c r="U16" s="325"/>
      <c r="V16" s="393" t="s">
        <v>2655</v>
      </c>
      <c r="W16" s="373" t="s">
        <v>2676</v>
      </c>
      <c r="X16" s="325"/>
      <c r="Y16" s="325"/>
      <c r="Z16" s="325"/>
      <c r="AA16" s="325"/>
      <c r="AB16" s="325"/>
      <c r="AC16" s="325"/>
    </row>
    <row r="17" spans="1:29" ht="54" customHeight="1">
      <c r="A17" s="325" t="s">
        <v>2402</v>
      </c>
      <c r="B17" s="352">
        <v>110000</v>
      </c>
      <c r="C17" s="325" t="s">
        <v>2403</v>
      </c>
      <c r="D17" s="346" t="s">
        <v>2404</v>
      </c>
      <c r="E17" s="324" t="s">
        <v>2405</v>
      </c>
      <c r="F17" s="325">
        <v>2620532</v>
      </c>
      <c r="G17" s="325" t="s">
        <v>2406</v>
      </c>
      <c r="H17" s="325" t="s">
        <v>1015</v>
      </c>
      <c r="I17" s="325" t="s">
        <v>2407</v>
      </c>
      <c r="J17" s="353" t="s">
        <v>2393</v>
      </c>
      <c r="K17" s="325" t="s">
        <v>2408</v>
      </c>
      <c r="L17" s="392" t="s">
        <v>2408</v>
      </c>
      <c r="M17" s="354" t="s">
        <v>1260</v>
      </c>
      <c r="N17" s="325" t="s">
        <v>2382</v>
      </c>
      <c r="O17" s="325" t="s">
        <v>809</v>
      </c>
      <c r="P17" s="325"/>
      <c r="Q17" s="325" t="s">
        <v>1626</v>
      </c>
      <c r="R17" s="325"/>
      <c r="S17" s="325"/>
      <c r="T17" s="325"/>
      <c r="U17" s="325"/>
      <c r="V17" s="393" t="s">
        <v>2573</v>
      </c>
      <c r="W17" s="393" t="s">
        <v>2573</v>
      </c>
      <c r="X17" s="325"/>
      <c r="Y17" s="325"/>
      <c r="Z17" s="325"/>
      <c r="AA17" s="325"/>
      <c r="AB17" s="325"/>
      <c r="AC17" s="325"/>
    </row>
    <row r="18" spans="1:29" ht="54" customHeight="1">
      <c r="A18" s="21"/>
      <c r="B18" s="360"/>
      <c r="C18" s="21"/>
      <c r="D18" s="357"/>
      <c r="E18" s="144"/>
      <c r="F18" s="21"/>
      <c r="G18" s="21"/>
      <c r="H18" s="21"/>
      <c r="I18" s="21"/>
      <c r="J18" s="358"/>
      <c r="K18" s="21"/>
      <c r="L18" s="21"/>
      <c r="M18" s="359"/>
      <c r="N18" s="21"/>
      <c r="O18" s="21"/>
      <c r="P18" s="21"/>
      <c r="Q18" s="21"/>
      <c r="R18" s="21"/>
      <c r="S18" s="21"/>
      <c r="T18" s="21"/>
      <c r="U18" s="21"/>
      <c r="V18" s="82"/>
      <c r="W18" s="82"/>
      <c r="X18" s="21"/>
      <c r="Y18" s="21"/>
      <c r="Z18" s="21"/>
      <c r="AA18" s="21"/>
      <c r="AB18" s="21"/>
      <c r="AC18" s="21"/>
    </row>
    <row r="19" spans="1:29" ht="54" customHeight="1">
      <c r="A19" s="21"/>
      <c r="B19" s="360">
        <f>SUM(B2:B17)</f>
        <v>7215530</v>
      </c>
      <c r="C19" s="21"/>
      <c r="D19" s="357"/>
      <c r="E19" s="144"/>
      <c r="F19" s="21"/>
      <c r="G19" s="21"/>
      <c r="H19" s="21"/>
      <c r="I19" s="21"/>
      <c r="J19" s="358"/>
      <c r="K19" s="21"/>
      <c r="L19" s="21"/>
      <c r="M19" s="359"/>
      <c r="N19" s="21"/>
      <c r="O19" s="21"/>
      <c r="P19" s="21"/>
      <c r="Q19" s="21"/>
      <c r="R19" s="21"/>
      <c r="S19" s="21"/>
      <c r="T19" s="21"/>
      <c r="U19" s="21"/>
      <c r="V19" s="82"/>
      <c r="W19" s="82"/>
      <c r="X19" s="21"/>
      <c r="Y19" s="21"/>
      <c r="Z19" s="21"/>
      <c r="AA19" s="21"/>
      <c r="AB19" s="21"/>
      <c r="AC19" s="21"/>
    </row>
    <row r="20" spans="1:29" ht="54" customHeight="1">
      <c r="A20" s="21"/>
      <c r="B20" s="360"/>
      <c r="C20" s="21"/>
      <c r="D20" s="357"/>
      <c r="E20" s="144"/>
      <c r="F20" s="21"/>
      <c r="G20" s="21"/>
      <c r="H20" s="21"/>
      <c r="I20" s="21"/>
      <c r="J20" s="358"/>
      <c r="K20" s="21"/>
      <c r="L20" s="21"/>
      <c r="M20" s="359"/>
      <c r="N20" s="21"/>
      <c r="O20" s="21"/>
      <c r="P20" s="21"/>
      <c r="Q20" s="21"/>
      <c r="R20" s="21"/>
      <c r="S20" s="21"/>
      <c r="T20" s="21"/>
      <c r="U20" s="21"/>
      <c r="V20" s="82"/>
      <c r="W20" s="82"/>
      <c r="X20" s="21"/>
      <c r="Y20" s="21"/>
      <c r="Z20" s="21"/>
      <c r="AA20" s="21"/>
      <c r="AB20" s="21"/>
      <c r="AC20" s="21"/>
    </row>
    <row r="21" spans="1:29" ht="54" customHeight="1">
      <c r="A21" s="21"/>
      <c r="B21" s="360"/>
      <c r="C21" s="21"/>
      <c r="D21" s="357"/>
      <c r="E21" s="144"/>
      <c r="F21" s="21"/>
      <c r="G21" s="21"/>
      <c r="H21" s="21"/>
      <c r="I21" s="21"/>
      <c r="J21" s="358"/>
      <c r="K21" s="21"/>
      <c r="L21" s="21"/>
      <c r="M21" s="359"/>
      <c r="N21" s="21"/>
      <c r="O21" s="21"/>
      <c r="P21" s="21"/>
      <c r="Q21" s="21"/>
      <c r="R21" s="21"/>
      <c r="S21" s="21"/>
      <c r="T21" s="21"/>
      <c r="U21" s="21"/>
      <c r="V21" s="82"/>
      <c r="W21" s="82"/>
      <c r="X21" s="21"/>
      <c r="Y21" s="21"/>
      <c r="Z21" s="21"/>
      <c r="AA21" s="21"/>
      <c r="AB21" s="21"/>
      <c r="AC21" s="21"/>
    </row>
    <row r="22" spans="1:29" ht="54" customHeight="1">
      <c r="A22" s="21"/>
      <c r="B22" s="360"/>
      <c r="C22" s="21"/>
      <c r="D22" s="357"/>
      <c r="E22" s="144"/>
      <c r="F22" s="21"/>
      <c r="G22" s="21"/>
      <c r="H22" s="21"/>
      <c r="I22" s="21"/>
      <c r="J22" s="358"/>
      <c r="K22" s="21"/>
      <c r="L22" s="21"/>
      <c r="M22" s="359"/>
      <c r="N22" s="21"/>
      <c r="O22" s="21"/>
      <c r="P22" s="21"/>
      <c r="Q22" s="21"/>
      <c r="R22" s="21"/>
      <c r="S22" s="21"/>
      <c r="T22" s="21"/>
      <c r="U22" s="21"/>
      <c r="V22" s="82"/>
      <c r="W22" s="82"/>
      <c r="X22" s="21"/>
      <c r="Y22" s="21"/>
      <c r="Z22" s="21"/>
      <c r="AA22" s="21"/>
      <c r="AB22" s="21"/>
      <c r="AC22" s="21"/>
    </row>
  </sheetData>
  <hyperlinks>
    <hyperlink ref="G3" r:id="rId1" xr:uid="{00000000-0004-0000-1A00-000000000000}"/>
    <hyperlink ref="G4" r:id="rId2" xr:uid="{00000000-0004-0000-1A00-000001000000}"/>
    <hyperlink ref="G9" r:id="rId3" xr:uid="{00000000-0004-0000-1A00-000002000000}"/>
    <hyperlink ref="G16" r:id="rId4"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C13"/>
  <sheetViews>
    <sheetView topLeftCell="A8" workbookViewId="0">
      <selection activeCell="B11" sqref="B11"/>
    </sheetView>
  </sheetViews>
  <sheetFormatPr baseColWidth="10" defaultColWidth="12.6328125" defaultRowHeight="15.75" customHeight="1"/>
  <cols>
    <col min="1" max="1" width="21.6328125" customWidth="1"/>
    <col min="2" max="2" width="15.6328125" customWidth="1"/>
    <col min="3" max="3" width="16" customWidth="1"/>
    <col min="4" max="4" width="47.6328125" customWidth="1"/>
    <col min="5" max="5" width="34.7265625" customWidth="1"/>
    <col min="6" max="6" width="20.36328125" customWidth="1"/>
    <col min="7" max="7" width="31.453125" customWidth="1"/>
    <col min="8" max="8" width="21.08984375" customWidth="1"/>
    <col min="9" max="9" width="19.08984375" customWidth="1"/>
    <col min="10" max="10" width="24.08984375" customWidth="1"/>
    <col min="11" max="11" width="53.26953125" customWidth="1"/>
    <col min="12" max="12" width="61.7265625" customWidth="1"/>
    <col min="13" max="13" width="20.36328125" customWidth="1"/>
    <col min="14" max="14" width="22.26953125" customWidth="1"/>
    <col min="22" max="22" width="25.81640625" style="368" customWidth="1"/>
    <col min="23"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 customHeight="1">
      <c r="A2" s="325">
        <v>9003697891</v>
      </c>
      <c r="B2" s="352">
        <v>150000</v>
      </c>
      <c r="C2" s="325" t="s">
        <v>2063</v>
      </c>
      <c r="D2" s="346" t="s">
        <v>1145</v>
      </c>
      <c r="E2" s="324" t="s">
        <v>1146</v>
      </c>
      <c r="F2" s="325">
        <v>4440924</v>
      </c>
      <c r="G2" s="355" t="s">
        <v>1147</v>
      </c>
      <c r="H2" s="325" t="s">
        <v>2409</v>
      </c>
      <c r="I2" s="325" t="s">
        <v>2410</v>
      </c>
      <c r="J2" s="353" t="s">
        <v>2241</v>
      </c>
      <c r="K2" s="392" t="s">
        <v>2411</v>
      </c>
      <c r="L2" s="392" t="s">
        <v>2412</v>
      </c>
      <c r="M2" s="354" t="s">
        <v>1179</v>
      </c>
      <c r="N2" s="325" t="s">
        <v>2319</v>
      </c>
      <c r="O2" s="325" t="s">
        <v>809</v>
      </c>
      <c r="P2" s="325"/>
      <c r="Q2" s="325" t="s">
        <v>1626</v>
      </c>
      <c r="R2" s="325"/>
      <c r="S2" s="325"/>
      <c r="T2" s="325" t="s">
        <v>1976</v>
      </c>
      <c r="U2" s="325"/>
      <c r="V2" s="393" t="s">
        <v>2412</v>
      </c>
      <c r="W2" s="373" t="s">
        <v>2674</v>
      </c>
      <c r="X2" s="325"/>
      <c r="Y2" s="325"/>
      <c r="Z2" s="325"/>
      <c r="AA2" s="325"/>
      <c r="AB2" s="325"/>
      <c r="AC2" s="325"/>
    </row>
    <row r="3" spans="1:29" ht="54" customHeight="1">
      <c r="A3" s="336" t="s">
        <v>2413</v>
      </c>
      <c r="B3" s="362">
        <v>390000</v>
      </c>
      <c r="C3" s="336" t="s">
        <v>2403</v>
      </c>
      <c r="D3" s="346" t="s">
        <v>2414</v>
      </c>
      <c r="E3" s="324" t="s">
        <v>2415</v>
      </c>
      <c r="F3" s="336">
        <v>3152973105</v>
      </c>
      <c r="G3" s="336" t="s">
        <v>2416</v>
      </c>
      <c r="H3" s="336" t="s">
        <v>1015</v>
      </c>
      <c r="I3" s="336" t="s">
        <v>1450</v>
      </c>
      <c r="J3" s="336" t="s">
        <v>2417</v>
      </c>
      <c r="K3" s="336" t="s">
        <v>2418</v>
      </c>
      <c r="L3" s="395" t="s">
        <v>2419</v>
      </c>
      <c r="M3" s="354" t="s">
        <v>1293</v>
      </c>
      <c r="N3" s="336" t="s">
        <v>2420</v>
      </c>
      <c r="O3" s="336" t="s">
        <v>809</v>
      </c>
      <c r="P3" s="336"/>
      <c r="Q3" s="336" t="s">
        <v>1548</v>
      </c>
      <c r="R3" s="336"/>
      <c r="S3" s="336"/>
      <c r="T3" s="336" t="s">
        <v>1976</v>
      </c>
      <c r="U3" s="336"/>
      <c r="V3" s="396" t="s">
        <v>2657</v>
      </c>
      <c r="W3" s="397" t="s">
        <v>2637</v>
      </c>
      <c r="X3" s="336"/>
      <c r="Y3" s="336"/>
      <c r="Z3" s="336"/>
      <c r="AA3" s="336"/>
      <c r="AB3" s="336"/>
      <c r="AC3" s="336"/>
    </row>
    <row r="4" spans="1:29" ht="54" customHeight="1">
      <c r="A4" s="325" t="s">
        <v>2421</v>
      </c>
      <c r="B4" s="352">
        <v>509000</v>
      </c>
      <c r="C4" s="325" t="s">
        <v>2422</v>
      </c>
      <c r="D4" s="346" t="s">
        <v>2423</v>
      </c>
      <c r="E4" s="324" t="s">
        <v>2424</v>
      </c>
      <c r="F4" s="325">
        <v>3007216112</v>
      </c>
      <c r="G4" s="325" t="s">
        <v>2425</v>
      </c>
      <c r="H4" s="325" t="s">
        <v>1015</v>
      </c>
      <c r="I4" s="325" t="s">
        <v>2426</v>
      </c>
      <c r="J4" s="353" t="s">
        <v>2427</v>
      </c>
      <c r="K4" s="325" t="s">
        <v>2428</v>
      </c>
      <c r="L4" s="392" t="s">
        <v>2429</v>
      </c>
      <c r="M4" s="354" t="s">
        <v>1293</v>
      </c>
      <c r="N4" s="325" t="s">
        <v>2420</v>
      </c>
      <c r="O4" s="325" t="s">
        <v>1947</v>
      </c>
      <c r="P4" s="325"/>
      <c r="Q4" s="325" t="s">
        <v>2021</v>
      </c>
      <c r="R4" s="325"/>
      <c r="S4" s="325"/>
      <c r="T4" s="325" t="s">
        <v>1976</v>
      </c>
      <c r="U4" s="325"/>
      <c r="V4" s="393" t="s">
        <v>2658</v>
      </c>
      <c r="W4" s="373" t="s">
        <v>2675</v>
      </c>
      <c r="X4" s="325"/>
      <c r="Y4" s="325"/>
      <c r="Z4" s="325"/>
      <c r="AA4" s="325"/>
      <c r="AB4" s="325"/>
      <c r="AC4" s="325"/>
    </row>
    <row r="5" spans="1:29" ht="54" customHeight="1">
      <c r="A5" s="325" t="s">
        <v>2430</v>
      </c>
      <c r="B5" s="352">
        <v>420000</v>
      </c>
      <c r="C5" s="325" t="s">
        <v>2214</v>
      </c>
      <c r="D5" s="346" t="s">
        <v>2431</v>
      </c>
      <c r="E5" s="324" t="s">
        <v>2432</v>
      </c>
      <c r="F5" s="325">
        <v>3164700374</v>
      </c>
      <c r="G5" s="355" t="s">
        <v>2433</v>
      </c>
      <c r="H5" s="325" t="s">
        <v>1015</v>
      </c>
      <c r="I5" s="325" t="s">
        <v>1836</v>
      </c>
      <c r="J5" s="353" t="s">
        <v>2434</v>
      </c>
      <c r="K5" s="325" t="s">
        <v>2435</v>
      </c>
      <c r="L5" s="392" t="s">
        <v>2436</v>
      </c>
      <c r="M5" s="354" t="s">
        <v>1293</v>
      </c>
      <c r="N5" s="325" t="s">
        <v>2437</v>
      </c>
      <c r="O5" s="325" t="s">
        <v>809</v>
      </c>
      <c r="P5" s="325"/>
      <c r="Q5" s="325" t="s">
        <v>1626</v>
      </c>
      <c r="R5" s="325"/>
      <c r="S5" s="325"/>
      <c r="T5" s="325" t="s">
        <v>1976</v>
      </c>
      <c r="U5" s="325"/>
      <c r="V5" s="393" t="s">
        <v>2656</v>
      </c>
      <c r="W5" s="373" t="s">
        <v>2672</v>
      </c>
      <c r="X5" s="325"/>
      <c r="Y5" s="325"/>
      <c r="Z5" s="325"/>
      <c r="AA5" s="325"/>
      <c r="AB5" s="325"/>
      <c r="AC5" s="325"/>
    </row>
    <row r="6" spans="1:29" ht="54" customHeight="1">
      <c r="A6" s="325" t="s">
        <v>2438</v>
      </c>
      <c r="B6" s="352">
        <v>3274000</v>
      </c>
      <c r="C6" s="325" t="s">
        <v>2439</v>
      </c>
      <c r="D6" s="346" t="s">
        <v>2440</v>
      </c>
      <c r="E6" s="324" t="s">
        <v>2441</v>
      </c>
      <c r="F6" s="325">
        <v>5607130</v>
      </c>
      <c r="G6" s="355" t="s">
        <v>2442</v>
      </c>
      <c r="H6" s="325" t="s">
        <v>1015</v>
      </c>
      <c r="I6" s="325" t="s">
        <v>2443</v>
      </c>
      <c r="J6" s="353" t="s">
        <v>2241</v>
      </c>
      <c r="K6" s="325" t="s">
        <v>2444</v>
      </c>
      <c r="L6" s="392" t="s">
        <v>2445</v>
      </c>
      <c r="M6" s="354" t="s">
        <v>2446</v>
      </c>
      <c r="N6" s="325" t="s">
        <v>2437</v>
      </c>
      <c r="O6" s="325" t="s">
        <v>809</v>
      </c>
      <c r="P6" s="325"/>
      <c r="Q6" s="325" t="s">
        <v>1626</v>
      </c>
      <c r="R6" s="325"/>
      <c r="S6" s="325"/>
      <c r="T6" s="325" t="s">
        <v>1976</v>
      </c>
      <c r="U6" s="325"/>
      <c r="V6" s="373" t="s">
        <v>2445</v>
      </c>
      <c r="W6" s="373" t="s">
        <v>2672</v>
      </c>
      <c r="X6" s="325"/>
      <c r="Y6" s="325"/>
      <c r="Z6" s="325"/>
      <c r="AA6" s="325"/>
      <c r="AB6" s="325"/>
      <c r="AC6" s="325"/>
    </row>
    <row r="7" spans="1:29" ht="54" customHeight="1">
      <c r="A7" s="325" t="s">
        <v>2447</v>
      </c>
      <c r="B7" s="352">
        <v>400000</v>
      </c>
      <c r="C7" s="325" t="s">
        <v>568</v>
      </c>
      <c r="D7" s="346" t="s">
        <v>2448</v>
      </c>
      <c r="E7" s="324" t="s">
        <v>2449</v>
      </c>
      <c r="F7" s="325">
        <v>3128622166</v>
      </c>
      <c r="G7" s="325" t="s">
        <v>2450</v>
      </c>
      <c r="H7" s="325" t="s">
        <v>1015</v>
      </c>
      <c r="I7" s="325" t="s">
        <v>2451</v>
      </c>
      <c r="J7" s="353" t="s">
        <v>2452</v>
      </c>
      <c r="K7" s="325" t="s">
        <v>2453</v>
      </c>
      <c r="L7" s="392" t="s">
        <v>2454</v>
      </c>
      <c r="M7" s="354" t="s">
        <v>2455</v>
      </c>
      <c r="N7" s="325" t="s">
        <v>2456</v>
      </c>
      <c r="O7" s="325" t="s">
        <v>809</v>
      </c>
      <c r="P7" s="325"/>
      <c r="Q7" s="325" t="s">
        <v>2021</v>
      </c>
      <c r="R7" s="325"/>
      <c r="S7" s="325"/>
      <c r="T7" s="325" t="s">
        <v>1976</v>
      </c>
      <c r="U7" s="325"/>
      <c r="V7" s="393" t="s">
        <v>2659</v>
      </c>
      <c r="W7" s="373" t="s">
        <v>2676</v>
      </c>
      <c r="X7" s="325"/>
      <c r="Y7" s="325"/>
      <c r="Z7" s="325"/>
      <c r="AA7" s="325"/>
      <c r="AB7" s="325"/>
      <c r="AC7" s="325"/>
    </row>
    <row r="8" spans="1:29" ht="54" customHeight="1">
      <c r="A8" s="325" t="s">
        <v>2457</v>
      </c>
      <c r="B8" s="352">
        <v>164000</v>
      </c>
      <c r="C8" s="325" t="s">
        <v>2458</v>
      </c>
      <c r="D8" s="346" t="s">
        <v>2459</v>
      </c>
      <c r="E8" s="324" t="s">
        <v>2460</v>
      </c>
      <c r="F8" s="325">
        <v>3053625050</v>
      </c>
      <c r="G8" s="355" t="s">
        <v>2461</v>
      </c>
      <c r="H8" s="325" t="s">
        <v>1015</v>
      </c>
      <c r="I8" s="325" t="s">
        <v>2254</v>
      </c>
      <c r="J8" s="353" t="s">
        <v>2381</v>
      </c>
      <c r="K8" s="325" t="s">
        <v>2462</v>
      </c>
      <c r="L8" s="325" t="s">
        <v>2463</v>
      </c>
      <c r="M8" s="354" t="s">
        <v>1395</v>
      </c>
      <c r="N8" s="325" t="s">
        <v>1395</v>
      </c>
      <c r="O8" s="325" t="s">
        <v>1947</v>
      </c>
      <c r="P8" s="325"/>
      <c r="Q8" s="325" t="s">
        <v>1360</v>
      </c>
      <c r="R8" s="325"/>
      <c r="S8" s="325"/>
      <c r="T8" s="325" t="s">
        <v>1976</v>
      </c>
      <c r="U8" s="325"/>
      <c r="V8" s="393" t="s">
        <v>2660</v>
      </c>
      <c r="W8" s="373" t="s">
        <v>2594</v>
      </c>
      <c r="X8" s="325"/>
      <c r="Y8" s="325"/>
      <c r="Z8" s="325"/>
      <c r="AA8" s="325"/>
      <c r="AB8" s="325"/>
      <c r="AC8" s="325"/>
    </row>
    <row r="9" spans="1:29" ht="54" customHeight="1">
      <c r="A9" s="325" t="s">
        <v>2464</v>
      </c>
      <c r="B9" s="352">
        <v>392000</v>
      </c>
      <c r="C9" s="325" t="s">
        <v>1966</v>
      </c>
      <c r="D9" s="346" t="s">
        <v>2465</v>
      </c>
      <c r="E9" s="324" t="s">
        <v>2466</v>
      </c>
      <c r="F9" s="325">
        <v>3102485119</v>
      </c>
      <c r="G9" s="325" t="s">
        <v>2467</v>
      </c>
      <c r="H9" s="325" t="s">
        <v>1015</v>
      </c>
      <c r="I9" s="325" t="s">
        <v>2468</v>
      </c>
      <c r="J9" s="353" t="s">
        <v>1260</v>
      </c>
      <c r="K9" s="325" t="s">
        <v>2469</v>
      </c>
      <c r="L9" s="325" t="s">
        <v>2470</v>
      </c>
      <c r="M9" s="354" t="s">
        <v>2471</v>
      </c>
      <c r="N9" s="325" t="s">
        <v>2446</v>
      </c>
      <c r="O9" s="325" t="s">
        <v>1947</v>
      </c>
      <c r="P9" s="325"/>
      <c r="Q9" s="325" t="s">
        <v>1548</v>
      </c>
      <c r="R9" s="325"/>
      <c r="S9" s="325"/>
      <c r="T9" s="325" t="s">
        <v>1976</v>
      </c>
      <c r="U9" s="325"/>
      <c r="V9" s="393" t="s">
        <v>2661</v>
      </c>
      <c r="W9" s="373" t="s">
        <v>2677</v>
      </c>
      <c r="X9" s="325"/>
      <c r="Y9" s="325"/>
      <c r="Z9" s="325"/>
      <c r="AA9" s="325"/>
      <c r="AB9" s="325"/>
      <c r="AC9" s="325"/>
    </row>
    <row r="10" spans="1:29" ht="54" customHeight="1">
      <c r="A10" s="325" t="s">
        <v>2472</v>
      </c>
      <c r="B10" s="352">
        <v>560000</v>
      </c>
      <c r="C10" s="325" t="s">
        <v>1088</v>
      </c>
      <c r="D10" s="346" t="s">
        <v>2473</v>
      </c>
      <c r="E10" s="324" t="s">
        <v>2474</v>
      </c>
      <c r="F10" s="325">
        <v>3144438742</v>
      </c>
      <c r="G10" s="325" t="s">
        <v>2475</v>
      </c>
      <c r="H10" s="325" t="s">
        <v>1015</v>
      </c>
      <c r="I10" s="325" t="s">
        <v>1281</v>
      </c>
      <c r="J10" s="353" t="s">
        <v>2476</v>
      </c>
      <c r="K10" s="325" t="s">
        <v>2477</v>
      </c>
      <c r="L10" s="325" t="s">
        <v>2478</v>
      </c>
      <c r="M10" s="354" t="s">
        <v>2479</v>
      </c>
      <c r="N10" s="325" t="s">
        <v>1438</v>
      </c>
      <c r="O10" s="325" t="s">
        <v>1947</v>
      </c>
      <c r="P10" s="325"/>
      <c r="Q10" s="325" t="s">
        <v>1548</v>
      </c>
      <c r="R10" s="325"/>
      <c r="S10" s="325"/>
      <c r="T10" s="325"/>
      <c r="U10" s="325"/>
      <c r="V10" s="393" t="s">
        <v>2578</v>
      </c>
      <c r="W10" s="373" t="s">
        <v>2673</v>
      </c>
      <c r="X10" s="325"/>
      <c r="Y10" s="325"/>
      <c r="Z10" s="325"/>
      <c r="AA10" s="325"/>
      <c r="AB10" s="325"/>
      <c r="AC10" s="325"/>
    </row>
    <row r="11" spans="1:29" ht="54" customHeight="1">
      <c r="A11" s="325" t="s">
        <v>2480</v>
      </c>
      <c r="B11" s="352">
        <v>430000</v>
      </c>
      <c r="C11" s="325" t="s">
        <v>2403</v>
      </c>
      <c r="D11" s="346" t="s">
        <v>2481</v>
      </c>
      <c r="E11" s="324" t="s">
        <v>2482</v>
      </c>
      <c r="F11" s="325">
        <v>3117084291</v>
      </c>
      <c r="G11" s="325" t="s">
        <v>2483</v>
      </c>
      <c r="H11" s="325" t="s">
        <v>2484</v>
      </c>
      <c r="I11" s="325" t="s">
        <v>2485</v>
      </c>
      <c r="J11" s="353" t="s">
        <v>2476</v>
      </c>
      <c r="K11" s="393" t="s">
        <v>2486</v>
      </c>
      <c r="L11" s="392" t="s">
        <v>2487</v>
      </c>
      <c r="M11" s="354" t="s">
        <v>1367</v>
      </c>
      <c r="N11" s="325" t="s">
        <v>2382</v>
      </c>
      <c r="O11" s="325" t="s">
        <v>1947</v>
      </c>
      <c r="P11" s="325"/>
      <c r="Q11" s="325" t="s">
        <v>2021</v>
      </c>
      <c r="R11" s="325"/>
      <c r="S11" s="325"/>
      <c r="T11" s="325"/>
      <c r="U11" s="325"/>
      <c r="V11" s="393" t="s">
        <v>2662</v>
      </c>
      <c r="W11" s="373" t="s">
        <v>2678</v>
      </c>
      <c r="X11" s="325"/>
      <c r="Y11" s="325"/>
      <c r="Z11" s="325"/>
      <c r="AA11" s="325"/>
      <c r="AB11" s="325"/>
      <c r="AC11" s="325"/>
    </row>
    <row r="12" spans="1:29" ht="54" customHeight="1">
      <c r="A12" s="21"/>
      <c r="B12" s="360"/>
      <c r="C12" s="21"/>
      <c r="D12" s="357"/>
      <c r="E12" s="144"/>
      <c r="F12" s="21"/>
      <c r="G12" s="21"/>
      <c r="H12" s="21"/>
      <c r="I12" s="21"/>
      <c r="J12" s="358"/>
      <c r="K12" s="21"/>
      <c r="L12" s="21"/>
      <c r="M12" s="359"/>
      <c r="N12" s="21"/>
      <c r="O12" s="21"/>
      <c r="P12" s="21"/>
      <c r="Q12" s="21"/>
      <c r="R12" s="21"/>
      <c r="S12" s="21"/>
      <c r="T12" s="21"/>
      <c r="U12" s="21"/>
      <c r="V12" s="82"/>
      <c r="W12" s="82"/>
      <c r="X12" s="21"/>
      <c r="Y12" s="21"/>
      <c r="Z12" s="21"/>
      <c r="AA12" s="21"/>
      <c r="AB12" s="21"/>
      <c r="AC12" s="21"/>
    </row>
    <row r="13" spans="1:29" ht="54" customHeight="1">
      <c r="A13" s="21"/>
      <c r="B13" s="360"/>
      <c r="C13" s="21"/>
      <c r="D13" s="357"/>
      <c r="E13" s="144"/>
      <c r="F13" s="21"/>
      <c r="G13" s="21"/>
      <c r="H13" s="21"/>
      <c r="I13" s="21"/>
      <c r="J13" s="358"/>
      <c r="K13" s="21"/>
      <c r="L13" s="21"/>
      <c r="M13" s="359"/>
      <c r="N13" s="21"/>
      <c r="O13" s="21"/>
      <c r="P13" s="21"/>
      <c r="Q13" s="21"/>
      <c r="R13" s="21"/>
      <c r="S13" s="21"/>
      <c r="T13" s="21"/>
      <c r="U13" s="21"/>
      <c r="V13" s="82"/>
      <c r="W13" s="82"/>
      <c r="X13" s="21"/>
      <c r="Y13" s="21"/>
      <c r="Z13" s="21"/>
      <c r="AA13" s="21"/>
      <c r="AB13" s="21"/>
      <c r="AC13" s="21"/>
    </row>
  </sheetData>
  <hyperlinks>
    <hyperlink ref="G2" r:id="rId1" xr:uid="{00000000-0004-0000-1B00-000000000000}"/>
    <hyperlink ref="G5" r:id="rId2" xr:uid="{00000000-0004-0000-1B00-000001000000}"/>
    <hyperlink ref="G6" r:id="rId3" xr:uid="{00000000-0004-0000-1B00-000002000000}"/>
    <hyperlink ref="G8" r:id="rId4" xr:uid="{00000000-0004-0000-1B00-000003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C14"/>
  <sheetViews>
    <sheetView topLeftCell="A9" workbookViewId="0">
      <selection activeCell="B12" sqref="B12"/>
    </sheetView>
  </sheetViews>
  <sheetFormatPr baseColWidth="10" defaultColWidth="12.6328125" defaultRowHeight="15.75" customHeight="1"/>
  <cols>
    <col min="1" max="1" width="15.08984375" customWidth="1"/>
    <col min="2" max="2" width="14.90625" customWidth="1"/>
    <col min="3" max="3" width="15.453125" customWidth="1"/>
    <col min="4" max="4" width="44.36328125" customWidth="1"/>
    <col min="5" max="5" width="33.7265625" customWidth="1"/>
    <col min="6" max="6" width="23.7265625" customWidth="1"/>
    <col min="7" max="7" width="31" customWidth="1"/>
    <col min="8" max="8" width="15.36328125" customWidth="1"/>
    <col min="9" max="9" width="16.26953125" customWidth="1"/>
    <col min="11" max="11" width="53.36328125" customWidth="1"/>
    <col min="12" max="12" width="44.90625" customWidth="1"/>
    <col min="13" max="13" width="16.6328125" customWidth="1"/>
    <col min="14" max="14" width="16.36328125" customWidth="1"/>
    <col min="17" max="17" width="33.26953125" customWidth="1"/>
    <col min="22" max="22" width="24" style="368" customWidth="1"/>
    <col min="23" max="23" width="12.6328125" style="368"/>
  </cols>
  <sheetData>
    <row r="1" spans="1:29" ht="45.75" customHeight="1">
      <c r="A1" s="319" t="s">
        <v>0</v>
      </c>
      <c r="B1" s="232" t="s">
        <v>531</v>
      </c>
      <c r="C1" s="321" t="s">
        <v>538</v>
      </c>
      <c r="D1" s="321" t="s">
        <v>2</v>
      </c>
      <c r="E1" s="321" t="s">
        <v>3</v>
      </c>
      <c r="F1" s="321" t="s">
        <v>4</v>
      </c>
      <c r="G1" s="321" t="s">
        <v>721</v>
      </c>
      <c r="H1" s="321" t="s">
        <v>5</v>
      </c>
      <c r="I1" s="321" t="s">
        <v>655</v>
      </c>
      <c r="J1" s="321" t="s">
        <v>532</v>
      </c>
      <c r="K1" s="321" t="s">
        <v>7</v>
      </c>
      <c r="L1" s="321" t="s">
        <v>1190</v>
      </c>
      <c r="M1" s="233" t="s">
        <v>893</v>
      </c>
      <c r="N1" s="321" t="s">
        <v>10</v>
      </c>
      <c r="O1" s="321" t="s">
        <v>12</v>
      </c>
      <c r="P1" s="321" t="s">
        <v>14</v>
      </c>
      <c r="Q1" s="321" t="s">
        <v>656</v>
      </c>
      <c r="R1" s="321" t="s">
        <v>658</v>
      </c>
      <c r="S1" s="321" t="s">
        <v>659</v>
      </c>
      <c r="T1" s="321" t="s">
        <v>803</v>
      </c>
      <c r="U1" s="321" t="s">
        <v>803</v>
      </c>
      <c r="V1" s="386" t="s">
        <v>2583</v>
      </c>
      <c r="W1" s="382" t="s">
        <v>2670</v>
      </c>
      <c r="X1" s="322"/>
      <c r="Y1" s="322"/>
      <c r="Z1" s="322"/>
      <c r="AA1" s="322"/>
      <c r="AB1" s="322"/>
      <c r="AC1" s="322"/>
    </row>
    <row r="2" spans="1:29" ht="54" customHeight="1">
      <c r="A2" s="325">
        <v>9014560464</v>
      </c>
      <c r="B2" s="352">
        <v>1170000</v>
      </c>
      <c r="C2" s="325" t="s">
        <v>1966</v>
      </c>
      <c r="D2" s="346" t="s">
        <v>2488</v>
      </c>
      <c r="E2" s="324" t="s">
        <v>2489</v>
      </c>
      <c r="F2" s="325">
        <v>3194164380</v>
      </c>
      <c r="G2" s="325" t="s">
        <v>2490</v>
      </c>
      <c r="H2" s="325" t="s">
        <v>1015</v>
      </c>
      <c r="I2" s="325" t="s">
        <v>2491</v>
      </c>
      <c r="J2" s="353" t="s">
        <v>2492</v>
      </c>
      <c r="K2" s="393" t="s">
        <v>2493</v>
      </c>
      <c r="L2" s="392" t="s">
        <v>2494</v>
      </c>
      <c r="M2" s="354" t="s">
        <v>2495</v>
      </c>
      <c r="N2" s="325" t="s">
        <v>1367</v>
      </c>
      <c r="O2" s="325" t="s">
        <v>2496</v>
      </c>
      <c r="P2" s="325"/>
      <c r="Q2" s="325" t="s">
        <v>1548</v>
      </c>
      <c r="R2" s="325"/>
      <c r="S2" s="325"/>
      <c r="T2" s="325"/>
      <c r="U2" s="325"/>
      <c r="V2" s="393" t="s">
        <v>2573</v>
      </c>
      <c r="W2" s="373" t="s">
        <v>2573</v>
      </c>
      <c r="X2" s="325"/>
      <c r="Y2" s="325"/>
      <c r="Z2" s="325"/>
      <c r="AA2" s="325"/>
      <c r="AB2" s="325"/>
      <c r="AC2" s="325"/>
    </row>
    <row r="3" spans="1:29" ht="54" customHeight="1">
      <c r="A3" s="325" t="s">
        <v>2497</v>
      </c>
      <c r="B3" s="352">
        <v>192000</v>
      </c>
      <c r="C3" s="325" t="s">
        <v>2498</v>
      </c>
      <c r="D3" s="346" t="s">
        <v>2499</v>
      </c>
      <c r="E3" s="324" t="s">
        <v>2499</v>
      </c>
      <c r="F3" s="325">
        <v>3134255683</v>
      </c>
      <c r="G3" s="325" t="s">
        <v>2500</v>
      </c>
      <c r="H3" s="325" t="s">
        <v>1015</v>
      </c>
      <c r="I3" s="325" t="s">
        <v>2501</v>
      </c>
      <c r="J3" s="353" t="s">
        <v>1328</v>
      </c>
      <c r="K3" s="392" t="s">
        <v>2502</v>
      </c>
      <c r="L3" s="325" t="s">
        <v>2503</v>
      </c>
      <c r="M3" s="354" t="s">
        <v>2495</v>
      </c>
      <c r="N3" s="325" t="s">
        <v>1367</v>
      </c>
      <c r="O3" s="325" t="s">
        <v>2496</v>
      </c>
      <c r="P3" s="325"/>
      <c r="Q3" s="325" t="s">
        <v>1360</v>
      </c>
      <c r="R3" s="325"/>
      <c r="S3" s="325"/>
      <c r="T3" s="325"/>
      <c r="U3" s="325"/>
      <c r="V3" s="393" t="s">
        <v>2502</v>
      </c>
      <c r="W3" s="373" t="s">
        <v>2671</v>
      </c>
      <c r="X3" s="325"/>
      <c r="Y3" s="325"/>
      <c r="Z3" s="325"/>
      <c r="AA3" s="325"/>
      <c r="AB3" s="325"/>
      <c r="AC3" s="325"/>
    </row>
    <row r="4" spans="1:29" ht="54" customHeight="1">
      <c r="A4" s="325" t="s">
        <v>2504</v>
      </c>
      <c r="B4" s="352">
        <v>284000</v>
      </c>
      <c r="C4" s="325" t="s">
        <v>2214</v>
      </c>
      <c r="D4" s="346" t="s">
        <v>2505</v>
      </c>
      <c r="E4" s="324" t="s">
        <v>2506</v>
      </c>
      <c r="F4" s="325">
        <v>3186049759</v>
      </c>
      <c r="G4" s="325" t="s">
        <v>2507</v>
      </c>
      <c r="H4" s="325" t="s">
        <v>1015</v>
      </c>
      <c r="I4" s="325" t="s">
        <v>2508</v>
      </c>
      <c r="J4" s="353" t="s">
        <v>2509</v>
      </c>
      <c r="K4" s="325" t="s">
        <v>2510</v>
      </c>
      <c r="L4" s="392" t="s">
        <v>2511</v>
      </c>
      <c r="M4" s="354" t="s">
        <v>2495</v>
      </c>
      <c r="N4" s="325" t="s">
        <v>1367</v>
      </c>
      <c r="O4" s="325" t="s">
        <v>2496</v>
      </c>
      <c r="P4" s="325"/>
      <c r="Q4" s="325" t="s">
        <v>1626</v>
      </c>
      <c r="R4" s="325"/>
      <c r="S4" s="325"/>
      <c r="T4" s="325"/>
      <c r="U4" s="325"/>
      <c r="V4" s="393" t="s">
        <v>2663</v>
      </c>
      <c r="W4" s="373" t="s">
        <v>2672</v>
      </c>
      <c r="X4" s="325"/>
      <c r="Y4" s="325"/>
      <c r="Z4" s="325"/>
      <c r="AA4" s="325"/>
      <c r="AB4" s="325"/>
      <c r="AC4" s="325"/>
    </row>
    <row r="5" spans="1:29" ht="54" customHeight="1">
      <c r="A5" s="325" t="s">
        <v>2512</v>
      </c>
      <c r="B5" s="352">
        <v>600000</v>
      </c>
      <c r="C5" s="325" t="s">
        <v>1088</v>
      </c>
      <c r="D5" s="346" t="s">
        <v>2513</v>
      </c>
      <c r="E5" s="324" t="s">
        <v>2514</v>
      </c>
      <c r="F5" s="325">
        <v>3016941480</v>
      </c>
      <c r="G5" s="325" t="s">
        <v>2515</v>
      </c>
      <c r="H5" s="325" t="s">
        <v>1015</v>
      </c>
      <c r="I5" s="325" t="s">
        <v>2516</v>
      </c>
      <c r="J5" s="353" t="s">
        <v>2517</v>
      </c>
      <c r="K5" s="325" t="s">
        <v>2518</v>
      </c>
      <c r="L5" s="325" t="s">
        <v>2519</v>
      </c>
      <c r="M5" s="354" t="s">
        <v>2495</v>
      </c>
      <c r="N5" s="325" t="s">
        <v>2520</v>
      </c>
      <c r="O5" s="325" t="s">
        <v>2496</v>
      </c>
      <c r="P5" s="325"/>
      <c r="Q5" s="325" t="s">
        <v>1127</v>
      </c>
      <c r="R5" s="325"/>
      <c r="S5" s="325"/>
      <c r="T5" s="325"/>
      <c r="U5" s="325"/>
      <c r="V5" s="393" t="s">
        <v>2664</v>
      </c>
      <c r="W5" s="373" t="s">
        <v>2672</v>
      </c>
      <c r="X5" s="325"/>
      <c r="Y5" s="325"/>
      <c r="Z5" s="325"/>
      <c r="AA5" s="325"/>
      <c r="AB5" s="325"/>
      <c r="AC5" s="325"/>
    </row>
    <row r="6" spans="1:29" ht="54" customHeight="1">
      <c r="A6" s="325" t="s">
        <v>2521</v>
      </c>
      <c r="B6" s="352">
        <v>430000</v>
      </c>
      <c r="C6" s="325" t="s">
        <v>2214</v>
      </c>
      <c r="D6" s="346" t="s">
        <v>2522</v>
      </c>
      <c r="E6" s="324" t="s">
        <v>2523</v>
      </c>
      <c r="F6" s="325">
        <v>3183910356</v>
      </c>
      <c r="G6" s="325" t="s">
        <v>2524</v>
      </c>
      <c r="H6" s="325" t="s">
        <v>1015</v>
      </c>
      <c r="I6" s="325" t="s">
        <v>2525</v>
      </c>
      <c r="J6" s="353" t="s">
        <v>2526</v>
      </c>
      <c r="K6" s="385" t="s">
        <v>2527</v>
      </c>
      <c r="L6" s="392" t="s">
        <v>2528</v>
      </c>
      <c r="M6" s="354" t="s">
        <v>2529</v>
      </c>
      <c r="N6" s="325" t="s">
        <v>1395</v>
      </c>
      <c r="O6" s="325" t="s">
        <v>2496</v>
      </c>
      <c r="P6" s="325"/>
      <c r="Q6" s="325" t="s">
        <v>1548</v>
      </c>
      <c r="R6" s="325"/>
      <c r="S6" s="325"/>
      <c r="T6" s="325"/>
      <c r="U6" s="325"/>
      <c r="V6" s="393" t="s">
        <v>2665</v>
      </c>
      <c r="W6" s="373" t="s">
        <v>2672</v>
      </c>
      <c r="X6" s="325"/>
      <c r="Y6" s="325"/>
      <c r="Z6" s="325"/>
      <c r="AA6" s="325"/>
      <c r="AB6" s="325"/>
      <c r="AC6" s="325"/>
    </row>
    <row r="7" spans="1:29" ht="54" customHeight="1">
      <c r="A7" s="325" t="s">
        <v>2530</v>
      </c>
      <c r="B7" s="361">
        <v>601000</v>
      </c>
      <c r="C7" s="325" t="s">
        <v>1312</v>
      </c>
      <c r="D7" s="346" t="s">
        <v>2531</v>
      </c>
      <c r="E7" s="324" t="s">
        <v>2532</v>
      </c>
      <c r="F7" s="325">
        <v>3138186600</v>
      </c>
      <c r="G7" s="325" t="s">
        <v>2533</v>
      </c>
      <c r="H7" s="325" t="s">
        <v>1015</v>
      </c>
      <c r="I7" s="325" t="s">
        <v>2534</v>
      </c>
      <c r="J7" s="353" t="s">
        <v>2535</v>
      </c>
      <c r="K7" s="325" t="s">
        <v>2536</v>
      </c>
      <c r="L7" s="393" t="s">
        <v>2536</v>
      </c>
      <c r="M7" s="354" t="s">
        <v>2529</v>
      </c>
      <c r="N7" s="325" t="s">
        <v>1395</v>
      </c>
      <c r="O7" s="325" t="s">
        <v>1947</v>
      </c>
      <c r="P7" s="325"/>
      <c r="Q7" s="325" t="s">
        <v>1548</v>
      </c>
      <c r="R7" s="325"/>
      <c r="S7" s="325"/>
      <c r="T7" s="325"/>
      <c r="U7" s="325"/>
      <c r="V7" s="393" t="s">
        <v>2666</v>
      </c>
      <c r="W7" s="373" t="s">
        <v>2654</v>
      </c>
      <c r="X7" s="325"/>
      <c r="Y7" s="325"/>
      <c r="Z7" s="325"/>
      <c r="AA7" s="325"/>
      <c r="AB7" s="325"/>
      <c r="AC7" s="325"/>
    </row>
    <row r="8" spans="1:29" ht="54" customHeight="1">
      <c r="A8" s="325" t="s">
        <v>2537</v>
      </c>
      <c r="B8" s="352">
        <v>602000</v>
      </c>
      <c r="C8" s="325" t="s">
        <v>1824</v>
      </c>
      <c r="D8" s="346" t="s">
        <v>2538</v>
      </c>
      <c r="E8" s="324" t="s">
        <v>2539</v>
      </c>
      <c r="F8" s="325" t="s">
        <v>2540</v>
      </c>
      <c r="G8" s="325" t="s">
        <v>2541</v>
      </c>
      <c r="H8" s="325" t="s">
        <v>1015</v>
      </c>
      <c r="I8" s="325" t="s">
        <v>2542</v>
      </c>
      <c r="J8" s="353" t="s">
        <v>2535</v>
      </c>
      <c r="K8" s="325" t="s">
        <v>2543</v>
      </c>
      <c r="L8" s="393" t="s">
        <v>2543</v>
      </c>
      <c r="M8" s="354" t="s">
        <v>2529</v>
      </c>
      <c r="N8" s="325" t="s">
        <v>1395</v>
      </c>
      <c r="O8" s="325" t="s">
        <v>2496</v>
      </c>
      <c r="P8" s="325"/>
      <c r="Q8" s="325" t="s">
        <v>1548</v>
      </c>
      <c r="R8" s="325"/>
      <c r="S8" s="325"/>
      <c r="T8" s="325"/>
      <c r="U8" s="325"/>
      <c r="V8" s="393" t="s">
        <v>2667</v>
      </c>
      <c r="W8" s="373" t="s">
        <v>2672</v>
      </c>
      <c r="X8" s="325"/>
      <c r="Y8" s="325"/>
      <c r="Z8" s="325"/>
      <c r="AA8" s="325"/>
      <c r="AB8" s="325"/>
      <c r="AC8" s="325"/>
    </row>
    <row r="9" spans="1:29" ht="54" customHeight="1">
      <c r="A9" s="325">
        <v>901302700</v>
      </c>
      <c r="B9" s="352">
        <v>3332000</v>
      </c>
      <c r="C9" s="325" t="s">
        <v>2544</v>
      </c>
      <c r="D9" s="346" t="s">
        <v>2545</v>
      </c>
      <c r="E9" s="324" t="s">
        <v>2546</v>
      </c>
      <c r="F9" s="325" t="s">
        <v>2547</v>
      </c>
      <c r="G9" s="325" t="s">
        <v>2548</v>
      </c>
      <c r="H9" s="325" t="s">
        <v>1015</v>
      </c>
      <c r="I9" s="325"/>
      <c r="J9" s="353"/>
      <c r="K9" s="325"/>
      <c r="L9" s="392" t="s">
        <v>2549</v>
      </c>
      <c r="M9" s="354"/>
      <c r="N9" s="325"/>
      <c r="O9" s="325" t="s">
        <v>1947</v>
      </c>
      <c r="P9" s="325"/>
      <c r="Q9" s="325" t="s">
        <v>1732</v>
      </c>
      <c r="R9" s="325"/>
      <c r="S9" s="325"/>
      <c r="T9" s="325"/>
      <c r="U9" s="325"/>
      <c r="V9" s="393" t="s">
        <v>2668</v>
      </c>
      <c r="W9" s="373" t="s">
        <v>2672</v>
      </c>
      <c r="X9" s="325"/>
      <c r="Y9" s="325"/>
      <c r="Z9" s="325"/>
      <c r="AA9" s="325"/>
      <c r="AB9" s="325"/>
      <c r="AC9" s="325"/>
    </row>
    <row r="10" spans="1:29" ht="54" customHeight="1">
      <c r="A10" s="325" t="s">
        <v>2550</v>
      </c>
      <c r="B10" s="352">
        <v>429000</v>
      </c>
      <c r="C10" s="325" t="s">
        <v>2551</v>
      </c>
      <c r="D10" s="346" t="s">
        <v>2552</v>
      </c>
      <c r="E10" s="336" t="s">
        <v>2553</v>
      </c>
      <c r="F10" s="325">
        <v>3148427897</v>
      </c>
      <c r="G10" s="325" t="s">
        <v>2554</v>
      </c>
      <c r="H10" s="325" t="s">
        <v>1015</v>
      </c>
      <c r="I10" s="325" t="s">
        <v>1298</v>
      </c>
      <c r="J10" s="353" t="s">
        <v>2555</v>
      </c>
      <c r="K10" s="325" t="s">
        <v>2556</v>
      </c>
      <c r="L10" s="325" t="s">
        <v>2557</v>
      </c>
      <c r="M10" s="354" t="s">
        <v>2558</v>
      </c>
      <c r="N10" s="325" t="s">
        <v>1438</v>
      </c>
      <c r="O10" s="325" t="s">
        <v>1947</v>
      </c>
      <c r="P10" s="325"/>
      <c r="Q10" s="325" t="s">
        <v>1234</v>
      </c>
      <c r="R10" s="325"/>
      <c r="S10" s="325"/>
      <c r="T10" s="325"/>
      <c r="U10" s="325"/>
      <c r="V10" s="373" t="s">
        <v>2578</v>
      </c>
      <c r="W10" s="373" t="s">
        <v>2673</v>
      </c>
      <c r="X10" s="325"/>
      <c r="Y10" s="325"/>
      <c r="Z10" s="325"/>
      <c r="AA10" s="325"/>
      <c r="AB10" s="325"/>
      <c r="AC10" s="325"/>
    </row>
    <row r="11" spans="1:29" ht="54" customHeight="1">
      <c r="A11" s="325">
        <v>900584515</v>
      </c>
      <c r="B11" s="361">
        <v>429000</v>
      </c>
      <c r="C11" s="325" t="s">
        <v>2559</v>
      </c>
      <c r="D11" s="346" t="s">
        <v>2560</v>
      </c>
      <c r="E11" s="336" t="s">
        <v>2561</v>
      </c>
      <c r="F11" s="325">
        <v>3148140676</v>
      </c>
      <c r="G11" s="325" t="s">
        <v>2562</v>
      </c>
      <c r="H11" s="325" t="s">
        <v>1015</v>
      </c>
      <c r="I11" s="325" t="s">
        <v>2563</v>
      </c>
      <c r="J11" s="353" t="s">
        <v>2564</v>
      </c>
      <c r="K11" s="325" t="s">
        <v>2009</v>
      </c>
      <c r="L11" s="325" t="s">
        <v>2009</v>
      </c>
      <c r="M11" s="354" t="s">
        <v>2565</v>
      </c>
      <c r="N11" s="325" t="s">
        <v>1453</v>
      </c>
      <c r="O11" s="325" t="s">
        <v>1947</v>
      </c>
      <c r="P11" s="325"/>
      <c r="Q11" s="325"/>
      <c r="R11" s="325"/>
      <c r="S11" s="325"/>
      <c r="T11" s="325"/>
      <c r="U11" s="325"/>
      <c r="V11" s="393" t="s">
        <v>2669</v>
      </c>
      <c r="W11" s="373" t="s">
        <v>2672</v>
      </c>
      <c r="X11" s="325"/>
      <c r="Y11" s="325"/>
      <c r="Z11" s="325"/>
      <c r="AA11" s="325"/>
      <c r="AB11" s="325"/>
      <c r="AC11" s="325"/>
    </row>
    <row r="12" spans="1:29" ht="54" customHeight="1">
      <c r="A12" s="325" t="s">
        <v>2566</v>
      </c>
      <c r="B12" s="352">
        <v>179200</v>
      </c>
      <c r="C12" s="325" t="s">
        <v>2403</v>
      </c>
      <c r="D12" s="346" t="s">
        <v>2567</v>
      </c>
      <c r="E12" s="336" t="s">
        <v>2568</v>
      </c>
      <c r="F12" s="325">
        <v>3164663333</v>
      </c>
      <c r="G12" s="325" t="s">
        <v>2569</v>
      </c>
      <c r="H12" s="325" t="s">
        <v>1015</v>
      </c>
      <c r="I12" s="325" t="s">
        <v>2570</v>
      </c>
      <c r="J12" s="353" t="s">
        <v>2571</v>
      </c>
      <c r="K12" s="325" t="s">
        <v>2009</v>
      </c>
      <c r="L12" s="325" t="s">
        <v>2009</v>
      </c>
      <c r="M12" s="354" t="s">
        <v>2572</v>
      </c>
      <c r="N12" s="325" t="s">
        <v>1454</v>
      </c>
      <c r="O12" s="325"/>
      <c r="P12" s="325"/>
      <c r="Q12" s="325"/>
      <c r="R12" s="325"/>
      <c r="S12" s="325"/>
      <c r="T12" s="325"/>
      <c r="U12" s="325"/>
      <c r="V12" s="393" t="s">
        <v>2669</v>
      </c>
      <c r="W12" s="373" t="s">
        <v>2672</v>
      </c>
      <c r="X12" s="325"/>
      <c r="Y12" s="325"/>
      <c r="Z12" s="325"/>
      <c r="AA12" s="325"/>
      <c r="AB12" s="325"/>
      <c r="AC12" s="325"/>
    </row>
    <row r="13" spans="1:29" ht="54" customHeight="1">
      <c r="A13" s="21"/>
      <c r="B13" s="360"/>
      <c r="C13" s="21"/>
      <c r="D13" s="357"/>
      <c r="E13" s="144"/>
      <c r="F13" s="21"/>
      <c r="G13" s="21"/>
      <c r="H13" s="21"/>
      <c r="I13" s="21"/>
      <c r="J13" s="358"/>
      <c r="K13" s="21"/>
      <c r="L13" s="21"/>
      <c r="M13" s="359"/>
      <c r="N13" s="21"/>
      <c r="O13" s="21"/>
      <c r="P13" s="21"/>
      <c r="Q13" s="21"/>
      <c r="R13" s="21"/>
      <c r="S13" s="21"/>
      <c r="T13" s="21"/>
      <c r="U13" s="21"/>
      <c r="V13" s="82"/>
      <c r="W13" s="82"/>
      <c r="X13" s="21"/>
      <c r="Y13" s="21"/>
      <c r="Z13" s="21"/>
      <c r="AA13" s="21"/>
      <c r="AB13" s="21"/>
      <c r="AC13" s="21"/>
    </row>
    <row r="14" spans="1:29" ht="54" customHeight="1">
      <c r="A14" s="21"/>
      <c r="B14" s="360"/>
      <c r="C14" s="21"/>
      <c r="D14" s="357"/>
      <c r="E14" s="144"/>
      <c r="F14" s="21"/>
      <c r="G14" s="21"/>
      <c r="H14" s="21"/>
      <c r="I14" s="21"/>
      <c r="J14" s="358"/>
      <c r="K14" s="21"/>
      <c r="L14" s="21"/>
      <c r="M14" s="359"/>
      <c r="N14" s="21"/>
      <c r="O14" s="21"/>
      <c r="P14" s="21"/>
      <c r="Q14" s="21"/>
      <c r="R14" s="21"/>
      <c r="S14" s="21"/>
      <c r="T14" s="21"/>
      <c r="U14" s="21"/>
      <c r="V14" s="82"/>
      <c r="W14" s="82"/>
      <c r="X14" s="21"/>
      <c r="Y14" s="21"/>
      <c r="Z14" s="21"/>
      <c r="AA14" s="21"/>
      <c r="AB14" s="21"/>
      <c r="AC14"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29</vt:i4>
      </vt:variant>
    </vt:vector>
  </HeadingPairs>
  <TitlesOfParts>
    <vt:vector size="29" baseType="lpstr">
      <vt:lpstr>SUSPENDIDOS</vt:lpstr>
      <vt:lpstr>ENERO 2023</vt:lpstr>
      <vt:lpstr>FEBRERO 2023</vt:lpstr>
      <vt:lpstr>MARZO 2023</vt:lpstr>
      <vt:lpstr>ABRIL 2023</vt:lpstr>
      <vt:lpstr>MAYO 2023</vt:lpstr>
      <vt:lpstr>JUNIO 2023</vt:lpstr>
      <vt:lpstr>JULIO 2023</vt:lpstr>
      <vt:lpstr>AGOSTO 2023</vt:lpstr>
      <vt:lpstr>SEPTIEMBRE 2023</vt:lpstr>
      <vt:lpstr>OCTUBRE 2023</vt:lpstr>
      <vt:lpstr>NOVIEMBRE 2023</vt:lpstr>
      <vt:lpstr>DICIEMBRE 2023</vt:lpstr>
      <vt:lpstr>ENERO 2024</vt:lpstr>
      <vt:lpstr>FEBRERO 2024</vt:lpstr>
      <vt:lpstr>MARZO 2024</vt:lpstr>
      <vt:lpstr>ABRIL 2024</vt:lpstr>
      <vt:lpstr>MAYO 2024</vt:lpstr>
      <vt:lpstr>JUNIO 2024</vt:lpstr>
      <vt:lpstr>JULIO 2024</vt:lpstr>
      <vt:lpstr>AGOSTO 2024</vt:lpstr>
      <vt:lpstr>SEPTIEMBRE 2024</vt:lpstr>
      <vt:lpstr>OCTUBRE 2024</vt:lpstr>
      <vt:lpstr>NOVIEMBRE 2024</vt:lpstr>
      <vt:lpstr>DICIEMBRE 2024</vt:lpstr>
      <vt:lpstr>ENERO 2025</vt:lpstr>
      <vt:lpstr>FEBRERO 2025</vt:lpstr>
      <vt:lpstr>MARZO 2025</vt:lpstr>
      <vt:lpstr>ABRIL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PCC</dc:creator>
  <cp:lastModifiedBy>Talento Consultores</cp:lastModifiedBy>
  <dcterms:created xsi:type="dcterms:W3CDTF">2025-05-06T16:59:53Z</dcterms:created>
  <dcterms:modified xsi:type="dcterms:W3CDTF">2025-05-07T17:50:10Z</dcterms:modified>
</cp:coreProperties>
</file>