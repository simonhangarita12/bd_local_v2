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D:\Laura Díaz\Talento C\1 Proyectos\Proyecto Comfama - Gestión Segura\1. CRM Clientes\"/>
    </mc:Choice>
  </mc:AlternateContent>
  <xr:revisionPtr revIDLastSave="0" documentId="8_{7D0421F0-6918-4FE0-83A2-E0F30F1BEFCA}" xr6:coauthVersionLast="47" xr6:coauthVersionMax="47" xr10:uidLastSave="{00000000-0000-0000-0000-000000000000}"/>
  <bookViews>
    <workbookView xWindow="-110" yWindow="-110" windowWidth="19420" windowHeight="11500" activeTab="1" xr2:uid="{61D59FF3-5E8D-47C3-9542-C2774684F2B9}"/>
  </bookViews>
  <sheets>
    <sheet name="GRÁFICAS" sheetId="7" r:id="rId1"/>
    <sheet name="CRM ANALISTAS" sheetId="3" r:id="rId2"/>
    <sheet name="Hoja3" sheetId="8" r:id="rId3"/>
    <sheet name="PHVA" sheetId="4" r:id="rId4"/>
    <sheet name="VERO EMPRESAS ACTIVAS" sheetId="6" r:id="rId5"/>
    <sheet name="LISTA DESPLEGABLE" sheetId="5" r:id="rId6"/>
  </sheets>
  <definedNames>
    <definedName name="_xlnm._FilterDatabase" localSheetId="1" hidden="1">'CRM ANALISTAS'!$A$1:$Z$207</definedName>
    <definedName name="_xlnm._FilterDatabase" localSheetId="0" hidden="1">GRÁFICAS!$A$100:$B$100</definedName>
    <definedName name="_xlnm._FilterDatabase" localSheetId="3" hidden="1">PHVA!$A$1:$H$74</definedName>
    <definedName name="_xlnm._FilterDatabase" localSheetId="4" hidden="1">'VERO EMPRESAS ACTIVAS'!$A$1:$P$27</definedName>
    <definedName name="ACTUAR">PHVA!$B$70:$B$74</definedName>
    <definedName name="HACER">PHVA!$B$36:$B$65</definedName>
    <definedName name="PLANEAR">PHVA!$B$2:$B$35</definedName>
    <definedName name="VERIFICAR">PHVA!$B$66:$B$69</definedName>
  </definedNames>
  <calcPr calcId="191029"/>
  <pivotCaches>
    <pivotCache cacheId="0" r:id="rId7"/>
    <pivotCache cacheId="4" r:id="rId8"/>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07" i="3" l="1"/>
  <c r="Q207" i="3"/>
  <c r="E67" i="4"/>
  <c r="E12" i="4"/>
  <c r="E2" i="4"/>
  <c r="P12" i="6" l="1"/>
  <c r="P15" i="6"/>
  <c r="P14" i="6"/>
  <c r="P13" i="6"/>
  <c r="P11" i="6"/>
  <c r="P10" i="6"/>
  <c r="P9" i="6"/>
  <c r="P8" i="6"/>
  <c r="P7" i="6"/>
  <c r="P6" i="6"/>
  <c r="P5" i="6"/>
  <c r="P4" i="6"/>
  <c r="P3" i="6"/>
  <c r="P2" i="6"/>
  <c r="E37" i="4"/>
  <c r="E17" i="4"/>
  <c r="M3" i="6"/>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 i="3"/>
  <c r="N12" i="6"/>
  <c r="M4" i="6"/>
  <c r="M5" i="6"/>
  <c r="M6" i="6"/>
  <c r="M7" i="6"/>
  <c r="M8" i="6"/>
  <c r="M9" i="6"/>
  <c r="M10" i="6"/>
  <c r="M11" i="6"/>
  <c r="M13" i="6"/>
  <c r="M14" i="6"/>
  <c r="M15" i="6"/>
  <c r="M16" i="6"/>
  <c r="M17" i="6"/>
  <c r="M18" i="6"/>
  <c r="M19" i="6"/>
  <c r="M20" i="6"/>
  <c r="M21" i="6"/>
  <c r="M22" i="6"/>
  <c r="M23" i="6"/>
  <c r="M24" i="6"/>
  <c r="M25" i="6"/>
  <c r="M26" i="6"/>
  <c r="M2" i="6"/>
  <c r="J24" i="6"/>
  <c r="J16" i="6"/>
  <c r="J14" i="6"/>
  <c r="J17" i="6"/>
  <c r="J18" i="6"/>
  <c r="J2" i="6"/>
  <c r="J19" i="6"/>
  <c r="J20" i="6"/>
  <c r="J25" i="6"/>
  <c r="J26" i="6"/>
  <c r="J23" i="6"/>
  <c r="J10" i="6"/>
  <c r="J11" i="6"/>
  <c r="J15" i="6"/>
  <c r="J9" i="6"/>
  <c r="J8" i="6"/>
  <c r="J3" i="6"/>
  <c r="J21" i="6"/>
  <c r="J7" i="6"/>
  <c r="J5" i="6"/>
  <c r="J6" i="6"/>
  <c r="J4" i="6"/>
  <c r="J13" i="6"/>
  <c r="J22" i="6"/>
  <c r="J12" i="6"/>
  <c r="E55" i="4" l="1"/>
  <c r="E46" i="4"/>
  <c r="E59" i="4"/>
  <c r="E63" i="4"/>
  <c r="E50" i="4"/>
  <c r="E42" i="4"/>
  <c r="E33" i="4"/>
  <c r="E29" i="4"/>
  <c r="E25" i="4"/>
  <c r="E21" i="4"/>
  <c r="E76" i="4" s="1"/>
  <c r="H2" i="4"/>
  <c r="X64" i="3"/>
  <c r="U64" i="3"/>
  <c r="X28" i="3"/>
  <c r="U28" i="3"/>
  <c r="X53" i="3"/>
  <c r="U53" i="3"/>
  <c r="X119" i="3"/>
  <c r="U119" i="3"/>
  <c r="X120" i="3"/>
  <c r="U120" i="3"/>
  <c r="X175" i="3"/>
  <c r="U175" i="3"/>
  <c r="X189" i="3"/>
  <c r="U189" i="3"/>
  <c r="X92" i="3"/>
  <c r="U92" i="3"/>
  <c r="X102" i="3"/>
  <c r="U102" i="3"/>
  <c r="U153" i="3"/>
  <c r="U154" i="3"/>
  <c r="U155" i="3"/>
  <c r="U156" i="3"/>
  <c r="U157" i="3"/>
  <c r="U158" i="3"/>
  <c r="U159" i="3"/>
  <c r="U160" i="3"/>
  <c r="U161" i="3"/>
  <c r="U127" i="3"/>
  <c r="U128" i="3"/>
  <c r="U129" i="3"/>
  <c r="U130" i="3"/>
  <c r="U131" i="3"/>
  <c r="U132" i="3"/>
  <c r="U133" i="3"/>
  <c r="U134" i="3"/>
  <c r="U135" i="3"/>
  <c r="U136" i="3"/>
  <c r="U137" i="3"/>
  <c r="U77" i="3"/>
  <c r="U78" i="3"/>
  <c r="U79" i="3"/>
  <c r="U80" i="3"/>
  <c r="U81" i="3"/>
  <c r="U82" i="3"/>
  <c r="U83" i="3"/>
  <c r="U114" i="3"/>
  <c r="U115" i="3"/>
  <c r="U116" i="3"/>
  <c r="U117" i="3"/>
  <c r="U118" i="3"/>
  <c r="U121" i="3"/>
  <c r="U122" i="3"/>
  <c r="U123" i="3"/>
  <c r="U124" i="3"/>
  <c r="U125" i="3"/>
  <c r="U126" i="3"/>
  <c r="U96" i="3"/>
  <c r="U97" i="3"/>
  <c r="U98" i="3"/>
  <c r="U99" i="3"/>
  <c r="U100" i="3"/>
  <c r="U101" i="3"/>
  <c r="U103" i="3"/>
  <c r="U85" i="3"/>
  <c r="U86" i="3"/>
  <c r="U87" i="3"/>
  <c r="U88" i="3"/>
  <c r="U89" i="3"/>
  <c r="U90" i="3"/>
  <c r="U91" i="3"/>
  <c r="U93" i="3"/>
  <c r="U184" i="3"/>
  <c r="U185" i="3"/>
  <c r="U186" i="3"/>
  <c r="U187" i="3"/>
  <c r="U188" i="3"/>
  <c r="U190" i="3"/>
  <c r="U191" i="3"/>
  <c r="U192" i="3"/>
  <c r="U193" i="3"/>
  <c r="U194" i="3"/>
  <c r="U195" i="3"/>
  <c r="U104" i="3"/>
  <c r="U105" i="3"/>
  <c r="U106" i="3"/>
  <c r="U107" i="3"/>
  <c r="U108" i="3"/>
  <c r="U109" i="3"/>
  <c r="U110" i="3"/>
  <c r="U111" i="3"/>
  <c r="U112" i="3"/>
  <c r="U113" i="3"/>
  <c r="U167" i="3"/>
  <c r="U168" i="3"/>
  <c r="U169" i="3"/>
  <c r="U170" i="3"/>
  <c r="U171" i="3"/>
  <c r="U172" i="3"/>
  <c r="U166" i="3"/>
  <c r="U173" i="3"/>
  <c r="U174" i="3"/>
  <c r="U176" i="3"/>
  <c r="U11" i="3"/>
  <c r="U12" i="3"/>
  <c r="U13" i="3"/>
  <c r="U14" i="3"/>
  <c r="U15" i="3"/>
  <c r="U16" i="3"/>
  <c r="U17" i="3"/>
  <c r="U18" i="3"/>
  <c r="U19" i="3"/>
  <c r="U20" i="3"/>
  <c r="U49" i="3"/>
  <c r="U50" i="3"/>
  <c r="U51" i="3"/>
  <c r="U52" i="3"/>
  <c r="U54" i="3"/>
  <c r="U55" i="3"/>
  <c r="U56" i="3"/>
  <c r="U57" i="3"/>
  <c r="U58" i="3"/>
  <c r="U59" i="3"/>
  <c r="U21" i="3"/>
  <c r="U23" i="3"/>
  <c r="U24" i="3"/>
  <c r="U25" i="3"/>
  <c r="U26" i="3"/>
  <c r="U27" i="3"/>
  <c r="U29" i="3"/>
  <c r="U30" i="3"/>
  <c r="U34" i="3"/>
  <c r="U35" i="3"/>
  <c r="U36" i="3"/>
  <c r="U37" i="3"/>
  <c r="U38" i="3"/>
  <c r="U39" i="3"/>
  <c r="U40" i="3"/>
  <c r="U41" i="3"/>
  <c r="U42" i="3"/>
  <c r="U43" i="3"/>
  <c r="U61" i="3"/>
  <c r="U62" i="3"/>
  <c r="U63" i="3"/>
  <c r="U65" i="3"/>
  <c r="U66" i="3"/>
  <c r="U67" i="3"/>
  <c r="U68" i="3"/>
  <c r="U69" i="3"/>
  <c r="U70" i="3"/>
  <c r="U71" i="3"/>
  <c r="U196" i="3"/>
  <c r="U197" i="3"/>
  <c r="U198" i="3"/>
  <c r="U199" i="3"/>
  <c r="U200" i="3"/>
  <c r="U201" i="3"/>
  <c r="U202" i="3"/>
  <c r="U203" i="3"/>
  <c r="U204" i="3"/>
  <c r="U144" i="3"/>
  <c r="U145" i="3"/>
  <c r="U146" i="3"/>
  <c r="U147" i="3"/>
  <c r="U148" i="3"/>
  <c r="U149" i="3"/>
  <c r="U150" i="3"/>
  <c r="U151" i="3"/>
  <c r="U3" i="3"/>
  <c r="U4" i="3"/>
  <c r="U5" i="3"/>
  <c r="U6" i="3"/>
  <c r="U7" i="3"/>
  <c r="U8" i="3"/>
  <c r="U9" i="3"/>
  <c r="U163" i="3"/>
  <c r="U162" i="3"/>
  <c r="U164" i="3"/>
  <c r="U165" i="3"/>
  <c r="U139" i="3"/>
  <c r="U138" i="3"/>
  <c r="U140" i="3"/>
  <c r="U141" i="3"/>
  <c r="U142" i="3"/>
  <c r="U143" i="3"/>
  <c r="U178" i="3"/>
  <c r="U177" i="3"/>
  <c r="U179" i="3"/>
  <c r="U180" i="3"/>
  <c r="U181" i="3"/>
  <c r="U182" i="3"/>
  <c r="U183" i="3"/>
  <c r="U45" i="3"/>
  <c r="U44" i="3"/>
  <c r="U46" i="3"/>
  <c r="U47" i="3"/>
  <c r="U48" i="3"/>
  <c r="U73" i="3"/>
  <c r="U2" i="3"/>
  <c r="U74" i="3"/>
  <c r="U31" i="3"/>
  <c r="U60" i="3"/>
  <c r="U32" i="3"/>
  <c r="U33" i="3"/>
  <c r="U72" i="3"/>
  <c r="U205" i="3"/>
  <c r="U10" i="3"/>
  <c r="U95" i="3"/>
  <c r="U75" i="3"/>
  <c r="U76" i="3"/>
  <c r="U94" i="3"/>
  <c r="U206" i="3"/>
  <c r="U84" i="3"/>
  <c r="U152" i="3"/>
  <c r="X182" i="3"/>
  <c r="X163" i="3"/>
  <c r="L23" i="6"/>
  <c r="N23" i="6" s="1"/>
  <c r="L9" i="6"/>
  <c r="N9" i="6" s="1"/>
  <c r="L11" i="6"/>
  <c r="N11" i="6" s="1"/>
  <c r="L10" i="6"/>
  <c r="N10" i="6" s="1"/>
  <c r="L13" i="6"/>
  <c r="N13" i="6" s="1"/>
  <c r="L15" i="6"/>
  <c r="N15" i="6" s="1"/>
  <c r="L6" i="6"/>
  <c r="N6" i="6" s="1"/>
  <c r="L14" i="6"/>
  <c r="N14" i="6" s="1"/>
  <c r="L19" i="6"/>
  <c r="N19" i="6" s="1"/>
  <c r="L17" i="6"/>
  <c r="N17" i="6" s="1"/>
  <c r="L18" i="6"/>
  <c r="N18" i="6" s="1"/>
  <c r="L20" i="6"/>
  <c r="N20" i="6" s="1"/>
  <c r="L22" i="6"/>
  <c r="N22" i="6" s="1"/>
  <c r="L21" i="6"/>
  <c r="N21" i="6" s="1"/>
  <c r="L16" i="6"/>
  <c r="N16" i="6" s="1"/>
  <c r="L5" i="6"/>
  <c r="N5" i="6" s="1"/>
  <c r="L3" i="6"/>
  <c r="N3" i="6" s="1"/>
  <c r="L4" i="6"/>
  <c r="N4" i="6" s="1"/>
  <c r="L2" i="6"/>
  <c r="N2" i="6" s="1"/>
  <c r="L25" i="6"/>
  <c r="N25" i="6" s="1"/>
  <c r="L24" i="6"/>
  <c r="N24" i="6" s="1"/>
  <c r="L26" i="6"/>
  <c r="N26" i="6" s="1"/>
  <c r="Q206" i="3"/>
  <c r="L8" i="6"/>
  <c r="N8" i="6" s="1"/>
  <c r="L7" i="6"/>
  <c r="N7" i="6" s="1"/>
  <c r="X57" i="3" l="1"/>
  <c r="X32" i="3"/>
  <c r="X153" i="3"/>
  <c r="X154" i="3"/>
  <c r="X155" i="3"/>
  <c r="X156" i="3"/>
  <c r="X157" i="3"/>
  <c r="X158" i="3"/>
  <c r="X159" i="3"/>
  <c r="X160" i="3"/>
  <c r="X161" i="3"/>
  <c r="X127" i="3"/>
  <c r="X128" i="3"/>
  <c r="X129" i="3"/>
  <c r="X130" i="3"/>
  <c r="X131" i="3"/>
  <c r="X132" i="3"/>
  <c r="X133" i="3"/>
  <c r="X134" i="3"/>
  <c r="X135" i="3"/>
  <c r="X136" i="3"/>
  <c r="X137" i="3"/>
  <c r="X77" i="3"/>
  <c r="X78" i="3"/>
  <c r="X79" i="3"/>
  <c r="X80" i="3"/>
  <c r="X81" i="3"/>
  <c r="X82" i="3"/>
  <c r="X83" i="3"/>
  <c r="X114" i="3"/>
  <c r="X115" i="3"/>
  <c r="X116" i="3"/>
  <c r="X117" i="3"/>
  <c r="X118" i="3"/>
  <c r="X121" i="3"/>
  <c r="X122" i="3"/>
  <c r="X123" i="3"/>
  <c r="X124" i="3"/>
  <c r="X125" i="3"/>
  <c r="X126" i="3"/>
  <c r="X96" i="3"/>
  <c r="X97" i="3"/>
  <c r="X98" i="3"/>
  <c r="X99" i="3"/>
  <c r="X100" i="3"/>
  <c r="X101" i="3"/>
  <c r="X103" i="3"/>
  <c r="X85" i="3"/>
  <c r="X86" i="3"/>
  <c r="X87" i="3"/>
  <c r="X88" i="3"/>
  <c r="X89" i="3"/>
  <c r="X90" i="3"/>
  <c r="X91" i="3"/>
  <c r="X93" i="3"/>
  <c r="X184" i="3"/>
  <c r="X185" i="3"/>
  <c r="X186" i="3"/>
  <c r="X187" i="3"/>
  <c r="X188" i="3"/>
  <c r="X190" i="3"/>
  <c r="X191" i="3"/>
  <c r="X192" i="3"/>
  <c r="X193" i="3"/>
  <c r="X194" i="3"/>
  <c r="X195" i="3"/>
  <c r="X104" i="3"/>
  <c r="X105" i="3"/>
  <c r="X106" i="3"/>
  <c r="X107" i="3"/>
  <c r="X108" i="3"/>
  <c r="X109" i="3"/>
  <c r="X110" i="3"/>
  <c r="X111" i="3"/>
  <c r="X112" i="3"/>
  <c r="X113" i="3"/>
  <c r="X167" i="3"/>
  <c r="X168" i="3"/>
  <c r="X169" i="3"/>
  <c r="X170" i="3"/>
  <c r="X171" i="3"/>
  <c r="X172" i="3"/>
  <c r="X166" i="3"/>
  <c r="X173" i="3"/>
  <c r="X174" i="3"/>
  <c r="X176" i="3"/>
  <c r="X11" i="3"/>
  <c r="X13" i="3"/>
  <c r="X14" i="3"/>
  <c r="X15" i="3"/>
  <c r="X16" i="3"/>
  <c r="X17" i="3"/>
  <c r="X18" i="3"/>
  <c r="X19" i="3"/>
  <c r="X20" i="3"/>
  <c r="X49" i="3"/>
  <c r="X50" i="3"/>
  <c r="X51" i="3"/>
  <c r="X52" i="3"/>
  <c r="X54" i="3"/>
  <c r="X55" i="3"/>
  <c r="X56" i="3"/>
  <c r="X58" i="3"/>
  <c r="X59" i="3"/>
  <c r="X21" i="3"/>
  <c r="X22" i="3"/>
  <c r="X23" i="3"/>
  <c r="X24" i="3"/>
  <c r="X25" i="3"/>
  <c r="X26" i="3"/>
  <c r="X27" i="3"/>
  <c r="X29" i="3"/>
  <c r="X30" i="3"/>
  <c r="X34" i="3"/>
  <c r="X35" i="3"/>
  <c r="X36" i="3"/>
  <c r="X37" i="3"/>
  <c r="X38" i="3"/>
  <c r="X39" i="3"/>
  <c r="X40" i="3"/>
  <c r="X41" i="3"/>
  <c r="X42" i="3"/>
  <c r="X43" i="3"/>
  <c r="X61" i="3"/>
  <c r="X62" i="3"/>
  <c r="X63" i="3"/>
  <c r="X65" i="3"/>
  <c r="X66" i="3"/>
  <c r="X67" i="3"/>
  <c r="X68" i="3"/>
  <c r="X69" i="3"/>
  <c r="X70" i="3"/>
  <c r="X71" i="3"/>
  <c r="X196" i="3"/>
  <c r="X197" i="3"/>
  <c r="X198" i="3"/>
  <c r="X199" i="3"/>
  <c r="X200" i="3"/>
  <c r="X201" i="3"/>
  <c r="X202" i="3"/>
  <c r="X203" i="3"/>
  <c r="X204" i="3"/>
  <c r="X144" i="3"/>
  <c r="X145" i="3"/>
  <c r="X146" i="3"/>
  <c r="X147" i="3"/>
  <c r="X148" i="3"/>
  <c r="X149" i="3"/>
  <c r="X150" i="3"/>
  <c r="X151" i="3"/>
  <c r="X3" i="3"/>
  <c r="X4" i="3"/>
  <c r="X5" i="3"/>
  <c r="X6" i="3"/>
  <c r="X7" i="3"/>
  <c r="X8" i="3"/>
  <c r="X9" i="3"/>
  <c r="X162" i="3"/>
  <c r="X164" i="3"/>
  <c r="X165" i="3"/>
  <c r="X139" i="3"/>
  <c r="X138" i="3"/>
  <c r="X140" i="3"/>
  <c r="X141" i="3"/>
  <c r="X142" i="3"/>
  <c r="X143" i="3"/>
  <c r="X178" i="3"/>
  <c r="X177" i="3"/>
  <c r="X179" i="3"/>
  <c r="X180" i="3"/>
  <c r="X181" i="3"/>
  <c r="X183" i="3"/>
  <c r="X45" i="3"/>
  <c r="X44" i="3"/>
  <c r="X46" i="3"/>
  <c r="X47" i="3"/>
  <c r="X48" i="3"/>
  <c r="X73" i="3"/>
  <c r="X2" i="3"/>
  <c r="X74" i="3"/>
  <c r="X31" i="3"/>
  <c r="X60" i="3"/>
  <c r="X33" i="3"/>
  <c r="X72" i="3"/>
  <c r="X205" i="3"/>
  <c r="X10" i="3"/>
  <c r="X95" i="3"/>
  <c r="X75" i="3"/>
  <c r="X76" i="3"/>
  <c r="X94" i="3"/>
  <c r="X206" i="3"/>
  <c r="X84" i="3"/>
  <c r="X152" i="3"/>
  <c r="N27" i="6" l="1"/>
</calcChain>
</file>

<file path=xl/sharedStrings.xml><?xml version="1.0" encoding="utf-8"?>
<sst xmlns="http://schemas.openxmlformats.org/spreadsheetml/2006/main" count="3519" uniqueCount="487">
  <si>
    <t>Etiquetas de fila</t>
  </si>
  <si>
    <t>Cuenta de Conexión</t>
  </si>
  <si>
    <t>AGROINSUMOS VILLACLARA SAS</t>
  </si>
  <si>
    <t>ALMA BOTANICA SAS</t>
  </si>
  <si>
    <t>ANA CAMPUZANO ARBOLEDA</t>
  </si>
  <si>
    <t>BLACKRIVER FLOWERS SAS C I</t>
  </si>
  <si>
    <t>BORJA FLOWERS SAS</t>
  </si>
  <si>
    <t>CARNES MONTECARLO</t>
  </si>
  <si>
    <t>CI FLORES MUNDO COLORES SAS</t>
  </si>
  <si>
    <t>EMTURPE LIMITADA</t>
  </si>
  <si>
    <t>ESTRUCTURAS METALICAS DEL CHOCO</t>
  </si>
  <si>
    <t>FOTO SCANNER</t>
  </si>
  <si>
    <t>HYDRANFLOWERS S.A.S</t>
  </si>
  <si>
    <t>INVERSIONES VALLEJUELO S.A.S.</t>
  </si>
  <si>
    <t>JORGE ELIECER GOMEZ</t>
  </si>
  <si>
    <t>JULIAN GALLEGO CASTRO</t>
  </si>
  <si>
    <t>LACTEOS BUENA VISTA SABORES NATURALES S A</t>
  </si>
  <si>
    <t xml:space="preserve">LOPETRANS SAS </t>
  </si>
  <si>
    <t xml:space="preserve">MADERAS SAN RAFAEL </t>
  </si>
  <si>
    <t xml:space="preserve">OLGA LÓPEZ </t>
  </si>
  <si>
    <t>PROSOLAR S.A.S</t>
  </si>
  <si>
    <t xml:space="preserve">SAÚL GÓMEZ </t>
  </si>
  <si>
    <t xml:space="preserve">SUMINISTRO Y TRANSPORTE DE MATERIAL RIOS Y FLOREZ SAS </t>
  </si>
  <si>
    <t>TECCONS S.A.S</t>
  </si>
  <si>
    <t>TROPICAL1987</t>
  </si>
  <si>
    <t>URANTUS GREENHOUSES S.A.S</t>
  </si>
  <si>
    <t>VANESSA VARGAS ALZATE</t>
  </si>
  <si>
    <t>Total general</t>
  </si>
  <si>
    <t>(en blanco)</t>
  </si>
  <si>
    <t>Cuenta de NÚMERO DE EMPLEADOS</t>
  </si>
  <si>
    <t>Nombre de la empresa</t>
  </si>
  <si>
    <t>DÍAS EN EL PROGRAMA</t>
  </si>
  <si>
    <t>FECHA INICIO DEL PROGRAMA</t>
  </si>
  <si>
    <t>MES DE INICIO COBERTURA</t>
  </si>
  <si>
    <t>MESES A CORTE 30 DE MAYO</t>
  </si>
  <si>
    <t>Día</t>
  </si>
  <si>
    <t>Programa</t>
  </si>
  <si>
    <t>Analista</t>
  </si>
  <si>
    <t>Nombre</t>
  </si>
  <si>
    <t>Tipo de documento</t>
  </si>
  <si>
    <t xml:space="preserve">N.Identificación </t>
  </si>
  <si>
    <t>Correo electrónico1</t>
  </si>
  <si>
    <t>Número de celular</t>
  </si>
  <si>
    <t>NIT</t>
  </si>
  <si>
    <t>Conexión</t>
  </si>
  <si>
    <t>Hora</t>
  </si>
  <si>
    <t xml:space="preserve">NIVEL DE RIESGO </t>
  </si>
  <si>
    <t xml:space="preserve">VALOR </t>
  </si>
  <si>
    <t xml:space="preserve"> HUBO CONEXIÓN </t>
  </si>
  <si>
    <t>CICLO</t>
  </si>
  <si>
    <t>ESTANDAR 0312 DE 2019</t>
  </si>
  <si>
    <t>PORCENTAJE</t>
  </si>
  <si>
    <t>Acompañamiento 1</t>
  </si>
  <si>
    <t>FECHA DE INFORME</t>
  </si>
  <si>
    <t>NÚMERO DE EMPLEADOS</t>
  </si>
  <si>
    <t>ACTIVO/INACTIVO</t>
  </si>
  <si>
    <t>MAYO</t>
  </si>
  <si>
    <t>MARTES</t>
  </si>
  <si>
    <t>TU EMPRESA SEGURA</t>
  </si>
  <si>
    <t>LUZ</t>
  </si>
  <si>
    <t xml:space="preserve">ALEXIS PÉREZ GÓMEZ </t>
  </si>
  <si>
    <t>Cédula de Ciudadanía</t>
  </si>
  <si>
    <t>contacto@villaclara.com.co</t>
  </si>
  <si>
    <t>11:30 a.m</t>
  </si>
  <si>
    <t>si</t>
  </si>
  <si>
    <t>PLANEAR</t>
  </si>
  <si>
    <t>1.0.6 Diagnóstico del Sistema de Gestión de Seguridad y Salud en el Trabajo (SG-SST) 0312 DE 2019</t>
  </si>
  <si>
    <t>No firmo firma de termminos y condiciones por temas de no tener contraseña y usuario,se le presenta el programa .se le realiza evaluacion inicial</t>
  </si>
  <si>
    <t>ACTIVO</t>
  </si>
  <si>
    <t>ABRIL</t>
  </si>
  <si>
    <t xml:space="preserve">VIERNES </t>
  </si>
  <si>
    <t xml:space="preserve">Juan Diego </t>
  </si>
  <si>
    <t xml:space="preserve">MERCEDES CARVAJAL OSPINA </t>
  </si>
  <si>
    <t>mercedesemprendedora2023@gmail.com</t>
  </si>
  <si>
    <t>11:30a.m</t>
  </si>
  <si>
    <t xml:space="preserve">si </t>
  </si>
  <si>
    <t>1.0.4 Acompañamiiento/Asesoría sobre SGSST</t>
  </si>
  <si>
    <t>el dia martes 1 de abril  se llamo a la empresa para poder validar si se peude contactar ya que s ehabia intentado anteriormente y no se habia logrado 
Presentación del Programa: Registro Usuario y contraseña, términos y condiciones y se explica reporte de incidentes y accidentes ante la ARL</t>
  </si>
  <si>
    <t>1.0.8 Ruta de Bienestar Savanna</t>
  </si>
  <si>
    <t xml:space="preserve">Se presenta el programa de Savanna con la Psicóloga Lorena, La primera conexión con la empresa se tuvo el día 11 de abril se hablo sobre toda la parte psicosocial que brinda la empresa 
-Savanna 
-asesorías psicológicas 
-Capacitaciones y talleres 
Se brindo toda la información de Savanna, se mostró plataforma y se envió el Excel para diligenciar información de los empleados y crear usuario y contraseña 
Se dio a conocer modalidad de asesorías psicológicas y la importancia de esta en las empresas 
Y al finalizar se dio a conocer las múltiples capacitaciones psicosociales que podemos trabajar durante el año. </t>
  </si>
  <si>
    <t>0.1 Trabajo autónomo analista en plataforma</t>
  </si>
  <si>
    <t>DIA FESTIVO</t>
  </si>
  <si>
    <t>1.1.1. Responsable del Sistema de Gestión de Seguridad y Salud en el Trabajo SG-SST</t>
  </si>
  <si>
    <t>se inicia con la asignacion de responsable del SGSST y se continua con el procedimiento de gestion documental; se deja pendiente la realizacion de los examenes medicos ocupacionales</t>
  </si>
  <si>
    <t>1.0.3 Navegando en  la plataforma y beneficios del programa</t>
  </si>
  <si>
    <t>se realiza registro de empleados en plataforma</t>
  </si>
  <si>
    <t>se consulta sobre estado de examenes médicos, se explican los tipos segun la normativa y se  asignan responsabilidades</t>
  </si>
  <si>
    <t>Se realiza, acta de actividades de alto riesgo, se ingresan planillas de examenes medicos</t>
  </si>
  <si>
    <t>SI</t>
  </si>
  <si>
    <t>Se xplica la importancia de los examenes médicos, como hacer lagestion, y se empieza a registrar el personal</t>
  </si>
  <si>
    <t>MARZO</t>
  </si>
  <si>
    <t>Cristhian</t>
  </si>
  <si>
    <t>Ana Maria Campuzano Arboleda</t>
  </si>
  <si>
    <t>anam_campuzano@hotmail.com</t>
  </si>
  <si>
    <t>1.0.0 Bienvenida</t>
  </si>
  <si>
    <t>Bienvenida al programa, se le explica detalladamente en que consiste y la duración estimada, se Indica cómo firmar los términos y condiciones, se agenda la reunión periódica, semanal, los viernes de 11:30 a 12:15pm</t>
  </si>
  <si>
    <t>1.0.5 Diagnóstico de Madurez</t>
  </si>
  <si>
    <t>Se realiza el diagnostico de madurez</t>
  </si>
  <si>
    <t xml:space="preserve"> </t>
  </si>
  <si>
    <t>Se realiza la evaluacion inicial del sistema de gestion, se dan recomendaciones iniciales</t>
  </si>
  <si>
    <t xml:space="preserve">no </t>
  </si>
  <si>
    <t xml:space="preserve">El 24 de abril del 2025 me transfieren a Doña ana ,Era del analista Cristian. </t>
  </si>
  <si>
    <t>JUEVES</t>
  </si>
  <si>
    <t>1.0.1 Firma de Términos y Condiciones</t>
  </si>
  <si>
    <t>La señora ana refiere que con en analista Cristian se realizo,Firma de documento de  terminos y condiciones,cuenta con contraseña y usuario,se le realizo el diagnostico inicial.Hoy 24 de abril,se le informanuevamente del programa,se actualiza informacion de empresa,se le solicita documentos rut ,camara y comercio etc,se le informa del procedimiento del archivo documental y su importancia para continuar diligenciando documentos y se le explica el numerar 1.1.4.</t>
  </si>
  <si>
    <t>se realiza archivo documental,se revisa numeral 1.1.4,tarea subir el perfilsociodemogradico,se realiza diligenciamiento del responsable sst.</t>
  </si>
  <si>
    <t xml:space="preserve">Envia correo de inconveniente en conexion,se deja tareas por correo para proximo encuentro. </t>
  </si>
  <si>
    <t>10:35a.m</t>
  </si>
  <si>
    <t>Se verifica numerales del planear en archivo documental,se explica el tema de archivo documental del hacer y para la proxima reunion se realizara el tema de plan anual de trabajo.</t>
  </si>
  <si>
    <t xml:space="preserve">Envia correo de inconveniente en conexion,por temas de cita medica que se cruzaba con la conexion.solicita reprogramar para otro dia o enviarle tareaspor correo. </t>
  </si>
  <si>
    <t>2.5.1 Archivo o retención documental del Sistema de Gestión en Seguridad y Salud en el Trabajo SG-SST</t>
  </si>
  <si>
    <t>LA señora ana refiere que esta interesada en continuar con lña plataforma,solo que tiene un nuevo trabajo y no le dara tiempo para conectarse,enviara correo para reprogramar tiempos o espacio de conexion ,por este motivo solo se realiza numeral 2.5.1 ,se verifica 1.1.4 ,se realiza verificacion del 3.1.1.1.,depende de la solucion al correo que envie doña ana se realizara cronograma teniendo encuenta que es solo ella y un trabajador.</t>
  </si>
  <si>
    <t>Juan Diego</t>
  </si>
  <si>
    <t>MELISSA MARIA ROMAN BURITICA</t>
  </si>
  <si>
    <t>gestionhumana@blackriverflowers.com</t>
  </si>
  <si>
    <t>10:40a. m.</t>
  </si>
  <si>
    <t xml:space="preserve">el dia viernes 21 de marzo se llamo a la empresa para validar la llegada del correo electronico con el usuario y la contraseña a lo cual indicaron que si les llego y que no han tenido ningun inconveniente </t>
  </si>
  <si>
    <t>0. No participación de empresa</t>
  </si>
  <si>
    <t>Se actualiza plantilla de evaluacion inicial  para la empresa, y seempieza con la  codificacion , y procedimiento de listado maestro de documentos</t>
  </si>
  <si>
    <t xml:space="preserve">se continua con la codificacion de documentos </t>
  </si>
  <si>
    <t>no se conecta, se realizan las llamadas por wassap y telefonicas, y no se recibe respuesta, se gestiona documento de asignaion de responsable</t>
  </si>
  <si>
    <t>no se conecta, escribo via whatsap, y me responden que no habia recibido la invitacion y por ende no estaba agendada para atenderme, verifico con la compañera Paula, y verificamos que la invitacion fue enviada al correo asignado por el cliente</t>
  </si>
  <si>
    <t>8:05a. m.</t>
  </si>
  <si>
    <t>1.1.4 Afiliación al Sistema General de Riesgos Laborales</t>
  </si>
  <si>
    <t>Se realiza la conexion a las 8:41am no le fue posible conectarse antes,se le verifica firma de terminos y condiciones,la señora melissa actualizo documentos de la empresa en la plataforma,adicional de le indica como se realiza el numeral 1.1.4 y el 2.5.1 ,subira el perfil sociodemografico y se le endica que para realizar capacitaciones debemos realizar el diagnostico inicial el 22 de mayo y ahi ingresamos a realizar cronograma.</t>
  </si>
  <si>
    <t>Se realiza la evaluacion inicial del  diagnostico sst,se le solicita documentos para actualizacion de datos e empresa.</t>
  </si>
  <si>
    <t xml:space="preserve">1.0.9 Savanna Ruta de Bienestar </t>
  </si>
  <si>
    <t>Por temas de energia en sistegra, no fue posible la conexiony reprogramar tampoco por agenda copada.</t>
  </si>
  <si>
    <t>1.2.1 Programa Capacitación promoción y prevención PYP</t>
  </si>
  <si>
    <t>se visualisa terminos y condiciones firmada y compartida por correo,se le compartira cronograma de capacitaciones y cronograma anual de cumplimiento  0312,se verificara la contraseña y usuario para plataforma de capacitacion,no tiene datos para ingresar y solicita modificacion en representante legal porque no es ella ,melisa es de gestion humana.</t>
  </si>
  <si>
    <t>1.0.2 Socialización SGSST</t>
  </si>
  <si>
    <t>estando conectado a la hora en punto, dicen que no asistira, ya que el 12 de mayo se reuniran con Laura DIaz</t>
  </si>
  <si>
    <t>LUNES</t>
  </si>
  <si>
    <t>Se muestran los beneficios del programa y se rrealiza cambio de analista con nuevo horario para facilitar al cliente las conexiones.</t>
  </si>
  <si>
    <t>menciona qe realiza cambio de horario autorizado por Laura Diaz</t>
  </si>
  <si>
    <t xml:space="preserve">CLAUDIA PATRICIA MOLINA SANTOS </t>
  </si>
  <si>
    <t>clau300625@hotmail.es</t>
  </si>
  <si>
    <t>3:55p. m.</t>
  </si>
  <si>
    <t>Se reagenda espacio por calamidad de analista, se reprograma para el día 12 de abril</t>
  </si>
  <si>
    <t>Se adelanta documento de asignacion del responsable</t>
  </si>
  <si>
    <t>siendo la hora de conexion el usuario no se presenta, llamo via wassap y telefonicamente, y no recibo respuesta, se envia correo de citacion, se verifica el link y es el dado por el usuario, SE REALIZA FORMATO DE EVALUACION INICIAL, PARA CONTINUAR CON LOS CICLOS DEL P.HV.A</t>
  </si>
  <si>
    <t>se explica programa y se da induccion de la plataforma</t>
  </si>
  <si>
    <t>en la hora indicada se contacta a la persona enlace, me indica que no sera posible reunirse hoy porque esta en obra.</t>
  </si>
  <si>
    <t>0. No conexión</t>
  </si>
  <si>
    <t>No se realizo la conexion por temas de coordinacion con correo .</t>
  </si>
  <si>
    <t>Se raliza confirmacion de que debido a que la persona enlace estaba en cmpo no puede acceder a la asesrria, se adelanta asit¿gnacion de responsabilidades</t>
  </si>
  <si>
    <t>No se conecto a la  conexion por temas de su agendamiento.olvido la conexion.dice via llamada telefonica.</t>
  </si>
  <si>
    <t>8:05 a. m.</t>
  </si>
  <si>
    <t>llevo junio 3 y 10 que el cliente No se conecta,no responde whatsapp ,ni la  llamada telefonica,venia del analista juan</t>
  </si>
  <si>
    <t>JUBER NEVARDO MARTINEZ GIRALDO</t>
  </si>
  <si>
    <t>adm.car.mc@gmail.com</t>
  </si>
  <si>
    <t>1:15 p.m</t>
  </si>
  <si>
    <t>Solicita reprogramar reunion para otro dia,teniendo en cuenta que la agenda esta copada ,se le enviara por correo tareas para la proxima conexion.</t>
  </si>
  <si>
    <t xml:space="preserve"> 24/04/2025</t>
  </si>
  <si>
    <t>El dia 24 de abril  quedamos pendientes de enviarle la contraseña y usuario,se le explica Dara por medio de la plataforma de luz estrada,como es el manejo de la plataforma,donde esta el documento de terminos y condiciones y la importancia de generar los archivos documentales para que sea mas efectivo el diligenciar los documentos.</t>
  </si>
  <si>
    <t>Envia mensaje whatsapp que olvido la conexion.</t>
  </si>
  <si>
    <t>se realiza evaluacion inicial (Critico)se envia correo de paso a paso para montar registro de afiliacion y documento del perfil.</t>
  </si>
  <si>
    <t>refiere que el dia de hoy no tiene energia y los datos no le dan para la conexion,enviara correo.</t>
  </si>
  <si>
    <t>MONICA YANETH OCAMPO SERNA</t>
  </si>
  <si>
    <t>floresmundocolores@gmail.com</t>
  </si>
  <si>
    <t>3:05PM</t>
  </si>
  <si>
    <t>se orgniza la plantilla de evaluacion inicial,con los datos de la empresa, se nicia codificacion</t>
  </si>
  <si>
    <t>serealiza documento de asignacion del responsable,</t>
  </si>
  <si>
    <t>Se solicitan documentos legales y se realiza registro de empleados en plataforma, se revisa la firma y queda adjuntada, se inicia diagnostico d emadurezen plataforma</t>
  </si>
  <si>
    <t>no se realiza conexion via internet, por fallas en la red potr aprte del cliente, se da instruccion via telefonica de registrar los empleados en plataforma, y como hacerlo</t>
  </si>
  <si>
    <t>9:00AM</t>
  </si>
  <si>
    <t>Se revisa terminos y condiciones,se le solicita logo de la empresa,se diligencia documento de responsable sst,se digitan 15 documentos de ejemplo para archivo documental,se le envia correo de paso a paso para diligenciar documento perfilsociodemografico y como subir documentos del numeral 1.1.4.</t>
  </si>
  <si>
    <t>Se sube el logo a la plataforma,severifica el perfilsociodemografico,firma de responsabilidad  y funciones del SG-SST ,Proxima reunion serrealizara evaluacion inicial y documento de terminos y condiciones.</t>
  </si>
  <si>
    <t>1.1.2 Responsabilidades en el Sistema de Gestión de Seguridad y Salud en el Trabajo – SG-SST</t>
  </si>
  <si>
    <t>Se firma terminos y condiciones,envio pdf y se realiza evaluacion inicicial (critico)</t>
  </si>
  <si>
    <t>Se realiza revision del hacer esta diligenciado pero la señora monica manifiesta que nunca lo a realizado,porque no recuerda como se hace,se le notifica el procedimiento de la politica y por temas de tiempo en su conexion no se logro realizar el cronograma.</t>
  </si>
  <si>
    <t>8:05-8:50AM</t>
  </si>
  <si>
    <t>NO</t>
  </si>
  <si>
    <t>se inicia con la codificacion</t>
  </si>
  <si>
    <t xml:space="preserve">Jorge ignacio Martínez García </t>
  </si>
  <si>
    <t>j73jimg@hotmail.com</t>
  </si>
  <si>
    <t>7:15a. m.</t>
  </si>
  <si>
    <t xml:space="preserve">se realiza la reunion de bienvenida pero en la mitad de la reunion se tuvieron problemas de connexion por lo cual se finaliza la misma </t>
  </si>
  <si>
    <t xml:space="preserve">no se realiza conexión por que el señor encargado no se conecto al encuentro </t>
  </si>
  <si>
    <t>no se realiza conexión por que era viernes de semana sanrta</t>
  </si>
  <si>
    <t>S hace presentacion de analista y de la plataforma Sistegra, se Solicitan documentos legales: RUT, Documento delgerente, camara de comercio, dos ultimos pagos de seguridad social, examenes medicos(pendientes por realizar), se solicita carta de afilizacion a la ARL</t>
  </si>
  <si>
    <t>el dos de mayo, no se reporta conexion a la hora establecida, 15 minutos antes llamo al contactto que esat en la base de datos compartida, via wassap, telefono y no hay respeusta, espero hasta las 7:26 am</t>
  </si>
  <si>
    <t>se revisa usuario y contraseña en plataforma y se resuelven dudas frente al programa tu empresa segura, se revisa terminos y condiciones y esta al dia, quedamos en enviar examenes médicos y otra documentacion de soporte legal al analista, ya que, no tienen examenes médicos ocupacionales</t>
  </si>
  <si>
    <t>se solicita nuevamente la realizacion de los examenes medicos ocupacionales, se verifica firma de terminos y condiciones y se da un panorama orientador del programa tue empresa segura y de la plataforma</t>
  </si>
  <si>
    <t>Se inicia con la asigacion del responsable en la plataforma, y se informa que se estan adelantando examenes medicos solicitados</t>
  </si>
  <si>
    <t>se consulta sobre el estado de la  capacitacion en equipos de emergencia, ya que el Sr.tenia dudas sobre el  tipo de extintores para su empresa, se adelanta diligenciamiento de asignacion del responsable y recibo  de planillas de seguridad social</t>
  </si>
  <si>
    <t>Se realiza registro de empleados, asignacion de responsabilidades</t>
  </si>
  <si>
    <t>se realiza codificacion de documentos</t>
  </si>
  <si>
    <t>10:40 a.m</t>
  </si>
  <si>
    <t>Bienvenida al programa, No firmo firma de termminos y condiciones por temas de no tener contraseña y usuario,se le presenta el programa .se le realiza evaluacion inicial</t>
  </si>
  <si>
    <t>Kerly Andrea Ortiz Ramirez</t>
  </si>
  <si>
    <t>Kerlyandreaortiz1407@gmail.com</t>
  </si>
  <si>
    <t>1:00 p.m</t>
  </si>
  <si>
    <t>Se realiza bienvenida, no firmo firma de termminos y condiciones por temas de no tener contraseña y usuario,se le presenta el programa .</t>
  </si>
  <si>
    <t>se realiza explicacion de la plataforma,se explica el numeral 1.1.4 y 2.5.1 .ya que se conecto 25 minutos luego no se pudo reaalizar la evauzaion inicial.</t>
  </si>
  <si>
    <t>se firma terminos y condiciones,envia el PDF,se adelanta numeral 2.5.1.</t>
  </si>
  <si>
    <t>LUISA GARCIA</t>
  </si>
  <si>
    <t>luisayepes02@gmail.com</t>
  </si>
  <si>
    <t>11:00a. m.</t>
  </si>
  <si>
    <t xml:space="preserve">Bienvenida al programa, se le explica detalladamente en que consiste y la duración estimada, se Indica cómo firmar los términos y condiciones, se agenda la reunión periódica, semanal, los viernes de 3:00 a 3:45pm, se actualiza el correo de contacto: claoarbo@hotmail.com </t>
  </si>
  <si>
    <t>3:00PM</t>
  </si>
  <si>
    <t xml:space="preserve">No hubo conexión </t>
  </si>
  <si>
    <t xml:space="preserve">JUAN DIEGO </t>
  </si>
  <si>
    <t>se da un panorama orientador de la plataforma, se explica en que consiste el sgsst y el programa tu empresa segura, se empieza registro de usuarios y administradores en plataforma</t>
  </si>
  <si>
    <t>se hace solicitud de documentos de la empresa: Rut, camara de comercio, ultimos dos pagos de planilla de seg. social, logotipo de la empresa; se inicia con el registro de usuarios y administradores</t>
  </si>
  <si>
    <t>se se solicitam y se envia documentos de seg. social, y documentos del sistema de gestion, se explica mas a profundiad el programa tu empresa segura, por dudas del cliente</t>
  </si>
  <si>
    <t>VIERNES</t>
  </si>
  <si>
    <t>se contacta en lahora indicada y la persona enlace,  me indica que se leha dificultado ingresar,le nevio ellink de teamas y no recibo  respuesta</t>
  </si>
  <si>
    <t>Se contacta por via wassap y telefonica y no se recibe respuesta, se adelanta revision de asignaicon de responsabilidades</t>
  </si>
  <si>
    <t xml:space="preserve">MARTES  </t>
  </si>
  <si>
    <t>LIANA OCAMPO</t>
  </si>
  <si>
    <t>Locampo@picados.com.co</t>
  </si>
  <si>
    <t>11:00 AM - 12:00  PM</t>
  </si>
  <si>
    <t>Pendiente firma de representante legal en responsabilidades del sistema de gestion y en termino y condiciones,pendiente enviar correo con documentos de rut y camara y comercio se realizo el diagnostico inicial.</t>
  </si>
  <si>
    <t>el dia viernes 22 de abril Doña Liliana ocampo refiere manejar la plataforma y queda pendiente por su parte enviar correo electronico con rut,camara y comercio,logo,ARL.EPS Y adjuntar en el numeral 1.1.4 los certificados mes a mes de afiliaciones ,refiere tambien ya haber firmado terminos y condiciones .</t>
  </si>
  <si>
    <t xml:space="preserve">problemas con el interneth y conexion luz estrada ver correo del dia 30/4/2025 donde se informa el inconveniente con mi plataforma,no podia conectarme.
</t>
  </si>
  <si>
    <t>se realiza  diligenciamiento de documento de responsable,,se inicia con archivo documental y se deja tarea de diligenciamiento de perfilsociodemografico.</t>
  </si>
  <si>
    <t>HACER</t>
  </si>
  <si>
    <t>3.1.1 Descripcion sociodemografica.Diagnostico de Condiciones de Salud</t>
  </si>
  <si>
    <t>se continua diligenciando el archivo documental,pendiente perfilsociodemografico,no se adelanta mucho porque no era claro el tema de evidencias de perfil y de archivo documental.solicita correo de la grabacion de la conexion.</t>
  </si>
  <si>
    <t>Solicita que se le revise todo el numeral 2.5.1 cree que repitio datos,solicita paso a paso de subir firmas y enviar correo del numeral 1.1.4 para subir evidencias.</t>
  </si>
  <si>
    <t>0. No conexión Savanna</t>
  </si>
  <si>
    <t>Se realiza evalucion inicial  y se revisa numeral 1.1.4 (Aceptable)</t>
  </si>
  <si>
    <t xml:space="preserve">Jorge Eliecer Gómez Garcia  </t>
  </si>
  <si>
    <t xml:space="preserve">gerenciacakareos@gmail.com </t>
  </si>
  <si>
    <t>Esta en duda si continua con tu empresa segura comfama o sigue con las niñas que le llevan el sistema en el momento.</t>
  </si>
  <si>
    <t>Refiere que espero todo el dia la conexion ,pero hay evidencias que no contesto el celular en llamada ,ni mensaje de whatsapp.en la grabacion de la misma fecha d econexion.</t>
  </si>
  <si>
    <t xml:space="preserve">LADY NATALIA RODRÍGUEZ OSPINA </t>
  </si>
  <si>
    <t>Natalia.rodriguez7209@gmail.com</t>
  </si>
  <si>
    <t>1:00p.m.</t>
  </si>
  <si>
    <t>el dia viernes 21 de marzo se llamo a la empresa para validar la llegada del correo electronico con el usuario y la contraseña a lo cual indicaron que si les llego y que no han tenido ningun inconveniente.
Primer conexión explicación del proyecto</t>
  </si>
  <si>
    <t>SABADO</t>
  </si>
  <si>
    <t>Segunda conexión validación de usuario y contraseña, firma de de Términos y Condiciones</t>
  </si>
  <si>
    <t>8:05AM</t>
  </si>
  <si>
    <t>Se realiza diagnóstico de madurez, con resultado aprobado y se adelanta términos y condiciones y se inicia perfil sociodemográfico, y se envía estándar de seguridad de cuchillo para la cocina.</t>
  </si>
  <si>
    <t>se inicia a las8:am, se consulta sobre novedades de ausentismos por vacaciones y no se reportan, se consulta sobre novedades de acceso a plataforma y no se reportan novedades negativas, se inicia con la carga de examenes médicos en el modulo de salud laboral y de apgo de seguridad social en pago al sgrl, se continua con la evaluacion inicial para ir generando el puntaje segun los requerimientos de la Res. 0312 del 2019, terminamos a las 9am</t>
  </si>
  <si>
    <t>1.1.3 Asignación de recursos para el Sistema de Gestión en Seguridad y Salud en el Trabajo – SG-SST</t>
  </si>
  <si>
    <t>S e ingresa incapacidad a regi. de ausentismos en plataforma, tambien,se diligenca el  indicador de enfermedd general; se avanza en la matriz de asignacion de recursos; y se envia el MEDEVAC</t>
  </si>
  <si>
    <t>1.1.6 Conformación COPASST</t>
  </si>
  <si>
    <t>se avanza en la conformacion del copasst</t>
  </si>
  <si>
    <t>1.0.8 Acompañamiento AT/EL</t>
  </si>
  <si>
    <t>se programan las dos asesorias para el 7 de junio, se reporta accidente laboral en ausencia de la  administradora y se hace seguimiento a la  trabajadora</t>
  </si>
  <si>
    <t>Dora Luz Arbelaez</t>
  </si>
  <si>
    <t>doraluzarbelaez@gmail.com</t>
  </si>
  <si>
    <t>1:40PM</t>
  </si>
  <si>
    <t>Bienvenida al programa, se le explica detalladamente en que consiste y la duración estimada, se Indica cómo firmar los términos y condiciones, se agenda la reunión periódica, semanal, los viernes de 1:30 a 2:15Pm</t>
  </si>
  <si>
    <t>se le da la bienvenida a la señora Alejandra quien es la responsable del SG.SST de la empresa, y se inicia con el diagnostico de madurez</t>
  </si>
  <si>
    <t>Se realiza el ultimo cuestionario del diagnotico de madurez con la señora Alejandra y se le asigna la tarea de registrar los trabajadores con el perfil sociodemografico</t>
  </si>
  <si>
    <t>se adelanta codificacion de documentos</t>
  </si>
  <si>
    <t>Se solicitann documentos legales, informe de estandares ante el ministerio y ARL, se adjunta la firma y se hace registro de empleados  en plataforma</t>
  </si>
  <si>
    <t>se revisa tareas adelantadas la sesion anterior, y no se han ejecutado por aprte del responsable enlace sst, se explica como vamos a codificar la documentacion y la importancia de registrar los empleados y enviar la documentacion legal de la empresa lo antes posible</t>
  </si>
  <si>
    <t>se consulta como ha diso el acceso a plataforma, se adelanta codificacion del ciclo del planear, se sube perfil sociodemográfico y quedamos pendientes en la planilla de seg. actualizada de abril</t>
  </si>
  <si>
    <t>se realiza registro de personal en plataforma,quedamos pendientes en envio de dcumentacion y seg. social</t>
  </si>
  <si>
    <t>se realiza registro de personal en plataforma, se recibe documento legales de la empresa y se hacen asignación delresponsable y asignación  de responsabilidades en la evaluacion inicial</t>
  </si>
  <si>
    <t>se realiza Alimentacion de indicadores de mayo, registro de ausentismo de una persona incapacitadase se realiza asignacion de recursos</t>
  </si>
  <si>
    <t>JUAN FELIPE LÓPEZ OROZCO</t>
  </si>
  <si>
    <t>felipelopezorozco2020@gmail.com ,lopetransvolq@gmail.com</t>
  </si>
  <si>
    <t>7:00AM</t>
  </si>
  <si>
    <t>Bienvenida al programa, se le explica detalladamente en que consiste y la duración estimada, se Indica cómo firmar los términos y condiciones, se agenda la reunión periódica, semanal, los Lunes de 7:15 a 8:00am</t>
  </si>
  <si>
    <t>Se reviso la firma de aceptación de términos y condiciones y se realizo el diagnostico de madurez</t>
  </si>
  <si>
    <t>Se inició la evaluación inicial del SG-SST</t>
  </si>
  <si>
    <t>Se finaliza la evaluación inicial del SG-SST</t>
  </si>
  <si>
    <t>El dia 22 de abril se realiza reunion virtual a las 7:15 am,con la señora Ana Maria,manifiesta:  1.Entender la plataforma            2.Haber firmado el documento de terminos y condiciones                3.Pendiente el analista anterior enviarle la calificacion del sistema de gestion.               TAREAS POR PARTE DE LA EMPRESA SEGURA COMFAMA:Realizar el archivo documenttal del cliente y proseguir a diligenciar el documento de responsable del SG-SST.                                    TAREAS POR PARTE DE LOPETRANS :Anexar al item de planear numeral 1.1.4 los reportes de afiliaciones y en el item de hacer numeral 3.1.1 y me dirije al numeral 3.1.1.2 del perfilsociodemografico.Abril 29 la señora ana maria ingresa al programa afiliaciones y nos comparte documentos de la empresa,REAMILAZARA PARA EL PROXIMO ENCUENTRO archivo documental.</t>
  </si>
  <si>
    <t>1.0.8 Savanna Campañas de Sencibilización</t>
  </si>
  <si>
    <t>Se diligencia documento de  responsable del sistema de gestion y se le explica como comenzar con el numeral 2.5.4 archivo documental.</t>
  </si>
  <si>
    <t xml:space="preserve">la señora ana refiere que no a podido adelantar el numera 2.5.1 y no le a sido posible completar documento de responsables del sg-sst,HOY se realiza 10 diligenciamientos de documentos del 2.5.1 .enviara documentos de RUT,CAMARA Y COMERCIO ,ARL Y LOGO. </t>
  </si>
  <si>
    <t>se revisa y diligencia numeral 2.5.4 archivo documental , se revisa numeral 1.4.1 ,pendiente para la proxima conexion evaluacion inicial del sistema de gestion..</t>
  </si>
  <si>
    <t>2.1.1 Política del Sistema de Gestión de Seguridad y Salud en el Trabajo SG-SST firmada, fechada y comunicada al COPASST</t>
  </si>
  <si>
    <t>Se termina el numeral 2.5.1 del planear,se inicia el del hacer,ya cuenta con calificacion del sistema (Cristian Gomez lo realizo),Solicita Doña ana compartirle documento para socializar la politica ,ES DECIR LISTA DE ASISTENCIA.SOLICITA GRABACION DEL TEMA DE HOY.</t>
  </si>
  <si>
    <t>Se realiza digitacion del 2.5.1  del numeral del hacer,se realizara cronograma en proxima conexion,y solicita enviar grabacion.</t>
  </si>
  <si>
    <t>Fue dificil para ana maria continuar con el numeral 2.5.1,se termina ,se reliza politicas para socializar,se verifica afiliacion,perfilsociodemografico y el oferente .</t>
  </si>
  <si>
    <t xml:space="preserve">MERCOLES </t>
  </si>
  <si>
    <t>CRISTIAN</t>
  </si>
  <si>
    <t>BRANDON YESID VELASQUEZ LOPEZ</t>
  </si>
  <si>
    <t>Maderas.sanrafael@hotmail.com</t>
  </si>
  <si>
    <t>02:00p. m.</t>
  </si>
  <si>
    <t>Bienvenida al programa, se le explica detalladamente en que consiste y la duración estimada, se Indica cómo firmar los términos y condiciones, se agenda la reunión periódica, semanal</t>
  </si>
  <si>
    <t xml:space="preserve">MIERCOLES </t>
  </si>
  <si>
    <t>No hubo conexión ,COMIENZA CON luz elena el 8 de abril del 2025.</t>
  </si>
  <si>
    <t>02:25p. m.</t>
  </si>
  <si>
    <t xml:space="preserve">Abril 8,Natalia se conecta y se le brinda charla del numeral 1 PLANEAR,el computador de la empresa esta en reparacion,hasta el momento le ha parecido facil el programa,solo tiene duda en el numeral 1.1.1 si ella lo puede implementar sin ser del area SST.
Se activa </t>
  </si>
  <si>
    <t xml:space="preserve">se contacta la empresa por medio de correo electronico para confirmar fecha y hora de conexión indica que esta bien y que le esta  llendo bien con la plataforma </t>
  </si>
  <si>
    <t>o</t>
  </si>
  <si>
    <t>Abril 8,Natalia se conecta y se le brinda charla del numeral 1 PLANEAR,el computador de la empresa esta en reparacion,hasta el momento le ha parecido facil el programa,solo tiene duda en el numeral 1.1.1 si ella lo puede implementar sin ser del area SST.
abril 15 no se pudo conectar por fuertes lluvias y sin internet en la empresa.</t>
  </si>
  <si>
    <t>Se actualiza informacion de la empresa ,pendiente enviar documentacion de rut,camara y comercio,la evaluacion inicial del sistema de gestion solo se realiza numeral 2.5.1</t>
  </si>
  <si>
    <t>Envia pdf a correo con terminos y condiciones firmada,se realiza evaluacion inicial de diagnostico,CRITICO,en la proxima reunion se debe realizar cronograma d e actividades.</t>
  </si>
  <si>
    <t>Se diligencia el documento de responsable sst,se realiza documentacion del 2.5.1,se revisa afiliacion,queda pendiente perfilsociodemografico.en la proxima reunion se realiza cronograma,politicas y recursos financieron.</t>
  </si>
  <si>
    <t>Envia al correo analista21 ,que no fue posible conectarse,por temas laborales.</t>
  </si>
  <si>
    <t>Olvido conectarce</t>
  </si>
  <si>
    <t>se Verifica adelanto del hacer Numeral 2.5.1 y se termina todo lo documenta.</t>
  </si>
  <si>
    <t>OLGA LUCIA LOPEZ ALVAREZ</t>
  </si>
  <si>
    <t>Asesorias@encontac.com</t>
  </si>
  <si>
    <t>se realiza digitacion y explicacion de archivo,se le explica el perfilsociodemografica y queda como tarea,se revisa afiliaciones y documento de responsable del sistema.</t>
  </si>
  <si>
    <t>se firma terminos y condiciones y envia pdf a correo,se le explica formato de planear y cada codigo de documentacion ,enviara rut y camara y comercio a correo.</t>
  </si>
  <si>
    <t>Se llamo via telefonica a doña olga   y refiere que su hermana es la encargada de conectarse el dia de hoy,que la llamaria ,se le escribe al whatsapp y no hay respuesta de doña olga .</t>
  </si>
  <si>
    <t>Se conecto a los 10 minutos luego de la hora asignada,se realiza diagnostico y se revisa temas de afiliacion y archivo documental,donde no se ha subido evidencias,estamos en cero porque no es muy claro para ellas la plataforma y se les dificulta.</t>
  </si>
  <si>
    <t>Enviara correo no puede conectarse .</t>
  </si>
  <si>
    <t>Solicita reprogramar para julio cuando salga de auditorias de empresas que maneja.</t>
  </si>
  <si>
    <t>CARLOS ALBERTO BEJARANO CAMACHO</t>
  </si>
  <si>
    <t>carlos.bejarano@prosolar.com.co</t>
  </si>
  <si>
    <t>9:00a. m.</t>
  </si>
  <si>
    <t>se adelanta procedimiento de gestion documental y codificacion de listado maestro de documentos</t>
  </si>
  <si>
    <t>se organiza plantilla de evaluacion inicial y se empieza con la codificacion del listado maestro de documentos</t>
  </si>
  <si>
    <t>se continua con la  codificacion del listado maestro de documentos</t>
  </si>
  <si>
    <t>Se solicita documentacion y se explica como registrar usuarios administradores en plataforma</t>
  </si>
  <si>
    <t>le contacto para iniciar la reunion y me dice textualmente: " hoy no puedo conectarme, tengo otra reunion. disculpa"de inicia con la asignacion del responsable,asignacion d eresponsabilidades y se continua con el item de gestion documental</t>
  </si>
  <si>
    <t>Se revisa pago de seguridad social, y se empieza a ingresar registro d epersonas en plataforma, se revisa responsable del sistema y asignacion de repsonsabilidades</t>
  </si>
  <si>
    <t>Usuaria dice qe no se puede conectar porque tiene un mantenimiento remoto del equipo; se adelanta revision de asignacion de responsabilidades</t>
  </si>
  <si>
    <t xml:space="preserve">SAUL GÓMEZ JARAMILLO </t>
  </si>
  <si>
    <t>saul.gomez@hotmai.es</t>
  </si>
  <si>
    <t>Se realizó la evaluación inicial del SG-SST</t>
  </si>
  <si>
    <t>3:55 p.m</t>
  </si>
  <si>
    <t>El dia 22 de abril no se conecto el señor saul,se le envia mensaje por el whatsapp no lo responde ,se le realiza  llamada por celular y se va a buzon de voz.</t>
  </si>
  <si>
    <t>Firma de terminos y condiciones ,enviara documentos para actualizacion de empresa rut,camara y comercio etc.</t>
  </si>
  <si>
    <t>se realiza diligenciamiento de algunos numerales de  archivo documental,se le deja como tarea de perfilsociodemografico,se diligenciamiento de responsable del sst.</t>
  </si>
  <si>
    <t>se realiza diligenciamiento de algunos numerales de  archivo documental,la señora que esta encargada no sabe manejar bien los pc,no fue posible montar el perfilsociodemografico.</t>
  </si>
  <si>
    <t>se realiza diligenciamiento del numeral documental del hacer,la señora tiene poco conocimiento en computadores.</t>
  </si>
  <si>
    <t>se realiza creacion de usuarios,firma de los mismos,firma de numeral 1.1.1 , se realiza numeral de politica y lo socializara,le queda como tarea subir numeral 1.1.4 y socializar politica,el perfil ok,se adelanta cronograma .</t>
  </si>
  <si>
    <t>MANDIRELIS FLOREZ MARIN</t>
  </si>
  <si>
    <t>mandy.f.m@hotmail.com</t>
  </si>
  <si>
    <t>9:00a, m.</t>
  </si>
  <si>
    <t>Se actualiza perfilsociodemografico,firma de terminos y condiciones,presentacion del programa.</t>
  </si>
  <si>
    <t>Se reprograma por fuertes lluvias no hay internet y se le dificulta conectarse.el dia 29 de abril se actualiza perfil de empresa,firma de terminos y condiciones,presentacion del programa se le solicita rut,camara y comercio,logo de la empresa y afiliaciones EPS YARL.</t>
  </si>
  <si>
    <t>Bienvenida, Revisión de fechas para agenda de espacios,  la agenda del CRM de analista aparece como cliente los martes a la 1:50pm,pero en agenda de correo no existe y en agenda CRM de agenda extendida las fechas no concuerdan con calendario 2025.</t>
  </si>
  <si>
    <t xml:space="preserve">Solicita via whatsapp que se cancele el beneficio por desolucion de empresa </t>
  </si>
  <si>
    <t>JAVIER IGNACIO GARCIA GARCIA</t>
  </si>
  <si>
    <t>teccons@hotmail.com</t>
  </si>
  <si>
    <t>Se realiza el perfilsociodemografico,se le enviara correo de verificacion para montar el numeral 1.1.4.</t>
  </si>
  <si>
    <t xml:space="preserve">Bienvenida, el dia viernes 21 de marzo se llamo a la empresa para validar la llegada del correo electronico con el usuario y la contraseña a lo cual indicaron que si les llego y que no han tenido ningun inconveniente </t>
  </si>
  <si>
    <t>Empieza Ccon Luz estrada el 24 de abril del 2025,antes estaba con otro analista.</t>
  </si>
  <si>
    <t>Ya cuenta con terminos y condiciones firmado,cuenta con contraseñay usuario,PENDIENTE POR ENVIIAR :Rut camara y comercio,rut,afiliacion a EPS y ARL ,Logo de la empresa.</t>
  </si>
  <si>
    <t>Se realiza revision de terminos y condiciones,se explica tema de 1.4.1 .</t>
  </si>
  <si>
    <t>Esta indispuesto de igual forma la grabacion se llevo acabo y se sube el reporte de su mensaje por medio de Whatsapp.</t>
  </si>
  <si>
    <t>Se realiza la evaluacion inicial CRITICO,se solicita documentos de rut,camara y comercio y terminos y condiciones en PDF.</t>
  </si>
  <si>
    <t>refiere que tiene cita medica y no le daria para la conexion,enviara correo.</t>
  </si>
  <si>
    <t xml:space="preserve">YURANI ANDREA MADRID MORALES </t>
  </si>
  <si>
    <t>Yurandra198720@gmail.com</t>
  </si>
  <si>
    <t>7:15 a.m</t>
  </si>
  <si>
    <t>Se diligencia responsabilidades,se adelanta tema de archivo documental,se envia correo de como montar evidencia de afiliacion,como realizar el perfilsociodemografico.</t>
  </si>
  <si>
    <t>se reprograma 24-04-2025 2.25pm,Este encuentro se trato de como funciona la plataforma desde mi usuario(luz)ella no contaba con contraseña,debe firmar terminos y condiciones y actualizar empresa.</t>
  </si>
  <si>
    <t>La señora yurani refiere que es anciosa y por ende no entendio mucho el correo de subir evidencias y se adelanto tema archivo documental se termina todo el planear.</t>
  </si>
  <si>
    <t>Se firman terminos y condiciones y nos envia PDF,se actualiza empresa y documentacion,se realiza evaluacion inicial(CRITICO)</t>
  </si>
  <si>
    <t>Se reporgrama para EL 30 DE MAYO una exepcion por temas electricos del dia enterior en sistergra,se realiza 2.5.1 no es claro para ella documentar,compartir terminos y condiciones por correo,firma de responsable y funciones,firma de politica y porceder a divulgar,subir firma al sistema,actualizacion de datos.</t>
  </si>
  <si>
    <t>le queda como tarea realizar el perfil,modificar el 2.5.1 del planear,socializar la politica y actualizar datos,se realiza socializacion del cronograma de trabajo segun la 0312.</t>
  </si>
  <si>
    <t>MIERCOLES</t>
  </si>
  <si>
    <t>SANDRA MILENA ARANGO JARAMILLO</t>
  </si>
  <si>
    <t>sandra.arango@urantus.com</t>
  </si>
  <si>
    <t xml:space="preserve">Bienvenida al programa, se le explica detalladamente en que consiste y la duración estimada, se Indica cómo firmar los términos y condiciones, se agenda la reunión periódica, semanal, los viernes de 10:40 a 11:25Am </t>
  </si>
  <si>
    <t>Se reviso la firma de aceptación de términos y condiciones y se inicia el diagnostico de madurez</t>
  </si>
  <si>
    <t>Se aclaran dudas sobre el diagnostico de madurez, se avanza, se retrasa mucho el avance ya que la señora realiza preguntas sobre cada ITEM</t>
  </si>
  <si>
    <t>Finalmente culmina el diagnostico ya que la señora presentaba inquietudes en cada uno de los items de la ultima encuesta del diagnostico</t>
  </si>
  <si>
    <t>La señora sandra informa que con el analista cristian,realizo firma en documento de terminos y condiciones y se le brindo la informacion del programa de TU EMPRESA SEGURA,Hoy 24 de abril se le realiza actualizacion de la empresa,se le solicita documentos de rut,camara y comercio ,logo,arl,eps,se le informa la importancia de la codificacion de documentos y el numeral 2.5.1.ELLA SOLICITA DOCUMENTOS FISICOS PORQUE NO ES DEL AREA DE SST,ENTONCES NO LE ES FACIL ENTENDER LOS PROCESOS.</t>
  </si>
  <si>
    <t>Festivo</t>
  </si>
  <si>
    <t xml:space="preserve">Se reprogramo para el dia 9 de mayo por temas de salud de la señora,se brinda asesoria de responsabilidades sg-sst,se diligencian algunos documentos de archivo documental,se deja como tarea el perfilsociodemografico. </t>
  </si>
  <si>
    <t>Se realiza numeral 2.5.1 ,solicita tutorial para realizar usuarios y firmas,ya realizo todos los documentos del copasst, pendiente evaluacion inicial.</t>
  </si>
  <si>
    <t>La señora sandra me informa que ya termino el numeral 2.5.1 y que adelanto todo lo del numeral del copasst ,adicional esta en diligenciamiento de recomendaciones medicas.El sistema no le deja firmar documentos,ni subir firma digital.Se programa diagnostico para el 29 de mayo del 2025</t>
  </si>
  <si>
    <t>se realiza el diagnostico inicial,</t>
  </si>
  <si>
    <t xml:space="preserve">VANESSA VARGAS ALZATE </t>
  </si>
  <si>
    <t>avelicafe@gmail.com</t>
  </si>
  <si>
    <t>se empieza evaluacion inicial</t>
  </si>
  <si>
    <t>se informa por parte de la usuarioa que esta indispuesta, que no puede asiastir, le digo que si gusta la podemos reprogramar para el martes 13 de mayo en horas d ela tarde, acepta agradecida</t>
  </si>
  <si>
    <t>Se consulta dificultades de acceso a plataforma y no se reportan, se realiza diagnostico de madurez, y se solicitan documentos legales: RUT, camara de comercio, logotipo, planilla de seguridad social,certificado afiliacion ARL, examenes medicos (pendientes por realizar)</t>
  </si>
  <si>
    <t>se revisa registro de usuarios y administradores</t>
  </si>
  <si>
    <t>dice que esta incapacitada, y se reprograma para el miercoles siguiente, en este dia dice que continua incapacitada, le sugiero enviar soporte a la lider del programa Comfama en Sistegra Laura Diaz, se continua con los documentos de asignacion de responsables y responsabilidades</t>
  </si>
  <si>
    <t>la usuaria dice que tiene incapacidad por enfermedad general, se realiza asignacion de responsable y se continua con la cofificacion del listado maestro, se asignan responsabilidades</t>
  </si>
  <si>
    <t>2:25 P.M</t>
  </si>
  <si>
    <t>La Señora manifiesta que solo en las conexion le solicitaban resultados,pero no le explicaron por donde realizar dichos documentos,Hoy se le explicanuevamente la plata forma y se le solicita documentacion para actualizar,en el proximo encuentro sera la evaluacion inicial.</t>
  </si>
  <si>
    <t>Se realiza evaluacion inicial Critico-se firma terminos y condiciones y envia PDF a correo.</t>
  </si>
  <si>
    <t>se explica la importancia derealizar los examenes medicos y como gestionarlos en su municipio</t>
  </si>
  <si>
    <t>VANNESA VANEGAS ALZATE</t>
  </si>
  <si>
    <t>Se realiza cronograma,se revisa terminos y condiciones firmada y enviada al correo,se evidencia que la firma una vez montada no se deje visualizar en la plataforma,el listado maestro esta ok,tarea realizar el perfil y subir afiliaciones,</t>
  </si>
  <si>
    <t>0,5</t>
  </si>
  <si>
    <t>Ciclo PHVA</t>
  </si>
  <si>
    <t>ÍTEM ESTÁNDAR</t>
  </si>
  <si>
    <t>PORCENTAJE DE AVANCE</t>
  </si>
  <si>
    <t>MESES DE ACOMPAÑAMIENTO</t>
  </si>
  <si>
    <t>%POR MES</t>
  </si>
  <si>
    <t>ACTIVIDADES PLANEADAS</t>
  </si>
  <si>
    <t>ACTIVIDADES EJECUTADAS</t>
  </si>
  <si>
    <t>INDICADORES</t>
  </si>
  <si>
    <t>MES 1</t>
  </si>
  <si>
    <t>MES 2</t>
  </si>
  <si>
    <t>MES 3</t>
  </si>
  <si>
    <t>1.1.5 Identificacion de trabajadores de alto riesgo y cotizacion de pension especial</t>
  </si>
  <si>
    <t>1.1.7 Capacitación COPASST</t>
  </si>
  <si>
    <t>MES 4</t>
  </si>
  <si>
    <t>1.1.8 Conformación Comité de Convivencia</t>
  </si>
  <si>
    <t>1.2.2 Inducción y Reinducción en Sistema de Gestión de Seguridad y Salud en el Trabajo SG-SST, actividades de Promoción y Prevención PyP</t>
  </si>
  <si>
    <t>1.2.3 Responsables del Sistema de Gestión de Seguridad y Salud en el Trabajo SG-SST con curso virtual de 50 horas</t>
  </si>
  <si>
    <t>MES 5</t>
  </si>
  <si>
    <t>2.2.1 Objetivos definidos, claros, medibles, cuantificables, con metas, documentados, revisados del SG-SST</t>
  </si>
  <si>
    <t>2.3.1 Evaluación e identificación de prioridades</t>
  </si>
  <si>
    <t>2.4.1 Plan que identifica objetivos, metas, responsabilidad, recursos con cronograma y firmado</t>
  </si>
  <si>
    <t>MES 6</t>
  </si>
  <si>
    <t>2.6.1 Rendición sobre el desempeño</t>
  </si>
  <si>
    <t>2.7.1 Matriz legal</t>
  </si>
  <si>
    <t>2.8.1 Mecanismos de comunicación, auto reporte en Sistema de Gestión de Seguridad y Salud en el Trabajo SG-SST</t>
  </si>
  <si>
    <t>MES 7</t>
  </si>
  <si>
    <t>2.9.1 Identificación, evaluación, para adquisición de productos y servicios en Sistema de Gestión de Seguridad y Salud en el Trabajo SG-SST</t>
  </si>
  <si>
    <t>2.10.1 Evaluación y selección de proveedores y contratistas</t>
  </si>
  <si>
    <t>2.11.1 Evaluación del impacto de cambios internos y externos en el Sistema de Gestión de Seguridad y Salud en el Trabajo SG-SST</t>
  </si>
  <si>
    <t>MES 8</t>
  </si>
  <si>
    <t>3.1.2 Actividades de Promoción y Prevención en Salud</t>
  </si>
  <si>
    <t>3.1.3 Información al médico de los perfiles de cargo</t>
  </si>
  <si>
    <t>3.1.4 Realización de los evaluaciones médicas ocupacionales: Peligros- Periodicidad Comunicación al Trabajador</t>
  </si>
  <si>
    <t>3.1.5 Custodia de Historias Clínicas</t>
  </si>
  <si>
    <t> </t>
  </si>
  <si>
    <t>3.1.6 Restricciones y recomendaciones médico laborales</t>
  </si>
  <si>
    <t>MES 9</t>
  </si>
  <si>
    <t>3.1.7 Estilos de vida y entornos saludables (controles tabaquismo, alcoholismo, farmacodependencia y otros)</t>
  </si>
  <si>
    <t>3.1.8 Agua potable, servicios sanitarios y disposición de basuras</t>
  </si>
  <si>
    <t>3.1.9 Eliminación adecuada de residuos sólidos, líquidos o gaseosos</t>
  </si>
  <si>
    <t>3.2.1 Reporte de los accidentes de trabajo y enfermedad laboral a la ARL, EPS y Dirección Territorial del Ministerio de Trabajo</t>
  </si>
  <si>
    <t>MES 10</t>
  </si>
  <si>
    <t>3.2.2 Investigación de  Incidentes, Accidentes y Enfermedades Laborales</t>
  </si>
  <si>
    <t>3.2.3 Registro y análisis estadístico de Accidentes y Enfermedades Laborales</t>
  </si>
  <si>
    <t>3.3.1 Medición de la frecuencia de la accidentalidad</t>
  </si>
  <si>
    <t>3.3.2 Medición de la severidad de la accientalidad</t>
  </si>
  <si>
    <t>MES 11</t>
  </si>
  <si>
    <t>3.3.3 Medición de la mortalidad por accidentes de trabajo</t>
  </si>
  <si>
    <t>MES11</t>
  </si>
  <si>
    <t>3.3.4 Medición de la prevalencia de Enfermedad Laboral</t>
  </si>
  <si>
    <t>3.3.5 Medición de la incidencia de Enfermedad Laboral</t>
  </si>
  <si>
    <t>3.3.6 Medición del ausentismo por causa medica</t>
  </si>
  <si>
    <t>4.1.1 Metodología para la identificación de peligros, evaluación y valoración de los riesgos</t>
  </si>
  <si>
    <t>MES 12</t>
  </si>
  <si>
    <t>4.1.2 Identificación de peligros con participación de todos los niveles de la empresa</t>
  </si>
  <si>
    <t>4.1.3 Identificación de sustancias catalogadas como carcinogenas o con toxicidad aguda.</t>
  </si>
  <si>
    <t>4.1.4 Realización mediciones ambientales, químicos, físicos y biológicos</t>
  </si>
  <si>
    <t>4.2.1 Implementacion de medidas de prevención y control frente a peligros/riesgos identificados</t>
  </si>
  <si>
    <t>2,5</t>
  </si>
  <si>
    <t>MES 13</t>
  </si>
  <si>
    <t>4.2.2 Verifiacacion de aplicación de medidas de prevencion y control por parte de los trabajadores</t>
  </si>
  <si>
    <t>4.2.3 Elaboracion de procedimientos, instructivos, fichas, protocolos</t>
  </si>
  <si>
    <t>4.2.4 Realizacion de Inspecciones a instalaciones, maquinaria o  equipos con participacion del COPASST.</t>
  </si>
  <si>
    <t>4.2.5 Mantenimiento periódico de instalaciones, equipos, máquinas, herramientas</t>
  </si>
  <si>
    <t>MES 14</t>
  </si>
  <si>
    <t>4.2.6 Entrega de Elementos de Protección Persona EPP, se verifica con contratistas y subcontratistas</t>
  </si>
  <si>
    <t>5.1.1 Se cuenta con el Plan de Prevención,  Preparación y respuesta  ante emergencias</t>
  </si>
  <si>
    <t>VERIFICAR</t>
  </si>
  <si>
    <t>5.1.2 Brigada de prevención conformada, capacitada y dotada</t>
  </si>
  <si>
    <t>6.1.1 Definicion de Indicadores del SG-SST de acuerdo condiciones de la empresa</t>
  </si>
  <si>
    <t>6.1.2 Las empresa adelanta auditoría por lo menos una vez al año</t>
  </si>
  <si>
    <t>6.1.3 Revisión anual de la alta dirección, resultados de la auditoría</t>
  </si>
  <si>
    <t>ACTUAR</t>
  </si>
  <si>
    <t>6.1.4 Planificacion auditorias con el COPASST</t>
  </si>
  <si>
    <t>7.1.1 Definicion de acciones preventivas y correctivas con base en resultados del SG-SST</t>
  </si>
  <si>
    <t>7.1.2 Acciones de mejora conforme a revision de la alta direccion</t>
  </si>
  <si>
    <t>7.1.3 Acciones de mejora con base en investigaciones de accidentes de trabajo y enfermedades laborales</t>
  </si>
  <si>
    <t>7.1.4 Elaboracion Plan de mejoramiento, implementacin de medidas y acciones correctivas solicitadas por autoridades y ARL</t>
  </si>
  <si>
    <t>Atención de empresas</t>
  </si>
  <si>
    <t>Programas</t>
  </si>
  <si>
    <t>Tu Empresa Segura</t>
  </si>
  <si>
    <t>Salud 360</t>
  </si>
  <si>
    <t>Crecer Juntos</t>
  </si>
  <si>
    <t>NO CONEXIÓN</t>
  </si>
  <si>
    <t>SGSST</t>
  </si>
  <si>
    <t>SAVANNA</t>
  </si>
  <si>
    <t>Suma de PORCENTAJE</t>
  </si>
  <si>
    <t>CONEXIÓN AUTÓNOMA DE ANALISTA</t>
  </si>
  <si>
    <t>FECHA CORTE DE INFORME</t>
  </si>
  <si>
    <t>VALOR A FACTURAR</t>
  </si>
  <si>
    <t>JOSE ARENAS ORTEGA</t>
  </si>
  <si>
    <t>INACTIVO</t>
  </si>
  <si>
    <t>VALOR PROGRAMA</t>
  </si>
  <si>
    <t>AVANCE EN PRODUCTIVIDAD</t>
  </si>
  <si>
    <t>ACCIONES PLANEADAS</t>
  </si>
  <si>
    <t>ACIONES EJECUTADAS</t>
  </si>
  <si>
    <t>NOMBRE DE LA EMPRESA</t>
  </si>
  <si>
    <t>% RESOLUCIÓN 0312 de 2019</t>
  </si>
  <si>
    <t>% AVANCE</t>
  </si>
  <si>
    <t>ESTADO INICIAL</t>
  </si>
  <si>
    <t xml:space="preserve">PORCENTAJE AVANCE </t>
  </si>
  <si>
    <t>Empresa Nueva</t>
  </si>
  <si>
    <t>Maria Clara Vélez Viana</t>
  </si>
  <si>
    <t>CC 1017241965</t>
  </si>
  <si>
    <t>FECHA DE NACIMIENTO: 27/11/1996</t>
  </si>
  <si>
    <t>maclaravelez@gmail.com</t>
  </si>
  <si>
    <t>+57 311 4046195</t>
  </si>
  <si>
    <t>Estación Vive San José</t>
  </si>
  <si>
    <t>23 EMPLEADOS</t>
  </si>
  <si>
    <t>ASISTENCIA</t>
  </si>
  <si>
    <t>CONEXIONES SI -NO</t>
  </si>
  <si>
    <t>AVANCES DE CONEXIONES</t>
  </si>
  <si>
    <t>MES 15</t>
  </si>
  <si>
    <t>(Todas)</t>
  </si>
  <si>
    <t xml:space="preserve">Cuenta de NIVEL DE RIESGO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</si>
</sst>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F400]h:mm:ss\ AM/PM"/>
  </numFmts>
  <fonts count="20" x14ac:knownFonts="1">
    <font>
      <sz val="11"/>
      <color theme="1"/>
      <name val="Aptos Narrow"/>
      <family val="2"/>
      <scheme val="minor"/>
    </font>
    <font>
      <sz val="11"/>
      <color theme="0"/>
      <name val="Aptos Narrow"/>
      <family val="2"/>
      <scheme val="minor"/>
    </font>
    <font>
      <sz val="8"/>
      <color theme="1"/>
      <name val="Arial"/>
      <family val="2"/>
    </font>
    <font>
      <b/>
      <sz val="8"/>
      <color theme="0"/>
      <name val="Arial"/>
      <family val="2"/>
    </font>
    <font>
      <sz val="11"/>
      <color rgb="FF000000"/>
      <name val="Arial"/>
      <family val="2"/>
    </font>
    <font>
      <u/>
      <sz val="11"/>
      <color theme="10"/>
      <name val="Aptos Narrow"/>
      <family val="2"/>
      <scheme val="minor"/>
    </font>
    <font>
      <sz val="11"/>
      <color rgb="FF002060"/>
      <name val="Aptos Narrow"/>
      <family val="2"/>
      <scheme val="minor"/>
    </font>
    <font>
      <b/>
      <sz val="8"/>
      <color rgb="FF002060"/>
      <name val="Arial"/>
      <family val="2"/>
    </font>
    <font>
      <sz val="8"/>
      <color rgb="FF000000"/>
      <name val="Arial"/>
      <family val="2"/>
    </font>
    <font>
      <sz val="8"/>
      <color rgb="FF808080"/>
      <name val="Arial"/>
      <family val="2"/>
    </font>
    <font>
      <sz val="8"/>
      <color theme="0"/>
      <name val="Arial"/>
      <family val="2"/>
    </font>
    <font>
      <sz val="9"/>
      <color theme="1"/>
      <name val="Aptos Narrow"/>
      <scheme val="minor"/>
    </font>
    <font>
      <b/>
      <sz val="9"/>
      <color rgb="FF002060"/>
      <name val="Aptos Narrow"/>
      <family val="2"/>
      <scheme val="minor"/>
    </font>
    <font>
      <b/>
      <sz val="7"/>
      <color theme="0"/>
      <name val="Aptos Narrow"/>
      <family val="2"/>
      <scheme val="minor"/>
    </font>
    <font>
      <b/>
      <sz val="7"/>
      <color theme="1"/>
      <name val="Aptos Narrow"/>
      <family val="2"/>
      <scheme val="minor"/>
    </font>
    <font>
      <sz val="9"/>
      <color rgb="FF002060"/>
      <name val="Aptos Narrow"/>
      <family val="2"/>
      <scheme val="minor"/>
    </font>
    <font>
      <sz val="9"/>
      <color theme="1"/>
      <name val="Aptos Narrow"/>
      <family val="2"/>
      <scheme val="minor"/>
    </font>
    <font>
      <b/>
      <sz val="12"/>
      <color rgb="FF000000"/>
      <name val="Aptos"/>
      <family val="2"/>
    </font>
    <font>
      <sz val="9"/>
      <color rgb="FF000000"/>
      <name val="Arial"/>
      <family val="2"/>
    </font>
    <font>
      <sz val="8"/>
      <name val="Aptos Narrow"/>
      <family val="2"/>
      <scheme val="minor"/>
    </font>
  </fonts>
  <fills count="19">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bgColor theme="0"/>
      </patternFill>
    </fill>
    <fill>
      <patternFill patternType="solid">
        <fgColor theme="3"/>
        <bgColor indexed="64"/>
      </patternFill>
    </fill>
    <fill>
      <patternFill patternType="solid">
        <fgColor rgb="FF92D05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00B0F0"/>
        <bgColor indexed="64"/>
      </patternFill>
    </fill>
    <fill>
      <patternFill patternType="solid">
        <fgColor rgb="FF00B0F0"/>
        <bgColor rgb="FF000000"/>
      </patternFill>
    </fill>
    <fill>
      <patternFill patternType="solid">
        <fgColor rgb="FFFFFFFF"/>
        <bgColor rgb="FF000000"/>
      </patternFill>
    </fill>
    <fill>
      <patternFill patternType="solid">
        <fgColor rgb="FFD9D9D9"/>
        <bgColor rgb="FF000000"/>
      </patternFill>
    </fill>
    <fill>
      <patternFill patternType="solid">
        <fgColor rgb="FFD86DCD"/>
        <bgColor rgb="FF000000"/>
      </patternFill>
    </fill>
    <fill>
      <patternFill patternType="solid">
        <fgColor theme="0"/>
        <bgColor theme="3" tint="0.89999084444715716"/>
      </patternFill>
    </fill>
    <fill>
      <patternFill patternType="solid">
        <fgColor rgb="FFFFFFFF"/>
        <bgColor indexed="64"/>
      </patternFill>
    </fill>
    <fill>
      <patternFill patternType="solid">
        <fgColor theme="0"/>
        <bgColor rgb="FF000000"/>
      </patternFill>
    </fill>
    <fill>
      <patternFill patternType="solid">
        <fgColor rgb="FF00B0F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118">
    <xf numFmtId="0" fontId="0" fillId="0" borderId="0" xfId="0"/>
    <xf numFmtId="14" fontId="0" fillId="0" borderId="0" xfId="0" applyNumberFormat="1"/>
    <xf numFmtId="14" fontId="0" fillId="0" borderId="0" xfId="0" applyNumberFormat="1" applyAlignment="1">
      <alignment horizontal="left"/>
    </xf>
    <xf numFmtId="0" fontId="0" fillId="0" borderId="0" xfId="0" applyAlignment="1">
      <alignment horizontal="left"/>
    </xf>
    <xf numFmtId="0" fontId="2" fillId="4" borderId="0" xfId="0" applyFont="1" applyFill="1" applyAlignment="1">
      <alignment horizontal="left" vertical="center" wrapText="1"/>
    </xf>
    <xf numFmtId="14" fontId="1" fillId="5" borderId="0" xfId="0" applyNumberFormat="1" applyFont="1" applyFill="1" applyAlignment="1">
      <alignment horizontal="left"/>
    </xf>
    <xf numFmtId="0" fontId="1" fillId="5" borderId="0" xfId="0" applyFont="1" applyFill="1" applyAlignment="1">
      <alignment horizontal="left"/>
    </xf>
    <xf numFmtId="0" fontId="1" fillId="5" borderId="0" xfId="0" applyFont="1" applyFill="1" applyAlignment="1">
      <alignment horizontal="center" vertical="center"/>
    </xf>
    <xf numFmtId="0" fontId="0" fillId="0" borderId="0" xfId="0" applyAlignment="1">
      <alignment horizontal="center" vertical="center"/>
    </xf>
    <xf numFmtId="0" fontId="1" fillId="6" borderId="0" xfId="0" applyFont="1" applyFill="1" applyAlignment="1">
      <alignment horizontal="left"/>
    </xf>
    <xf numFmtId="14" fontId="0" fillId="7" borderId="0" xfId="0" applyNumberFormat="1" applyFill="1" applyAlignment="1">
      <alignment horizontal="left"/>
    </xf>
    <xf numFmtId="0" fontId="0" fillId="7" borderId="0" xfId="0" applyFill="1" applyAlignment="1">
      <alignment horizontal="left"/>
    </xf>
    <xf numFmtId="0" fontId="0" fillId="7" borderId="0" xfId="0" applyFill="1" applyAlignment="1">
      <alignment horizontal="center" vertical="center"/>
    </xf>
    <xf numFmtId="0" fontId="3" fillId="2" borderId="0" xfId="0" applyFont="1" applyFill="1"/>
    <xf numFmtId="0" fontId="2" fillId="0" borderId="0" xfId="0" applyFont="1"/>
    <xf numFmtId="0" fontId="2" fillId="3" borderId="0" xfId="0" applyFont="1" applyFill="1"/>
    <xf numFmtId="14" fontId="0" fillId="7" borderId="0" xfId="0" applyNumberFormat="1" applyFill="1"/>
    <xf numFmtId="0" fontId="0" fillId="6" borderId="0" xfId="0" applyFill="1" applyAlignment="1">
      <alignment horizontal="left"/>
    </xf>
    <xf numFmtId="0" fontId="0" fillId="3" borderId="0" xfId="0" applyFill="1" applyAlignment="1">
      <alignment horizontal="left"/>
    </xf>
    <xf numFmtId="0" fontId="5" fillId="0" borderId="0" xfId="2" applyAlignment="1">
      <alignment horizontal="left"/>
    </xf>
    <xf numFmtId="0" fontId="0" fillId="3" borderId="0" xfId="0" applyFill="1" applyAlignment="1">
      <alignment horizontal="center" vertical="center"/>
    </xf>
    <xf numFmtId="0" fontId="3" fillId="2" borderId="0" xfId="0" applyFont="1" applyFill="1" applyAlignment="1">
      <alignment horizontal="left"/>
    </xf>
    <xf numFmtId="164" fontId="2" fillId="3" borderId="0" xfId="0" applyNumberFormat="1" applyFont="1" applyFill="1" applyAlignment="1">
      <alignment horizontal="left"/>
    </xf>
    <xf numFmtId="0" fontId="2" fillId="3" borderId="0" xfId="0" applyFont="1" applyFill="1" applyAlignment="1">
      <alignment horizontal="left"/>
    </xf>
    <xf numFmtId="0" fontId="2" fillId="0" borderId="0" xfId="0" applyFont="1" applyAlignment="1">
      <alignment horizontal="left"/>
    </xf>
    <xf numFmtId="0" fontId="0" fillId="7" borderId="0" xfId="0" applyFill="1"/>
    <xf numFmtId="0" fontId="0" fillId="3" borderId="0" xfId="0" applyFill="1" applyAlignment="1">
      <alignment horizontal="center"/>
    </xf>
    <xf numFmtId="0" fontId="6" fillId="6" borderId="0" xfId="0" applyFont="1" applyFill="1" applyAlignment="1">
      <alignment horizontal="left"/>
    </xf>
    <xf numFmtId="0" fontId="0" fillId="0" borderId="0" xfId="0" applyAlignment="1">
      <alignment horizontal="center"/>
    </xf>
    <xf numFmtId="0" fontId="0" fillId="0" borderId="0" xfId="0" pivotButton="1"/>
    <xf numFmtId="0" fontId="6" fillId="7" borderId="0" xfId="0" applyFont="1" applyFill="1" applyAlignment="1">
      <alignment horizontal="left"/>
    </xf>
    <xf numFmtId="0" fontId="0" fillId="3" borderId="0" xfId="0" applyFill="1"/>
    <xf numFmtId="0" fontId="0" fillId="8" borderId="0" xfId="0" applyFill="1" applyAlignment="1">
      <alignment horizontal="left"/>
    </xf>
    <xf numFmtId="0" fontId="4" fillId="7" borderId="0" xfId="0" applyFont="1" applyFill="1" applyAlignment="1">
      <alignment horizontal="left" vertical="top" wrapText="1"/>
    </xf>
    <xf numFmtId="0" fontId="0" fillId="0" borderId="1" xfId="0" applyBorder="1" applyAlignment="1">
      <alignment horizontal="left"/>
    </xf>
    <xf numFmtId="14" fontId="0" fillId="3" borderId="0" xfId="0" applyNumberFormat="1" applyFill="1" applyAlignment="1">
      <alignment horizontal="left"/>
    </xf>
    <xf numFmtId="0" fontId="6" fillId="3" borderId="0" xfId="0" applyFont="1" applyFill="1" applyAlignment="1">
      <alignment horizontal="left"/>
    </xf>
    <xf numFmtId="14" fontId="0" fillId="3" borderId="0" xfId="0" applyNumberFormat="1" applyFill="1"/>
    <xf numFmtId="0" fontId="4" fillId="3" borderId="0" xfId="0" applyFont="1" applyFill="1" applyAlignment="1">
      <alignment horizontal="left" vertical="top" wrapText="1"/>
    </xf>
    <xf numFmtId="1" fontId="0" fillId="7" borderId="0" xfId="0" applyNumberFormat="1" applyFill="1" applyAlignment="1">
      <alignment horizontal="center"/>
    </xf>
    <xf numFmtId="1" fontId="0" fillId="7" borderId="0" xfId="0" applyNumberFormat="1" applyFill="1" applyAlignment="1">
      <alignment horizontal="center" vertical="center"/>
    </xf>
    <xf numFmtId="14" fontId="1" fillId="5" borderId="0" xfId="0" applyNumberFormat="1" applyFont="1" applyFill="1" applyAlignment="1">
      <alignment horizontal="center" vertical="center"/>
    </xf>
    <xf numFmtId="14" fontId="0" fillId="0" borderId="0" xfId="0" applyNumberFormat="1" applyAlignment="1">
      <alignment horizontal="center" vertical="center"/>
    </xf>
    <xf numFmtId="0" fontId="6" fillId="0" borderId="0" xfId="0" applyFont="1" applyAlignment="1">
      <alignment horizontal="left"/>
    </xf>
    <xf numFmtId="14" fontId="0" fillId="9" borderId="0" xfId="0" applyNumberFormat="1" applyFill="1" applyAlignment="1">
      <alignment horizontal="left"/>
    </xf>
    <xf numFmtId="0" fontId="0" fillId="9" borderId="0" xfId="0" applyFill="1" applyAlignment="1">
      <alignment horizontal="left"/>
    </xf>
    <xf numFmtId="0" fontId="0" fillId="9" borderId="0" xfId="0" applyFill="1"/>
    <xf numFmtId="0" fontId="0" fillId="9" borderId="0" xfId="0" applyFill="1" applyAlignment="1">
      <alignment horizontal="center" vertical="center"/>
    </xf>
    <xf numFmtId="0" fontId="6" fillId="9" borderId="0" xfId="0" applyFont="1" applyFill="1" applyAlignment="1">
      <alignment horizontal="left"/>
    </xf>
    <xf numFmtId="0" fontId="0" fillId="3" borderId="0" xfId="0" applyFill="1" applyAlignment="1">
      <alignment horizontal="left" vertical="top"/>
    </xf>
    <xf numFmtId="0" fontId="1" fillId="10" borderId="0" xfId="0" applyFont="1" applyFill="1" applyAlignment="1">
      <alignment horizontal="left"/>
    </xf>
    <xf numFmtId="0" fontId="1" fillId="10" borderId="0" xfId="0" applyFont="1" applyFill="1" applyAlignment="1">
      <alignment horizontal="center" vertical="center"/>
    </xf>
    <xf numFmtId="0" fontId="10" fillId="2" borderId="0" xfId="0" applyFont="1" applyFill="1"/>
    <xf numFmtId="2" fontId="2" fillId="3" borderId="0" xfId="0" applyNumberFormat="1" applyFont="1" applyFill="1" applyAlignment="1">
      <alignment horizontal="center" wrapText="1"/>
    </xf>
    <xf numFmtId="2" fontId="3" fillId="2" borderId="0" xfId="0" applyNumberFormat="1" applyFont="1" applyFill="1" applyAlignment="1">
      <alignment horizontal="center"/>
    </xf>
    <xf numFmtId="2" fontId="2" fillId="0" borderId="0" xfId="0" applyNumberFormat="1" applyFont="1" applyAlignment="1">
      <alignment horizontal="center"/>
    </xf>
    <xf numFmtId="2" fontId="10" fillId="2" borderId="0" xfId="0" applyNumberFormat="1" applyFont="1" applyFill="1" applyAlignment="1">
      <alignment horizontal="center" vertical="center"/>
    </xf>
    <xf numFmtId="2" fontId="8" fillId="14" borderId="0" xfId="0" applyNumberFormat="1" applyFont="1" applyFill="1" applyAlignment="1">
      <alignment horizontal="center" vertical="center"/>
    </xf>
    <xf numFmtId="2" fontId="2" fillId="0" borderId="0" xfId="0" applyNumberFormat="1" applyFont="1" applyAlignment="1">
      <alignment horizontal="center" vertical="center"/>
    </xf>
    <xf numFmtId="165" fontId="2" fillId="3" borderId="0" xfId="0" applyNumberFormat="1" applyFont="1" applyFill="1" applyAlignment="1">
      <alignment horizontal="center" wrapText="1"/>
    </xf>
    <xf numFmtId="0" fontId="0" fillId="15" borderId="0" xfId="0" applyFill="1" applyAlignment="1">
      <alignment horizontal="left"/>
    </xf>
    <xf numFmtId="0" fontId="0" fillId="3" borderId="0" xfId="0" applyFill="1" applyAlignment="1">
      <alignment horizontal="left" vertical="center"/>
    </xf>
    <xf numFmtId="0" fontId="0" fillId="0" borderId="0" xfId="0" applyAlignment="1">
      <alignment horizontal="left" vertical="center"/>
    </xf>
    <xf numFmtId="0" fontId="1" fillId="5" borderId="0" xfId="0" applyFont="1" applyFill="1" applyAlignment="1">
      <alignment horizontal="center"/>
    </xf>
    <xf numFmtId="0" fontId="0" fillId="0" borderId="0" xfId="0" applyAlignment="1">
      <alignment horizontal="center" vertical="top"/>
    </xf>
    <xf numFmtId="0" fontId="11" fillId="0" borderId="0" xfId="0" applyFont="1" applyAlignment="1">
      <alignment horizontal="left"/>
    </xf>
    <xf numFmtId="0" fontId="11" fillId="0" borderId="0" xfId="0" applyFont="1" applyAlignment="1">
      <alignment horizontal="center"/>
    </xf>
    <xf numFmtId="0" fontId="11" fillId="0" borderId="0" xfId="0" applyFont="1" applyAlignment="1">
      <alignment horizontal="center" vertical="top"/>
    </xf>
    <xf numFmtId="0" fontId="2" fillId="0" borderId="0" xfId="0" applyFont="1" applyAlignment="1">
      <alignment horizontal="center"/>
    </xf>
    <xf numFmtId="2" fontId="8" fillId="13" borderId="0" xfId="0" applyNumberFormat="1" applyFont="1" applyFill="1" applyAlignment="1">
      <alignment horizontal="center" vertical="center"/>
    </xf>
    <xf numFmtId="166" fontId="1" fillId="5" borderId="0" xfId="0" applyNumberFormat="1" applyFont="1" applyFill="1" applyAlignment="1">
      <alignment horizontal="left"/>
    </xf>
    <xf numFmtId="166" fontId="0" fillId="7" borderId="0" xfId="0" applyNumberFormat="1" applyFill="1" applyAlignment="1">
      <alignment horizontal="left"/>
    </xf>
    <xf numFmtId="166" fontId="0" fillId="0" borderId="0" xfId="0" applyNumberFormat="1" applyAlignment="1">
      <alignment horizontal="left"/>
    </xf>
    <xf numFmtId="166" fontId="0" fillId="9" borderId="0" xfId="0" applyNumberFormat="1" applyFill="1" applyAlignment="1">
      <alignment horizontal="left"/>
    </xf>
    <xf numFmtId="0" fontId="11" fillId="3" borderId="0" xfId="0" applyFont="1" applyFill="1" applyAlignment="1">
      <alignment horizontal="center"/>
    </xf>
    <xf numFmtId="0" fontId="11" fillId="3" borderId="0" xfId="0" applyFont="1" applyFill="1" applyAlignment="1">
      <alignment horizontal="left"/>
    </xf>
    <xf numFmtId="0" fontId="11" fillId="3" borderId="0" xfId="0" applyFont="1" applyFill="1" applyAlignment="1">
      <alignment horizontal="center" vertical="top"/>
    </xf>
    <xf numFmtId="0" fontId="13" fillId="2" borderId="0" xfId="0" applyFont="1" applyFill="1" applyAlignment="1">
      <alignment horizontal="center" vertical="center" wrapText="1"/>
    </xf>
    <xf numFmtId="14" fontId="13" fillId="2" borderId="0" xfId="0" applyNumberFormat="1" applyFont="1" applyFill="1" applyAlignment="1">
      <alignment horizontal="center" vertical="center" wrapText="1"/>
    </xf>
    <xf numFmtId="0" fontId="14" fillId="0" borderId="0" xfId="0" applyFont="1" applyAlignment="1">
      <alignment horizontal="center" vertical="center" wrapText="1"/>
    </xf>
    <xf numFmtId="14" fontId="15" fillId="3" borderId="0" xfId="0" applyNumberFormat="1" applyFont="1" applyFill="1" applyAlignment="1">
      <alignment horizontal="left" vertical="center"/>
    </xf>
    <xf numFmtId="0" fontId="15" fillId="3" borderId="0" xfId="0" applyFont="1" applyFill="1" applyAlignment="1">
      <alignment horizontal="left" vertical="center"/>
    </xf>
    <xf numFmtId="0" fontId="15" fillId="3" borderId="0" xfId="0" applyFont="1" applyFill="1" applyAlignment="1">
      <alignment horizontal="center" vertical="center"/>
    </xf>
    <xf numFmtId="0" fontId="12" fillId="3" borderId="0" xfId="0" applyFont="1" applyFill="1" applyAlignment="1">
      <alignment horizontal="center" vertical="center"/>
    </xf>
    <xf numFmtId="2" fontId="15" fillId="3" borderId="0" xfId="0" applyNumberFormat="1" applyFont="1" applyFill="1" applyAlignment="1">
      <alignment horizontal="center" vertical="center"/>
    </xf>
    <xf numFmtId="0" fontId="15" fillId="3" borderId="0" xfId="0" applyFont="1" applyFill="1" applyAlignment="1">
      <alignment horizontal="center"/>
    </xf>
    <xf numFmtId="1" fontId="12" fillId="3" borderId="0" xfId="0" applyNumberFormat="1" applyFont="1" applyFill="1" applyAlignment="1">
      <alignment horizontal="center" vertical="center"/>
    </xf>
    <xf numFmtId="0" fontId="12" fillId="3" borderId="0" xfId="0" applyFont="1" applyFill="1" applyAlignment="1">
      <alignment horizontal="left" vertical="center"/>
    </xf>
    <xf numFmtId="0" fontId="15" fillId="3" borderId="0" xfId="0" applyFont="1" applyFill="1" applyAlignment="1">
      <alignment horizontal="left"/>
    </xf>
    <xf numFmtId="0" fontId="15" fillId="3" borderId="0" xfId="0" applyFont="1" applyFill="1" applyAlignment="1">
      <alignment horizontal="center" vertical="top"/>
    </xf>
    <xf numFmtId="1" fontId="12" fillId="3" borderId="0" xfId="0" applyNumberFormat="1" applyFont="1" applyFill="1" applyAlignment="1">
      <alignment horizontal="center"/>
    </xf>
    <xf numFmtId="0" fontId="1" fillId="2" borderId="0" xfId="0" applyFont="1" applyFill="1"/>
    <xf numFmtId="0" fontId="1" fillId="2" borderId="0" xfId="0" applyFont="1" applyFill="1" applyAlignment="1">
      <alignment horizontal="center"/>
    </xf>
    <xf numFmtId="0" fontId="16" fillId="3" borderId="0" xfId="0" applyFont="1" applyFill="1" applyAlignment="1">
      <alignment horizontal="left"/>
    </xf>
    <xf numFmtId="0" fontId="17" fillId="0" borderId="0" xfId="0" applyFont="1" applyAlignment="1">
      <alignment horizontal="left" vertical="center" wrapText="1" readingOrder="1"/>
    </xf>
    <xf numFmtId="0" fontId="18" fillId="0" borderId="2" xfId="0" applyFont="1" applyBorder="1" applyAlignment="1">
      <alignment vertical="top"/>
    </xf>
    <xf numFmtId="0" fontId="18" fillId="16" borderId="2" xfId="0" applyFont="1" applyFill="1" applyBorder="1" applyAlignment="1">
      <alignment vertical="top"/>
    </xf>
    <xf numFmtId="0" fontId="18" fillId="3" borderId="2" xfId="0" applyFont="1" applyFill="1" applyBorder="1" applyAlignment="1">
      <alignment vertical="top"/>
    </xf>
    <xf numFmtId="0" fontId="2" fillId="0" borderId="0" xfId="0" applyFont="1" applyAlignment="1">
      <alignment horizontal="center"/>
    </xf>
    <xf numFmtId="2" fontId="8" fillId="0" borderId="0" xfId="0" applyNumberFormat="1" applyFont="1" applyAlignment="1">
      <alignment horizontal="center" vertical="center"/>
    </xf>
    <xf numFmtId="2" fontId="8" fillId="13" borderId="0" xfId="0" applyNumberFormat="1" applyFont="1" applyFill="1" applyAlignment="1">
      <alignment horizontal="center" vertical="center"/>
    </xf>
    <xf numFmtId="2" fontId="9" fillId="12" borderId="0" xfId="0" applyNumberFormat="1" applyFont="1" applyFill="1" applyAlignment="1">
      <alignment horizontal="center" vertical="center"/>
    </xf>
    <xf numFmtId="0" fontId="7" fillId="11" borderId="0" xfId="0" applyFont="1" applyFill="1" applyAlignment="1">
      <alignment horizontal="center"/>
    </xf>
    <xf numFmtId="2" fontId="9" fillId="12" borderId="0" xfId="0" applyNumberFormat="1" applyFont="1" applyFill="1" applyAlignment="1">
      <alignment horizontal="center"/>
    </xf>
    <xf numFmtId="2" fontId="8" fillId="13" borderId="0" xfId="0" applyNumberFormat="1" applyFont="1" applyFill="1" applyAlignment="1">
      <alignment horizontal="center"/>
    </xf>
    <xf numFmtId="2" fontId="8" fillId="0" borderId="0" xfId="0" applyNumberFormat="1" applyFont="1" applyAlignment="1">
      <alignment horizontal="center"/>
    </xf>
    <xf numFmtId="2" fontId="8" fillId="12" borderId="0" xfId="0" applyNumberFormat="1" applyFont="1" applyFill="1" applyAlignment="1">
      <alignment horizontal="center"/>
    </xf>
    <xf numFmtId="0" fontId="8" fillId="0" borderId="0" xfId="0" applyFont="1" applyAlignment="1">
      <alignment horizontal="center"/>
    </xf>
    <xf numFmtId="0" fontId="0" fillId="3" borderId="0" xfId="0" applyNumberFormat="1" applyFill="1" applyAlignment="1">
      <alignment horizontal="center"/>
    </xf>
    <xf numFmtId="0" fontId="0" fillId="15" borderId="0" xfId="0" applyNumberFormat="1" applyFill="1" applyAlignment="1">
      <alignment horizontal="center"/>
    </xf>
    <xf numFmtId="0" fontId="6" fillId="3" borderId="0" xfId="0" applyFont="1" applyFill="1"/>
    <xf numFmtId="2" fontId="8" fillId="17" borderId="0" xfId="0" applyNumberFormat="1" applyFont="1" applyFill="1" applyAlignment="1">
      <alignment horizontal="center"/>
    </xf>
    <xf numFmtId="0" fontId="2" fillId="18" borderId="0" xfId="0" applyFont="1" applyFill="1" applyAlignment="1">
      <alignment horizontal="left" vertical="center" wrapText="1"/>
    </xf>
    <xf numFmtId="14" fontId="1" fillId="10" borderId="0" xfId="0" applyNumberFormat="1" applyFont="1" applyFill="1" applyAlignment="1">
      <alignment horizontal="left"/>
    </xf>
    <xf numFmtId="164" fontId="2" fillId="10" borderId="0" xfId="0" applyNumberFormat="1" applyFont="1" applyFill="1" applyAlignment="1">
      <alignment horizontal="left"/>
    </xf>
    <xf numFmtId="0" fontId="2" fillId="10" borderId="0" xfId="0" applyFont="1" applyFill="1" applyAlignment="1">
      <alignment horizontal="left"/>
    </xf>
    <xf numFmtId="0" fontId="0" fillId="3" borderId="0" xfId="0" applyNumberFormat="1" applyFill="1"/>
    <xf numFmtId="0" fontId="0" fillId="8" borderId="0" xfId="0" applyNumberFormat="1" applyFill="1"/>
  </cellXfs>
  <cellStyles count="3">
    <cellStyle name="Hipervínculo" xfId="2" builtinId="8"/>
    <cellStyle name="Hyperlink" xfId="1" xr:uid="{F9ABF9AC-CD99-4A38-8D78-2D6D73EA7E63}"/>
    <cellStyle name="Normal" xfId="0" builtinId="0"/>
  </cellStyles>
  <dxfs count="146">
    <dxf>
      <font>
        <color rgb="FF002060"/>
      </font>
      <fill>
        <patternFill>
          <bgColor rgb="FFFFC000"/>
        </patternFill>
      </fill>
    </dxf>
    <dxf>
      <font>
        <color rgb="FF002060"/>
      </font>
      <fill>
        <patternFill>
          <bgColor rgb="FFFF0000"/>
        </patternFill>
      </fill>
    </dxf>
    <dxf>
      <fill>
        <patternFill>
          <bgColor rgb="FF92D050"/>
        </patternFill>
      </fill>
    </dxf>
    <dxf>
      <font>
        <color rgb="FF9C0006"/>
      </font>
      <fill>
        <patternFill>
          <bgColor rgb="FFFFC7CE"/>
        </patternFill>
      </fill>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fgColor theme="3" tint="0.89999084444715716"/>
        </patternFill>
      </fill>
    </dxf>
    <dxf>
      <fill>
        <patternFill>
          <fgColor theme="3" tint="0.89999084444715716"/>
        </patternFill>
      </fill>
    </dxf>
    <dxf>
      <fill>
        <patternFill>
          <fgColor theme="3" tint="0.89999084444715716"/>
        </patternFill>
      </fill>
      <alignment horizontal="left"/>
    </dxf>
    <dxf>
      <fill>
        <patternFill>
          <fgColor theme="3" tint="0.89999084444715716"/>
        </patternFill>
      </fill>
      <alignment horizontal="lef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fgColor theme="3" tint="0.89999084444715716"/>
        </patternFill>
      </fill>
    </dxf>
    <dxf>
      <fill>
        <patternFill>
          <fgColor theme="3" tint="0.89999084444715716"/>
        </patternFill>
      </fill>
    </dxf>
    <dxf>
      <fill>
        <patternFill>
          <fgColor theme="3" tint="0.89999084444715716"/>
        </patternFill>
      </fill>
      <alignment horizontal="left"/>
    </dxf>
    <dxf>
      <fill>
        <patternFill>
          <fgColor theme="3" tint="0.89999084444715716"/>
        </patternFill>
      </fill>
      <alignment horizontal="left"/>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fgColor theme="3" tint="0.89999084444715716"/>
        </patternFill>
      </fill>
    </dxf>
    <dxf>
      <fill>
        <patternFill>
          <fgColor theme="3" tint="0.89999084444715716"/>
        </patternFill>
      </fill>
    </dxf>
    <dxf>
      <fill>
        <patternFill>
          <fgColor theme="3" tint="0.89999084444715716"/>
        </patternFill>
      </fill>
      <alignment horizontal="left"/>
    </dxf>
    <dxf>
      <fill>
        <patternFill>
          <fgColor theme="3" tint="0.89999084444715716"/>
        </patternFill>
      </fill>
      <alignment horizontal="left"/>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fgColor theme="3" tint="0.89999084444715716"/>
        </patternFill>
      </fill>
    </dxf>
    <dxf>
      <fill>
        <patternFill>
          <fgColor theme="3" tint="0.89999084444715716"/>
        </patternFill>
      </fill>
    </dxf>
    <dxf>
      <fill>
        <patternFill>
          <fgColor theme="3" tint="0.89999084444715716"/>
        </patternFill>
      </fill>
      <alignment horizontal="left"/>
    </dxf>
    <dxf>
      <fill>
        <patternFill>
          <fgColor theme="3" tint="0.89999084444715716"/>
        </patternFill>
      </fill>
      <alignment horizontal="left"/>
    </dxf>
  </dxfs>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CRM_TU EMPRESA SEGURA 16_06_2025.xlsx]GRÁFICAS!TablaDinámica1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O"/>
              <a:t>Conexiones Empresas y Porcentajes de Avances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GRÁFICAS!$B$3</c:f>
              <c:strCache>
                <c:ptCount val="1"/>
                <c:pt idx="0">
                  <c:v>Cuenta de Conexión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GRÁFICAS!$A$4:$A$29</c:f>
              <c:strCache>
                <c:ptCount val="25"/>
                <c:pt idx="0">
                  <c:v>AGROINSUMOS VILLACLARA SAS</c:v>
                </c:pt>
                <c:pt idx="1">
                  <c:v>ALMA BOTANICA SAS</c:v>
                </c:pt>
                <c:pt idx="2">
                  <c:v>ANA CAMPUZANO ARBOLEDA</c:v>
                </c:pt>
                <c:pt idx="3">
                  <c:v>BLACKRIVER FLOWERS SAS C I</c:v>
                </c:pt>
                <c:pt idx="4">
                  <c:v>BORJA FLOWERS SAS</c:v>
                </c:pt>
                <c:pt idx="5">
                  <c:v>CARNES MONTECARLO</c:v>
                </c:pt>
                <c:pt idx="6">
                  <c:v>CI FLORES MUNDO COLORES SAS</c:v>
                </c:pt>
                <c:pt idx="7">
                  <c:v>EMTURPE LIMITADA</c:v>
                </c:pt>
                <c:pt idx="8">
                  <c:v>ESTRUCTURAS METALICAS DEL CHOCO</c:v>
                </c:pt>
                <c:pt idx="9">
                  <c:v>FOTO SCANNER</c:v>
                </c:pt>
                <c:pt idx="10">
                  <c:v>HYDRANFLOWERS S.A.S</c:v>
                </c:pt>
                <c:pt idx="11">
                  <c:v>INVERSIONES VALLEJUELO S.A.S.</c:v>
                </c:pt>
                <c:pt idx="12">
                  <c:v>JORGE ELIECER GOMEZ</c:v>
                </c:pt>
                <c:pt idx="13">
                  <c:v>JULIAN GALLEGO CASTRO</c:v>
                </c:pt>
                <c:pt idx="14">
                  <c:v>LACTEOS BUENA VISTA SABORES NATURALES S A</c:v>
                </c:pt>
                <c:pt idx="15">
                  <c:v>LOPETRANS SAS </c:v>
                </c:pt>
                <c:pt idx="16">
                  <c:v>MADERAS SAN RAFAEL </c:v>
                </c:pt>
                <c:pt idx="17">
                  <c:v>OLGA LÓPEZ </c:v>
                </c:pt>
                <c:pt idx="18">
                  <c:v>PROSOLAR S.A.S</c:v>
                </c:pt>
                <c:pt idx="19">
                  <c:v>SAÚL GÓMEZ </c:v>
                </c:pt>
                <c:pt idx="20">
                  <c:v>SUMINISTRO Y TRANSPORTE DE MATERIAL RIOS Y FLOREZ SAS </c:v>
                </c:pt>
                <c:pt idx="21">
                  <c:v>TECCONS S.A.S</c:v>
                </c:pt>
                <c:pt idx="22">
                  <c:v>TROPICAL1987</c:v>
                </c:pt>
                <c:pt idx="23">
                  <c:v>URANTUS GREENHOUSES S.A.S</c:v>
                </c:pt>
                <c:pt idx="24">
                  <c:v>VANESSA VARGAS ALZATE</c:v>
                </c:pt>
              </c:strCache>
            </c:strRef>
          </c:cat>
          <c:val>
            <c:numRef>
              <c:f>GRÁFICAS!$B$4:$B$29</c:f>
              <c:numCache>
                <c:formatCode>General</c:formatCode>
                <c:ptCount val="25"/>
                <c:pt idx="0">
                  <c:v>1</c:v>
                </c:pt>
                <c:pt idx="1">
                  <c:v>8</c:v>
                </c:pt>
                <c:pt idx="2">
                  <c:v>10</c:v>
                </c:pt>
                <c:pt idx="3">
                  <c:v>13</c:v>
                </c:pt>
                <c:pt idx="4">
                  <c:v>10</c:v>
                </c:pt>
                <c:pt idx="5">
                  <c:v>5</c:v>
                </c:pt>
                <c:pt idx="6">
                  <c:v>12</c:v>
                </c:pt>
                <c:pt idx="7">
                  <c:v>12</c:v>
                </c:pt>
                <c:pt idx="8">
                  <c:v>1</c:v>
                </c:pt>
                <c:pt idx="9">
                  <c:v>3</c:v>
                </c:pt>
                <c:pt idx="10">
                  <c:v>8</c:v>
                </c:pt>
                <c:pt idx="11">
                  <c:v>9</c:v>
                </c:pt>
                <c:pt idx="12">
                  <c:v>2</c:v>
                </c:pt>
                <c:pt idx="13">
                  <c:v>8</c:v>
                </c:pt>
                <c:pt idx="14">
                  <c:v>10</c:v>
                </c:pt>
                <c:pt idx="15">
                  <c:v>13</c:v>
                </c:pt>
                <c:pt idx="16">
                  <c:v>11</c:v>
                </c:pt>
                <c:pt idx="17">
                  <c:v>6</c:v>
                </c:pt>
                <c:pt idx="18">
                  <c:v>8</c:v>
                </c:pt>
                <c:pt idx="19">
                  <c:v>10</c:v>
                </c:pt>
                <c:pt idx="20">
                  <c:v>4</c:v>
                </c:pt>
                <c:pt idx="21">
                  <c:v>11</c:v>
                </c:pt>
                <c:pt idx="22">
                  <c:v>7</c:v>
                </c:pt>
                <c:pt idx="23">
                  <c:v>12</c:v>
                </c:pt>
                <c:pt idx="24">
                  <c:v>11</c:v>
                </c:pt>
              </c:numCache>
            </c:numRef>
          </c:val>
          <c:extLst>
            <c:ext xmlns:c16="http://schemas.microsoft.com/office/drawing/2014/chart" uri="{C3380CC4-5D6E-409C-BE32-E72D297353CC}">
              <c16:uniqueId val="{00000000-AE2B-4BB3-9504-8F35AC921D7A}"/>
            </c:ext>
          </c:extLst>
        </c:ser>
        <c:ser>
          <c:idx val="1"/>
          <c:order val="1"/>
          <c:tx>
            <c:strRef>
              <c:f>GRÁFICAS!$C$3</c:f>
              <c:strCache>
                <c:ptCount val="1"/>
                <c:pt idx="0">
                  <c:v>Suma de PORCENTAJE</c:v>
                </c:pt>
              </c:strCache>
            </c:strRef>
          </c:tx>
          <c:spPr>
            <a:solidFill>
              <a:srgbClr val="FF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GRÁFICAS!$A$4:$A$29</c:f>
              <c:strCache>
                <c:ptCount val="25"/>
                <c:pt idx="0">
                  <c:v>AGROINSUMOS VILLACLARA SAS</c:v>
                </c:pt>
                <c:pt idx="1">
                  <c:v>ALMA BOTANICA SAS</c:v>
                </c:pt>
                <c:pt idx="2">
                  <c:v>ANA CAMPUZANO ARBOLEDA</c:v>
                </c:pt>
                <c:pt idx="3">
                  <c:v>BLACKRIVER FLOWERS SAS C I</c:v>
                </c:pt>
                <c:pt idx="4">
                  <c:v>BORJA FLOWERS SAS</c:v>
                </c:pt>
                <c:pt idx="5">
                  <c:v>CARNES MONTECARLO</c:v>
                </c:pt>
                <c:pt idx="6">
                  <c:v>CI FLORES MUNDO COLORES SAS</c:v>
                </c:pt>
                <c:pt idx="7">
                  <c:v>EMTURPE LIMITADA</c:v>
                </c:pt>
                <c:pt idx="8">
                  <c:v>ESTRUCTURAS METALICAS DEL CHOCO</c:v>
                </c:pt>
                <c:pt idx="9">
                  <c:v>FOTO SCANNER</c:v>
                </c:pt>
                <c:pt idx="10">
                  <c:v>HYDRANFLOWERS S.A.S</c:v>
                </c:pt>
                <c:pt idx="11">
                  <c:v>INVERSIONES VALLEJUELO S.A.S.</c:v>
                </c:pt>
                <c:pt idx="12">
                  <c:v>JORGE ELIECER GOMEZ</c:v>
                </c:pt>
                <c:pt idx="13">
                  <c:v>JULIAN GALLEGO CASTRO</c:v>
                </c:pt>
                <c:pt idx="14">
                  <c:v>LACTEOS BUENA VISTA SABORES NATURALES S A</c:v>
                </c:pt>
                <c:pt idx="15">
                  <c:v>LOPETRANS SAS </c:v>
                </c:pt>
                <c:pt idx="16">
                  <c:v>MADERAS SAN RAFAEL </c:v>
                </c:pt>
                <c:pt idx="17">
                  <c:v>OLGA LÓPEZ </c:v>
                </c:pt>
                <c:pt idx="18">
                  <c:v>PROSOLAR S.A.S</c:v>
                </c:pt>
                <c:pt idx="19">
                  <c:v>SAÚL GÓMEZ </c:v>
                </c:pt>
                <c:pt idx="20">
                  <c:v>SUMINISTRO Y TRANSPORTE DE MATERIAL RIOS Y FLOREZ SAS </c:v>
                </c:pt>
                <c:pt idx="21">
                  <c:v>TECCONS S.A.S</c:v>
                </c:pt>
                <c:pt idx="22">
                  <c:v>TROPICAL1987</c:v>
                </c:pt>
                <c:pt idx="23">
                  <c:v>URANTUS GREENHOUSES S.A.S</c:v>
                </c:pt>
                <c:pt idx="24">
                  <c:v>VANESSA VARGAS ALZATE</c:v>
                </c:pt>
              </c:strCache>
            </c:strRef>
          </c:cat>
          <c:val>
            <c:numRef>
              <c:f>GRÁFICAS!$C$4:$C$29</c:f>
              <c:numCache>
                <c:formatCode>General</c:formatCode>
                <c:ptCount val="25"/>
                <c:pt idx="0">
                  <c:v>2</c:v>
                </c:pt>
                <c:pt idx="1">
                  <c:v>10</c:v>
                </c:pt>
                <c:pt idx="2">
                  <c:v>17.5</c:v>
                </c:pt>
                <c:pt idx="3">
                  <c:v>14.5</c:v>
                </c:pt>
                <c:pt idx="4">
                  <c:v>5</c:v>
                </c:pt>
                <c:pt idx="5">
                  <c:v>5</c:v>
                </c:pt>
                <c:pt idx="6">
                  <c:v>17.5</c:v>
                </c:pt>
                <c:pt idx="7">
                  <c:v>11</c:v>
                </c:pt>
                <c:pt idx="8">
                  <c:v>1</c:v>
                </c:pt>
                <c:pt idx="9">
                  <c:v>4</c:v>
                </c:pt>
                <c:pt idx="10">
                  <c:v>5.5</c:v>
                </c:pt>
                <c:pt idx="11">
                  <c:v>11</c:v>
                </c:pt>
                <c:pt idx="12">
                  <c:v>0</c:v>
                </c:pt>
                <c:pt idx="13">
                  <c:v>15</c:v>
                </c:pt>
                <c:pt idx="14">
                  <c:v>18</c:v>
                </c:pt>
                <c:pt idx="15">
                  <c:v>23</c:v>
                </c:pt>
                <c:pt idx="16">
                  <c:v>15</c:v>
                </c:pt>
                <c:pt idx="17">
                  <c:v>3.5</c:v>
                </c:pt>
                <c:pt idx="18">
                  <c:v>8.5</c:v>
                </c:pt>
                <c:pt idx="19">
                  <c:v>13</c:v>
                </c:pt>
                <c:pt idx="20">
                  <c:v>6</c:v>
                </c:pt>
                <c:pt idx="21">
                  <c:v>13</c:v>
                </c:pt>
                <c:pt idx="22">
                  <c:v>8</c:v>
                </c:pt>
                <c:pt idx="23">
                  <c:v>18.5</c:v>
                </c:pt>
                <c:pt idx="24">
                  <c:v>14</c:v>
                </c:pt>
              </c:numCache>
            </c:numRef>
          </c:val>
          <c:extLst>
            <c:ext xmlns:c16="http://schemas.microsoft.com/office/drawing/2014/chart" uri="{C3380CC4-5D6E-409C-BE32-E72D297353CC}">
              <c16:uniqueId val="{00000001-45CC-4E9F-966B-270DE46762C2}"/>
            </c:ext>
          </c:extLst>
        </c:ser>
        <c:dLbls>
          <c:showLegendKey val="0"/>
          <c:showVal val="1"/>
          <c:showCatName val="0"/>
          <c:showSerName val="0"/>
          <c:showPercent val="0"/>
          <c:showBubbleSize val="0"/>
        </c:dLbls>
        <c:gapWidth val="75"/>
        <c:axId val="470187823"/>
        <c:axId val="470185423"/>
      </c:barChart>
      <c:catAx>
        <c:axId val="4701878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470185423"/>
        <c:crosses val="autoZero"/>
        <c:auto val="1"/>
        <c:lblAlgn val="ctr"/>
        <c:lblOffset val="100"/>
        <c:noMultiLvlLbl val="0"/>
      </c:catAx>
      <c:valAx>
        <c:axId val="470185423"/>
        <c:scaling>
          <c:orientation val="minMax"/>
        </c:scaling>
        <c:delete val="1"/>
        <c:axPos val="l"/>
        <c:numFmt formatCode="General" sourceLinked="1"/>
        <c:majorTickMark val="none"/>
        <c:minorTickMark val="none"/>
        <c:tickLblPos val="nextTo"/>
        <c:crossAx val="470187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barChart>
        <c:barDir val="col"/>
        <c:grouping val="clustered"/>
        <c:varyColors val="0"/>
        <c:ser>
          <c:idx val="0"/>
          <c:order val="0"/>
          <c:tx>
            <c:strRef>
              <c:f>GRÁFICAS!$B$71</c:f>
              <c:strCache>
                <c:ptCount val="1"/>
                <c:pt idx="0">
                  <c:v>DÍAS EN EL PROGRAMA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GRÁFICAS!$A$72:$A$96</c:f>
              <c:strCache>
                <c:ptCount val="25"/>
                <c:pt idx="0">
                  <c:v>CARNES MONTECARLO</c:v>
                </c:pt>
                <c:pt idx="1">
                  <c:v>OLGA LÓPEZ </c:v>
                </c:pt>
                <c:pt idx="2">
                  <c:v>TROPICAL1987</c:v>
                </c:pt>
                <c:pt idx="3">
                  <c:v>SUMINISTRO Y TRANSPORTE DE MATERIAL RIOS Y FLOREZ SAS </c:v>
                </c:pt>
                <c:pt idx="4">
                  <c:v>TECCONS S.A.S</c:v>
                </c:pt>
                <c:pt idx="5">
                  <c:v>SAÚL GÓMEZ </c:v>
                </c:pt>
                <c:pt idx="6">
                  <c:v>MADERAS SAN RAFAEL </c:v>
                </c:pt>
                <c:pt idx="7">
                  <c:v>LOPETRANS SAS </c:v>
                </c:pt>
                <c:pt idx="8">
                  <c:v>INVERSIONES VALLEJUELO S.A.S.</c:v>
                </c:pt>
                <c:pt idx="9">
                  <c:v>JULIAN GALLEGO CASTRO</c:v>
                </c:pt>
                <c:pt idx="10">
                  <c:v>URANTUS GREENHOUSES S.A.S</c:v>
                </c:pt>
                <c:pt idx="11">
                  <c:v>ANA CAMPUZANO ARBOLEDA</c:v>
                </c:pt>
                <c:pt idx="12">
                  <c:v>LACTEOS BUENA VISTA SABORES NATURALES S A</c:v>
                </c:pt>
                <c:pt idx="13">
                  <c:v>ALMA BOTANICA SAS</c:v>
                </c:pt>
                <c:pt idx="14">
                  <c:v>BLACKRIVER FLOWERS SAS C I</c:v>
                </c:pt>
                <c:pt idx="15">
                  <c:v>BORJA FLOWERS SAS</c:v>
                </c:pt>
                <c:pt idx="16">
                  <c:v>CI FLORES MUNDO COLORES SAS</c:v>
                </c:pt>
                <c:pt idx="17">
                  <c:v>EMTURPE LIMITADA</c:v>
                </c:pt>
                <c:pt idx="18">
                  <c:v>PROSOLAR S.A.S</c:v>
                </c:pt>
                <c:pt idx="19">
                  <c:v>VANESSA VARGAS ALZATE</c:v>
                </c:pt>
                <c:pt idx="20">
                  <c:v>HYDRANFLOWERS S.A.S</c:v>
                </c:pt>
                <c:pt idx="21">
                  <c:v>AGROINSUMOS VILLACLARA SAS</c:v>
                </c:pt>
                <c:pt idx="22">
                  <c:v>ESTRUCTURAS METALICAS DEL CHOCO</c:v>
                </c:pt>
                <c:pt idx="23">
                  <c:v>FOTO SCANNER</c:v>
                </c:pt>
                <c:pt idx="24">
                  <c:v>JORGE ELIECER GOMEZ</c:v>
                </c:pt>
              </c:strCache>
            </c:strRef>
          </c:cat>
          <c:val>
            <c:numRef>
              <c:f>GRÁFICAS!$B$72:$B$96</c:f>
              <c:numCache>
                <c:formatCode>General</c:formatCode>
                <c:ptCount val="25"/>
                <c:pt idx="0">
                  <c:v>90</c:v>
                </c:pt>
                <c:pt idx="1">
                  <c:v>90</c:v>
                </c:pt>
                <c:pt idx="2">
                  <c:v>90</c:v>
                </c:pt>
                <c:pt idx="3">
                  <c:v>83</c:v>
                </c:pt>
                <c:pt idx="4">
                  <c:v>76</c:v>
                </c:pt>
                <c:pt idx="5">
                  <c:v>74</c:v>
                </c:pt>
                <c:pt idx="6">
                  <c:v>72</c:v>
                </c:pt>
                <c:pt idx="7">
                  <c:v>70</c:v>
                </c:pt>
                <c:pt idx="8">
                  <c:v>66</c:v>
                </c:pt>
                <c:pt idx="9">
                  <c:v>66</c:v>
                </c:pt>
                <c:pt idx="10">
                  <c:v>65</c:v>
                </c:pt>
                <c:pt idx="11">
                  <c:v>63</c:v>
                </c:pt>
                <c:pt idx="12">
                  <c:v>63</c:v>
                </c:pt>
                <c:pt idx="13">
                  <c:v>56</c:v>
                </c:pt>
                <c:pt idx="14">
                  <c:v>56</c:v>
                </c:pt>
                <c:pt idx="15">
                  <c:v>56</c:v>
                </c:pt>
                <c:pt idx="16">
                  <c:v>56</c:v>
                </c:pt>
                <c:pt idx="17">
                  <c:v>56</c:v>
                </c:pt>
                <c:pt idx="18">
                  <c:v>56</c:v>
                </c:pt>
                <c:pt idx="19">
                  <c:v>56</c:v>
                </c:pt>
                <c:pt idx="20">
                  <c:v>32</c:v>
                </c:pt>
                <c:pt idx="21">
                  <c:v>10</c:v>
                </c:pt>
                <c:pt idx="22">
                  <c:v>10</c:v>
                </c:pt>
                <c:pt idx="23">
                  <c:v>10</c:v>
                </c:pt>
                <c:pt idx="24">
                  <c:v>4</c:v>
                </c:pt>
              </c:numCache>
            </c:numRef>
          </c:val>
          <c:extLst>
            <c:ext xmlns:c16="http://schemas.microsoft.com/office/drawing/2014/chart" uri="{C3380CC4-5D6E-409C-BE32-E72D297353CC}">
              <c16:uniqueId val="{00000000-CC15-40DE-A8CC-ACA915C14894}"/>
            </c:ext>
          </c:extLst>
        </c:ser>
        <c:dLbls>
          <c:showLegendKey val="0"/>
          <c:showVal val="1"/>
          <c:showCatName val="0"/>
          <c:showSerName val="0"/>
          <c:showPercent val="0"/>
          <c:showBubbleSize val="0"/>
        </c:dLbls>
        <c:gapWidth val="150"/>
        <c:overlap val="-25"/>
        <c:axId val="1032455391"/>
        <c:axId val="1032441951"/>
      </c:barChart>
      <c:catAx>
        <c:axId val="1032455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032441951"/>
        <c:crosses val="autoZero"/>
        <c:auto val="1"/>
        <c:lblAlgn val="ctr"/>
        <c:lblOffset val="100"/>
        <c:noMultiLvlLbl val="0"/>
      </c:catAx>
      <c:valAx>
        <c:axId val="1032441951"/>
        <c:scaling>
          <c:orientation val="minMax"/>
        </c:scaling>
        <c:delete val="1"/>
        <c:axPos val="l"/>
        <c:numFmt formatCode="General" sourceLinked="1"/>
        <c:majorTickMark val="none"/>
        <c:minorTickMark val="none"/>
        <c:tickLblPos val="nextTo"/>
        <c:crossAx val="10324553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CRM_TU EMPRESA SEGURA 16_06_2025.xlsx]GRÁFICAS!TablaDinámica4</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Número de Trabajadores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GRÁFICAS!$B$40</c:f>
              <c:strCache>
                <c:ptCount val="1"/>
                <c:pt idx="0">
                  <c:v>Total</c:v>
                </c:pt>
              </c:strCache>
            </c:strRef>
          </c:tx>
          <c:spPr>
            <a:solidFill>
              <a:srgbClr val="FF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GRÁFICAS!$A$41:$A$66</c:f>
              <c:strCache>
                <c:ptCount val="25"/>
                <c:pt idx="0">
                  <c:v>AGROINSUMOS VILLACLARA SAS</c:v>
                </c:pt>
                <c:pt idx="1">
                  <c:v>ALMA BOTANICA SAS</c:v>
                </c:pt>
                <c:pt idx="2">
                  <c:v>ANA CAMPUZANO ARBOLEDA</c:v>
                </c:pt>
                <c:pt idx="3">
                  <c:v>BLACKRIVER FLOWERS SAS C I</c:v>
                </c:pt>
                <c:pt idx="4">
                  <c:v>BORJA FLOWERS SAS</c:v>
                </c:pt>
                <c:pt idx="5">
                  <c:v>CARNES MONTECARLO</c:v>
                </c:pt>
                <c:pt idx="6">
                  <c:v>CI FLORES MUNDO COLORES SAS</c:v>
                </c:pt>
                <c:pt idx="7">
                  <c:v>EMTURPE LIMITADA</c:v>
                </c:pt>
                <c:pt idx="8">
                  <c:v>ESTRUCTURAS METALICAS DEL CHOCO</c:v>
                </c:pt>
                <c:pt idx="9">
                  <c:v>FOTO SCANNER</c:v>
                </c:pt>
                <c:pt idx="10">
                  <c:v>HYDRANFLOWERS S.A.S</c:v>
                </c:pt>
                <c:pt idx="11">
                  <c:v>INVERSIONES VALLEJUELO S.A.S.</c:v>
                </c:pt>
                <c:pt idx="12">
                  <c:v>JORGE ELIECER GOMEZ</c:v>
                </c:pt>
                <c:pt idx="13">
                  <c:v>JULIAN GALLEGO CASTRO</c:v>
                </c:pt>
                <c:pt idx="14">
                  <c:v>LACTEOS BUENA VISTA SABORES NATURALES S A</c:v>
                </c:pt>
                <c:pt idx="15">
                  <c:v>LOPETRANS SAS </c:v>
                </c:pt>
                <c:pt idx="16">
                  <c:v>MADERAS SAN RAFAEL </c:v>
                </c:pt>
                <c:pt idx="17">
                  <c:v>OLGA LÓPEZ </c:v>
                </c:pt>
                <c:pt idx="18">
                  <c:v>PROSOLAR S.A.S</c:v>
                </c:pt>
                <c:pt idx="19">
                  <c:v>SAÚL GÓMEZ </c:v>
                </c:pt>
                <c:pt idx="20">
                  <c:v>SUMINISTRO Y TRANSPORTE DE MATERIAL RIOS Y FLOREZ SAS </c:v>
                </c:pt>
                <c:pt idx="21">
                  <c:v>TECCONS S.A.S</c:v>
                </c:pt>
                <c:pt idx="22">
                  <c:v>TROPICAL1987</c:v>
                </c:pt>
                <c:pt idx="23">
                  <c:v>URANTUS GREENHOUSES S.A.S</c:v>
                </c:pt>
                <c:pt idx="24">
                  <c:v>VANESSA VARGAS ALZATE</c:v>
                </c:pt>
              </c:strCache>
            </c:strRef>
          </c:cat>
          <c:val>
            <c:numRef>
              <c:f>GRÁFICAS!$B$41:$B$66</c:f>
              <c:numCache>
                <c:formatCode>General</c:formatCode>
                <c:ptCount val="25"/>
                <c:pt idx="0">
                  <c:v>1</c:v>
                </c:pt>
                <c:pt idx="1">
                  <c:v>8</c:v>
                </c:pt>
                <c:pt idx="2">
                  <c:v>10</c:v>
                </c:pt>
                <c:pt idx="3">
                  <c:v>13</c:v>
                </c:pt>
                <c:pt idx="4">
                  <c:v>10</c:v>
                </c:pt>
                <c:pt idx="5">
                  <c:v>5</c:v>
                </c:pt>
                <c:pt idx="6">
                  <c:v>12</c:v>
                </c:pt>
                <c:pt idx="7">
                  <c:v>12</c:v>
                </c:pt>
                <c:pt idx="8">
                  <c:v>1</c:v>
                </c:pt>
                <c:pt idx="9">
                  <c:v>3</c:v>
                </c:pt>
                <c:pt idx="10">
                  <c:v>8</c:v>
                </c:pt>
                <c:pt idx="11">
                  <c:v>9</c:v>
                </c:pt>
                <c:pt idx="12">
                  <c:v>2</c:v>
                </c:pt>
                <c:pt idx="13">
                  <c:v>8</c:v>
                </c:pt>
                <c:pt idx="14">
                  <c:v>10</c:v>
                </c:pt>
                <c:pt idx="15">
                  <c:v>13</c:v>
                </c:pt>
                <c:pt idx="16">
                  <c:v>11</c:v>
                </c:pt>
                <c:pt idx="17">
                  <c:v>6</c:v>
                </c:pt>
                <c:pt idx="18">
                  <c:v>8</c:v>
                </c:pt>
                <c:pt idx="19">
                  <c:v>10</c:v>
                </c:pt>
                <c:pt idx="20">
                  <c:v>4</c:v>
                </c:pt>
                <c:pt idx="21">
                  <c:v>11</c:v>
                </c:pt>
                <c:pt idx="22">
                  <c:v>7</c:v>
                </c:pt>
                <c:pt idx="23">
                  <c:v>12</c:v>
                </c:pt>
                <c:pt idx="24">
                  <c:v>1</c:v>
                </c:pt>
              </c:numCache>
            </c:numRef>
          </c:val>
          <c:extLst>
            <c:ext xmlns:c16="http://schemas.microsoft.com/office/drawing/2014/chart" uri="{C3380CC4-5D6E-409C-BE32-E72D297353CC}">
              <c16:uniqueId val="{00000000-8F44-455A-9B43-C589DDCF7961}"/>
            </c:ext>
          </c:extLst>
        </c:ser>
        <c:dLbls>
          <c:showLegendKey val="0"/>
          <c:showVal val="1"/>
          <c:showCatName val="0"/>
          <c:showSerName val="0"/>
          <c:showPercent val="0"/>
          <c:showBubbleSize val="0"/>
        </c:dLbls>
        <c:gapWidth val="150"/>
        <c:overlap val="-25"/>
        <c:axId val="681482528"/>
        <c:axId val="681483184"/>
      </c:barChart>
      <c:catAx>
        <c:axId val="681482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681483184"/>
        <c:crosses val="autoZero"/>
        <c:auto val="1"/>
        <c:lblAlgn val="ctr"/>
        <c:lblOffset val="100"/>
        <c:noMultiLvlLbl val="0"/>
      </c:catAx>
      <c:valAx>
        <c:axId val="681483184"/>
        <c:scaling>
          <c:orientation val="minMax"/>
        </c:scaling>
        <c:delete val="1"/>
        <c:axPos val="l"/>
        <c:numFmt formatCode="General" sourceLinked="1"/>
        <c:majorTickMark val="none"/>
        <c:minorTickMark val="none"/>
        <c:tickLblPos val="nextTo"/>
        <c:crossAx val="6814825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a:solidFill>
                  <a:srgbClr val="002060"/>
                </a:solidFill>
              </a:rPr>
              <a:t>AVANCE  DE PRODUCTIVIDAD</a:t>
            </a:r>
          </a:p>
        </c:rich>
      </c:tx>
      <c:layout>
        <c:manualLayout>
          <c:xMode val="edge"/>
          <c:yMode val="edge"/>
          <c:x val="0.32424514528571902"/>
          <c:y val="1.365187713310580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GRÁFICAS!$B$100</c:f>
              <c:strCache>
                <c:ptCount val="1"/>
                <c:pt idx="0">
                  <c:v>Suma de PORCENTAJE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GRÁFICAS!$A$101:$A$125</c:f>
              <c:strCache>
                <c:ptCount val="25"/>
                <c:pt idx="0">
                  <c:v>LOPETRANS SAS </c:v>
                </c:pt>
                <c:pt idx="1">
                  <c:v>URANTUS GREENHOUSES S.A.S</c:v>
                </c:pt>
                <c:pt idx="2">
                  <c:v>LACTEOS BUENA VISTA SABORES NATURALES S A</c:v>
                </c:pt>
                <c:pt idx="3">
                  <c:v>ANA CAMPUZANO ARBOLEDA</c:v>
                </c:pt>
                <c:pt idx="4">
                  <c:v>CI FLORES MUNDO COLORES SAS</c:v>
                </c:pt>
                <c:pt idx="5">
                  <c:v>JULIAN GALLEGO CASTRO</c:v>
                </c:pt>
                <c:pt idx="6">
                  <c:v>MADERAS SAN RAFAEL </c:v>
                </c:pt>
                <c:pt idx="7">
                  <c:v>VANESSA VARGAS ALZATE</c:v>
                </c:pt>
                <c:pt idx="8">
                  <c:v>SAÚL GÓMEZ </c:v>
                </c:pt>
                <c:pt idx="9">
                  <c:v>TECCONS S.A.S</c:v>
                </c:pt>
                <c:pt idx="10">
                  <c:v>EMTURPE LIMITADA</c:v>
                </c:pt>
                <c:pt idx="11">
                  <c:v>INVERSIONES VALLEJUELO S.A.S.</c:v>
                </c:pt>
                <c:pt idx="12">
                  <c:v>ALMA BOTANICA SAS</c:v>
                </c:pt>
                <c:pt idx="13">
                  <c:v>PROSOLAR S.A.S</c:v>
                </c:pt>
                <c:pt idx="14">
                  <c:v>TROPICAL1987</c:v>
                </c:pt>
                <c:pt idx="15">
                  <c:v>SUMINISTRO Y TRANSPORTE DE MATERIAL RIOS Y FLOREZ SAS </c:v>
                </c:pt>
                <c:pt idx="16">
                  <c:v>HYDRANFLOWERS S.A.S</c:v>
                </c:pt>
                <c:pt idx="17">
                  <c:v>BLACKRIVER FLOWERS SAS C I</c:v>
                </c:pt>
                <c:pt idx="18">
                  <c:v>CARNES MONTECARLO</c:v>
                </c:pt>
                <c:pt idx="19">
                  <c:v>FOTO SCANNER</c:v>
                </c:pt>
                <c:pt idx="20">
                  <c:v>OLGA LÓPEZ </c:v>
                </c:pt>
                <c:pt idx="21">
                  <c:v>AGROINSUMOS VILLACLARA SAS</c:v>
                </c:pt>
                <c:pt idx="22">
                  <c:v>ESTRUCTURAS METALICAS DEL CHOCO</c:v>
                </c:pt>
                <c:pt idx="23">
                  <c:v>JORGE ELIECER GOMEZ</c:v>
                </c:pt>
                <c:pt idx="24">
                  <c:v>BORJA FLOWERS SAS</c:v>
                </c:pt>
              </c:strCache>
            </c:strRef>
          </c:cat>
          <c:val>
            <c:numRef>
              <c:f>GRÁFICAS!$B$101:$B$125</c:f>
              <c:numCache>
                <c:formatCode>General</c:formatCode>
                <c:ptCount val="25"/>
                <c:pt idx="0">
                  <c:v>23</c:v>
                </c:pt>
                <c:pt idx="1">
                  <c:v>18.5</c:v>
                </c:pt>
                <c:pt idx="2">
                  <c:v>18</c:v>
                </c:pt>
                <c:pt idx="3">
                  <c:v>17.5</c:v>
                </c:pt>
                <c:pt idx="4">
                  <c:v>17.5</c:v>
                </c:pt>
                <c:pt idx="5">
                  <c:v>15</c:v>
                </c:pt>
                <c:pt idx="6">
                  <c:v>15</c:v>
                </c:pt>
                <c:pt idx="7">
                  <c:v>14</c:v>
                </c:pt>
                <c:pt idx="8">
                  <c:v>13</c:v>
                </c:pt>
                <c:pt idx="9">
                  <c:v>13</c:v>
                </c:pt>
                <c:pt idx="10">
                  <c:v>11</c:v>
                </c:pt>
                <c:pt idx="11">
                  <c:v>11</c:v>
                </c:pt>
                <c:pt idx="12">
                  <c:v>10</c:v>
                </c:pt>
                <c:pt idx="13">
                  <c:v>8.5</c:v>
                </c:pt>
                <c:pt idx="14">
                  <c:v>8</c:v>
                </c:pt>
                <c:pt idx="15">
                  <c:v>6</c:v>
                </c:pt>
                <c:pt idx="16">
                  <c:v>5.5</c:v>
                </c:pt>
                <c:pt idx="17">
                  <c:v>5</c:v>
                </c:pt>
                <c:pt idx="18">
                  <c:v>5</c:v>
                </c:pt>
                <c:pt idx="19">
                  <c:v>4</c:v>
                </c:pt>
                <c:pt idx="20">
                  <c:v>3.5</c:v>
                </c:pt>
                <c:pt idx="21">
                  <c:v>2</c:v>
                </c:pt>
                <c:pt idx="22">
                  <c:v>1</c:v>
                </c:pt>
                <c:pt idx="23">
                  <c:v>0</c:v>
                </c:pt>
              </c:numCache>
            </c:numRef>
          </c:val>
          <c:extLst>
            <c:ext xmlns:c16="http://schemas.microsoft.com/office/drawing/2014/chart" uri="{C3380CC4-5D6E-409C-BE32-E72D297353CC}">
              <c16:uniqueId val="{00000000-DD77-446E-A584-0C79F63FDDCF}"/>
            </c:ext>
          </c:extLst>
        </c:ser>
        <c:dLbls>
          <c:dLblPos val="outEnd"/>
          <c:showLegendKey val="0"/>
          <c:showVal val="1"/>
          <c:showCatName val="0"/>
          <c:showSerName val="0"/>
          <c:showPercent val="0"/>
          <c:showBubbleSize val="0"/>
        </c:dLbls>
        <c:gapWidth val="444"/>
        <c:overlap val="-90"/>
        <c:axId val="119753535"/>
        <c:axId val="119754015"/>
      </c:barChart>
      <c:catAx>
        <c:axId val="119753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CO"/>
          </a:p>
        </c:txPr>
        <c:crossAx val="119754015"/>
        <c:crosses val="autoZero"/>
        <c:auto val="1"/>
        <c:lblAlgn val="ctr"/>
        <c:lblOffset val="100"/>
        <c:noMultiLvlLbl val="0"/>
      </c:catAx>
      <c:valAx>
        <c:axId val="119754015"/>
        <c:scaling>
          <c:orientation val="minMax"/>
        </c:scaling>
        <c:delete val="1"/>
        <c:axPos val="l"/>
        <c:numFmt formatCode="General" sourceLinked="1"/>
        <c:majorTickMark val="none"/>
        <c:minorTickMark val="none"/>
        <c:tickLblPos val="nextTo"/>
        <c:crossAx val="119753535"/>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609601</xdr:colOff>
      <xdr:row>1</xdr:row>
      <xdr:rowOff>81642</xdr:rowOff>
    </xdr:from>
    <xdr:to>
      <xdr:col>9</xdr:col>
      <xdr:colOff>707573</xdr:colOff>
      <xdr:row>26</xdr:row>
      <xdr:rowOff>163286</xdr:rowOff>
    </xdr:to>
    <xdr:graphicFrame macro="">
      <xdr:nvGraphicFramePr>
        <xdr:cNvPr id="2" name="Gráfico 1">
          <a:extLst>
            <a:ext uri="{FF2B5EF4-FFF2-40B4-BE49-F238E27FC236}">
              <a16:creationId xmlns:a16="http://schemas.microsoft.com/office/drawing/2014/main" id="{A3000646-A4E7-BB68-7AF9-8AF240F71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627287</xdr:colOff>
      <xdr:row>78</xdr:row>
      <xdr:rowOff>76652</xdr:rowOff>
    </xdr:from>
    <xdr:to>
      <xdr:col>9</xdr:col>
      <xdr:colOff>805544</xdr:colOff>
      <xdr:row>104</xdr:row>
      <xdr:rowOff>34471</xdr:rowOff>
    </xdr:to>
    <xdr:graphicFrame macro="">
      <xdr:nvGraphicFramePr>
        <xdr:cNvPr id="5" name="Gráfico 4">
          <a:extLst>
            <a:ext uri="{FF2B5EF4-FFF2-40B4-BE49-F238E27FC236}">
              <a16:creationId xmlns:a16="http://schemas.microsoft.com/office/drawing/2014/main" id="{91D38A2F-161E-60FA-40B8-50759634B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659682</xdr:colOff>
      <xdr:row>47</xdr:row>
      <xdr:rowOff>124983</xdr:rowOff>
    </xdr:from>
    <xdr:to>
      <xdr:col>9</xdr:col>
      <xdr:colOff>822970</xdr:colOff>
      <xdr:row>72</xdr:row>
      <xdr:rowOff>42646</xdr:rowOff>
    </xdr:to>
    <xdr:graphicFrame macro="">
      <xdr:nvGraphicFramePr>
        <xdr:cNvPr id="4" name="Gráfico 3">
          <a:extLst>
            <a:ext uri="{FF2B5EF4-FFF2-40B4-BE49-F238E27FC236}">
              <a16:creationId xmlns:a16="http://schemas.microsoft.com/office/drawing/2014/main" id="{71841A80-E337-448C-9AF0-2D87EA1D2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703036</xdr:colOff>
      <xdr:row>104</xdr:row>
      <xdr:rowOff>179614</xdr:rowOff>
    </xdr:from>
    <xdr:to>
      <xdr:col>8</xdr:col>
      <xdr:colOff>1115785</xdr:colOff>
      <xdr:row>128</xdr:row>
      <xdr:rowOff>154214</xdr:rowOff>
    </xdr:to>
    <xdr:graphicFrame macro="">
      <xdr:nvGraphicFramePr>
        <xdr:cNvPr id="6" name="Gráfico 5">
          <a:extLst>
            <a:ext uri="{FF2B5EF4-FFF2-40B4-BE49-F238E27FC236}">
              <a16:creationId xmlns:a16="http://schemas.microsoft.com/office/drawing/2014/main" id="{00973B75-4EDF-CF7C-30A1-3E17060E9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Diaz Cataño" refreshedDate="45818.853514814815" createdVersion="8" refreshedVersion="7" minRefreshableVersion="3" recordCount="195" xr:uid="{A9831187-D466-4642-8BDD-1AFBB32C8482}">
  <cacheSource type="worksheet">
    <worksheetSource ref="A1:Z196" sheet="CRM ANALISTAS"/>
  </cacheSource>
  <cacheFields count="26">
    <cacheField name="FECHA INICIO DEL PROGRAMA" numFmtId="14">
      <sharedItems containsNonDate="0" containsDate="1" containsString="0" containsBlank="1" minDate="2025-01-09T00:00:00" maxDate="2025-06-24T00:00:00"/>
    </cacheField>
    <cacheField name="MES DE INICIO COBERTURA" numFmtId="14">
      <sharedItems containsBlank="1"/>
    </cacheField>
    <cacheField name="MESES A CORTE 30 DE MAYO" numFmtId="0">
      <sharedItems containsString="0" containsBlank="1" containsNumber="1" containsInteger="1" minValue="1" maxValue="3"/>
    </cacheField>
    <cacheField name="Día" numFmtId="0">
      <sharedItems containsBlank="1"/>
    </cacheField>
    <cacheField name="Programa" numFmtId="0">
      <sharedItems containsBlank="1"/>
    </cacheField>
    <cacheField name="Analista" numFmtId="0">
      <sharedItems/>
    </cacheField>
    <cacheField name="Nombre" numFmtId="0">
      <sharedItems containsBlank="1"/>
    </cacheField>
    <cacheField name="Tipo de documento" numFmtId="0">
      <sharedItems containsBlank="1"/>
    </cacheField>
    <cacheField name="N.Identificación " numFmtId="0">
      <sharedItems containsString="0" containsBlank="1" containsNumber="1" containsInteger="1" minValue="15356506" maxValue="1128403927"/>
    </cacheField>
    <cacheField name="Correo electrónico1" numFmtId="0">
      <sharedItems containsBlank="1"/>
    </cacheField>
    <cacheField name="Número de celular" numFmtId="0">
      <sharedItems containsMixedTypes="1" containsNumber="1" containsInteger="1" minValue="3017402779" maxValue="3217213077"/>
    </cacheField>
    <cacheField name="Nombre de la empresa" numFmtId="0">
      <sharedItems count="25">
        <s v="AGROINSUMOS VILLACLARA SAS"/>
        <s v="ALMA BOTANICA SAS"/>
        <s v="ANA CAMPUZANO ARBOLEDA"/>
        <s v="BLACKRIVER FLOWERS SAS C I"/>
        <s v="BORJA FLOWERS SAS"/>
        <s v="CARNES MONTECARLO"/>
        <s v="CI FLORES MUNDO COLORES SAS"/>
        <s v="EMTURPE LIMITADA"/>
        <s v="ESTRUCTURAS METALICAS DEL CHOCO"/>
        <s v="FOTO SCANNER"/>
        <s v="HYDRANFLOWERS S.A.S"/>
        <s v="INVERSIONES VALLEJUELO S.A.S."/>
        <s v="JORGE ELIECER GOMEZ"/>
        <s v="JULIAN GALLEGO CASTRO"/>
        <s v="LACTEOS BUENA VISTA SABORES NATURALES S A"/>
        <s v="LOPETRANS SAS "/>
        <s v="MADERAS SAN RAFAEL "/>
        <s v="OLGA LÓPEZ "/>
        <s v="PROSOLAR S.A.S"/>
        <s v="SAÚL GÓMEZ "/>
        <s v="SUMINISTRO Y TRANSPORTE DE MATERIAL RIOS Y FLOREZ SAS "/>
        <s v="TECCONS S.A.S"/>
        <s v="TROPICAL1987"/>
        <s v="URANTUS GREENHOUSES S.A.S"/>
        <s v="VANESSA VARGAS ALZATE"/>
      </sharedItems>
    </cacheField>
    <cacheField name="NIT" numFmtId="0">
      <sharedItems containsString="0" containsBlank="1" containsNumber="1" containsInteger="1" minValue="15384344" maxValue="1128403927"/>
    </cacheField>
    <cacheField name="Conexión" numFmtId="14">
      <sharedItems containsDate="1" containsMixedTypes="1" minDate="2025-03-17T00:00:00" maxDate="2026-04-29T00:00:00"/>
    </cacheField>
    <cacheField name="Hora" numFmtId="0">
      <sharedItems containsBlank="1" containsMixedTypes="1" containsNumber="1" minValue="0.375" maxValue="0.62847222222222221"/>
    </cacheField>
    <cacheField name="NIVEL DE RIESGO " numFmtId="0">
      <sharedItems containsString="0" containsBlank="1" containsNumber="1" containsInteger="1" minValue="1" maxValue="5"/>
    </cacheField>
    <cacheField name="VALOR " numFmtId="0">
      <sharedItems containsMixedTypes="1" containsNumber="1" minValue="106.666" maxValue="213000"/>
    </cacheField>
    <cacheField name=" HUBO CONEXIÓN " numFmtId="0">
      <sharedItems/>
    </cacheField>
    <cacheField name="CICLO" numFmtId="0">
      <sharedItems/>
    </cacheField>
    <cacheField name="ESTANDAR 0312 DE 2019" numFmtId="0">
      <sharedItems/>
    </cacheField>
    <cacheField name="PORCENTAJE" numFmtId="0">
      <sharedItems containsString="0" containsBlank="1" containsNumber="1" minValue="0" maxValue="4"/>
    </cacheField>
    <cacheField name="Acompañamiento 1" numFmtId="0">
      <sharedItems containsBlank="1" longText="1"/>
    </cacheField>
    <cacheField name="FECHA DE INFORME" numFmtId="14">
      <sharedItems containsDate="1" containsMixedTypes="1" minDate="2025-05-12T00:00:00" maxDate="2025-05-31T00:00:00"/>
    </cacheField>
    <cacheField name="DÍAS EN EL PROGRAMA" numFmtId="0">
      <sharedItems containsMixedTypes="1" containsNumber="1" containsInteger="1" minValue="0" maxValue="45807"/>
    </cacheField>
    <cacheField name="NÚMERO DE EMPLEADOS" numFmtId="0">
      <sharedItems containsMixedTypes="1" containsNumber="1" containsInteger="1" minValue="2" maxValue="55"/>
    </cacheField>
    <cacheField name="ACTIVO/INACTIVO"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Diaz Cataño" refreshedDate="45818.905510069446" createdVersion="8" refreshedVersion="7" minRefreshableVersion="3" recordCount="205" xr:uid="{7331FB59-C201-41CF-9671-5F841E418074}">
  <cacheSource type="worksheet">
    <worksheetSource ref="A1:Z206" sheet="CRM ANALISTAS"/>
  </cacheSource>
  <cacheFields count="26">
    <cacheField name="FECHA INICIO DEL PROGRAMA" numFmtId="14">
      <sharedItems containsNonDate="0" containsDate="1" containsString="0" containsBlank="1" minDate="2025-01-09T00:00:00" maxDate="2025-06-24T00:00:00"/>
    </cacheField>
    <cacheField name="MES DE INICIO COBERTURA" numFmtId="14">
      <sharedItems containsBlank="1"/>
    </cacheField>
    <cacheField name="MESES A CORTE 30 DE MAYO" numFmtId="0">
      <sharedItems containsString="0" containsBlank="1" containsNumber="1" containsInteger="1" minValue="1" maxValue="3"/>
    </cacheField>
    <cacheField name="Día" numFmtId="0">
      <sharedItems containsBlank="1"/>
    </cacheField>
    <cacheField name="Programa" numFmtId="0">
      <sharedItems containsBlank="1"/>
    </cacheField>
    <cacheField name="Analista" numFmtId="0">
      <sharedItems/>
    </cacheField>
    <cacheField name="Nombre" numFmtId="0">
      <sharedItems containsBlank="1"/>
    </cacheField>
    <cacheField name="Tipo de documento" numFmtId="0">
      <sharedItems containsBlank="1"/>
    </cacheField>
    <cacheField name="N.Identificación " numFmtId="0">
      <sharedItems containsString="0" containsBlank="1" containsNumber="1" containsInteger="1" minValue="15356506" maxValue="1128403927"/>
    </cacheField>
    <cacheField name="Correo electrónico1" numFmtId="0">
      <sharedItems containsBlank="1"/>
    </cacheField>
    <cacheField name="Número de celular" numFmtId="0">
      <sharedItems containsMixedTypes="1" containsNumber="1" containsInteger="1" minValue="3017402779" maxValue="3217213077"/>
    </cacheField>
    <cacheField name="Nombre de la empresa" numFmtId="0">
      <sharedItems count="25">
        <s v="AGROINSUMOS VILLACLARA SAS"/>
        <s v="ALMA BOTANICA SAS"/>
        <s v="ANA CAMPUZANO ARBOLEDA"/>
        <s v="BLACKRIVER FLOWERS SAS C I"/>
        <s v="BORJA FLOWERS SAS"/>
        <s v="CARNES MONTECARLO"/>
        <s v="CI FLORES MUNDO COLORES SAS"/>
        <s v="EMTURPE LIMITADA"/>
        <s v="ESTRUCTURAS METALICAS DEL CHOCO"/>
        <s v="FOTO SCANNER"/>
        <s v="HYDRANFLOWERS S.A.S"/>
        <s v="INVERSIONES VALLEJUELO S.A.S."/>
        <s v="JORGE ELIECER GOMEZ"/>
        <s v="JULIAN GALLEGO CASTRO"/>
        <s v="LACTEOS BUENA VISTA SABORES NATURALES S A"/>
        <s v="LOPETRANS SAS "/>
        <s v="MADERAS SAN RAFAEL "/>
        <s v="OLGA LÓPEZ "/>
        <s v="PROSOLAR S.A.S"/>
        <s v="SAÚL GÓMEZ "/>
        <s v="SUMINISTRO Y TRANSPORTE DE MATERIAL RIOS Y FLOREZ SAS "/>
        <s v="TECCONS S.A.S"/>
        <s v="TROPICAL1987"/>
        <s v="URANTUS GREENHOUSES S.A.S"/>
        <s v="VANESSA VARGAS ALZATE"/>
      </sharedItems>
    </cacheField>
    <cacheField name="NIT" numFmtId="0">
      <sharedItems containsString="0" containsBlank="1" containsNumber="1" containsInteger="1" minValue="15384344" maxValue="1128403927"/>
    </cacheField>
    <cacheField name="Conexión" numFmtId="14">
      <sharedItems containsDate="1" containsMixedTypes="1" minDate="2025-03-17T00:00:00" maxDate="2026-04-29T00:00:00"/>
    </cacheField>
    <cacheField name="Hora" numFmtId="0">
      <sharedItems containsBlank="1" containsMixedTypes="1" containsNumber="1" minValue="0.10069444444444445" maxValue="0.62847222222222221"/>
    </cacheField>
    <cacheField name="NIVEL DE RIESGO " numFmtId="0">
      <sharedItems containsString="0" containsBlank="1" containsNumber="1" containsInteger="1" minValue="1" maxValue="5" count="6">
        <n v="1"/>
        <n v="4"/>
        <n v="2"/>
        <n v="3"/>
        <m/>
        <n v="5"/>
      </sharedItems>
    </cacheField>
    <cacheField name="VALOR " numFmtId="0">
      <sharedItems containsMixedTypes="1" containsNumber="1" minValue="106.666" maxValue="213000"/>
    </cacheField>
    <cacheField name=" HUBO CONEXIÓN " numFmtId="0">
      <sharedItems/>
    </cacheField>
    <cacheField name="CICLO" numFmtId="0">
      <sharedItems/>
    </cacheField>
    <cacheField name="ESTANDAR 0312 DE 2019" numFmtId="0">
      <sharedItems/>
    </cacheField>
    <cacheField name="PORCENTAJE" numFmtId="0">
      <sharedItems containsString="0" containsBlank="1" containsNumber="1" minValue="0" maxValue="4" count="7">
        <n v="2"/>
        <n v="0"/>
        <n v="0.5"/>
        <n v="1"/>
        <n v="3"/>
        <m/>
        <n v="4"/>
      </sharedItems>
    </cacheField>
    <cacheField name="Acompañamiento 1" numFmtId="0">
      <sharedItems containsBlank="1" longText="1"/>
    </cacheField>
    <cacheField name="FECHA DE INFORME" numFmtId="14">
      <sharedItems containsDate="1" containsMixedTypes="1" minDate="2025-05-12T00:00:00" maxDate="2025-05-31T00:00:00"/>
    </cacheField>
    <cacheField name="DÍAS EN EL PROGRAMA" numFmtId="0">
      <sharedItems containsMixedTypes="1" containsNumber="1" containsInteger="1" minValue="0" maxValue="45807"/>
    </cacheField>
    <cacheField name="NÚMERO DE EMPLEADOS" numFmtId="0">
      <sharedItems/>
    </cacheField>
    <cacheField name="ACTIVO/INACTIVO" numFmtId="0">
      <sharedItems count="1">
        <s v="ACTIVO"/>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C" refreshedDate="45819.560126620374" createdVersion="8" refreshedVersion="8" minRefreshableVersion="3" recordCount="206" xr:uid="{07EB0D3C-82A1-4A69-A28D-84EC5960E176}">
  <cacheSource type="worksheet">
    <worksheetSource ref="A1:Z1048576" sheet="CRM ANALISTAS"/>
  </cacheSource>
  <cacheFields count="26">
    <cacheField name="FECHA INICIO DEL PROGRAMA" numFmtId="14">
      <sharedItems containsNonDate="0" containsDate="1" containsString="0" containsBlank="1" minDate="2025-01-09T00:00:00" maxDate="2025-06-24T00:00:00"/>
    </cacheField>
    <cacheField name="MES DE INICIO COBERTURA" numFmtId="14">
      <sharedItems containsBlank="1"/>
    </cacheField>
    <cacheField name="MESES A CORTE 30 DE MAYO" numFmtId="0">
      <sharedItems containsString="0" containsBlank="1" containsNumber="1" containsInteger="1" minValue="1" maxValue="3"/>
    </cacheField>
    <cacheField name="Día" numFmtId="0">
      <sharedItems containsBlank="1"/>
    </cacheField>
    <cacheField name="Programa" numFmtId="0">
      <sharedItems containsBlank="1"/>
    </cacheField>
    <cacheField name="Analista" numFmtId="0">
      <sharedItems containsBlank="1"/>
    </cacheField>
    <cacheField name="Nombre" numFmtId="0">
      <sharedItems containsBlank="1"/>
    </cacheField>
    <cacheField name="Tipo de documento" numFmtId="0">
      <sharedItems containsBlank="1"/>
    </cacheField>
    <cacheField name="N.Identificación " numFmtId="0">
      <sharedItems containsString="0" containsBlank="1" containsNumber="1" containsInteger="1" minValue="15356506" maxValue="1128403927"/>
    </cacheField>
    <cacheField name="Correo electrónico1" numFmtId="0">
      <sharedItems containsBlank="1"/>
    </cacheField>
    <cacheField name="Número de celular" numFmtId="0">
      <sharedItems containsBlank="1" containsMixedTypes="1" containsNumber="1" containsInteger="1" minValue="3017402779" maxValue="3217213077"/>
    </cacheField>
    <cacheField name="Nombre de la empresa" numFmtId="0">
      <sharedItems containsBlank="1" count="26">
        <s v="AGROINSUMOS VILLACLARA SAS"/>
        <s v="ALMA BOTANICA SAS"/>
        <s v="ANA CAMPUZANO ARBOLEDA"/>
        <s v="BLACKRIVER FLOWERS SAS C I"/>
        <s v="BORJA FLOWERS SAS"/>
        <s v="CARNES MONTECARLO"/>
        <s v="CI FLORES MUNDO COLORES SAS"/>
        <s v="EMTURPE LIMITADA"/>
        <s v="ESTRUCTURAS METALICAS DEL CHOCO"/>
        <s v="FOTO SCANNER"/>
        <s v="HYDRANFLOWERS S.A.S"/>
        <s v="INVERSIONES VALLEJUELO S.A.S."/>
        <s v="JORGE ELIECER GOMEZ"/>
        <s v="JULIAN GALLEGO CASTRO"/>
        <s v="LACTEOS BUENA VISTA SABORES NATURALES S A"/>
        <s v="LOPETRANS SAS "/>
        <s v="MADERAS SAN RAFAEL "/>
        <s v="OLGA LÓPEZ "/>
        <s v="PROSOLAR S.A.S"/>
        <s v="SAÚL GÓMEZ "/>
        <s v="SUMINISTRO Y TRANSPORTE DE MATERIAL RIOS Y FLOREZ SAS "/>
        <s v="TECCONS S.A.S"/>
        <s v="TROPICAL1987"/>
        <s v="URANTUS GREENHOUSES S.A.S"/>
        <s v="VANESSA VARGAS ALZATE"/>
        <m/>
      </sharedItems>
    </cacheField>
    <cacheField name="NIT" numFmtId="0">
      <sharedItems containsString="0" containsBlank="1" containsNumber="1" containsInteger="1" minValue="15384344" maxValue="1128403927" count="26">
        <n v="901250630"/>
        <n v="901817841"/>
        <n v="1007445947"/>
        <n v="900841005"/>
        <n v="901546567"/>
        <n v="43476587"/>
        <n v="900509996"/>
        <n v="900112921"/>
        <n v="900530803"/>
        <n v="1128395305"/>
        <n v="901166099"/>
        <n v="900655932"/>
        <n v="1128403927"/>
        <n v="15448886"/>
        <n v="900167311"/>
        <n v="901636833"/>
        <n v="1013654370"/>
        <n v="43862379"/>
        <n v="901039724"/>
        <n v="15384344"/>
        <n v="901590411"/>
        <n v="900709843"/>
        <n v="1039681747"/>
        <n v="901268585"/>
        <n v="1037649854"/>
        <m/>
      </sharedItems>
    </cacheField>
    <cacheField name="Conexión" numFmtId="14">
      <sharedItems containsDate="1" containsBlank="1" containsMixedTypes="1" minDate="2025-03-17T00:00:00" maxDate="2026-04-29T00:00:00"/>
    </cacheField>
    <cacheField name="Hora" numFmtId="166">
      <sharedItems containsDate="1" containsBlank="1" containsMixedTypes="1" minDate="1899-12-30T02:25:00" maxDate="1899-12-30T15:05:00"/>
    </cacheField>
    <cacheField name="NIVEL DE RIESGO " numFmtId="0">
      <sharedItems containsString="0" containsBlank="1" containsNumber="1" containsInteger="1" minValue="1" maxValue="5"/>
    </cacheField>
    <cacheField name="VALOR " numFmtId="0">
      <sharedItems containsBlank="1" containsMixedTypes="1" containsNumber="1" minValue="106.666" maxValue="213000"/>
    </cacheField>
    <cacheField name=" HUBO CONEXIÓN " numFmtId="0">
      <sharedItems containsBlank="1"/>
    </cacheField>
    <cacheField name="CICLO" numFmtId="0">
      <sharedItems containsBlank="1"/>
    </cacheField>
    <cacheField name="ESTANDAR 0312 DE 2019" numFmtId="0">
      <sharedItems containsBlank="1"/>
    </cacheField>
    <cacheField name="PORCENTAJE" numFmtId="0">
      <sharedItems containsString="0" containsBlank="1" containsNumber="1" minValue="0" maxValue="4"/>
    </cacheField>
    <cacheField name="Acompañamiento 1" numFmtId="0">
      <sharedItems containsBlank="1" longText="1"/>
    </cacheField>
    <cacheField name="FECHA DE INFORME" numFmtId="0">
      <sharedItems containsDate="1" containsBlank="1" containsMixedTypes="1" minDate="2025-05-12T00:00:00" maxDate="2025-05-31T00:00:00"/>
    </cacheField>
    <cacheField name="DÍAS EN EL PROGRAMA" numFmtId="0">
      <sharedItems containsBlank="1" containsMixedTypes="1" containsNumber="1" containsInteger="1" minValue="0" maxValue="45807"/>
    </cacheField>
    <cacheField name="NÚMERO DE EMPLEADOS" numFmtId="0">
      <sharedItems containsBlank="1" containsMixedTypes="1" containsNumber="1" containsInteger="1" minValue="2" maxValue="55"/>
    </cacheField>
    <cacheField name="ACTIVO/INACTIV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d v="2025-05-20T00:00:00"/>
    <s v="MAYO"/>
    <n v="1"/>
    <s v="MARTES"/>
    <s v="TU EMPRESA SEGURA"/>
    <s v="LUZ"/>
    <s v="ALEXIS PÉREZ GÓMEZ "/>
    <s v="Cédula de Ciudadanía"/>
    <n v="1040325965"/>
    <s v="contacto@villaclara.com.co"/>
    <n v="3132973915"/>
    <x v="0"/>
    <n v="901250630"/>
    <d v="2025-05-20T00:00:00"/>
    <s v="11:30 a.m"/>
    <n v="1"/>
    <n v="106.666"/>
    <s v="si"/>
    <s v="PLANEAR"/>
    <s v="1.0.6 Diagnóstico del Sistema de Gestión de Seguridad y Salud en el Trabajo (SG-SST) 0312 DE 2019"/>
    <n v="2"/>
    <s v="No firmo firma de termminos y condiciones por temas de no tener contraseña y usuario,se le presenta el programa .se le realiza evaluacion inicial"/>
    <d v="2025-05-30T00:00:00"/>
    <n v="10"/>
    <n v="14"/>
    <s v="ACTIVO"/>
  </r>
  <r>
    <d v="2025-04-04T00:00:00"/>
    <s v="ABRIL"/>
    <n v="2"/>
    <s v="VIERNES "/>
    <s v="TU EMPRESA SEGURA"/>
    <s v="Juan Diego "/>
    <s v="MERCEDES CARVAJAL OSPINA "/>
    <s v="Cédula de Ciudadanía"/>
    <n v="21481666"/>
    <s v="mercedesemprendedora2023@gmail.com"/>
    <n v="3053436587"/>
    <x v="1"/>
    <n v="901817841"/>
    <d v="2025-04-04T00:00:00"/>
    <s v="11:30a.m"/>
    <n v="4"/>
    <n v="213000"/>
    <s v="si "/>
    <s v="PLANEAR"/>
    <s v="1.0.4 Acompañamiiento/Asesoría sobre SGSST"/>
    <n v="2"/>
    <s v="el dia martes 1 de abril  se llamo a la empresa para poder validar si se peude contactar ya que s ehabia intentado anteriormente y no se habia logrado _x000a__x000a_Presentación del Programa: Registro Usuario y contraseña, términos y condiciones y se explica reporte de incidentes y accidentes ante la ARL"/>
    <d v="2025-05-30T00:00:00"/>
    <n v="56"/>
    <n v="2"/>
    <s v="ACTIVO"/>
  </r>
  <r>
    <d v="2025-04-11T00:00:00"/>
    <m/>
    <m/>
    <s v="VIERNES "/>
    <s v="TU EMPRESA SEGURA"/>
    <s v="Juan Diego "/>
    <s v="MERCEDES CARVAJAL OSPINA "/>
    <s v="Cédula de Ciudadanía"/>
    <n v="21481666"/>
    <s v="mercedesemprendedora2023@gmail.com"/>
    <n v="3053436587"/>
    <x v="1"/>
    <n v="901817841"/>
    <d v="2025-04-11T00:00:00"/>
    <s v="11:30a.m"/>
    <n v="4"/>
    <n v="213000"/>
    <s v="si "/>
    <s v="PLANEAR"/>
    <s v="1.0.8 Ruta de Bienestar Savanna"/>
    <n v="0"/>
    <s v="Se presenta el programa de Savanna con la Psicóloga Lorena, La primera conexión con la empresa se tuvo el día 11 de abril se hablo sobre toda la parte psicosocial que brinda la empresa _x000a_-Savanna _x000a_-asesorías psicológicas _x000a_-Capacitaciones y talleres _x000a_Se brindo toda la información de Savanna, se mostró plataforma y se envió el Excel para diligenciar información de los empleados y crear usuario y contraseña _x000a_Se dio a conocer modalidad de asesorías psicológicas y la importancia de esta en las empresas _x000a_Y al finalizar se dio a conocer las múltiples capacitaciones psicosociales que podemos trabajar durante el año. "/>
    <d v="2025-05-30T00:00:00"/>
    <n v="49"/>
    <n v="2"/>
    <s v="ACTIVO"/>
  </r>
  <r>
    <d v="2025-04-18T00:00:00"/>
    <m/>
    <m/>
    <s v="VIERNES "/>
    <s v="TU EMPRESA SEGURA"/>
    <s v="Juan Diego "/>
    <s v="MERCEDES CARVAJAL OSPINA "/>
    <s v="Cédula de Ciudadanía"/>
    <n v="21481666"/>
    <s v="mercedesemprendedora2023@gmail.com"/>
    <n v="3053436587"/>
    <x v="1"/>
    <n v="901817841"/>
    <d v="2025-04-18T00:00:00"/>
    <s v="11:30a.m"/>
    <n v="4"/>
    <n v="213000"/>
    <s v="si "/>
    <s v="PLANEAR"/>
    <s v="0.1 Trabajo autónomo analista en plataforma"/>
    <n v="0.5"/>
    <s v="DIA FESTIVO"/>
    <d v="2025-05-30T00:00:00"/>
    <n v="42"/>
    <n v="2"/>
    <s v="ACTIVO"/>
  </r>
  <r>
    <d v="2025-05-09T00:00:00"/>
    <m/>
    <m/>
    <s v="VIERNES "/>
    <s v="TU EMPRESA SEGURA"/>
    <s v="Juan Diego "/>
    <s v="MERCEDES CARVAJAL OSPINA "/>
    <s v="Cédula de Ciudadanía"/>
    <n v="21481666"/>
    <s v="mercedesemprendedora2023@gmail.com"/>
    <n v="3053436587"/>
    <x v="1"/>
    <n v="901817841"/>
    <d v="2025-05-09T00:00:00"/>
    <s v="11:30a.m"/>
    <n v="4"/>
    <n v="213000"/>
    <s v="si "/>
    <s v="PLANEAR"/>
    <s v="1.1.1. Responsable del Sistema de Gestión de Seguridad y Salud en el Trabajo SG-SST"/>
    <n v="0.5"/>
    <s v="se inicia con la asignacion de responsable del SGSST y se continua con el procedimiento de gestion documental; se deja pendiente la realizacion de los examenes medicos ocupacionales"/>
    <d v="2025-05-30T00:00:00"/>
    <n v="21"/>
    <n v="2"/>
    <s v="ACTIVO"/>
  </r>
  <r>
    <d v="2025-05-16T00:00:00"/>
    <m/>
    <m/>
    <s v="VIERNES "/>
    <s v="TU EMPRESA SEGURA"/>
    <s v="Juan Diego "/>
    <s v="MERCEDES CARVAJAL OSPINA "/>
    <s v="Cédula de Ciudadanía"/>
    <n v="21481666"/>
    <s v="mercedesemprendedora2023@gmail.com"/>
    <n v="3053436587"/>
    <x v="1"/>
    <n v="901817841"/>
    <d v="2025-05-16T00:00:00"/>
    <s v="11:30a.m"/>
    <n v="4"/>
    <n v="213000"/>
    <s v="si "/>
    <s v="PLANEAR"/>
    <s v="1.0.3 Navegando en  la plataforma y beneficios del programa"/>
    <n v="1"/>
    <s v="se realiza registro de empleados en plataforma"/>
    <d v="2025-05-30T00:00:00"/>
    <n v="14"/>
    <n v="2"/>
    <s v="ACTIVO"/>
  </r>
  <r>
    <d v="2025-05-30T00:00:00"/>
    <m/>
    <m/>
    <s v="VIERNES "/>
    <s v="TU EMPRESA SEGURA"/>
    <s v="Juan Diego "/>
    <s v="MERCEDES CARVAJAL OSPINA "/>
    <s v="Cédula de Ciudadanía"/>
    <n v="21481666"/>
    <s v="mercedesemprendedora2023@gmail.com"/>
    <n v="3053436587"/>
    <x v="1"/>
    <n v="901817841"/>
    <d v="2025-05-30T00:00:00"/>
    <s v="11:30a.m"/>
    <n v="4"/>
    <n v="213000"/>
    <s v="si "/>
    <s v="PLANEAR"/>
    <s v="1.0.4 Acompañamiiento/Asesoría sobre SGSST"/>
    <n v="2"/>
    <s v="se consulta sobre estado de examenes médicos, se explican los tipos segun la normativa y se  asignan responsabilidades"/>
    <d v="2025-05-30T00:00:00"/>
    <n v="0"/>
    <n v="2"/>
    <s v="ACTIVO"/>
  </r>
  <r>
    <d v="2025-06-06T00:00:00"/>
    <m/>
    <m/>
    <s v="VIERNES "/>
    <s v="TU EMPRESA SEGURA"/>
    <s v="Juan Diego "/>
    <s v="MERCEDES CARVAJAL OSPINA "/>
    <s v="Cédula de Ciudadanía"/>
    <n v="21481666"/>
    <s v="mercedesemprendedora2023@gmail.com"/>
    <n v="3053436587"/>
    <x v="1"/>
    <n v="901817841"/>
    <d v="2025-06-06T00:00:00"/>
    <s v="11:30a.m"/>
    <n v="4"/>
    <n v="213000"/>
    <s v="si "/>
    <s v="PLANEAR"/>
    <s v="1.0.4 Acompañamiiento/Asesoría sobre SGSST"/>
    <n v="2"/>
    <s v="Se realiza, acta de actividades de alto riesgo, se ingresan planillas de examenes medicos"/>
    <d v="2025-05-30T00:00:00"/>
    <n v="7"/>
    <n v="2"/>
    <s v="ACTIVO"/>
  </r>
  <r>
    <d v="2025-05-16T00:00:00"/>
    <m/>
    <m/>
    <s v="VIERNES "/>
    <s v="TU EMPRESA SEGURA"/>
    <s v="Juan Diego "/>
    <s v="MERCEDES CARVAJAL OSPINA "/>
    <s v="Cédula de Ciudadanía"/>
    <n v="21481666"/>
    <s v="mercedesemprendedora2023@gmail.com"/>
    <n v="3053436587"/>
    <x v="1"/>
    <n v="901817841"/>
    <d v="2025-05-16T00:00:00"/>
    <m/>
    <n v="4"/>
    <n v="213000"/>
    <s v="si"/>
    <s v="PLANEAR"/>
    <s v="1.0.4 Acompañamiiento/Asesoría sobre SGSST"/>
    <n v="2"/>
    <s v="Se xplica la importancia de los examenes médicos, como hacer lagestion, y se empieza a registrar el personal"/>
    <d v="2025-05-30T00:00:00"/>
    <n v="14"/>
    <n v="2"/>
    <s v="ACTIVO"/>
  </r>
  <r>
    <d v="2025-03-28T00:00:00"/>
    <s v="MARZO"/>
    <n v="3"/>
    <s v="VIERNES "/>
    <s v="TU EMPRESA SEGURA"/>
    <s v="Cristhian"/>
    <s v="Ana Maria Campuzano Arboleda"/>
    <s v="Cédula de Ciudadanía"/>
    <n v="1007445947"/>
    <s v="anam_campuzano@hotmail.com"/>
    <n v="3217213077"/>
    <x v="2"/>
    <n v="1007445947"/>
    <d v="2025-03-28T00:00:00"/>
    <s v="11:30a.m"/>
    <n v="2"/>
    <n v="106.666"/>
    <s v="si "/>
    <s v="PLANEAR"/>
    <s v="1.0.0 Bienvenida"/>
    <n v="1"/>
    <s v="Bienvenida al programa, se le explica detalladamente en que consiste y la duración estimada, se Indica cómo firmar los términos y condiciones, se agenda la reunión periódica, semanal, los viernes de 11:30 a 12:15pm"/>
    <d v="2025-05-30T00:00:00"/>
    <n v="63"/>
    <n v="2"/>
    <s v="ACTIVO"/>
  </r>
  <r>
    <d v="2025-04-04T00:00:00"/>
    <m/>
    <m/>
    <s v="VIERNES "/>
    <s v="TU EMPRESA SEGURA"/>
    <s v="Cristhian"/>
    <s v="Ana Maria Campuzano Arboleda"/>
    <s v="Cédula de Ciudadanía"/>
    <n v="1007445947"/>
    <s v="anam_campuzano@hotmail.com"/>
    <n v="3217213077"/>
    <x v="2"/>
    <n v="1007445947"/>
    <d v="2025-04-04T00:00:00"/>
    <s v="11:30a.m"/>
    <n v="2"/>
    <n v="106.666"/>
    <s v="si "/>
    <s v="PLANEAR"/>
    <s v="1.0.5 Diagnóstico de Madurez"/>
    <n v="3"/>
    <s v="Se realiza el diagnostico de madurez"/>
    <d v="2025-05-30T00:00:00"/>
    <s v=" "/>
    <n v="2"/>
    <s v="ACTIVO"/>
  </r>
  <r>
    <d v="2025-04-11T00:00:00"/>
    <m/>
    <m/>
    <s v="VIERNES "/>
    <s v="TU EMPRESA SEGURA"/>
    <s v="Cristhian"/>
    <s v="Ana Maria Campuzano Arboleda"/>
    <s v="Cédula de Ciudadanía"/>
    <n v="1007445947"/>
    <s v="anam_campuzano@hotmail.com"/>
    <n v="3217213077"/>
    <x v="2"/>
    <n v="1007445947"/>
    <d v="2025-04-11T00:00:00"/>
    <s v="11:30a.m"/>
    <n v="2"/>
    <n v="106.666"/>
    <s v="si "/>
    <s v="PLANEAR"/>
    <s v="1.0.6 Diagnóstico del Sistema de Gestión de Seguridad y Salud en el Trabajo (SG-SST) 0312 DE 2019"/>
    <n v="2"/>
    <s v="Se realiza la evaluacion inicial del sistema de gestion, se dan recomendaciones iniciales"/>
    <d v="2025-05-30T00:00:00"/>
    <n v="49"/>
    <n v="2"/>
    <s v="ACTIVO"/>
  </r>
  <r>
    <d v="2025-04-18T00:00:00"/>
    <m/>
    <m/>
    <s v="VIERNES "/>
    <s v="TU EMPRESA SEGURA"/>
    <s v="LUZ"/>
    <s v="Ana Maria Campuzano Arboleda"/>
    <s v="Cédula de Ciudadanía"/>
    <n v="1007445947"/>
    <s v="anam_campuzano@hotmail.com"/>
    <n v="3217213077"/>
    <x v="2"/>
    <n v="1007445947"/>
    <d v="2025-04-18T00:00:00"/>
    <s v="11:30a.m"/>
    <n v="2"/>
    <n v="106.666"/>
    <s v="no "/>
    <s v="PLANEAR"/>
    <s v="1.0.4 Acompañamiiento/Asesoría sobre SGSST"/>
    <n v="2"/>
    <s v="El 24 de abril del 2025 me transfieren a Doña ana ,Era del analista Cristian. "/>
    <d v="2025-05-30T00:00:00"/>
    <n v="42"/>
    <n v="2"/>
    <s v="ACTIVO"/>
  </r>
  <r>
    <d v="2025-04-24T00:00:00"/>
    <m/>
    <m/>
    <s v="JUEVES"/>
    <s v="TU EMPRESA SEGURA"/>
    <s v="LUZ"/>
    <s v="Ana Maria Campuzano Arboleda"/>
    <s v="Cédula de Ciudadanía"/>
    <n v="1007445947"/>
    <s v="anam_campuzano@hotmail.com"/>
    <n v="3217213077"/>
    <x v="2"/>
    <n v="1007445947"/>
    <d v="2025-04-25T00:00:00"/>
    <s v="11:30a.m"/>
    <n v="2"/>
    <n v="106.666"/>
    <s v="si "/>
    <s v="PLANEAR"/>
    <s v="1.0.1 Firma de Términos y Condiciones"/>
    <n v="1"/>
    <s v="La señora ana refiere que con en analista Cristian se realizo,Firma de documento de  terminos y condiciones,cuenta con contraseña y usuario,se le realizo el diagnostico inicial.Hoy 24 de abril,se le informanuevamente del programa,se actualiza informacion de empresa,se le solicita documentos rut ,camara y comercio etc,se le informa del procedimiento del archivo documental y su importancia para continuar diligenciando documentos y se le explica el numerar 1.1.4."/>
    <d v="2025-05-30T00:00:00"/>
    <n v="36"/>
    <n v="2"/>
    <s v="ACTIVO"/>
  </r>
  <r>
    <d v="2025-03-08T00:00:00"/>
    <m/>
    <m/>
    <s v="JUEVES"/>
    <s v="TU EMPRESA SEGURA"/>
    <s v="LUZ"/>
    <s v="Ana Maria Campuzano Arboleda"/>
    <s v="Cédula de Ciudadanía"/>
    <n v="1007445947"/>
    <s v="anam_campuzano@hotmail.com"/>
    <n v="3217213077"/>
    <x v="2"/>
    <n v="1007445947"/>
    <d v="2025-05-08T00:00:00"/>
    <s v="11:30a.m"/>
    <n v="2"/>
    <n v="106.666"/>
    <s v="si "/>
    <s v="PLANEAR"/>
    <s v="1.1.1. Responsable del Sistema de Gestión de Seguridad y Salud en el Trabajo SG-SST"/>
    <n v="0.5"/>
    <s v="se realiza archivo documental,se revisa numeral 1.1.4,tarea subir el perfilsociodemogradico,se realiza diligenciamiento del responsable sst."/>
    <d v="2025-05-30T00:00:00"/>
    <n v="83"/>
    <n v="2"/>
    <s v="ACTIVO"/>
  </r>
  <r>
    <d v="2025-03-15T00:00:00"/>
    <m/>
    <m/>
    <s v="JUEVES"/>
    <s v="TU EMPRESA SEGURA"/>
    <s v="LUZ"/>
    <s v="Ana Maria Campuzano Arboleda"/>
    <s v="Cédula de Ciudadanía"/>
    <n v="1007445947"/>
    <s v="anam_campuzano@hotmail.com"/>
    <n v="3217213077"/>
    <x v="2"/>
    <n v="1007445947"/>
    <d v="2025-05-15T00:00:00"/>
    <s v="11:30a.m"/>
    <n v="2"/>
    <n v="106.666"/>
    <s v="no "/>
    <s v="PLANEAR"/>
    <s v="1.0.4 Acompañamiiento/Asesoría sobre SGSST"/>
    <n v="2"/>
    <s v="Envia correo de inconveniente en conexion,se deja tareas por correo para proximo encuentro. "/>
    <d v="2025-05-30T00:00:00"/>
    <n v="76"/>
    <n v="2"/>
    <s v="ACTIVO"/>
  </r>
  <r>
    <d v="2025-03-22T00:00:00"/>
    <m/>
    <m/>
    <s v="JUEVES"/>
    <s v="TU EMPRESA SEGURA"/>
    <s v="LUZ"/>
    <s v="Ana Maria Campuzano Arboleda"/>
    <s v="Cédula de Ciudadanía"/>
    <n v="1007445947"/>
    <s v="anam_campuzano@hotmail.com"/>
    <n v="3217213077"/>
    <x v="2"/>
    <n v="1007445947"/>
    <d v="2025-05-22T00:00:00"/>
    <s v="10:35a.m"/>
    <n v="2"/>
    <n v="106.666"/>
    <s v="si "/>
    <s v="PLANEAR"/>
    <s v="1.0.4 Acompañamiiento/Asesoría sobre SGSST"/>
    <n v="2"/>
    <s v="Se verifica numerales del planear en archivo documental,se explica el tema de archivo documental del hacer y para la proxima reunion se realizara el tema de plan anual de trabajo."/>
    <d v="2025-05-30T00:00:00"/>
    <n v="69"/>
    <n v="2"/>
    <s v="ACTIVO"/>
  </r>
  <r>
    <d v="2025-03-29T00:00:00"/>
    <m/>
    <m/>
    <s v="JUEVES"/>
    <s v="TU EMPRESA SEGURA"/>
    <s v="LUZ"/>
    <s v="Ana Maria Campuzano Arboleda"/>
    <s v="Cédula de Ciudadanía"/>
    <n v="1007445947"/>
    <s v="anam_campuzano@hotmail.com"/>
    <n v="3217213077"/>
    <x v="2"/>
    <n v="1007445947"/>
    <d v="2025-05-29T00:00:00"/>
    <s v="10:35a.m"/>
    <n v="2"/>
    <n v="106.666"/>
    <s v="no "/>
    <s v="PLANEAR"/>
    <s v="1.0.4 Acompañamiiento/Asesoría sobre SGSST"/>
    <n v="2"/>
    <s v="Envia correo de inconveniente en conexion,por temas de cita medica que se cruzaba con la conexion.solicita reprogramar para otro dia o enviarle tareaspor correo. "/>
    <d v="2025-05-30T00:00:00"/>
    <n v="62"/>
    <n v="2"/>
    <s v="ACTIVO"/>
  </r>
  <r>
    <d v="2025-06-05T00:00:00"/>
    <m/>
    <m/>
    <s v="JUEVES"/>
    <s v="TU EMPRESA SEGURA"/>
    <s v="LUZ"/>
    <s v="Ana Maria Campuzano Arboleda"/>
    <s v="Cédula de Ciudadanía"/>
    <n v="1007445947"/>
    <s v="anam_campuzano@hotmail.com"/>
    <n v="3217213077"/>
    <x v="2"/>
    <n v="1007445947"/>
    <d v="2025-06-05T00:00:00"/>
    <s v="10:35a.m"/>
    <n v="2"/>
    <n v="106.666"/>
    <s v="si "/>
    <s v="PLANEAR"/>
    <s v="2.5.1 Archivo o retención documental del Sistema de Gestión en Seguridad y Salud en el Trabajo SG-SST"/>
    <n v="2"/>
    <s v="LA señora ana refiere que esta interesada en continuar con lña plataforma,solo que tiene un nuevo trabajo y no le dara tiempo para conectarse,enviara correo para reprogramar tiempos o espacio de conexion ,por este motivo solo se realiza numeral 2.5.1 ,se verifica 1.1.4 ,se realiza verificacion del 3.1.1.1.,depende de la solucion al correo que envie doña ana se realizara cronograma teniendo encuenta que es solo ella y un trabajador."/>
    <d v="2025-05-30T00:00:00"/>
    <n v="6"/>
    <n v="2"/>
    <s v="ACTIVO"/>
  </r>
  <r>
    <d v="2025-04-04T00:00:00"/>
    <s v="ABRIL"/>
    <n v="2"/>
    <s v="VIERNES "/>
    <s v="TU EMPRESA SEGURA"/>
    <s v="Juan Diego"/>
    <s v="MELISSA MARIA ROMAN BURITICA"/>
    <s v="Cédula de Ciudadanía"/>
    <n v="1040039119"/>
    <s v="gestionhumana@blackriverflowers.com"/>
    <n v="3173882936"/>
    <x v="3"/>
    <n v="900841005"/>
    <d v="2025-04-04T00:00:00"/>
    <s v="10:40a. m."/>
    <n v="3"/>
    <n v="106.666"/>
    <s v="si "/>
    <s v="PLANEAR"/>
    <s v="1.0.1 Firma de Términos y Condiciones"/>
    <n v="1"/>
    <s v="el dia viernes 21 de marzo se llamo a la empresa para validar la llegada del correo electronico con el usuario y la contraseña a lo cual indicaron que si les llego y que no han tenido ningun inconveniente "/>
    <d v="2025-05-30T00:00:00"/>
    <n v="56"/>
    <n v="55"/>
    <s v="ACTIVO"/>
  </r>
  <r>
    <d v="2025-04-11T00:00:00"/>
    <m/>
    <m/>
    <s v="VIERNES "/>
    <s v="TU EMPRESA SEGURA"/>
    <s v="Juan Diego"/>
    <s v="MELISSA MARIA ROMAN BURITICA"/>
    <s v="Cédula de Ciudadanía"/>
    <n v="1040039119"/>
    <s v="gestionhumana@blackriverflowers.com"/>
    <n v="3173882936"/>
    <x v="3"/>
    <n v="900841005"/>
    <d v="2025-04-11T00:00:00"/>
    <s v="10:40a. m."/>
    <n v="3"/>
    <n v="106.666"/>
    <s v="no "/>
    <s v="PLANEAR"/>
    <s v="0. No participación de empresa"/>
    <m/>
    <s v="Se actualiza plantilla de evaluacion inicial  para la empresa, y seempieza con la  codificacion , y procedimiento de listado maestro de documentos"/>
    <d v="2025-05-30T00:00:00"/>
    <n v="49"/>
    <n v="55"/>
    <s v="ACTIVO"/>
  </r>
  <r>
    <d v="2025-04-18T00:00:00"/>
    <m/>
    <m/>
    <s v="VIERNES "/>
    <s v="TU EMPRESA SEGURA"/>
    <s v="Juan Diego"/>
    <s v="MELISSA MARIA ROMAN BURITICA"/>
    <s v="Cédula de Ciudadanía"/>
    <n v="1040039119"/>
    <s v="gestionhumana@blackriverflowers.com"/>
    <n v="3173882936"/>
    <x v="3"/>
    <n v="900841005"/>
    <d v="2025-04-18T00:00:00"/>
    <s v="10:40a. m."/>
    <n v="3"/>
    <n v="106.666"/>
    <s v="no "/>
    <s v="PLANEAR"/>
    <s v="0. No participación de empresa"/>
    <n v="0"/>
    <s v="se continua con la codificacion de documentos "/>
    <d v="2025-05-30T00:00:00"/>
    <n v="42"/>
    <n v="55"/>
    <s v="ACTIVO"/>
  </r>
  <r>
    <d v="2025-05-02T00:00:00"/>
    <m/>
    <m/>
    <s v="VIERNES "/>
    <s v="TU EMPRESA SEGURA"/>
    <s v="Juan Diego"/>
    <s v="MELISSA MARIA ROMAN BURITICA"/>
    <s v="Cédula de Ciudadanía"/>
    <n v="1040039119"/>
    <s v="gestionhumana@blackriverflowers.com"/>
    <n v="3173882936"/>
    <x v="3"/>
    <n v="900841005"/>
    <d v="2025-05-02T00:00:00"/>
    <s v="10:40a. m."/>
    <n v="3"/>
    <n v="106.666"/>
    <s v="no "/>
    <s v="PLANEAR"/>
    <s v="0. No participación de empresa"/>
    <n v="0"/>
    <s v="no se conecta, se realizan las llamadas por wassap y telefonicas, y no se recibe respuesta, se gestiona documento de asignaion de responsable"/>
    <d v="2025-05-30T00:00:00"/>
    <n v="28"/>
    <n v="55"/>
    <s v="ACTIVO"/>
  </r>
  <r>
    <d v="2025-05-09T00:00:00"/>
    <m/>
    <m/>
    <s v="VIERNES "/>
    <s v="TU EMPRESA SEGURA"/>
    <s v="Juan Diego"/>
    <s v="MELISSA MARIA ROMAN BURITICA"/>
    <s v="Cédula de Ciudadanía"/>
    <n v="1040039119"/>
    <s v="gestionhumana@blackriverflowers.com"/>
    <n v="3173882936"/>
    <x v="3"/>
    <n v="900841005"/>
    <d v="2025-05-09T00:00:00"/>
    <s v="10:40a. m."/>
    <n v="3"/>
    <n v="106.666"/>
    <s v="no "/>
    <s v="PLANEAR"/>
    <s v="0. No participación de empresa"/>
    <n v="0"/>
    <s v="no se conecta, escribo via whatsap, y me responden que no habia recibido la invitacion y por ende no estaba agendada para atenderme, verifico con la compañera Paula, y verificamos que la invitacion fue enviada al correo asignado por el cliente"/>
    <d v="2025-05-30T00:00:00"/>
    <n v="21"/>
    <n v="55"/>
    <s v="ACTIVO"/>
  </r>
  <r>
    <d v="2025-05-16T00:00:00"/>
    <m/>
    <m/>
    <s v="VIERNES "/>
    <s v="TU EMPRESA SEGURA"/>
    <s v="LUZ"/>
    <s v="MELISSA MARIA ROMAN BURITICA"/>
    <s v="Cédula de Ciudadanía"/>
    <n v="1040039119"/>
    <s v="gestionhumana@blackriverflowers.com"/>
    <n v="3173882936"/>
    <x v="3"/>
    <n v="900841005"/>
    <d v="2025-05-15T00:00:00"/>
    <s v="8:05a. m."/>
    <n v="3"/>
    <n v="106.666"/>
    <s v="si "/>
    <s v="PLANEAR"/>
    <s v="1.1.4 Afiliación al Sistema General de Riesgos Laborales"/>
    <n v="0.5"/>
    <s v="Se realiza la conexion a las 8:41am no le fue posible conectarse antes,se le verifica firma de terminos y condiciones,la señora melissa actualizo documentos de la empresa en la plataforma,adicional de le indica como se realiza el numeral 1.1.4 y el 2.5.1 ,subira el perfil sociodemografico y se le endica que para realizar capacitaciones debemos realizar el diagnostico inicial el 22 de mayo y ahi ingresamos a realizar cronograma."/>
    <d v="2025-05-30T00:00:00"/>
    <n v="14"/>
    <n v="55"/>
    <s v="ACTIVO"/>
  </r>
  <r>
    <d v="2025-05-23T00:00:00"/>
    <m/>
    <m/>
    <s v="VIERNES "/>
    <s v="TU EMPRESA SEGURA"/>
    <s v="LUZ"/>
    <s v="MELISSA MARIA ROMAN BURITICA"/>
    <s v="Cédula de Ciudadanía"/>
    <n v="1040039119"/>
    <s v="gestionhumana@blackriverflowers.com"/>
    <n v="3173882936"/>
    <x v="3"/>
    <n v="900841005"/>
    <d v="2025-05-22T00:00:00"/>
    <s v="8:05a. m."/>
    <n v="3"/>
    <n v="106.666"/>
    <s v="si "/>
    <s v="PLANEAR"/>
    <s v="1.0.6 Diagnóstico del Sistema de Gestión de Seguridad y Salud en el Trabajo (SG-SST) 0312 DE 2019"/>
    <n v="2"/>
    <s v="Se realiza la evaluacion inicial del  diagnostico sst,se le solicita documentos para actualizacion de datos e empresa."/>
    <d v="2025-05-30T00:00:00"/>
    <n v="7"/>
    <n v="55"/>
    <s v="ACTIVO"/>
  </r>
  <r>
    <d v="2025-05-26T00:00:00"/>
    <m/>
    <m/>
    <s v="VIERNES "/>
    <s v="TU EMPRESA SEGURA"/>
    <s v="LUZ"/>
    <s v="MELISSA MARIA ROMAN BURITICA"/>
    <s v="Cédula de Ciudadanía"/>
    <n v="1040039119"/>
    <s v="gestionhumana@blackriverflowers.com"/>
    <n v="3173882936"/>
    <x v="3"/>
    <n v="900841005"/>
    <d v="2025-05-26T00:00:00"/>
    <s v="8:05a. m."/>
    <n v="3"/>
    <n v="106.666"/>
    <s v="no "/>
    <s v="PLANEAR"/>
    <s v="1.0.9 Savanna Ruta de Bienestar "/>
    <n v="4"/>
    <s v="Por temas de energia en sistegra, no fue posible la conexiony reprogramar tampoco por agenda copada."/>
    <d v="2025-05-30T00:00:00"/>
    <n v="4"/>
    <n v="55"/>
    <s v="ACTIVO"/>
  </r>
  <r>
    <d v="2025-05-30T00:00:00"/>
    <m/>
    <m/>
    <s v="VIERNES "/>
    <s v="TU EMPRESA SEGURA"/>
    <s v="LUZ"/>
    <s v="MELISSA MARIA ROMAN BURITICA"/>
    <s v="Cédula de Ciudadanía"/>
    <n v="1040039119"/>
    <s v="gestionhumana@blackriverflowers.com"/>
    <n v="3173882936"/>
    <x v="3"/>
    <n v="900841005"/>
    <d v="2025-05-29T00:00:00"/>
    <s v="8:05a. m."/>
    <n v="3"/>
    <n v="106.666"/>
    <s v="no "/>
    <s v="PLANEAR"/>
    <s v="0. No participación de empresa"/>
    <n v="0"/>
    <s v="Por temas de energia en sistegra, no fue posible la conexiony reprogramar tampoco por agenda copada."/>
    <d v="2025-05-30T00:00:00"/>
    <n v="0"/>
    <n v="55"/>
    <s v="ACTIVO"/>
  </r>
  <r>
    <d v="2025-06-06T00:00:00"/>
    <m/>
    <m/>
    <s v="VIERNES "/>
    <s v="TU EMPRESA SEGURA"/>
    <s v="LUZ"/>
    <s v="MELISSA MARIA ROMAN BURITICA"/>
    <s v="Cédula de Ciudadanía"/>
    <n v="1040039119"/>
    <s v="gestionhumana@blackriverflowers.com"/>
    <n v="3173882936"/>
    <x v="3"/>
    <n v="900841005"/>
    <d v="2025-06-05T00:00:00"/>
    <s v="8:05a. m."/>
    <n v="3"/>
    <n v="106.666"/>
    <s v="si "/>
    <s v="PLANEAR"/>
    <s v="1.2.1 Programa Capacitación promoción y prevención PYP"/>
    <n v="2"/>
    <s v="se visualisa terminos y condiciones firmada y compartida por correo,se le compartira cronograma de capacitaciones y cronograma anual de cumplimiento  0312,se verificara la contraseña y usuario para plataforma de capacitacion,no tiene datos para ingresar y solicita modificacion en representante legal porque no es ella ,melisa es de gestion humana."/>
    <d v="2025-05-30T00:00:00"/>
    <n v="7"/>
    <n v="55"/>
    <s v="ACTIVO"/>
  </r>
  <r>
    <d v="2025-05-09T00:00:00"/>
    <m/>
    <m/>
    <s v="VIERNES "/>
    <s v="TU EMPRESA SEGURA"/>
    <s v="LUZ"/>
    <s v="MELISSA MARIA ROMAN BURITICA"/>
    <s v="Cédula de Ciudadanía"/>
    <n v="1040039119"/>
    <s v="gestionhumana@blackriverflowers.com"/>
    <n v="3173882936"/>
    <x v="3"/>
    <n v="900841005"/>
    <d v="2025-05-09T00:00:00"/>
    <s v="10:40a. m."/>
    <n v="3"/>
    <n v="106.666"/>
    <s v="si "/>
    <s v="PLANEAR"/>
    <s v="1.0.2 Socialización SGSST"/>
    <n v="2"/>
    <s v="estando conectado a la hora en punto, dicen que no asistira, ya que el 12 de mayo se reuniran con Laura DIaz"/>
    <d v="2025-05-30T00:00:00"/>
    <n v="21"/>
    <n v="55"/>
    <s v="ACTIVO"/>
  </r>
  <r>
    <d v="2025-05-12T00:00:00"/>
    <m/>
    <m/>
    <s v="LUNES"/>
    <s v="TU EMPRESA SEGURA"/>
    <s v="LUZ"/>
    <s v="MELISSA MARIA ROMAN BURITICA"/>
    <s v="Cédula de Ciudadanía"/>
    <n v="1040039119"/>
    <s v="gestionhumana@blackriverflowers.com"/>
    <n v="3173882936"/>
    <x v="3"/>
    <n v="900841005"/>
    <d v="2025-05-12T00:00:00"/>
    <m/>
    <n v="3"/>
    <n v="106.666"/>
    <s v="si "/>
    <s v="PLANEAR"/>
    <s v="1.0.3 Navegando en  la plataforma y beneficios del programa"/>
    <n v="1"/>
    <s v="Se muestran los beneficios del programa y se rrealiza cambio de analista con nuevo horario para facilitar al cliente las conexiones."/>
    <d v="2025-05-12T00:00:00"/>
    <n v="0"/>
    <n v="55"/>
    <s v="ACTIVO"/>
  </r>
  <r>
    <d v="2025-05-16T00:00:00"/>
    <m/>
    <m/>
    <s v="VIERNES "/>
    <s v="TU EMPRESA SEGURA"/>
    <s v="Juan Diego "/>
    <s v="MELISSA MARIA ROMAN BURITICA"/>
    <s v="Cédula de Ciudadanía"/>
    <n v="1040039119"/>
    <s v="gestionhumana@blackriverflowers.com"/>
    <n v="3173882936"/>
    <x v="3"/>
    <n v="900841005"/>
    <d v="2025-05-09T00:00:00"/>
    <s v="10:40a. m."/>
    <n v="3"/>
    <n v="106.666"/>
    <s v="si "/>
    <s v="PLANEAR"/>
    <s v="1.0.2 Socialización SGSST"/>
    <n v="2"/>
    <s v="menciona qe realiza cambio de horario autorizado por Laura Diaz"/>
    <d v="2025-05-30T00:00:00"/>
    <n v="14"/>
    <n v="55"/>
    <s v="ACTIVO"/>
  </r>
  <r>
    <d v="2025-04-04T00:00:00"/>
    <s v="ABRIL"/>
    <n v="2"/>
    <s v="VIERNES "/>
    <s v="TU EMPRESA SEGURA"/>
    <s v="Juan Diego "/>
    <s v="CLAUDIA PATRICIA MOLINA SANTOS "/>
    <s v="Cédula de Ciudadanía"/>
    <n v="1070989191"/>
    <s v="clau300625@hotmail.es"/>
    <n v="3132973915"/>
    <x v="4"/>
    <n v="901546567"/>
    <d v="2025-04-04T00:00:00"/>
    <s v="3:55p. m."/>
    <n v="3"/>
    <n v="106.666"/>
    <s v="si "/>
    <s v="PLANEAR"/>
    <s v="1.0.0 Bienvenida"/>
    <n v="1"/>
    <s v="el dia viernes 21 de marzo se llamo a la empresa para validar la llegada del correo electronico con el usuario y la contraseña a lo cual indicaron que si les llego y que no han tenido ningun inconveniente "/>
    <d v="2025-05-30T00:00:00"/>
    <n v="56"/>
    <n v="30"/>
    <s v="ACTIVO"/>
  </r>
  <r>
    <d v="2025-04-11T00:00:00"/>
    <m/>
    <m/>
    <s v="VIERNES "/>
    <s v="TU EMPRESA SEGURA"/>
    <s v="Juan Diego "/>
    <s v="CLAUDIA PATRICIA MOLINA SANTOS "/>
    <s v="Cédula de Ciudadanía"/>
    <n v="1070989191"/>
    <s v="clau300625@hotmail.es"/>
    <n v="3132973915"/>
    <x v="4"/>
    <n v="901546567"/>
    <d v="2025-04-11T00:00:00"/>
    <s v="3:55p. m."/>
    <n v="3"/>
    <n v="106.666"/>
    <s v="si "/>
    <s v="PLANEAR"/>
    <s v="0. No participación de empresa"/>
    <n v="0"/>
    <s v="Se reagenda espacio por calamidad de analista, se reprograma para el día 12 de abril"/>
    <d v="2025-05-30T00:00:00"/>
    <n v="49"/>
    <n v="30"/>
    <s v="ACTIVO"/>
  </r>
  <r>
    <d v="2025-04-18T00:00:00"/>
    <m/>
    <m/>
    <s v="VIERNES "/>
    <s v="TU EMPRESA SEGURA"/>
    <s v="Juan Diego "/>
    <s v="CLAUDIA PATRICIA MOLINA SANTOS "/>
    <s v="Cédula de Ciudadanía"/>
    <n v="1070989191"/>
    <s v="clau300625@hotmail.es"/>
    <n v="3132973915"/>
    <x v="4"/>
    <n v="901546567"/>
    <d v="2025-04-18T00:00:00"/>
    <s v="3:55p. m."/>
    <n v="3"/>
    <n v="106.666"/>
    <s v="no "/>
    <s v="PLANEAR"/>
    <s v="0.1 Trabajo autónomo analista en plataforma"/>
    <n v="0.5"/>
    <s v="Se adelanta documento de asignacion del responsable"/>
    <d v="2025-05-30T00:00:00"/>
    <n v="42"/>
    <n v="30"/>
    <s v="ACTIVO"/>
  </r>
  <r>
    <d v="2025-05-09T00:00:00"/>
    <m/>
    <m/>
    <s v="VIERNES "/>
    <s v="TU EMPRESA SEGURA"/>
    <s v="Juan Diego "/>
    <s v="CLAUDIA PATRICIA MOLINA SANTOS "/>
    <s v="Cédula de Ciudadanía"/>
    <n v="1070989191"/>
    <s v="clau300625@hotmail.es"/>
    <n v="3132973915"/>
    <x v="4"/>
    <n v="901546567"/>
    <d v="2025-05-09T00:00:00"/>
    <s v="3:55p. m."/>
    <n v="3"/>
    <n v="106.666"/>
    <s v="no "/>
    <s v="PLANEAR"/>
    <s v="0.1 Trabajo autónomo analista en plataforma"/>
    <n v="0.5"/>
    <s v="siendo la hora de conexion el usuario no se presenta, llamo via wassap y telefonicamente, y no recibo respuesta, se envia correo de citacion, se verifica el link y es el dado por el usuario, SE REALIZA FORMATO DE EVALUACION INICIAL, PARA CONTINUAR CON LOS CICLOS DEL P.HV.A"/>
    <d v="2025-05-30T00:00:00"/>
    <n v="21"/>
    <n v="30"/>
    <s v="ACTIVO"/>
  </r>
  <r>
    <d v="2025-05-16T00:00:00"/>
    <m/>
    <m/>
    <s v="VIERNES "/>
    <s v="TU EMPRESA SEGURA"/>
    <s v="Juan Diego "/>
    <s v="CLAUDIA PATRICIA MOLINA SANTOS "/>
    <s v="Cédula de Ciudadanía"/>
    <n v="1070989191"/>
    <s v="clau300625@hotmail.es"/>
    <n v="3132973915"/>
    <x v="4"/>
    <n v="901546567"/>
    <d v="2025-05-16T00:00:00"/>
    <s v="3:55p. m."/>
    <n v="3"/>
    <n v="106.666"/>
    <s v="si "/>
    <s v="PLANEAR"/>
    <s v="1.0.3 Navegando en  la plataforma y beneficios del programa"/>
    <n v="1"/>
    <s v="se explica programa y se da induccion de la plataforma"/>
    <d v="2025-05-30T00:00:00"/>
    <n v="14"/>
    <n v="30"/>
    <s v="ACTIVO"/>
  </r>
  <r>
    <d v="2025-05-23T00:00:00"/>
    <m/>
    <m/>
    <s v="VIERNES "/>
    <s v="TU EMPRESA SEGURA"/>
    <s v="Juan Diego "/>
    <s v="CLAUDIA PATRICIA MOLINA SANTOS "/>
    <s v="Cédula de Ciudadanía"/>
    <n v="1070989191"/>
    <s v="clau300625@hotmail.es"/>
    <n v="3132973915"/>
    <x v="4"/>
    <n v="901546567"/>
    <d v="2025-05-20T00:00:00"/>
    <s v="3:55p. m."/>
    <n v="3"/>
    <n v="106.666"/>
    <s v="no "/>
    <s v="PLANEAR"/>
    <s v="0.1 Trabajo autónomo analista en plataforma"/>
    <n v="0.5"/>
    <s v="en la hora indicada se contacta a la persona enlace, me indica que no sera posible reunirse hoy porque esta en obra."/>
    <d v="2025-05-30T00:00:00"/>
    <n v="7"/>
    <n v="30"/>
    <s v="ACTIVO"/>
  </r>
  <r>
    <d v="2025-05-20T00:00:00"/>
    <m/>
    <m/>
    <s v="MARTES"/>
    <s v="TU EMPRESA SEGURA"/>
    <s v="LUZ"/>
    <s v="CLAUDIA PATRICIA MOLINA SANTOS "/>
    <s v="Cédula de Ciudadanía"/>
    <n v="1070989191"/>
    <s v="clau300625@hotmail.es"/>
    <n v="3132973915"/>
    <x v="4"/>
    <n v="901546567"/>
    <d v="2025-05-20T00:00:00"/>
    <s v="3:55p. m."/>
    <n v="3"/>
    <n v="106.666"/>
    <s v="no "/>
    <s v="PLANEAR"/>
    <s v="0. No conexión"/>
    <n v="0"/>
    <s v="No se realizo la conexion por temas de coordinacion con correo ."/>
    <d v="2025-05-30T00:00:00"/>
    <n v="10"/>
    <n v="30"/>
    <s v="ACTIVO"/>
  </r>
  <r>
    <d v="2025-06-06T00:00:00"/>
    <m/>
    <m/>
    <s v="VIERNES "/>
    <s v="TU EMPRESA SEGURA"/>
    <s v="Juan Diego "/>
    <s v="CLAUDIA PATRICIA MOLINA SANTOS "/>
    <s v="Cédula de Ciudadanía"/>
    <n v="1070989191"/>
    <s v="clau300625@hotmail.es"/>
    <n v="3132973915"/>
    <x v="4"/>
    <n v="901546567"/>
    <d v="2025-06-06T00:00:00"/>
    <s v="3:55p. m."/>
    <n v="3"/>
    <n v="106.666"/>
    <s v="no "/>
    <s v="PLANEAR"/>
    <s v="1.1.1. Responsable del Sistema de Gestión de Seguridad y Salud en el Trabajo SG-SST"/>
    <n v="0.5"/>
    <s v="Se raliza confirmacion de que debido a que la persona enlace estaba en cmpo no puede acceder a la asesrria, se adelanta asit¿gnacion de responsabilidades"/>
    <d v="2025-05-30T00:00:00"/>
    <n v="7"/>
    <n v="30"/>
    <s v="ACTIVO"/>
  </r>
  <r>
    <d v="2025-05-27T00:00:00"/>
    <m/>
    <m/>
    <s v="MARTES"/>
    <s v="TU EMPRESA SEGURA"/>
    <s v="LUZ"/>
    <s v="CLAUDIA PATRICIA MOLINA SANTOS "/>
    <s v="Cédula de Ciudadanía"/>
    <n v="1070989191"/>
    <s v="clau300625@hotmail.es"/>
    <n v="3132973915"/>
    <x v="4"/>
    <n v="901546567"/>
    <d v="2025-05-27T00:00:00"/>
    <s v="3:55p. m."/>
    <n v="3"/>
    <n v="106.666"/>
    <s v="no "/>
    <s v="PLANEAR"/>
    <s v="0.1 Trabajo autónomo analista en plataforma"/>
    <n v="0.5"/>
    <s v="No se conecto a la  conexion por temas de su agendamiento.olvido la conexion.dice via llamada telefonica."/>
    <d v="2025-05-30T00:00:00"/>
    <n v="3"/>
    <n v="30"/>
    <s v="ACTIVO"/>
  </r>
  <r>
    <d v="2025-01-09T00:00:00"/>
    <m/>
    <m/>
    <s v="VIERNES "/>
    <s v="TU EMPRESA SEGURA"/>
    <s v="LUZ"/>
    <s v="CLAUDIA PATRICIA MOLINA SANTOS "/>
    <s v="Cédula de Ciudadanía"/>
    <n v="1070989191"/>
    <s v="clau300625@hotmail.es"/>
    <n v="3132973915"/>
    <x v="4"/>
    <n v="901546567"/>
    <d v="2025-06-03T00:00:00"/>
    <s v="8:05 a. m."/>
    <n v="3"/>
    <n v="106.666"/>
    <s v="no "/>
    <s v="PLANEAR"/>
    <s v="0.1 Trabajo autónomo analista en plataforma"/>
    <n v="0.5"/>
    <s v="llevo junio 3 y 10 que el cliente No se conecta,no responde whatsapp ,ni la  llamada telefonica,venia del analista juan"/>
    <d v="2025-05-30T00:00:00"/>
    <n v="141"/>
    <n v="30"/>
    <s v="ACTIVO"/>
  </r>
  <r>
    <d v="2025-03-01T00:00:00"/>
    <s v="MARZO"/>
    <n v="3"/>
    <s v="JUEVES"/>
    <s v="TU EMPRESA SEGURA"/>
    <s v="LUZ"/>
    <s v="JUBER NEVARDO MARTINEZ GIRALDO"/>
    <s v="Cédula de Ciudadanía"/>
    <n v="1039685226"/>
    <s v="adm.car.mc@gmail.com"/>
    <n v="3206709930"/>
    <x v="5"/>
    <n v="43476587"/>
    <d v="2025-05-15T00:00:00"/>
    <s v="1:15 p.m"/>
    <n v="3"/>
    <n v="106.666"/>
    <s v="no "/>
    <s v="PLANEAR"/>
    <s v="1.0.2 Socialización SGSST"/>
    <n v="2"/>
    <s v="Solicita reprogramar reunion para otro dia,teniendo en cuenta que la agenda esta copada ,se le enviara por correo tareas para la proxima conexion."/>
    <d v="2025-05-30T00:00:00"/>
    <n v="90"/>
    <n v="4"/>
    <s v="ACTIVO"/>
  </r>
  <r>
    <d v="2025-04-24T00:00:00"/>
    <m/>
    <m/>
    <s v="JUEVES"/>
    <s v="TU EMPRESA SEGURA"/>
    <s v="LUZ"/>
    <s v="JUBER NEVARDO MARTINEZ GIRALDO"/>
    <s v="Cédula de Ciudadanía"/>
    <n v="1039685226"/>
    <s v="adm.car.mc@gmail.com"/>
    <n v="3206709930"/>
    <x v="5"/>
    <n v="43476587"/>
    <s v=" 24/04/2025"/>
    <s v="1:15 p.m"/>
    <n v="3"/>
    <n v="106.666"/>
    <s v="si "/>
    <s v="PLANEAR"/>
    <s v="1.0.1 Firma de Términos y Condiciones"/>
    <n v="1"/>
    <s v="El dia 24 de abril  quedamos pendientes de enviarle la contraseña y usuario,se le explica Dara por medio de la plataforma de luz estrada,como es el manejo de la plataforma,donde esta el documento de terminos y condiciones y la importancia de generar los archivos documentales para que sea mas efectivo el diligenciar los documentos."/>
    <d v="2025-05-30T00:00:00"/>
    <n v="36"/>
    <n v="4"/>
    <s v="ACTIVO"/>
  </r>
  <r>
    <d v="2025-03-08T00:00:00"/>
    <m/>
    <m/>
    <s v="JUEVES"/>
    <s v="TU EMPRESA SEGURA"/>
    <s v="LUZ"/>
    <s v="JUBER NEVARDO MARTINEZ GIRALDO"/>
    <s v="Cédula de Ciudadanía"/>
    <n v="1039685226"/>
    <s v="adm.car.mc@gmail.com"/>
    <n v="3206709930"/>
    <x v="5"/>
    <n v="43476587"/>
    <d v="2025-05-22T00:00:00"/>
    <s v="1:15 p.m"/>
    <n v="3"/>
    <n v="106.666"/>
    <s v="no "/>
    <s v="PLANEAR"/>
    <s v="0. No conexión"/>
    <n v="0"/>
    <s v="Envia mensaje whatsapp que olvido la conexion."/>
    <d v="2025-05-30T00:00:00"/>
    <n v="83"/>
    <n v="4"/>
    <s v="ACTIVO"/>
  </r>
  <r>
    <d v="2025-03-15T00:00:00"/>
    <m/>
    <m/>
    <s v="JUEVES"/>
    <s v="TU EMPRESA SEGURA"/>
    <s v="LUZ"/>
    <s v="JUBER NEVARDO MARTINEZ GIRALDO"/>
    <s v="Cédula de Ciudadanía"/>
    <n v="1039685226"/>
    <s v="adm.car.mc@gmail.com"/>
    <n v="3206709930"/>
    <x v="5"/>
    <n v="43476587"/>
    <d v="2025-05-29T00:00:00"/>
    <s v="1:15 p.m"/>
    <n v="3"/>
    <n v="106.666"/>
    <s v="si "/>
    <s v="PLANEAR"/>
    <s v="1.0.6 Diagnóstico del Sistema de Gestión de Seguridad y Salud en el Trabajo (SG-SST) 0312 DE 2019"/>
    <n v="2"/>
    <s v="se realiza evaluacion inicial (Critico)se envia correo de paso a paso para montar registro de afiliacion y documento del perfil."/>
    <d v="2025-05-30T00:00:00"/>
    <n v="76"/>
    <n v="4"/>
    <s v="ACTIVO"/>
  </r>
  <r>
    <d v="2025-03-22T00:00:00"/>
    <m/>
    <m/>
    <s v="JUEVES"/>
    <s v="TU EMPRESA SEGURA"/>
    <s v="LUZ"/>
    <s v="JUBER NEVARDO MARTINEZ GIRALDO"/>
    <s v="Cédula de Ciudadanía"/>
    <n v="1039685226"/>
    <s v="adm.car.mc@gmail.com"/>
    <n v="3206709930"/>
    <x v="5"/>
    <n v="43476587"/>
    <d v="2025-06-05T00:00:00"/>
    <s v="1:15 p.m"/>
    <n v="3"/>
    <n v="106.666"/>
    <s v="no "/>
    <s v="PLANEAR"/>
    <s v="0. No conexión"/>
    <n v="0"/>
    <s v="refiere que el dia de hoy no tiene energia y los datos no le dan para la conexion,enviara correo."/>
    <d v="2025-05-30T00:00:00"/>
    <n v="69"/>
    <n v="4"/>
    <s v="ACTIVO"/>
  </r>
  <r>
    <d v="2025-04-04T00:00:00"/>
    <s v="ABRIL"/>
    <n v="2"/>
    <s v="VIERNES "/>
    <s v="TU EMPRESA SEGURA"/>
    <s v="Juan Diego"/>
    <s v="MONICA YANETH OCAMPO SERNA"/>
    <s v="Cédula de Ciudadanía"/>
    <n v="1036780830"/>
    <s v="floresmundocolores@gmail.com"/>
    <n v="3147830285"/>
    <x v="6"/>
    <n v="900509996"/>
    <d v="2025-04-04T00:00:00"/>
    <s v="3:05PM"/>
    <n v="3"/>
    <n v="106.666"/>
    <s v="si "/>
    <s v="PLANEAR"/>
    <s v="1.0.0 Bienvenida"/>
    <n v="1"/>
    <s v="el dia viernes 21 de marzo se llamo a la empresa para validar la llegada del correo electronico con el usuario y la contraseña a lo cual indicaron que si les llego y que no han tenido ningun inconveniente "/>
    <d v="2025-05-30T00:00:00"/>
    <n v="56"/>
    <n v="3"/>
    <s v="ACTIVO"/>
  </r>
  <r>
    <d v="2025-04-11T00:00:00"/>
    <m/>
    <m/>
    <s v="VIERNES "/>
    <s v="TU EMPRESA SEGURA"/>
    <s v="Juan Diego"/>
    <s v="MONICA YANETH OCAMPO SERNA"/>
    <s v="Cédula de Ciudadanía"/>
    <n v="1036780830"/>
    <s v="floresmundocolores@gmail.com"/>
    <n v="3147830285"/>
    <x v="6"/>
    <n v="900509996"/>
    <d v="2025-04-11T00:00:00"/>
    <s v="3:05PM"/>
    <n v="3"/>
    <n v="106.666"/>
    <s v="si "/>
    <s v="PLANEAR"/>
    <s v="0.1 Trabajo autónomo analista en plataforma"/>
    <n v="0.5"/>
    <s v="se orgniza la plantilla de evaluacion inicial,con los datos de la empresa, se nicia codificacion"/>
    <d v="2025-05-30T00:00:00"/>
    <n v="49"/>
    <n v="3"/>
    <s v="ACTIVO"/>
  </r>
  <r>
    <d v="2025-04-18T00:00:00"/>
    <m/>
    <m/>
    <s v="VIERNES "/>
    <s v="TU EMPRESA SEGURA"/>
    <s v="Juan Diego"/>
    <s v="MONICA YANETH OCAMPO SERNA"/>
    <s v="Cédula de Ciudadanía"/>
    <n v="1036780830"/>
    <s v="floresmundocolores@gmail.com"/>
    <n v="3147830285"/>
    <x v="6"/>
    <n v="900509996"/>
    <d v="2025-04-18T00:00:00"/>
    <s v="3:05PM"/>
    <n v="3"/>
    <n v="106.666"/>
    <s v="no "/>
    <s v="PLANEAR"/>
    <s v="0.1 Trabajo autónomo analista en plataforma"/>
    <n v="0.5"/>
    <s v="serealiza documento de asignacion del responsable,"/>
    <d v="2025-05-30T00:00:00"/>
    <n v="42"/>
    <n v="3"/>
    <s v="ACTIVO"/>
  </r>
  <r>
    <d v="2025-04-25T00:00:00"/>
    <m/>
    <m/>
    <s v="VIERNES "/>
    <s v="TU EMPRESA SEGURA"/>
    <s v="Juan Diego"/>
    <s v="MONICA YANETH OCAMPO SERNA"/>
    <s v="Cédula de Ciudadanía"/>
    <n v="1036780830"/>
    <s v="floresmundocolores@gmail.com"/>
    <n v="3147830285"/>
    <x v="6"/>
    <n v="900509996"/>
    <d v="2025-04-25T00:00:00"/>
    <s v="3:05PM"/>
    <n v="3"/>
    <n v="106.666"/>
    <s v="si "/>
    <s v="PLANEAR"/>
    <s v="1.0.5 Diagnóstico de Madurez"/>
    <n v="3"/>
    <s v="Se solicitan documentos legales y se realiza registro de empleados en plataforma, se revisa la firma y queda adjuntada, se inicia diagnostico d emadurezen plataforma"/>
    <d v="2025-05-30T00:00:00"/>
    <n v="35"/>
    <n v="3"/>
    <s v="ACTIVO"/>
  </r>
  <r>
    <d v="2025-05-06T00:00:00"/>
    <m/>
    <m/>
    <s v="VIERNES "/>
    <s v="TU EMPRESA SEGURA"/>
    <s v="Juan Diego"/>
    <s v="MONICA YANETH OCAMPO SERNA"/>
    <s v="Cédula de Ciudadanía"/>
    <n v="1036780830"/>
    <s v="floresmundocolores@gmail.com"/>
    <n v="3147830285"/>
    <x v="6"/>
    <n v="900509996"/>
    <d v="2025-05-06T00:00:00"/>
    <s v="3:05PM"/>
    <n v="3"/>
    <n v="106.666"/>
    <s v="no "/>
    <s v="PLANEAR"/>
    <s v="1.0.9 Savanna Ruta de Bienestar "/>
    <n v="4"/>
    <s v="no se realiza conexion via internet, por fallas en la red potr aprte del cliente, se da instruccion via telefonica de registrar los empleados en plataforma, y como hacerlo"/>
    <d v="2025-05-30T00:00:00"/>
    <n v="24"/>
    <n v="3"/>
    <s v="ACTIVO"/>
  </r>
  <r>
    <d v="2025-05-02T00:00:00"/>
    <m/>
    <m/>
    <s v="VIERNES "/>
    <s v="TU EMPRESA SEGURA"/>
    <s v="Juan Diego"/>
    <s v="MONICA YANETH OCAMPO SERNA"/>
    <s v="Cédula de Ciudadanía"/>
    <n v="1036780830"/>
    <s v="floresmundocolores@gmail.com"/>
    <n v="3147830285"/>
    <x v="6"/>
    <n v="900509996"/>
    <d v="2025-05-02T00:00:00"/>
    <s v="3:05PM"/>
    <n v="3"/>
    <n v="106.666"/>
    <s v="no "/>
    <s v="PLANEAR"/>
    <s v="1.0.2 Socialización SGSST"/>
    <n v="2"/>
    <s v="no se realiza conexion via internet, por fallas en la red potr aprte del cliente, se da instruccion via telefonica de registrar los empleados en plataforma, y como hacerlo"/>
    <d v="2025-05-30T00:00:00"/>
    <n v="28"/>
    <n v="3"/>
    <s v="ACTIVO"/>
  </r>
  <r>
    <d v="2025-05-16T00:00:00"/>
    <m/>
    <m/>
    <s v="VIERNES "/>
    <s v="TU EMPRESA SEGURA"/>
    <s v="LUZ"/>
    <s v="MONICA YANETH OCAMPO SERNA"/>
    <s v="Cédula de Ciudadanía"/>
    <n v="1036780830"/>
    <s v="floresmundocolores@gmail.com"/>
    <n v="3147830285"/>
    <x v="6"/>
    <n v="900509996"/>
    <d v="2025-05-13T00:00:00"/>
    <s v="9:00AM"/>
    <n v="3"/>
    <n v="106.666"/>
    <s v="si "/>
    <s v="PLANEAR"/>
    <s v="1.0.1 Firma de Términos y Condiciones"/>
    <n v="1"/>
    <s v="Se revisa terminos y condiciones,se le solicita logo de la empresa,se diligencia documento de responsable sst,se digitan 15 documentos de ejemplo para archivo documental,se le envia correo de paso a paso para diligenciar documento perfilsociodemografico y como subir documentos del numeral 1.1.4."/>
    <d v="2025-05-30T00:00:00"/>
    <n v="14"/>
    <n v="3"/>
    <s v="ACTIVO"/>
  </r>
  <r>
    <d v="2025-05-23T00:00:00"/>
    <m/>
    <m/>
    <s v="VIERNES "/>
    <s v="TU EMPRESA SEGURA"/>
    <s v="LUZ"/>
    <s v="MONICA YANETH OCAMPO SERNA"/>
    <s v="Cédula de Ciudadanía"/>
    <n v="1036780830"/>
    <s v="floresmundocolores@gmail.com"/>
    <n v="3147830285"/>
    <x v="6"/>
    <n v="900509996"/>
    <d v="2025-05-20T00:00:00"/>
    <s v="3:05PM"/>
    <n v="3"/>
    <n v="106.666"/>
    <s v="si "/>
    <s v="PLANEAR"/>
    <s v="1.1.1. Responsable del Sistema de Gestión de Seguridad y Salud en el Trabajo SG-SST"/>
    <n v="0.5"/>
    <s v="Se sube el logo a la plataforma,severifica el perfilsociodemografico,firma de responsabilidad  y funciones del SG-SST ,Proxima reunion serrealizara evaluacion inicial y documento de terminos y condiciones."/>
    <d v="2025-05-30T00:00:00"/>
    <n v="7"/>
    <n v="3"/>
    <s v="ACTIVO"/>
  </r>
  <r>
    <d v="2025-05-23T00:00:00"/>
    <m/>
    <m/>
    <s v="VIERNES "/>
    <s v="TU EMPRESA SEGURA"/>
    <s v="LUZ"/>
    <s v="MONICA YANETH OCAMPO SERNA"/>
    <s v="Cédula de Ciudadanía"/>
    <n v="1036780830"/>
    <s v="floresmundocolores@gmail.com"/>
    <n v="3147830285"/>
    <x v="6"/>
    <n v="900509996"/>
    <d v="2025-05-20T00:00:00"/>
    <s v="3:05PM"/>
    <n v="3"/>
    <n v="106.666"/>
    <s v="si "/>
    <s v="PLANEAR"/>
    <s v="1.1.2 Responsabilidades en el Sistema de Gestión de Seguridad y Salud en el Trabajo – SG-SST"/>
    <n v="0.5"/>
    <s v="Se sube el logo a la plataforma,severifica el perfilsociodemografico,firma de responsabilidad  y funciones del SG-SST ,Proxima reunion serrealizara evaluacion inicial y documento de terminos y condiciones."/>
    <d v="2025-05-30T00:00:00"/>
    <n v="7"/>
    <n v="3"/>
    <s v="ACTIVO"/>
  </r>
  <r>
    <d v="2025-05-30T00:00:00"/>
    <m/>
    <m/>
    <s v="VIERNES "/>
    <s v="TU EMPRESA SEGURA"/>
    <s v="LUZ"/>
    <s v="MONICA YANETH OCAMPO SERNA"/>
    <s v="Cédula de Ciudadanía"/>
    <n v="1036780830"/>
    <s v="floresmundocolores@gmail.com"/>
    <n v="3147830285"/>
    <x v="6"/>
    <n v="900509996"/>
    <d v="2025-05-27T00:00:00"/>
    <n v="0.375"/>
    <n v="3"/>
    <n v="106.666"/>
    <s v="si "/>
    <s v="PLANEAR"/>
    <s v="1.0.6 Diagnóstico del Sistema de Gestión de Seguridad y Salud en el Trabajo (SG-SST) 0312 DE 2019"/>
    <n v="2"/>
    <s v="Se firma terminos y condiciones,envio pdf y se realiza evaluacion inicicial (critico)"/>
    <d v="2025-05-30T00:00:00"/>
    <n v="0"/>
    <n v="3"/>
    <s v="ACTIVO"/>
  </r>
  <r>
    <d v="2025-06-06T00:00:00"/>
    <m/>
    <m/>
    <s v="VIERNES "/>
    <s v="TU EMPRESA SEGURA"/>
    <s v="LUZ"/>
    <s v="MONICA YANETH OCAMPO SERNA"/>
    <s v="Cédula de Ciudadanía"/>
    <n v="1036780830"/>
    <s v="floresmundocolores@gmail.com"/>
    <n v="3147830285"/>
    <x v="6"/>
    <n v="900509996"/>
    <d v="2025-06-03T00:00:00"/>
    <n v="0.375"/>
    <n v="3"/>
    <n v="106.666"/>
    <s v="si "/>
    <s v="PLANEAR"/>
    <s v="1.0.4 Acompañamiiento/Asesoría sobre SGSST"/>
    <n v="2"/>
    <s v="Se realiza revision del hacer esta diligenciado pero la señora monica manifiesta que nunca lo a realizado,porque no recuerda como se hace,se le notifica el procedimiento de la politica y por temas de tiempo en su conexion no se logro realizar el cronograma."/>
    <d v="2025-05-30T00:00:00"/>
    <n v="7"/>
    <n v="3"/>
    <s v="ACTIVO"/>
  </r>
  <r>
    <d v="2025-05-16T00:00:00"/>
    <m/>
    <m/>
    <s v="VIERNES "/>
    <s v="TU EMPRESA SEGURA"/>
    <s v="Juan Diego "/>
    <s v="MONICA YANETH OCAMPO SERNA"/>
    <s v="Cédula de Ciudadanía"/>
    <n v="1036780830"/>
    <s v="floresmundocolores@gmail.com"/>
    <n v="3147830285"/>
    <x v="6"/>
    <n v="900509996"/>
    <d v="2025-05-16T00:00:00"/>
    <s v="8:05-8:50AM"/>
    <m/>
    <s v=""/>
    <s v="NO"/>
    <s v="PLANEAR"/>
    <s v="0.1 Trabajo autónomo analista en plataforma"/>
    <n v="0.5"/>
    <s v="se inicia con la codificacion"/>
    <d v="2025-05-30T00:00:00"/>
    <n v="14"/>
    <n v="3"/>
    <s v="ACTIVO"/>
  </r>
  <r>
    <d v="2025-04-04T00:00:00"/>
    <s v="ABRIL"/>
    <n v="2"/>
    <s v="VIERNES "/>
    <s v="TU EMPRESA SEGURA"/>
    <s v="Cristhian"/>
    <s v="Jorge ignacio Martínez García "/>
    <s v="Cédula de Ciudadanía"/>
    <n v="70952794"/>
    <s v="j73jimg@hotmail.com"/>
    <n v="3216422617"/>
    <x v="7"/>
    <n v="900112921"/>
    <d v="2025-04-04T00:00:00"/>
    <s v="7:15a. m."/>
    <n v="4"/>
    <n v="213000"/>
    <s v="si "/>
    <s v="PLANEAR"/>
    <s v="1.0.0 Bienvenida"/>
    <n v="1"/>
    <s v="se realiza la reunion de bienvenida pero en la mitad de la reunion se tuvieron problemas de connexion por lo cual se finaliza la misma "/>
    <d v="2025-05-30T00:00:00"/>
    <n v="56"/>
    <n v="5"/>
    <s v="ACTIVO"/>
  </r>
  <r>
    <d v="2025-04-11T00:00:00"/>
    <m/>
    <m/>
    <s v="VIERNES "/>
    <s v="TU EMPRESA SEGURA"/>
    <s v="Cristhian"/>
    <s v="Jorge ignacio Martínez García "/>
    <s v="Cédula de Ciudadanía"/>
    <n v="70952794"/>
    <s v="j73jimg@hotmail.com"/>
    <n v="3216422617"/>
    <x v="7"/>
    <n v="900112921"/>
    <d v="2025-04-11T00:00:00"/>
    <s v="7:15a. m."/>
    <n v="4"/>
    <n v="213000"/>
    <s v="no "/>
    <s v="PLANEAR"/>
    <s v="0. No participación de empresa"/>
    <n v="0"/>
    <s v="no se realiza conexión por que el señor encargado no se conecto al encuentro "/>
    <d v="2025-05-30T00:00:00"/>
    <n v="49"/>
    <n v="5"/>
    <s v="ACTIVO"/>
  </r>
  <r>
    <d v="2025-04-18T00:00:00"/>
    <m/>
    <m/>
    <s v="VIERNES "/>
    <s v="TU EMPRESA SEGURA"/>
    <s v="Juan Diego "/>
    <s v="Jorge ignacio Martínez García "/>
    <s v="Cédula de Ciudadanía"/>
    <n v="70952794"/>
    <s v="j73jimg@hotmail.com"/>
    <n v="3216422617"/>
    <x v="7"/>
    <n v="900112921"/>
    <d v="2025-04-18T00:00:00"/>
    <s v="7:15a. m."/>
    <n v="4"/>
    <n v="213000"/>
    <s v="no "/>
    <s v="PLANEAR"/>
    <s v="0. No participación de empresa"/>
    <n v="0"/>
    <s v="no se realiza conexión por que era viernes de semana sanrta"/>
    <d v="2025-05-30T00:00:00"/>
    <n v="42"/>
    <n v="5"/>
    <s v="ACTIVO"/>
  </r>
  <r>
    <d v="2025-04-29T00:00:00"/>
    <m/>
    <m/>
    <s v="VIERNES "/>
    <s v="TU EMPRESA SEGURA"/>
    <s v="Juan Diego "/>
    <s v="Jorge ignacio Martínez García "/>
    <s v="Cédula de Ciudadanía"/>
    <n v="70952794"/>
    <s v="j73jimg@hotmail.com"/>
    <n v="3216422617"/>
    <x v="7"/>
    <n v="900112921"/>
    <d v="2025-04-29T00:00:00"/>
    <s v="7:15a. m."/>
    <n v="4"/>
    <n v="213000"/>
    <s v="si "/>
    <s v="PLANEAR"/>
    <s v="1.0.9 Savanna Ruta de Bienestar "/>
    <n v="4"/>
    <m/>
    <d v="2025-05-30T00:00:00"/>
    <n v="31"/>
    <n v="5"/>
    <s v="ACTIVO"/>
  </r>
  <r>
    <d v="2025-04-25T00:00:00"/>
    <m/>
    <m/>
    <s v="VIERNES "/>
    <s v="TU EMPRESA SEGURA"/>
    <s v="Juan Diego "/>
    <s v="Jorge ignacio Martínez García "/>
    <s v="Cédula de Ciudadanía"/>
    <n v="70952794"/>
    <s v="j73jimg@hotmail.com"/>
    <n v="3216422617"/>
    <x v="7"/>
    <n v="900112921"/>
    <d v="2025-04-25T00:00:00"/>
    <s v="7:15a. m."/>
    <n v="4"/>
    <n v="213000"/>
    <s v="si "/>
    <s v="PLANEAR"/>
    <s v="1.0.6 Diagnóstico del Sistema de Gestión de Seguridad y Salud en el Trabajo (SG-SST) 0312 DE 2019"/>
    <n v="2"/>
    <s v="S hace presentacion de analista y de la plataforma Sistegra, se Solicitan documentos legales: RUT, Documento delgerente, camara de comercio, dos ultimos pagos de seguridad social, examenes medicos(pendientes por realizar), se solicita carta de afilizacion a la ARL"/>
    <d v="2025-05-30T00:00:00"/>
    <n v="35"/>
    <n v="5"/>
    <s v="ACTIVO"/>
  </r>
  <r>
    <d v="2025-05-02T00:00:00"/>
    <m/>
    <m/>
    <s v="VIERNES "/>
    <s v="TU EMPRESA SEGURA"/>
    <s v="Juan Diego "/>
    <s v="Jorge ignacio Martínez García "/>
    <s v="Cédula de Ciudadanía"/>
    <n v="70952794"/>
    <s v="j73jimg@hotmail.com"/>
    <n v="3216422617"/>
    <x v="7"/>
    <n v="900112921"/>
    <d v="2025-05-02T00:00:00"/>
    <s v="7:15a. m."/>
    <n v="4"/>
    <n v="213000"/>
    <s v="no "/>
    <s v="PLANEAR"/>
    <s v="0. No participación de empresa"/>
    <n v="0"/>
    <s v="el dos de mayo, no se reporta conexion a la hora establecida, 15 minutos antes llamo al contactto que esat en la base de datos compartida, via wassap, telefono y no hay respeusta, espero hasta las 7:26 am"/>
    <d v="2025-05-30T00:00:00"/>
    <n v="28"/>
    <n v="5"/>
    <s v="ACTIVO"/>
  </r>
  <r>
    <d v="2025-05-09T00:00:00"/>
    <m/>
    <m/>
    <s v="VIERNES "/>
    <s v="TU EMPRESA SEGURA"/>
    <s v="Juan Diego "/>
    <s v="Jorge ignacio Martínez García "/>
    <s v="Cédula de Ciudadanía"/>
    <n v="70952794"/>
    <s v="j73jimg@hotmail.com"/>
    <n v="3216422617"/>
    <x v="7"/>
    <n v="900112921"/>
    <d v="2025-05-09T00:00:00"/>
    <s v="7:15a. m."/>
    <n v="4"/>
    <n v="213000"/>
    <s v="si "/>
    <s v="PLANEAR"/>
    <s v="1.0.1 Firma de Términos y Condiciones"/>
    <n v="1"/>
    <s v="se revisa usuario y contraseña en plataforma y se resuelven dudas frente al programa tu empresa segura, se revisa terminos y condiciones y esta al dia, quedamos en enviar examenes médicos y otra documentacion de soporte legal al analista, ya que, no tienen examenes médicos ocupacionales"/>
    <d v="2025-05-30T00:00:00"/>
    <n v="21"/>
    <n v="5"/>
    <s v="ACTIVO"/>
  </r>
  <r>
    <d v="2025-05-16T00:00:00"/>
    <m/>
    <m/>
    <s v="VIERNES "/>
    <s v="TU EMPRESA SEGURA"/>
    <s v="Juan Diego "/>
    <s v="Jorge ignacio Martínez García "/>
    <s v="Cédula de Ciudadanía"/>
    <n v="70952794"/>
    <s v="j73jimg@hotmail.com"/>
    <n v="3216422617"/>
    <x v="7"/>
    <n v="900112921"/>
    <d v="2025-05-16T00:00:00"/>
    <s v="7:15a. m."/>
    <n v="4"/>
    <n v="213000"/>
    <s v="si "/>
    <s v="PLANEAR"/>
    <s v="1.0.3 Navegando en  la plataforma y beneficios del programa"/>
    <n v="1"/>
    <s v="se solicita nuevamente la realizacion de los examenes medicos ocupacionales, se verifica firma de terminos y condiciones y se da un panorama orientador del programa tue empresa segura y de la plataforma"/>
    <d v="2025-05-30T00:00:00"/>
    <n v="14"/>
    <n v="5"/>
    <s v="ACTIVO"/>
  </r>
  <r>
    <d v="2025-05-23T00:00:00"/>
    <m/>
    <m/>
    <s v="VIERNES "/>
    <s v="TU EMPRESA SEGURA"/>
    <s v="Juan Diego "/>
    <s v="Jorge ignacio Martínez García "/>
    <s v="Cédula de Ciudadanía"/>
    <n v="70952794"/>
    <s v="j73jimg@hotmail.com"/>
    <n v="3216422617"/>
    <x v="7"/>
    <n v="900112921"/>
    <d v="2025-05-23T00:00:00"/>
    <s v="7:15a. m."/>
    <n v="4"/>
    <n v="213000"/>
    <s v="si "/>
    <s v="PLANEAR"/>
    <s v="1.1.1. Responsable del Sistema de Gestión de Seguridad y Salud en el Trabajo SG-SST"/>
    <n v="0.5"/>
    <s v="Se inicia con la asigacion del responsable en la plataforma, y se informa que se estan adelantando examenes medicos solicitados"/>
    <d v="2025-05-30T00:00:00"/>
    <n v="7"/>
    <n v="5"/>
    <s v="ACTIVO"/>
  </r>
  <r>
    <d v="2025-05-30T00:00:00"/>
    <m/>
    <m/>
    <s v="VIERNES "/>
    <s v="TU EMPRESA SEGURA"/>
    <s v="Juan Diego "/>
    <s v="Jorge ignacio Martínez García "/>
    <s v="Cédula de Ciudadanía"/>
    <n v="70952794"/>
    <s v="j73jimg@hotmail.com"/>
    <n v="3216422617"/>
    <x v="7"/>
    <n v="900112921"/>
    <d v="2025-05-30T00:00:00"/>
    <s v="7:15a. m."/>
    <n v="4"/>
    <n v="213000"/>
    <s v="si "/>
    <s v="PLANEAR"/>
    <s v="1.1.4 Afiliación al Sistema General de Riesgos Laborales"/>
    <n v="0.5"/>
    <s v="se consulta sobre el estado de la  capacitacion en equipos de emergencia, ya que el Sr.tenia dudas sobre el  tipo de extintores para su empresa, se adelanta diligenciamiento de asignacion del responsable y recibo  de planillas de seguridad social"/>
    <d v="2025-05-30T00:00:00"/>
    <n v="0"/>
    <n v="5"/>
    <s v="ACTIVO"/>
  </r>
  <r>
    <d v="2025-06-06T00:00:00"/>
    <m/>
    <m/>
    <s v="VIERNES "/>
    <s v="TU EMPRESA SEGURA"/>
    <s v="Juan Diego "/>
    <s v="Jorge ignacio Martínez García "/>
    <s v="Cédula de Ciudadanía"/>
    <n v="70952794"/>
    <s v="j73jimg@hotmail.com"/>
    <n v="3216422617"/>
    <x v="7"/>
    <n v="900112921"/>
    <d v="2025-06-06T00:00:00"/>
    <s v="7:15a. m."/>
    <n v="4"/>
    <n v="213000"/>
    <s v="si "/>
    <s v="PLANEAR"/>
    <s v="1.1.2 Responsabilidades en el Sistema de Gestión de Seguridad y Salud en el Trabajo – SG-SST"/>
    <n v="0.5"/>
    <s v="Se realiza registro de empleados, asignacion de responsabilidades"/>
    <d v="2025-05-30T00:00:00"/>
    <n v="7"/>
    <n v="5"/>
    <s v="ACTIVO"/>
  </r>
  <r>
    <d v="2025-05-16T00:00:00"/>
    <m/>
    <m/>
    <s v="VIERNES "/>
    <s v="TU EMPRESA SEGURA"/>
    <s v="Juan Diego "/>
    <s v="Jorge ignacio Martínez García "/>
    <s v="Cédula de Ciudadanía"/>
    <n v="70952794"/>
    <s v="j73jimg@hotmail.com"/>
    <n v="3216422617"/>
    <x v="7"/>
    <n v="900112921"/>
    <d v="2025-05-16T00:00:00"/>
    <m/>
    <m/>
    <s v=""/>
    <s v="si"/>
    <s v="PLANEAR"/>
    <s v="0.1 Trabajo autónomo analista en plataforma"/>
    <n v="0.5"/>
    <s v="se realiza codificacion de documentos"/>
    <d v="2025-05-30T00:00:00"/>
    <n v="14"/>
    <n v="5"/>
    <s v="ACTIVO"/>
  </r>
  <r>
    <d v="2025-05-20T00:00:00"/>
    <s v="MAYO"/>
    <n v="1"/>
    <s v="MARTES"/>
    <s v="TU EMPRESA SEGURA"/>
    <s v="LUZ"/>
    <m/>
    <m/>
    <m/>
    <m/>
    <n v="3104997696"/>
    <x v="8"/>
    <m/>
    <d v="2025-05-20T00:00:00"/>
    <s v="10:40 a.m"/>
    <n v="3"/>
    <n v="106.666"/>
    <s v="si"/>
    <s v="PLANEAR"/>
    <s v="1.0.0 Bienvenida"/>
    <n v="1"/>
    <s v="Bienvenida al programa, No firmo firma de termminos y condiciones por temas de no tener contraseña y usuario,se le presenta el programa .se le realiza evaluacion inicial"/>
    <d v="2025-05-30T00:00:00"/>
    <n v="10"/>
    <e v="#N/A"/>
    <s v="ACTIVO"/>
  </r>
  <r>
    <d v="2025-05-20T00:00:00"/>
    <s v="MAYO"/>
    <n v="1"/>
    <s v="MARTES"/>
    <s v="TU EMPRESA SEGURA"/>
    <s v="LUZ"/>
    <s v="Kerly Andrea Ortiz Ramirez"/>
    <s v="Cédula de Ciudadanía"/>
    <n v="1128395305"/>
    <s v="Kerlyandreaortiz1407@gmail.com"/>
    <n v="3128926799"/>
    <x v="9"/>
    <n v="1128395305"/>
    <d v="2025-05-20T00:00:00"/>
    <s v="1:00 p.m"/>
    <n v="1"/>
    <n v="106.666"/>
    <s v="si"/>
    <s v="PLANEAR"/>
    <s v="1.0.0 Bienvenida"/>
    <n v="1"/>
    <s v="Se realiza bienvenida, no firmo firma de termminos y condiciones por temas de no tener contraseña y usuario,se le presenta el programa ."/>
    <d v="2025-05-30T00:00:00"/>
    <n v="10"/>
    <n v="3"/>
    <s v="ACTIVO"/>
  </r>
  <r>
    <d v="2025-05-27T00:00:00"/>
    <m/>
    <m/>
    <s v="MARTES"/>
    <s v="TU EMPRESA SEGURA"/>
    <s v="LUZ"/>
    <s v="Kerly Andrea Ortiz Ramirez"/>
    <s v="Cédula de Ciudadanía"/>
    <n v="1128395305"/>
    <s v="Kerlyandreaortiz1407@gmail.com"/>
    <n v="3128926799"/>
    <x v="9"/>
    <n v="1128395305"/>
    <d v="2025-05-27T00:00:00"/>
    <s v="1:15 p.m"/>
    <n v="1"/>
    <n v="106.666"/>
    <s v="si"/>
    <s v="PLANEAR"/>
    <s v="1.0.3 Navegando en  la plataforma y beneficios del programa"/>
    <n v="1"/>
    <s v="se realiza explicacion de la plataforma,se explica el numeral 1.1.4 y 2.5.1 .ya que se conecto 25 minutos luego no se pudo reaalizar la evauzaion inicial."/>
    <d v="2025-05-30T00:00:00"/>
    <n v="3"/>
    <n v="3"/>
    <s v="ACTIVO"/>
  </r>
  <r>
    <d v="2025-06-03T00:00:00"/>
    <m/>
    <m/>
    <s v="MARTES"/>
    <s v="TU EMPRESA SEGURA"/>
    <s v="LUZ"/>
    <s v="Kerly Andrea Ortiz Ramirez"/>
    <s v="Cédula de Ciudadanía"/>
    <n v="1128395305"/>
    <s v="Kerlyandreaortiz1407@gmail.com"/>
    <n v="3128926799"/>
    <x v="9"/>
    <n v="1128395305"/>
    <d v="2025-06-03T00:00:00"/>
    <s v="1:15 p.m"/>
    <n v="1"/>
    <n v="106.666"/>
    <s v="si"/>
    <s v="PLANEAR"/>
    <s v="2.5.1 Archivo o retención documental del Sistema de Gestión en Seguridad y Salud en el Trabajo SG-SST"/>
    <n v="2"/>
    <s v="se firma terminos y condiciones,envia el PDF,se adelanta numeral 2.5.1."/>
    <d v="2025-05-30T00:00:00"/>
    <n v="4"/>
    <n v="3"/>
    <s v="ACTIVO"/>
  </r>
  <r>
    <d v="2025-04-28T00:00:00"/>
    <s v="ABRIL"/>
    <n v="2"/>
    <s v="VIERNES "/>
    <s v="TU EMPRESA SEGURA"/>
    <s v="Cristhian"/>
    <s v="LUISA GARCIA"/>
    <s v="Cédula de Ciudadanía"/>
    <n v="1036929374"/>
    <s v="luisayepes02@gmail.com"/>
    <n v="3194892497"/>
    <x v="10"/>
    <n v="901166099"/>
    <d v="2026-04-21T00:00:00"/>
    <s v="11:00a. m."/>
    <n v="2"/>
    <n v="106.666"/>
    <s v="si "/>
    <s v="PLANEAR"/>
    <s v="1.0.0 Bienvenida"/>
    <n v="1"/>
    <s v="Bienvenida al programa, se le explica detalladamente en que consiste y la duración estimada, se Indica cómo firmar los términos y condiciones, se agenda la reunión periódica, semanal, los viernes de 3:00 a 3:45pm, se actualiza el correo de contacto: claoarbo@hotmail.com "/>
    <d v="2025-05-30T00:00:00"/>
    <n v="32"/>
    <n v="7"/>
    <s v="ACTIVO"/>
  </r>
  <r>
    <d v="2025-05-05T00:00:00"/>
    <m/>
    <m/>
    <s v="VIERNES "/>
    <s v="TU EMPRESA SEGURA"/>
    <s v="Cristhian"/>
    <s v="LUISA GARCIA"/>
    <s v="Cédula de Ciudadanía"/>
    <n v="1036929374"/>
    <s v="luisayepes02@gmail.com"/>
    <n v="3194892497"/>
    <x v="10"/>
    <n v="901166099"/>
    <d v="2026-04-28T00:00:00"/>
    <s v="3:00PM"/>
    <n v="2"/>
    <n v="106.666"/>
    <s v="no "/>
    <s v="PLANEAR"/>
    <s v="0. No conexión"/>
    <n v="0"/>
    <s v="No hubo conexión "/>
    <d v="2025-05-30T00:00:00"/>
    <n v="25"/>
    <n v="7"/>
    <s v="ACTIVO"/>
  </r>
  <r>
    <d v="2025-05-12T00:00:00"/>
    <m/>
    <m/>
    <s v="VIERNES "/>
    <s v="TU EMPRESA SEGURA"/>
    <s v="Cristhian"/>
    <s v="LUISA GARCIA"/>
    <s v="Cédula de Ciudadanía"/>
    <n v="1036929374"/>
    <s v="luisayepes02@gmail.com"/>
    <n v="3194892497"/>
    <x v="10"/>
    <n v="901166099"/>
    <d v="2025-04-11T00:00:00"/>
    <s v="3:00PM"/>
    <n v="2"/>
    <n v="106.666"/>
    <s v="si "/>
    <s v="PLANEAR"/>
    <s v="0. No conexión"/>
    <n v="0"/>
    <m/>
    <d v="2025-05-30T00:00:00"/>
    <n v="18"/>
    <n v="7"/>
    <s v="ACTIVO"/>
  </r>
  <r>
    <d v="2025-05-09T00:00:00"/>
    <m/>
    <m/>
    <s v="VIERNES "/>
    <s v="TU EMPRESA SEGURA"/>
    <s v="Juan Diego "/>
    <s v="LUISA GARCIA"/>
    <s v="Cédula de Ciudadanía"/>
    <n v="1036929374"/>
    <s v="luisayepes02@gmail.com"/>
    <n v="3194892497"/>
    <x v="10"/>
    <n v="901166099"/>
    <d v="2025-04-18T00:00:00"/>
    <s v="3:00PM"/>
    <n v="2"/>
    <n v="106.666"/>
    <s v="si "/>
    <s v="PLANEAR"/>
    <s v="1.0.3 Navegando en  la plataforma y beneficios del programa"/>
    <n v="1"/>
    <s v="se da un panorama orientador de la plataforma, se explica en que consiste el sgsst y el programa tu empresa segura, se empieza registro de usuarios y administradores en plataforma"/>
    <d v="2025-05-30T00:00:00"/>
    <n v="21"/>
    <n v="7"/>
    <s v="ACTIVO"/>
  </r>
  <r>
    <d v="2025-06-09T00:00:00"/>
    <m/>
    <m/>
    <s v="VIERNES "/>
    <s v="TU EMPRESA SEGURA"/>
    <s v="Juan Diego "/>
    <s v="LUISA GARCIA"/>
    <s v="Cédula de Ciudadanía"/>
    <n v="1036929374"/>
    <s v="luisayepes02@gmail.com"/>
    <n v="3194892497"/>
    <x v="10"/>
    <n v="901166099"/>
    <d v="2025-05-09T00:00:00"/>
    <n v="0.60069444444444442"/>
    <n v="2"/>
    <n v="106.666"/>
    <s v="si "/>
    <s v="PLANEAR"/>
    <s v="1.0.3 Navegando en  la plataforma y beneficios del programa"/>
    <n v="1"/>
    <s v="se hace solicitud de documentos de la empresa: Rut, camara de comercio, ultimos dos pagos de planilla de seg. social, logotipo de la empresa; se inicia con el registro de usuarios y administradores"/>
    <d v="2025-05-30T00:00:00"/>
    <n v="10"/>
    <n v="7"/>
    <s v="ACTIVO"/>
  </r>
  <r>
    <d v="2025-06-16T00:00:00"/>
    <m/>
    <m/>
    <s v="VIERNES "/>
    <s v="TU EMPRESA SEGURA"/>
    <s v="Juan Diego "/>
    <s v="LUISA GARCIA"/>
    <s v="Cédula de Ciudadanía"/>
    <n v="1036929374"/>
    <s v="luisayepes02@gmail.com"/>
    <n v="3194892497"/>
    <x v="10"/>
    <n v="901166099"/>
    <d v="2025-05-16T00:00:00"/>
    <n v="0.60069444444444442"/>
    <n v="2"/>
    <n v="106.666"/>
    <s v="si "/>
    <s v="PLANEAR"/>
    <s v="1.0.6 Diagnóstico del Sistema de Gestión de Seguridad y Salud en el Trabajo (SG-SST) 0312 DE 2019"/>
    <n v="2"/>
    <s v="se se solicitam y se envia documentos de seg. social, y documentos del sistema de gestion, se explica mas a profundiad el programa tu empresa segura, por dudas del cliente"/>
    <d v="2025-05-30T00:00:00"/>
    <n v="17"/>
    <n v="7"/>
    <s v="ACTIVO"/>
  </r>
  <r>
    <d v="2025-06-23T00:00:00"/>
    <m/>
    <m/>
    <s v="VIERNES"/>
    <s v="TU EMPRESA SEGURA"/>
    <s v="Juan Diego "/>
    <s v="LUISA GARCIA"/>
    <s v="Cédula de Ciudadanía"/>
    <n v="1036929374"/>
    <s v="luisayepes02@gmail.com"/>
    <n v="3194892497"/>
    <x v="10"/>
    <n v="901166099"/>
    <d v="2025-05-23T00:00:00"/>
    <n v="0.60069444444444442"/>
    <n v="2"/>
    <n v="106.666"/>
    <s v="no "/>
    <s v="PLANEAR"/>
    <s v="0. No conexión"/>
    <n v="0"/>
    <s v="se contacta en lahora indicada y la persona enlace,  me indica que se leha dificultado ingresar,le nevio ellink de teamas y no recibo  respuesta"/>
    <d v="2025-05-30T00:00:00"/>
    <n v="24"/>
    <n v="7"/>
    <s v="ACTIVO"/>
  </r>
  <r>
    <d v="2025-05-23T00:00:00"/>
    <m/>
    <m/>
    <s v="VIERNES"/>
    <s v="TU EMPRESA SEGURA"/>
    <s v="Juan Diego "/>
    <s v="LUISA GARCIA"/>
    <s v="Cédula de Ciudadanía"/>
    <n v="1036929374"/>
    <s v="luisayepes02@gmail.com"/>
    <n v="3194892497"/>
    <x v="10"/>
    <n v="901166099"/>
    <d v="2025-05-23T00:00:00"/>
    <s v="1:15 p.m"/>
    <n v="2"/>
    <n v="106.666"/>
    <s v="no "/>
    <s v="PLANEAR"/>
    <s v="1.1.1. Responsable del Sistema de Gestión de Seguridad y Salud en el Trabajo SG-SST"/>
    <n v="0.5"/>
    <s v="Se contacta por via wassap y telefonica y no se recibe respuesta, se adelanta revision de asignaicon de responsabilidades"/>
    <d v="2025-05-30T00:00:00"/>
    <n v="7"/>
    <n v="7"/>
    <s v="ACTIVO"/>
  </r>
  <r>
    <d v="2025-03-25T00:00:00"/>
    <s v="MARZO"/>
    <n v="3"/>
    <s v="MARTES  "/>
    <s v="TU EMPRESA SEGURA"/>
    <s v="LUZ"/>
    <s v="LIANA OCAMPO"/>
    <s v="Cédula de Ciudadanía"/>
    <n v="1036778480"/>
    <s v="Locampo@picados.com.co"/>
    <n v="3127198417"/>
    <x v="11"/>
    <n v="900655932"/>
    <d v="2025-03-25T00:00:00"/>
    <s v="11:00 AM - 12:00  PM"/>
    <n v="3"/>
    <n v="106.666"/>
    <s v="si "/>
    <s v="PLANEAR"/>
    <s v="1.0.0 Bienvenida"/>
    <n v="1"/>
    <s v="el dia viernes 21 de marzo se llamo a la empresa para validar la llegada del correo electronico con el usuario y la contraseña a lo cual indicaron que si les llego y que no han tenido ningun inconveniente "/>
    <d v="2025-05-30T00:00:00"/>
    <n v="66"/>
    <n v="42"/>
    <s v="ACTIVO"/>
  </r>
  <r>
    <d v="2025-04-15T00:00:00"/>
    <m/>
    <m/>
    <s v="MARTES  "/>
    <s v="TU EMPRESA SEGURA"/>
    <s v="LUZ"/>
    <s v="LIANA OCAMPO"/>
    <s v="Cédula de Ciudadanía"/>
    <n v="1036778480"/>
    <s v="Locampo@picados.com.co"/>
    <n v="3127198417"/>
    <x v="11"/>
    <n v="900655932"/>
    <d v="2025-04-15T00:00:00"/>
    <n v="0.40972222222222221"/>
    <n v="3"/>
    <n v="106.666"/>
    <s v="si "/>
    <s v="PLANEAR"/>
    <s v="1.0.6 Diagnóstico del Sistema de Gestión de Seguridad y Salud en el Trabajo (SG-SST) 0312 DE 2019"/>
    <n v="2"/>
    <s v="Pendiente firma de representante legal en responsabilidades del sistema de gestion y en termino y condiciones,pendiente enviar correo con documentos de rut y camara y comercio se realizo el diagnostico inicial."/>
    <d v="2025-05-30T00:00:00"/>
    <n v="45"/>
    <n v="42"/>
    <s v="ACTIVO"/>
  </r>
  <r>
    <d v="2025-04-22T00:00:00"/>
    <m/>
    <m/>
    <s v="MARTES  "/>
    <s v="TU EMPRESA SEGURA"/>
    <s v="LUZ"/>
    <s v="LIANA OCAMPO"/>
    <s v="Cédula de Ciudadanía"/>
    <n v="1036778480"/>
    <s v="Locampo@picados.com.co"/>
    <n v="3127198417"/>
    <x v="11"/>
    <n v="900655932"/>
    <d v="2025-04-22T00:00:00"/>
    <n v="0.40972222222222221"/>
    <n v="3"/>
    <n v="106.666"/>
    <s v="si "/>
    <s v="PLANEAR"/>
    <s v="1.1.4 Afiliación al Sistema General de Riesgos Laborales"/>
    <n v="0.5"/>
    <s v="el dia viernes 22 de abril Doña Liliana ocampo refiere manejar la plataforma y queda pendiente por su parte enviar correo electronico con rut,camara y comercio,logo,ARL.EPS Y adjuntar en el numeral 1.1.4 los certificados mes a mes de afiliaciones ,refiere tambien ya haber firmado terminos y condiciones ."/>
    <d v="2025-05-30T00:00:00"/>
    <n v="38"/>
    <n v="42"/>
    <s v="ACTIVO"/>
  </r>
  <r>
    <d v="2025-04-29T00:00:00"/>
    <m/>
    <m/>
    <s v="MARTES  "/>
    <s v="TU EMPRESA SEGURA"/>
    <s v="LUZ"/>
    <s v="LIANA OCAMPO"/>
    <s v="Cédula de Ciudadanía"/>
    <n v="1036778480"/>
    <s v="Locampo@picados.com.co"/>
    <n v="3127198417"/>
    <x v="11"/>
    <n v="900655932"/>
    <d v="2025-04-29T00:00:00"/>
    <n v="0.40972222222222221"/>
    <n v="3"/>
    <n v="106.666"/>
    <s v="no "/>
    <s v="PLANEAR"/>
    <s v="0. No conexión"/>
    <n v="0"/>
    <s v="problemas con el interneth y conexion luz estrada ver correo del dia 30/4/2025 donde se informa el inconveniente con mi plataforma,no podia conectarme._x000a_"/>
    <d v="2025-05-30T00:00:00"/>
    <n v="31"/>
    <n v="42"/>
    <s v="ACTIVO"/>
  </r>
  <r>
    <d v="2025-05-06T00:00:00"/>
    <m/>
    <m/>
    <s v="MARTES  "/>
    <s v="TU EMPRESA SEGURA"/>
    <s v="LUZ"/>
    <s v="LIANA OCAMPO"/>
    <s v="Cédula de Ciudadanía"/>
    <n v="1036778480"/>
    <s v="Locampo@picados.com.co"/>
    <n v="3127198417"/>
    <x v="11"/>
    <n v="900655932"/>
    <d v="2025-05-06T00:00:00"/>
    <n v="0.40972222222222221"/>
    <n v="3"/>
    <n v="106.666"/>
    <s v="si "/>
    <s v="PLANEAR"/>
    <s v="1.1.1. Responsable del Sistema de Gestión de Seguridad y Salud en el Trabajo SG-SST"/>
    <n v="0.5"/>
    <s v="se realiza  diligenciamiento de documento de responsable,,se inicia con archivo documental y se deja tarea de diligenciamiento de perfilsociodemografico."/>
    <d v="2025-05-30T00:00:00"/>
    <n v="24"/>
    <n v="42"/>
    <s v="ACTIVO"/>
  </r>
  <r>
    <d v="2025-05-13T00:00:00"/>
    <m/>
    <m/>
    <s v="MARTES  "/>
    <s v="TU EMPRESA SEGURA"/>
    <s v="LUZ"/>
    <s v="LIANA OCAMPO"/>
    <s v="Cédula de Ciudadanía"/>
    <n v="1036778480"/>
    <s v="Locampo@picados.com.co"/>
    <n v="3127198417"/>
    <x v="11"/>
    <n v="900655932"/>
    <d v="2025-05-13T00:00:00"/>
    <n v="0.40972222222222221"/>
    <n v="3"/>
    <n v="106.666"/>
    <s v="si "/>
    <s v="HACER"/>
    <s v="3.1.1 Descripcion sociodemografica.Diagnostico de Condiciones de Salud"/>
    <n v="1"/>
    <s v="se continua diligenciando el archivo documental,pendiente perfilsociodemografico,no se adelanta mucho porque no era claro el tema de evidencias de perfil y de archivo documental.solicita correo de la grabacion de la conexion."/>
    <d v="2025-05-30T00:00:00"/>
    <n v="17"/>
    <n v="42"/>
    <s v="ACTIVO"/>
  </r>
  <r>
    <d v="2025-05-20T00:00:00"/>
    <m/>
    <m/>
    <s v="MARTES  "/>
    <s v="TU EMPRESA SEGURA"/>
    <s v="LUZ"/>
    <s v="LIANA OCAMPO"/>
    <s v="Cédula de Ciudadanía"/>
    <n v="1036778480"/>
    <s v="Locampo@picados.com.co"/>
    <n v="3127198417"/>
    <x v="11"/>
    <n v="900655932"/>
    <d v="2025-05-20T00:00:00"/>
    <n v="0.40972222222222221"/>
    <n v="3"/>
    <n v="106.666"/>
    <s v="si "/>
    <s v="PLANEAR"/>
    <s v="2.5.1 Archivo o retención documental del Sistema de Gestión en Seguridad y Salud en el Trabajo SG-SST"/>
    <n v="2"/>
    <s v="Solicita que se le revise todo el numeral 2.5.1 cree que repitio datos,solicita paso a paso de subir firmas y enviar correo del numeral 1.1.4 para subir evidencias."/>
    <d v="2025-05-30T00:00:00"/>
    <n v="10"/>
    <n v="42"/>
    <s v="ACTIVO"/>
  </r>
  <r>
    <m/>
    <m/>
    <m/>
    <s v="MARTES  "/>
    <s v="TU EMPRESA SEGURA"/>
    <s v="LUZ"/>
    <s v="LIANA OCAMPO"/>
    <s v="Cédula de Ciudadanía"/>
    <n v="1036778480"/>
    <s v="Locampo@picados.com.co"/>
    <n v="3127198417"/>
    <x v="11"/>
    <n v="900655932"/>
    <d v="2025-04-30T00:00:00"/>
    <m/>
    <n v="3"/>
    <n v="106.666"/>
    <s v="si "/>
    <s v="PLANEAR"/>
    <s v="0. No conexión Savanna"/>
    <n v="0"/>
    <s v="Solicita que se le revise todo el numeral 2.5.1 cree que repitio datos,solicita paso a paso de subir firmas y enviar correo del numeral 1.1.4 para subir evidencias."/>
    <d v="2025-05-30T00:00:00"/>
    <n v="45807"/>
    <n v="42"/>
    <s v="ACTIVO"/>
  </r>
  <r>
    <d v="2025-05-27T00:00:00"/>
    <m/>
    <m/>
    <s v="MARTES  "/>
    <s v="TU EMPRESA SEGURA"/>
    <s v="LUZ"/>
    <s v="LIANA OCAMPO"/>
    <s v="Cédula de Ciudadanía"/>
    <n v="1036778480"/>
    <s v="Locampo@picados.com.co"/>
    <n v="3127198417"/>
    <x v="11"/>
    <n v="900655932"/>
    <d v="2025-05-27T00:00:00"/>
    <n v="0.40972222222222221"/>
    <n v="3"/>
    <n v="106.666"/>
    <s v="si "/>
    <s v="PLANEAR"/>
    <s v="1.0.6 Diagnóstico del Sistema de Gestión de Seguridad y Salud en el Trabajo (SG-SST) 0312 DE 2019"/>
    <n v="2"/>
    <s v="Se realiza evalucion inicial  y se revisa numeral 1.1.4 (Aceptable)"/>
    <d v="2025-05-30T00:00:00"/>
    <n v="3"/>
    <n v="42"/>
    <s v="ACTIVO"/>
  </r>
  <r>
    <m/>
    <m/>
    <m/>
    <m/>
    <m/>
    <s v="LUZ"/>
    <s v="Jorge Eliecer Gómez Garcia  "/>
    <s v="Cédula de Ciudadanía"/>
    <n v="1128403927"/>
    <s v="gerenciacakareos@gmail.com "/>
    <n v="3148312199"/>
    <x v="12"/>
    <n v="1128403927"/>
    <d v="2025-06-03T00:00:00"/>
    <n v="0.62847222222222221"/>
    <n v="1"/>
    <n v="106.666"/>
    <s v="si"/>
    <s v="PLANEAR"/>
    <s v="0. No conexión"/>
    <n v="0"/>
    <s v="Esta en duda si continua con tu empresa segura comfama o sigue con las niñas que le llevan el sistema en el momento."/>
    <d v="2025-05-30T00:00:00"/>
    <n v="45807"/>
    <e v="#N/A"/>
    <s v="ACTIVO"/>
  </r>
  <r>
    <d v="2025-05-27T00:00:00"/>
    <m/>
    <m/>
    <s v="MARTES"/>
    <s v="TU EMPRESA SEGURA"/>
    <s v="LUZ"/>
    <s v="Jorge Eliecer Gómez Garcia  "/>
    <s v="Cédula de Ciudadanía"/>
    <n v="1128403927"/>
    <s v="gerenciacakareos@gmail.com "/>
    <n v="3017402779"/>
    <x v="12"/>
    <n v="1128403927"/>
    <d v="2025-05-27T00:00:00"/>
    <n v="0.62847222222222221"/>
    <n v="1"/>
    <n v="106.666"/>
    <s v="NO"/>
    <s v="PLANEAR"/>
    <s v="0. No conexión"/>
    <n v="0"/>
    <s v="Refiere que espero todo el dia la conexion ,pero hay evidencias que no contesto el celular en llamada ,ni mensaje de whatsapp.en la grabacion de la misma fecha d econexion."/>
    <d v="2025-05-30T00:00:00"/>
    <n v="3"/>
    <e v="#N/A"/>
    <s v="ACTIVO"/>
  </r>
  <r>
    <d v="2025-03-25T00:00:00"/>
    <s v="MARZO"/>
    <n v="3"/>
    <s v="MARTES  "/>
    <s v="TU EMPRESA SEGURA"/>
    <s v="Juan Diego "/>
    <s v="LADY NATALIA RODRÍGUEZ OSPINA "/>
    <s v="Cédula de Ciudadanía"/>
    <n v="1036937209"/>
    <s v="Natalia.rodriguez7209@gmail.com"/>
    <n v="3128650034"/>
    <x v="13"/>
    <n v="15448886"/>
    <d v="2025-03-25T00:00:00"/>
    <s v="1:00p.m."/>
    <n v="1"/>
    <n v="106.666"/>
    <s v="si "/>
    <s v="PLANEAR"/>
    <s v="1.0.0 Bienvenida"/>
    <n v="1"/>
    <s v="el dia viernes 21 de marzo se llamo a la empresa para validar la llegada del correo electronico con el usuario y la contraseña a lo cual indicaron que si les llego y que no han tenido ningun inconveniente._x000a_Primer conexión explicación del proyecto"/>
    <d v="2025-05-30T00:00:00"/>
    <n v="66"/>
    <n v="11"/>
    <s v="ACTIVO"/>
  </r>
  <r>
    <d v="2025-04-05T00:00:00"/>
    <m/>
    <m/>
    <s v="SABADO"/>
    <s v="TU EMPRESA SEGURA"/>
    <s v="Juan Diego "/>
    <s v="LADY NATALIA RODRÍGUEZ OSPINA "/>
    <s v="Cédula de Ciudadanía"/>
    <n v="1036937209"/>
    <s v="Natalia.rodriguez7209@gmail.com"/>
    <n v="3128650034"/>
    <x v="13"/>
    <n v="15448886"/>
    <d v="2025-04-05T00:00:00"/>
    <s v="1:00p.m."/>
    <n v="1"/>
    <n v="106.666"/>
    <s v="si "/>
    <s v="PLANEAR"/>
    <s v="1.0.1 Firma de Términos y Condiciones"/>
    <n v="1"/>
    <s v="Segunda conexión validación de usuario y contraseña, firma de de Términos y Condiciones"/>
    <d v="2025-05-30T00:00:00"/>
    <n v="55"/>
    <n v="11"/>
    <s v="ACTIVO"/>
  </r>
  <r>
    <d v="2025-04-12T00:00:00"/>
    <m/>
    <m/>
    <s v="SABADO"/>
    <s v="TU EMPRESA SEGURA"/>
    <s v="Juan Diego "/>
    <s v="LADY NATALIA RODRÍGUEZ OSPINA "/>
    <s v="Cédula de Ciudadanía"/>
    <n v="1036937209"/>
    <s v="Natalia.rodriguez7209@gmail.com"/>
    <n v="3128650034"/>
    <x v="13"/>
    <n v="15448886"/>
    <d v="2025-04-12T00:00:00"/>
    <s v="8:05AM"/>
    <n v="1"/>
    <n v="106.666"/>
    <s v="si "/>
    <s v="PLANEAR"/>
    <s v="1.0.5 Diagnóstico de Madurez"/>
    <n v="3"/>
    <s v="Se realiza diagnóstico de madurez, con resultado aprobado y se adelanta términos y condiciones y se inicia perfil sociodemográfico, y se envía estándar de seguridad de cuchillo para la cocina."/>
    <d v="2025-05-30T00:00:00"/>
    <n v="48"/>
    <n v="11"/>
    <s v="ACTIVO"/>
  </r>
  <r>
    <d v="2025-04-19T00:00:00"/>
    <m/>
    <m/>
    <s v="SABADO"/>
    <s v="TU EMPRESA SEGURA"/>
    <s v="Juan Diego "/>
    <s v="LADY NATALIA RODRÍGUEZ OSPINA "/>
    <s v="Cédula de Ciudadanía"/>
    <n v="1036937209"/>
    <s v="Natalia.rodriguez7209@gmail.com"/>
    <n v="3128650034"/>
    <x v="13"/>
    <n v="15448886"/>
    <d v="2025-04-19T00:00:00"/>
    <s v="8:05AM"/>
    <n v="1"/>
    <n v="106.666"/>
    <s v="si "/>
    <s v="PLANEAR"/>
    <s v="1.0.6 Diagnóstico del Sistema de Gestión de Seguridad y Salud en el Trabajo (SG-SST) 0312 DE 2019"/>
    <n v="2"/>
    <s v="se inicia a las8:am, se consulta sobre novedades de ausentismos por vacaciones y no se reportan, se consulta sobre novedades de acceso a plataforma y no se reportan novedades negativas, se inicia con la carga de examenes médicos en el modulo de salud laboral y de apgo de seguridad social en pago al sgrl, se continua con la evaluacion inicial para ir generando el puntaje segun los requerimientos de la Res. 0312 del 2019, terminamos a las 9am"/>
    <d v="2025-05-30T00:00:00"/>
    <n v="41"/>
    <n v="11"/>
    <s v="ACTIVO"/>
  </r>
  <r>
    <d v="2025-05-10T00:00:00"/>
    <m/>
    <m/>
    <s v="SABADO"/>
    <s v="TU EMPRESA SEGURA"/>
    <s v="Juan Diego "/>
    <s v="LADY NATALIA RODRÍGUEZ OSPINA "/>
    <s v="Cédula de Ciudadanía"/>
    <n v="1036937209"/>
    <s v="Natalia.rodriguez7209@gmail.com"/>
    <n v="3128650034"/>
    <x v="13"/>
    <n v="15448886"/>
    <d v="2025-05-10T00:00:00"/>
    <s v="8:05AM"/>
    <n v="1"/>
    <n v="106.666"/>
    <s v="si "/>
    <s v="PLANEAR"/>
    <s v="1.1.3 Asignación de recursos para el Sistema de Gestión en Seguridad y Salud en el Trabajo – SG-SST"/>
    <n v="0.5"/>
    <s v="S e ingresa incapacidad a regi. de ausentismos en plataforma, tambien,se diligenca el  indicador de enfermedd general; se avanza en la matriz de asignacion de recursos; y se envia el MEDEVAC"/>
    <d v="2025-05-30T00:00:00"/>
    <n v="20"/>
    <n v="11"/>
    <s v="ACTIVO"/>
  </r>
  <r>
    <d v="2025-05-17T00:00:00"/>
    <m/>
    <m/>
    <s v="SABADO"/>
    <s v="TU EMPRESA SEGURA"/>
    <s v="Juan Diego "/>
    <s v="LADY NATALIA RODRÍGUEZ OSPINA "/>
    <s v="Cédula de Ciudadanía"/>
    <n v="1036937209"/>
    <s v="Natalia.rodriguez7209@gmail.com"/>
    <n v="3128650034"/>
    <x v="13"/>
    <n v="15448886"/>
    <d v="2025-05-17T00:00:00"/>
    <s v="8:05AM"/>
    <n v="1"/>
    <n v="106.666"/>
    <s v="si "/>
    <s v="PLANEAR"/>
    <s v="1.1.6 Conformación COPASST"/>
    <n v="0.5"/>
    <s v="se avanza en la conformacion del copasst"/>
    <d v="2025-05-30T00:00:00"/>
    <n v="13"/>
    <n v="11"/>
    <s v="ACTIVO"/>
  </r>
  <r>
    <d v="2025-04-30T00:00:00"/>
    <m/>
    <m/>
    <s v="SABADO"/>
    <s v="TU EMPRESA SEGURA"/>
    <s v="Juan Diego "/>
    <s v="LADY NATALIA RODRÍGUEZ OSPINA "/>
    <s v="Cédula de Ciudadanía"/>
    <n v="1036937209"/>
    <s v="Natalia.rodriguez7209@gmail.com"/>
    <n v="3128650034"/>
    <x v="13"/>
    <n v="15448886"/>
    <d v="2025-04-30T00:00:00"/>
    <m/>
    <n v="1"/>
    <n v="106.666"/>
    <s v="si "/>
    <s v="PLANEAR"/>
    <s v="1.0.9 Savanna Ruta de Bienestar "/>
    <n v="4"/>
    <s v="se avanza en la conformacion del copasst"/>
    <d v="2025-05-30T00:00:00"/>
    <n v="30"/>
    <n v="11"/>
    <s v="ACTIVO"/>
  </r>
  <r>
    <d v="2025-05-31T00:00:00"/>
    <m/>
    <m/>
    <s v="SABADO"/>
    <s v="TU EMPRESA SEGURA"/>
    <s v="Juan Diego "/>
    <s v="LADY NATALIA RODRÍGUEZ OSPINA "/>
    <s v="Cédula de Ciudadanía"/>
    <n v="1036937209"/>
    <s v="Natalia.rodriguez7209@gmail.com"/>
    <n v="3128650034"/>
    <x v="13"/>
    <n v="15448886"/>
    <d v="2025-05-31T00:00:00"/>
    <s v="8:05AM"/>
    <n v="1"/>
    <n v="106.666"/>
    <s v="si "/>
    <s v="PLANEAR"/>
    <s v="1.0.8 Acompañamiento AT/EL"/>
    <n v="3"/>
    <s v="se programan las dos asesorias para el 7 de junio, se reporta accidente laboral en ausencia de la  administradora y se hace seguimiento a la  trabajadora"/>
    <d v="2025-05-30T00:00:00"/>
    <n v="1"/>
    <n v="11"/>
    <s v="ACTIVO"/>
  </r>
  <r>
    <d v="2025-03-28T00:00:00"/>
    <s v="MARZO"/>
    <n v="3"/>
    <s v="VIERNES "/>
    <s v="TU EMPRESA SEGURA"/>
    <s v="Cristhian"/>
    <s v="Dora Luz Arbelaez"/>
    <s v="Cédula de Ciudadanía"/>
    <n v="39382394"/>
    <s v="doraluzarbelaez@gmail.com"/>
    <n v="3113247283"/>
    <x v="14"/>
    <n v="900167311"/>
    <d v="2026-04-21T00:00:00"/>
    <s v="1:40PM"/>
    <n v="3"/>
    <n v="106.666"/>
    <s v="si "/>
    <s v="PLANEAR"/>
    <s v="1.0.0 Bienvenida"/>
    <n v="1"/>
    <s v="Bienvenida al programa, se le explica detalladamente en que consiste y la duración estimada, se Indica cómo firmar los términos y condiciones, se agenda la reunión periódica, semanal, los viernes de 1:30 a 2:15Pm"/>
    <d v="2025-05-30T00:00:00"/>
    <n v="63"/>
    <n v="11"/>
    <s v="ACTIVO"/>
  </r>
  <r>
    <d v="2025-04-04T00:00:00"/>
    <m/>
    <m/>
    <s v="VIERNES "/>
    <s v="TU EMPRESA SEGURA"/>
    <s v="Cristhian"/>
    <s v="Dora Luz Arbelaez"/>
    <s v="Cédula de Ciudadanía"/>
    <n v="39382394"/>
    <s v="doraluzarbelaez@gmail.com"/>
    <n v="3113247283"/>
    <x v="14"/>
    <n v="900167311"/>
    <d v="2026-04-28T00:00:00"/>
    <s v="1:40PM"/>
    <n v="3"/>
    <n v="106.666"/>
    <s v="si "/>
    <s v="PLANEAR"/>
    <s v="1.0.5 Diagnóstico de Madurez"/>
    <n v="3"/>
    <s v="se le da la bienvenida a la señora Alejandra quien es la responsable del SG.SST de la empresa, y se inicia con el diagnostico de madurez"/>
    <d v="2025-05-30T00:00:00"/>
    <n v="56"/>
    <n v="11"/>
    <s v="ACTIVO"/>
  </r>
  <r>
    <d v="2025-04-11T00:00:00"/>
    <m/>
    <m/>
    <s v="VIERNES "/>
    <s v="TU EMPRESA SEGURA"/>
    <s v="Cristhian"/>
    <s v="Dora Luz Arbelaez"/>
    <s v="Cédula de Ciudadanía"/>
    <n v="39382394"/>
    <s v="doraluzarbelaez@gmail.com"/>
    <n v="3113247283"/>
    <x v="14"/>
    <n v="900167311"/>
    <d v="2025-04-11T00:00:00"/>
    <s v="1:40PM"/>
    <n v="3"/>
    <n v="106.666"/>
    <s v="si "/>
    <s v="PLANEAR"/>
    <s v="1.0.5 Diagnóstico de Madurez"/>
    <n v="3"/>
    <s v="Se realiza el ultimo cuestionario del diagnotico de madurez con la señora Alejandra y se le asigna la tarea de registrar los trabajadores con el perfil sociodemografico"/>
    <d v="2025-05-30T00:00:00"/>
    <n v="49"/>
    <n v="11"/>
    <s v="ACTIVO"/>
  </r>
  <r>
    <d v="2025-04-18T00:00:00"/>
    <m/>
    <m/>
    <s v="VIERNES "/>
    <s v="TU EMPRESA SEGURA"/>
    <s v="Juan Diego "/>
    <s v="Dora Luz Arbelaez"/>
    <s v="Cédula de Ciudadanía"/>
    <n v="39382394"/>
    <s v="doraluzarbelaez@gmail.com"/>
    <n v="3113247283"/>
    <x v="14"/>
    <n v="900167311"/>
    <d v="2025-04-18T00:00:00"/>
    <s v="1:40PM"/>
    <n v="3"/>
    <n v="106.666"/>
    <s v="no "/>
    <s v="PLANEAR"/>
    <s v="0.1 Trabajo autónomo analista en plataforma"/>
    <n v="0.5"/>
    <s v="se adelanta codificacion de documentos"/>
    <d v="2025-05-30T00:00:00"/>
    <n v="42"/>
    <n v="11"/>
    <s v="ACTIVO"/>
  </r>
  <r>
    <d v="2025-04-25T00:00:00"/>
    <m/>
    <m/>
    <s v="VIERNES "/>
    <s v="TU EMPRESA SEGURA"/>
    <s v="Juan Diego "/>
    <s v="Dora Luz Arbelaez"/>
    <s v="Cédula de Ciudadanía"/>
    <n v="39382394"/>
    <s v="doraluzarbelaez@gmail.com"/>
    <n v="3113247283"/>
    <x v="14"/>
    <n v="900167311"/>
    <d v="2025-04-25T00:00:00"/>
    <s v="1:40PM"/>
    <n v="3"/>
    <n v="106.666"/>
    <s v="si "/>
    <s v="PLANEAR"/>
    <s v="1.0.6 Diagnóstico del Sistema de Gestión de Seguridad y Salud en el Trabajo (SG-SST) 0312 DE 2019"/>
    <n v="2"/>
    <s v="Se solicitann documentos legales, informe de estandares ante el ministerio y ARL, se adjunta la firma y se hace registro de empleados  en plataforma"/>
    <d v="2025-05-30T00:00:00"/>
    <n v="35"/>
    <n v="11"/>
    <s v="ACTIVO"/>
  </r>
  <r>
    <d v="2025-05-02T00:00:00"/>
    <m/>
    <m/>
    <s v="VIERNES "/>
    <s v="TU EMPRESA SEGURA"/>
    <s v="Juan Diego "/>
    <s v="Dora Luz Arbelaez"/>
    <s v="Cédula de Ciudadanía"/>
    <n v="39382394"/>
    <s v="doraluzarbelaez@gmail.com"/>
    <n v="3113247283"/>
    <x v="14"/>
    <n v="900167311"/>
    <d v="2025-05-02T00:00:00"/>
    <s v="1:40PM"/>
    <n v="3"/>
    <n v="106.666"/>
    <s v="si "/>
    <s v="PLANEAR"/>
    <s v="2.5.1 Archivo o retención documental del Sistema de Gestión en Seguridad y Salud en el Trabajo SG-SST"/>
    <n v="2"/>
    <s v="se revisa tareas adelantadas la sesion anterior, y no se han ejecutado por aprte del responsable enlace sst, se explica como vamos a codificar la documentacion y la importancia de registrar los empleados y enviar la documentacion legal de la empresa lo antes posible"/>
    <d v="2025-05-30T00:00:00"/>
    <n v="28"/>
    <n v="11"/>
    <s v="ACTIVO"/>
  </r>
  <r>
    <d v="2025-05-09T00:00:00"/>
    <m/>
    <m/>
    <s v="VIERNES "/>
    <s v="TU EMPRESA SEGURA"/>
    <s v="Juan Diego "/>
    <s v="Dora Luz Arbelaez"/>
    <s v="Cédula de Ciudadanía"/>
    <n v="39382394"/>
    <s v="doraluzarbelaez@gmail.com"/>
    <n v="3113247283"/>
    <x v="14"/>
    <n v="900167311"/>
    <d v="2025-05-09T00:00:00"/>
    <s v="1:40PM"/>
    <n v="3"/>
    <n v="106.666"/>
    <s v="si "/>
    <s v="PLANEAR"/>
    <s v="2.5.1 Archivo o retención documental del Sistema de Gestión en Seguridad y Salud en el Trabajo SG-SST"/>
    <n v="2"/>
    <s v="se consulta como ha diso el acceso a plataforma, se adelanta codificacion del ciclo del planear, se sube perfil sociodemográfico y quedamos pendientes en la planilla de seg. actualizada de abril"/>
    <d v="2025-05-30T00:00:00"/>
    <n v="21"/>
    <n v="11"/>
    <s v="ACTIVO"/>
  </r>
  <r>
    <d v="2025-05-16T00:00:00"/>
    <m/>
    <m/>
    <s v="VIERNES "/>
    <s v="TU EMPRESA SEGURA"/>
    <s v="Juan Diego "/>
    <s v="Dora Luz Arbelaez"/>
    <s v="Cédula de Ciudadanía"/>
    <n v="39382394"/>
    <s v="doraluzarbelaez@gmail.com"/>
    <n v="3113247283"/>
    <x v="14"/>
    <n v="900167311"/>
    <d v="2025-05-16T00:00:00"/>
    <s v="1:40PM"/>
    <n v="3"/>
    <n v="106.666"/>
    <s v="si "/>
    <s v="PLANEAR"/>
    <s v="1.0.4 Acompañamiiento/Asesoría sobre SGSST"/>
    <n v="2"/>
    <s v="se realiza registro de personal en plataforma,quedamos pendientes en envio de dcumentacion y seg. social"/>
    <d v="2025-05-30T00:00:00"/>
    <n v="14"/>
    <n v="11"/>
    <s v="ACTIVO"/>
  </r>
  <r>
    <d v="2025-05-23T00:00:00"/>
    <m/>
    <m/>
    <s v="VIERNES "/>
    <s v="TU EMPRESA SEGURA"/>
    <s v="Juan Diego "/>
    <s v="Dora Luz Arbelaez"/>
    <s v="Cédula de Ciudadanía"/>
    <n v="39382394"/>
    <s v="doraluzarbelaez@gmail.com"/>
    <n v="3113247283"/>
    <x v="14"/>
    <n v="900167311"/>
    <d v="2025-05-23T00:00:00"/>
    <s v="1:40PM"/>
    <n v="3"/>
    <n v="106.666"/>
    <s v="si "/>
    <s v="PLANEAR"/>
    <s v="1.0.6 Diagnóstico del Sistema de Gestión de Seguridad y Salud en el Trabajo (SG-SST) 0312 DE 2019"/>
    <n v="2"/>
    <s v="se realiza registro de personal en plataforma, se recibe documento legales de la empresa y se hacen asignación delresponsable y asignación  de responsabilidades en la evaluacion inicial"/>
    <d v="2025-05-30T00:00:00"/>
    <n v="7"/>
    <n v="11"/>
    <s v="ACTIVO"/>
  </r>
  <r>
    <d v="2025-06-06T00:00:00"/>
    <m/>
    <m/>
    <s v="VIERNES "/>
    <s v="TU EMPRESA SEGURA"/>
    <s v="Juan Diego "/>
    <s v="Dora Luz Arbelaez"/>
    <s v="Cédula de Ciudadanía"/>
    <n v="39382394"/>
    <s v="doraluzarbelaez@gmail.com"/>
    <n v="3113247283"/>
    <x v="14"/>
    <n v="900167311"/>
    <d v="2025-06-06T00:00:00"/>
    <s v="1:40PM"/>
    <n v="3"/>
    <n v="106.666"/>
    <s v="si "/>
    <s v="PLANEAR"/>
    <s v="1.1.3 Asignación de recursos para el Sistema de Gestión en Seguridad y Salud en el Trabajo – SG-SST"/>
    <n v="0.5"/>
    <s v="se realiza Alimentacion de indicadores de mayo, registro de ausentismo de una persona incapacitadase se realiza asignacion de recursos"/>
    <d v="2025-05-30T00:00:00"/>
    <n v="7"/>
    <n v="11"/>
    <s v="ACTIVO"/>
  </r>
  <r>
    <d v="2025-03-21T00:00:00"/>
    <s v="MARZO"/>
    <n v="3"/>
    <s v="VIERNES "/>
    <s v="TU EMPRESA SEGURA"/>
    <s v="Cristhian"/>
    <s v="JUAN FELIPE LÓPEZ OROZCO"/>
    <s v="Cédula de Ciudadanía"/>
    <n v="15356506"/>
    <s v="felipelopezorozco2020@gmail.com ,lopetransvolq@gmail.com"/>
    <n v="3136468404"/>
    <x v="15"/>
    <n v="901636833"/>
    <d v="2025-03-21T00:00:00"/>
    <s v="7:00AM"/>
    <n v="1"/>
    <n v="106.666"/>
    <s v="si "/>
    <s v="PLANEAR"/>
    <s v="1.0.0 Bienvenida"/>
    <n v="1"/>
    <s v="Bienvenida al programa, se le explica detalladamente en que consiste y la duración estimada, se Indica cómo firmar los términos y condiciones, se agenda la reunión periódica, semanal, los Lunes de 7:15 a 8:00am"/>
    <d v="2025-05-30T00:00:00"/>
    <n v="70"/>
    <n v="5"/>
    <s v="ACTIVO"/>
  </r>
  <r>
    <d v="2025-03-31T00:00:00"/>
    <m/>
    <m/>
    <s v="LUNES"/>
    <s v="TU EMPRESA SEGURA"/>
    <s v="Cristhian"/>
    <s v="JUAN FELIPE LÓPEZ OROZCO"/>
    <s v="Cédula de Ciudadanía"/>
    <n v="15356506"/>
    <s v="felipelopezorozco2020@gmail.com ,lopetransvolq@gmail.com"/>
    <n v="3136468404"/>
    <x v="15"/>
    <n v="901636833"/>
    <d v="2025-03-31T00:00:00"/>
    <s v="7:00AM"/>
    <n v="1"/>
    <n v="106.666"/>
    <s v="si "/>
    <s v="PLANEAR"/>
    <s v="1.0.1 Firma de Términos y Condiciones"/>
    <n v="1"/>
    <s v="Se reviso la firma de aceptación de términos y condiciones y se realizo el diagnostico de madurez"/>
    <d v="2025-05-30T00:00:00"/>
    <n v="60"/>
    <n v="5"/>
    <s v="ACTIVO"/>
  </r>
  <r>
    <d v="2025-04-07T00:00:00"/>
    <m/>
    <m/>
    <s v="LUNES"/>
    <s v="TU EMPRESA SEGURA"/>
    <s v="Cristhian"/>
    <s v="JUAN FELIPE LÓPEZ OROZCO"/>
    <s v="Cédula de Ciudadanía"/>
    <n v="15356506"/>
    <s v="felipelopezorozco2020@gmail.com ,lopetransvolq@gmail.com"/>
    <n v="3136468404"/>
    <x v="15"/>
    <n v="901636833"/>
    <d v="2025-04-07T00:00:00"/>
    <s v="7:00AM"/>
    <n v="1"/>
    <n v="106.666"/>
    <s v="si "/>
    <s v="PLANEAR"/>
    <s v="1.0.6 Diagnóstico del Sistema de Gestión de Seguridad y Salud en el Trabajo (SG-SST) 0312 DE 2019"/>
    <n v="2"/>
    <s v="Se inició la evaluación inicial del SG-SST"/>
    <d v="2025-05-30T00:00:00"/>
    <n v="53"/>
    <n v="5"/>
    <s v="ACTIVO"/>
  </r>
  <r>
    <d v="2025-04-14T00:00:00"/>
    <m/>
    <m/>
    <s v="LUNES"/>
    <s v="TU EMPRESA SEGURA"/>
    <s v="Cristhian"/>
    <s v="JUAN FELIPE LÓPEZ OROZCO"/>
    <s v="Cédula de Ciudadanía"/>
    <n v="15356506"/>
    <s v="felipelopezorozco2020@gmail.com ,lopetransvolq@gmail.com"/>
    <n v="3136468404"/>
    <x v="15"/>
    <n v="901636833"/>
    <d v="2025-04-14T00:00:00"/>
    <s v="7:00AM"/>
    <n v="1"/>
    <n v="106.666"/>
    <s v="si "/>
    <s v="PLANEAR"/>
    <s v="1.0.6 Diagnóstico del Sistema de Gestión de Seguridad y Salud en el Trabajo (SG-SST) 0312 DE 2019"/>
    <n v="2"/>
    <s v="Se finaliza la evaluación inicial del SG-SST"/>
    <d v="2025-05-30T00:00:00"/>
    <n v="46"/>
    <n v="5"/>
    <s v="ACTIVO"/>
  </r>
  <r>
    <d v="2025-04-22T00:00:00"/>
    <m/>
    <m/>
    <s v="MARTES"/>
    <s v="TU EMPRESA SEGURA"/>
    <s v="LUZ"/>
    <s v="JUAN FELIPE LÓPEZ OROZCO"/>
    <s v="Cédula de Ciudadanía"/>
    <n v="15356506"/>
    <s v="felipelopezorozco2020@gmail.com ,lopetransvolq@gmail.com"/>
    <n v="3136468404"/>
    <x v="15"/>
    <n v="901636833"/>
    <d v="2025-04-22T00:00:00"/>
    <s v="7:00AM"/>
    <n v="1"/>
    <n v="106.666"/>
    <s v="si "/>
    <s v="PLANEAR"/>
    <s v="1.0.3 Navegando en  la plataforma y beneficios del programa"/>
    <n v="1"/>
    <s v="El dia 22 de abril se realiza reunion virtual a las 7:15 am,con la señora Ana Maria,manifiesta:  1.Entender la plataforma            2.Haber firmado el documento de terminos y condiciones                3.Pendiente el analista anterior enviarle la calificacion del sistema de gestion.               TAREAS POR PARTE DE LA EMPRESA SEGURA COMFAMA:Realizar el archivo documenttal del cliente y proseguir a diligenciar el documento de responsable del SG-SST.                                    TAREAS POR PARTE DE LOPETRANS :Anexar al item de planear numeral 1.1.4 los reportes de afiliaciones y en el item de hacer numeral 3.1.1 y me dirije al numeral 3.1.1.2 del perfilsociodemografico.Abril 29 la señora ana maria ingresa al programa afiliaciones y nos comparte documentos de la empresa,REAMILAZARA PARA EL PROXIMO ENCUENTRO archivo documental."/>
    <d v="2025-05-30T00:00:00"/>
    <n v="38"/>
    <n v="5"/>
    <s v="ACTIVO"/>
  </r>
  <r>
    <d v="2025-05-17T00:00:00"/>
    <m/>
    <m/>
    <s v="MARTES"/>
    <s v="TU EMPRESA SEGURA"/>
    <s v="LUZ"/>
    <s v="JUAN FELIPE LÓPEZ OROZCO"/>
    <s v="Cédula de Ciudadanía"/>
    <n v="15356506"/>
    <s v="felipelopezorozco2020@gmail.com ,lopetransvolq@gmail.com"/>
    <n v="3136468404"/>
    <x v="15"/>
    <n v="901636833"/>
    <d v="2025-05-17T00:00:00"/>
    <m/>
    <n v="1"/>
    <n v="106.666"/>
    <s v="si "/>
    <s v="PLANEAR"/>
    <s v="1.0.8 Savanna Campañas de Sencibilización"/>
    <n v="4"/>
    <s v="Se diligencia documento de  responsable del sistema de gestion y se le explica como comenzar con el numeral 2.5.4 archivo documental."/>
    <d v="2025-05-30T00:00:00"/>
    <n v="13"/>
    <n v="5"/>
    <s v="ACTIVO"/>
  </r>
  <r>
    <d v="2025-04-29T00:00:00"/>
    <m/>
    <m/>
    <s v="MARTES"/>
    <s v="TU EMPRESA SEGURA"/>
    <s v="LUZ"/>
    <s v="JUAN FELIPE LÓPEZ OROZCO"/>
    <s v="Cédula de Ciudadanía"/>
    <n v="15356506"/>
    <s v="felipelopezorozco2020@gmail.com ,lopetransvolq@gmail.com"/>
    <n v="3136468404"/>
    <x v="15"/>
    <n v="901636833"/>
    <d v="2025-04-26T00:00:00"/>
    <m/>
    <n v="1"/>
    <n v="106.666"/>
    <s v="si "/>
    <s v="PLANEAR"/>
    <s v="1.0.9 Savanna Ruta de Bienestar "/>
    <n v="4"/>
    <s v="Se diligencia documento de  responsable del sistema de gestion y se le explica como comenzar con el numeral 2.5.4 archivo documental."/>
    <d v="2025-05-30T00:00:00"/>
    <n v="31"/>
    <n v="5"/>
    <s v="ACTIVO"/>
  </r>
  <r>
    <d v="2025-04-29T00:00:00"/>
    <m/>
    <m/>
    <s v="MARTES"/>
    <s v="TU EMPRESA SEGURA"/>
    <s v="LUZ"/>
    <s v="JUAN FELIPE LÓPEZ OROZCO"/>
    <s v="Cédula de Ciudadanía"/>
    <n v="15356506"/>
    <s v="felipelopezorozco2020@gmail.com ,lopetransvolq@gmail.com"/>
    <n v="3136468404"/>
    <x v="15"/>
    <n v="901636833"/>
    <d v="2025-04-29T00:00:00"/>
    <s v="7:00AM"/>
    <n v="1"/>
    <n v="106.666"/>
    <s v="si "/>
    <s v="PLANEAR"/>
    <s v="1.1.1. Responsable del Sistema de Gestión de Seguridad y Salud en el Trabajo SG-SST"/>
    <n v="0.5"/>
    <s v="Se diligencia documento de  responsable del sistema de gestion y se le explica como comenzar con el numeral 2.5.4 archivo documental."/>
    <d v="2025-05-30T00:00:00"/>
    <n v="31"/>
    <n v="5"/>
    <s v="ACTIVO"/>
  </r>
  <r>
    <d v="2025-05-06T00:00:00"/>
    <m/>
    <m/>
    <s v="MARTES"/>
    <s v="TU EMPRESA SEGURA"/>
    <s v="LUZ"/>
    <s v="JUAN FELIPE LÓPEZ OROZCO"/>
    <s v="Cédula de Ciudadanía"/>
    <n v="15356506"/>
    <s v="felipelopezorozco2020@gmail.com ,lopetransvolq@gmail.com"/>
    <n v="3136468404"/>
    <x v="15"/>
    <n v="901636833"/>
    <d v="2025-05-06T00:00:00"/>
    <s v="7:00AM"/>
    <n v="1"/>
    <n v="106.666"/>
    <s v="si "/>
    <s v="PLANEAR"/>
    <s v="2.5.1 Archivo o retención documental del Sistema de Gestión en Seguridad y Salud en el Trabajo SG-SST"/>
    <n v="2"/>
    <s v="la señora ana refiere que no a podido adelantar el numera 2.5.1 y no le a sido posible completar documento de responsables del sg-sst,HOY se realiza 10 diligenciamientos de documentos del 2.5.1 .enviara documentos de RUT,CAMARA Y COMERCIO ,ARL Y LOGO. "/>
    <d v="2025-05-30T00:00:00"/>
    <n v="24"/>
    <n v="5"/>
    <s v="ACTIVO"/>
  </r>
  <r>
    <d v="2025-05-13T00:00:00"/>
    <m/>
    <m/>
    <s v="MARTES"/>
    <s v="TU EMPRESA SEGURA"/>
    <s v="LUZ"/>
    <s v="JUAN FELIPE LÓPEZ OROZCO"/>
    <s v="Cédula de Ciudadanía"/>
    <n v="15356506"/>
    <s v="felipelopezorozco2020@gmail.com ,lopetransvolq@gmail.com"/>
    <n v="3136468404"/>
    <x v="15"/>
    <n v="901636833"/>
    <d v="2025-05-13T00:00:00"/>
    <s v="7:00AM"/>
    <n v="1"/>
    <n v="106.666"/>
    <s v="si "/>
    <s v="PLANEAR"/>
    <s v="1.1.4 Afiliación al Sistema General de Riesgos Laborales"/>
    <n v="0.5"/>
    <s v="se revisa y diligencia numeral 2.5.4 archivo documental , se revisa numeral 1.4.1 ,pendiente para la proxima conexion evaluacion inicial del sistema de gestion.."/>
    <d v="2025-05-30T00:00:00"/>
    <n v="17"/>
    <n v="5"/>
    <s v="ACTIVO"/>
  </r>
  <r>
    <d v="2025-05-20T00:00:00"/>
    <m/>
    <m/>
    <s v="MARTES"/>
    <s v="TU EMPRESA SEGURA"/>
    <s v="LUZ"/>
    <s v="JUAN FELIPE LÓPEZ OROZCO"/>
    <s v="Cédula de Ciudadanía"/>
    <n v="15356506"/>
    <s v="felipelopezorozco2020@gmail.com ,lopetransvolq@gmail.com"/>
    <n v="3136468404"/>
    <x v="15"/>
    <n v="901636833"/>
    <d v="2025-05-20T00:00:00"/>
    <s v="7:00AM"/>
    <n v="1"/>
    <n v="106.666"/>
    <s v="si "/>
    <s v="PLANEAR"/>
    <s v="2.1.1 Política del Sistema de Gestión de Seguridad y Salud en el Trabajo SG-SST firmada, fechada y comunicada al COPASST"/>
    <n v="1"/>
    <s v="Se termina el numeral 2.5.1 del planear,se inicia el del hacer,ya cuenta con calificacion del sistema (Cristian Gomez lo realizo),Solicita Doña ana compartirle documento para socializar la politica ,ES DECIR LISTA DE ASISTENCIA.SOLICITA GRABACION DEL TEMA DE HOY."/>
    <d v="2025-05-30T00:00:00"/>
    <n v="10"/>
    <n v="5"/>
    <s v="ACTIVO"/>
  </r>
  <r>
    <d v="2025-05-27T00:00:00"/>
    <m/>
    <m/>
    <s v="MARTES"/>
    <s v="TU EMPRESA SEGURA"/>
    <s v="LUZ"/>
    <s v="JUAN FELIPE LÓPEZ OROZCO"/>
    <s v="Cédula de Ciudadanía"/>
    <n v="15356506"/>
    <s v="felipelopezorozco2020@gmail.com ,lopetransvolq@gmail.com"/>
    <n v="3136468404"/>
    <x v="15"/>
    <n v="901636833"/>
    <d v="2025-05-27T00:00:00"/>
    <s v="7:00AM"/>
    <n v="1"/>
    <n v="106.666"/>
    <s v="si "/>
    <s v="PLANEAR"/>
    <s v="2.5.1 Archivo o retención documental del Sistema de Gestión en Seguridad y Salud en el Trabajo SG-SST"/>
    <n v="2"/>
    <s v="Se realiza digitacion del 2.5.1  del numeral del hacer,se realizara cronograma en proxima conexion,y solicita enviar grabacion."/>
    <d v="2025-05-30T00:00:00"/>
    <n v="3"/>
    <n v="5"/>
    <s v="ACTIVO"/>
  </r>
  <r>
    <d v="2025-06-03T00:00:00"/>
    <m/>
    <m/>
    <s v="MARTES"/>
    <s v="TU EMPRESA SEGURA"/>
    <s v="LUZ"/>
    <s v="JUAN FELIPE LÓPEZ OROZCO"/>
    <s v="Cédula de Ciudadanía"/>
    <n v="15356506"/>
    <s v="felipelopezorozco2020@gmail.com ,lopetransvolq@gmail.com"/>
    <n v="3136468404"/>
    <x v="15"/>
    <n v="901636833"/>
    <d v="2025-06-03T00:00:00"/>
    <s v="7:00AM"/>
    <n v="1"/>
    <n v="106.666"/>
    <s v="si "/>
    <s v="PLANEAR"/>
    <s v="1.0.2 Socialización SGSST"/>
    <n v="2"/>
    <s v="Fue dificil para ana maria continuar con el numeral 2.5.1,se termina ,se reliza politicas para socializar,se verifica afiliacion,perfilsociodemografico y el oferente ."/>
    <d v="2025-05-30T00:00:00"/>
    <n v="4"/>
    <n v="5"/>
    <s v="ACTIVO"/>
  </r>
  <r>
    <d v="2025-03-19T00:00:00"/>
    <s v="MARZO"/>
    <n v="3"/>
    <s v="MERCOLES "/>
    <s v="TU EMPRESA SEGURA"/>
    <s v="CRISTIAN"/>
    <s v="BRANDON YESID VELASQUEZ LOPEZ"/>
    <s v="Cédula de Ciudadanía"/>
    <n v="1013654370"/>
    <s v="Maderas.sanrafael@hotmail.com"/>
    <n v="3105299313"/>
    <x v="16"/>
    <n v="1013654370"/>
    <d v="2025-03-19T00:00:00"/>
    <s v="02:00p. m."/>
    <n v="4"/>
    <n v="213000"/>
    <s v="si "/>
    <s v="PLANEAR"/>
    <s v="1.0.0 Bienvenida"/>
    <n v="1"/>
    <s v="Bienvenida al programa, se le explica detalladamente en que consiste y la duración estimada, se Indica cómo firmar los términos y condiciones, se agenda la reunión periódica, semanal"/>
    <d v="2025-05-30T00:00:00"/>
    <n v="72"/>
    <n v="4"/>
    <s v="ACTIVO"/>
  </r>
  <r>
    <d v="2025-03-26T00:00:00"/>
    <m/>
    <m/>
    <s v="MIERCOLES "/>
    <s v="TU EMPRESA SEGURA"/>
    <s v="CRISTIAN"/>
    <s v="BRANDON YESID VELASQUEZ LOPEZ"/>
    <s v="Cédula de Ciudadanía"/>
    <n v="1013654370"/>
    <s v="Maderas.sanrafael@hotmail.com"/>
    <n v="3105299313"/>
    <x v="16"/>
    <n v="1013654370"/>
    <d v="2025-03-26T00:00:00"/>
    <s v="02:00p. m."/>
    <n v="4"/>
    <n v="213000"/>
    <s v="no "/>
    <s v="PLANEAR"/>
    <s v="0. No conexión"/>
    <n v="0"/>
    <s v="No hubo conexión ,COMIENZA CON luz elena el 8 de abril del 2025."/>
    <d v="2025-05-30T00:00:00"/>
    <n v="65"/>
    <n v="4"/>
    <s v="ACTIVO"/>
  </r>
  <r>
    <d v="2025-04-08T00:00:00"/>
    <m/>
    <m/>
    <s v="MARTES  "/>
    <s v="TU EMPRESA SEGURA"/>
    <s v="LUZ"/>
    <s v="BRANDON YESID VELASQUEZ LOPEZ"/>
    <s v="Cédula de Ciudadanía"/>
    <n v="1013654370"/>
    <s v="Maderas.sanrafael@hotmail.com"/>
    <n v="3105299313"/>
    <x v="16"/>
    <n v="1013654370"/>
    <d v="2025-04-08T00:00:00"/>
    <s v="02:25p. m."/>
    <n v="4"/>
    <n v="213000"/>
    <s v="si "/>
    <s v="PLANEAR"/>
    <s v="1.0.2 Socialización SGSST"/>
    <n v="2"/>
    <s v="Abril 8,Natalia se conecta y se le brinda charla del numeral 1 PLANEAR,el computador de la empresa esta en reparacion,hasta el momento le ha parecido facil el programa,solo tiene duda en el numeral 1.1.1 si ella lo puede implementar sin ser del area SST._x000a_Se activa "/>
    <d v="2025-05-30T00:00:00"/>
    <n v="52"/>
    <n v="4"/>
    <s v="ACTIVO"/>
  </r>
  <r>
    <d v="2025-04-15T00:00:00"/>
    <m/>
    <m/>
    <s v="MARTES  "/>
    <s v="TU EMPRESA SEGURA"/>
    <s v="LUZ"/>
    <s v="BRANDON YESID VELASQUEZ LOPEZ"/>
    <s v="Cédula de Ciudadanía"/>
    <n v="1013654370"/>
    <s v="Maderas.sanrafael@hotmail.com"/>
    <n v="3105299313"/>
    <x v="16"/>
    <n v="1013654370"/>
    <d v="2025-04-15T00:00:00"/>
    <s v="02:25p. m."/>
    <n v="4"/>
    <n v="213000"/>
    <s v="si "/>
    <s v="PLANEAR"/>
    <s v="1.0.2 Socialización SGSST"/>
    <n v="2"/>
    <s v="se contacta la empresa por medio de correo electronico para confirmar fecha y hora de conexión indica que esta bien y que le esta  llendo bien con la plataforma "/>
    <d v="2025-05-30T00:00:00"/>
    <n v="45"/>
    <n v="4"/>
    <s v="ACTIVO"/>
  </r>
  <r>
    <d v="2025-04-22T00:00:00"/>
    <m/>
    <m/>
    <s v="MARTES  "/>
    <s v="TU EMPRESA SEGURA"/>
    <s v="LUZ"/>
    <s v="BRANDON YESID VELASQUEZ LOPEZ"/>
    <s v="Cédula de Ciudadanía"/>
    <n v="1013654370"/>
    <s v="Maderas.sanrafael@hotmail.com"/>
    <s v="o"/>
    <x v="16"/>
    <n v="1013654370"/>
    <d v="2025-06-06T00:00:00"/>
    <s v="02:25p. m."/>
    <n v="4"/>
    <n v="213000"/>
    <s v="si "/>
    <s v="PLANEAR"/>
    <s v="1.0.2 Socialización SGSST"/>
    <n v="2"/>
    <s v="Abril 8,Natalia se conecta y se le brinda charla del numeral 1 PLANEAR,el computador de la empresa esta en reparacion,hasta el momento le ha parecido facil el programa,solo tiene duda en el numeral 1.1.1 si ella lo puede implementar sin ser del area SST._x000a_abril 15 no se pudo conectar por fuertes lluvias y sin internet en la empresa."/>
    <d v="2025-05-30T00:00:00"/>
    <n v="38"/>
    <n v="4"/>
    <s v="ACTIVO"/>
  </r>
  <r>
    <d v="2025-04-29T00:00:00"/>
    <m/>
    <m/>
    <s v="MARTES  "/>
    <s v="TU EMPRESA SEGURA"/>
    <s v="LUZ"/>
    <s v="BRANDON YESID VELASQUEZ LOPEZ"/>
    <s v="Cédula de Ciudadanía"/>
    <n v="1013654370"/>
    <s v="Maderas.sanrafael@hotmail.com"/>
    <n v="3105299313"/>
    <x v="16"/>
    <n v="1013654370"/>
    <d v="2025-04-22T00:00:00"/>
    <s v="02:25p. m."/>
    <n v="4"/>
    <n v="213000"/>
    <s v="si "/>
    <s v="PLANEAR"/>
    <s v="1.0.6 Diagnóstico del Sistema de Gestión de Seguridad y Salud en el Trabajo (SG-SST) 0312 DE 2019"/>
    <n v="2"/>
    <s v="Se actualiza informacion de la empresa ,pendiente enviar documentacion de rut,camara y comercio,la evaluacion inicial del sistema de gestion solo se realiza numeral 2.5.1"/>
    <d v="2025-05-30T00:00:00"/>
    <n v="31"/>
    <n v="4"/>
    <s v="ACTIVO"/>
  </r>
  <r>
    <d v="2025-05-06T00:00:00"/>
    <m/>
    <m/>
    <s v="MARTES  "/>
    <s v="TU EMPRESA SEGURA"/>
    <s v="LUZ"/>
    <s v="BRANDON YESID VELASQUEZ LOPEZ"/>
    <s v="Cédula de Ciudadanía"/>
    <n v="1013654370"/>
    <s v="Maderas.sanrafael@hotmail.com"/>
    <n v="3105299313"/>
    <x v="16"/>
    <n v="1013654370"/>
    <d v="2025-04-29T00:00:00"/>
    <s v="02:25p. m."/>
    <n v="4"/>
    <n v="213000"/>
    <s v="si "/>
    <s v="PLANEAR"/>
    <s v="1.0.6 Diagnóstico del Sistema de Gestión de Seguridad y Salud en el Trabajo (SG-SST) 0312 DE 2019"/>
    <n v="2"/>
    <s v="Envia pdf a correo con terminos y condiciones firmada,se realiza evaluacion inicial de diagnostico,CRITICO,en la proxima reunion se debe realizar cronograma d e actividades."/>
    <d v="2025-05-30T00:00:00"/>
    <n v="24"/>
    <n v="4"/>
    <s v="ACTIVO"/>
  </r>
  <r>
    <d v="2025-05-13T00:00:00"/>
    <m/>
    <m/>
    <s v="MARTES  "/>
    <s v="TU EMPRESA SEGURA"/>
    <s v="LUZ"/>
    <s v="BRANDON YESID VELASQUEZ LOPEZ"/>
    <s v="Cédula de Ciudadanía"/>
    <n v="1013654370"/>
    <s v="Maderas.sanrafael@hotmail.com"/>
    <n v="3105299313"/>
    <x v="16"/>
    <n v="1013654370"/>
    <d v="2025-05-06T00:00:00"/>
    <s v="02:25p. m."/>
    <n v="4"/>
    <n v="213000"/>
    <s v="si "/>
    <s v="PLANEAR"/>
    <s v="1.0.4 Acompañamiiento/Asesoría sobre SGSST"/>
    <n v="2"/>
    <s v="Se diligencia el documento de responsable sst,se realiza documentacion del 2.5.1,se revisa afiliacion,queda pendiente perfilsociodemografico.en la proxima reunion se realiza cronograma,politicas y recursos financieron."/>
    <d v="2025-05-30T00:00:00"/>
    <n v="17"/>
    <n v="4"/>
    <s v="ACTIVO"/>
  </r>
  <r>
    <d v="2025-05-20T00:00:00"/>
    <m/>
    <m/>
    <s v="MARTES  "/>
    <s v="TU EMPRESA SEGURA"/>
    <s v="LUZ"/>
    <s v="BRANDON YESID VELASQUEZ LOPEZ"/>
    <s v="Cédula de Ciudadanía"/>
    <n v="1013654370"/>
    <s v="Maderas.sanrafael@hotmail.com"/>
    <n v="3105299313"/>
    <x v="16"/>
    <n v="1013654370"/>
    <d v="2025-05-13T00:00:00"/>
    <s v="02:25p. m."/>
    <n v="4"/>
    <n v="213000"/>
    <s v="no "/>
    <s v="PLANEAR"/>
    <s v="0. No conexión"/>
    <n v="0"/>
    <s v="Envia al correo analista21 ,que no fue posible conectarse,por temas laborales."/>
    <d v="2025-05-30T00:00:00"/>
    <n v="10"/>
    <n v="4"/>
    <s v="ACTIVO"/>
  </r>
  <r>
    <d v="2025-05-27T00:00:00"/>
    <m/>
    <m/>
    <s v="MARTES"/>
    <s v="TU EMPRESA SEGURA"/>
    <s v="LUZ"/>
    <s v="BRANDON YESID VELASQUEZ LOPEZ"/>
    <s v="Cédula de Ciudadanía"/>
    <n v="1013654370"/>
    <s v="Maderas.sanrafael@hotmail.com"/>
    <n v="3105299313"/>
    <x v="16"/>
    <n v="1013654370"/>
    <d v="2025-05-20T00:00:00"/>
    <s v="02:25p. m."/>
    <n v="4"/>
    <n v="213000"/>
    <s v="no "/>
    <s v="PLANEAR"/>
    <s v="0. No conexión"/>
    <n v="0"/>
    <s v="Olvido conectarce"/>
    <d v="2025-05-30T00:00:00"/>
    <n v="3"/>
    <n v="4"/>
    <s v="ACTIVO"/>
  </r>
  <r>
    <d v="2025-06-03T00:00:00"/>
    <m/>
    <m/>
    <s v="MARTES  "/>
    <s v="TU EMPRESA SEGURA"/>
    <s v="LUZ"/>
    <s v="BRANDON YESID VELASQUEZ LOPEZ"/>
    <s v="Cédula de Ciudadanía"/>
    <n v="1013654370"/>
    <s v="Maderas.sanrafael@hotmail.com"/>
    <n v="3105299313"/>
    <x v="16"/>
    <n v="1013654370"/>
    <d v="2025-05-27T00:00:00"/>
    <s v="02:25p. m."/>
    <n v="4"/>
    <n v="213000"/>
    <s v="si "/>
    <s v="PLANEAR"/>
    <s v="2.5.1 Archivo o retención documental del Sistema de Gestión en Seguridad y Salud en el Trabajo SG-SST"/>
    <n v="2"/>
    <s v="se Verifica adelanto del hacer Numeral 2.5.1 y se termina todo lo documenta."/>
    <d v="2025-05-30T00:00:00"/>
    <n v="4"/>
    <n v="4"/>
    <s v="ACTIVO"/>
  </r>
  <r>
    <d v="2025-03-01T00:00:00"/>
    <s v="MARZO"/>
    <n v="3"/>
    <s v="JUEVES"/>
    <s v="TU EMPRESA SEGURA"/>
    <s v="LUZ"/>
    <s v="OLGA LUCIA LOPEZ ALVAREZ"/>
    <s v="Cédula de Ciudadanía"/>
    <n v="43862379"/>
    <s v="Asesorias@encontac.com"/>
    <n v="3147571005"/>
    <x v="17"/>
    <n v="43862379"/>
    <d v="2025-05-08T00:00:00"/>
    <m/>
    <n v="1"/>
    <n v="106.666"/>
    <s v="si "/>
    <s v="PLANEAR"/>
    <s v="1.1.1. Responsable del Sistema de Gestión de Seguridad y Salud en el Trabajo SG-SST"/>
    <n v="0.5"/>
    <s v="se realiza digitacion y explicacion de archivo,se le explica el perfilsociodemografica y queda como tarea,se revisa afiliaciones y documento de responsable del sistema."/>
    <d v="2025-05-30T00:00:00"/>
    <n v="90"/>
    <n v="2"/>
    <s v="ACTIVO"/>
  </r>
  <r>
    <d v="2025-04-24T00:00:00"/>
    <m/>
    <m/>
    <s v="JUEVES"/>
    <s v="TU EMPRESA SEGURA"/>
    <s v="LUZ"/>
    <s v="OLGA LUCIA LOPEZ ALVAREZ"/>
    <s v="Cédula de Ciudadanía"/>
    <n v="43862379"/>
    <s v="Asesorias@encontac.com"/>
    <n v="3147571005"/>
    <x v="17"/>
    <n v="43862379"/>
    <d v="2025-04-29T00:00:00"/>
    <m/>
    <n v="1"/>
    <n v="106.666"/>
    <s v="si "/>
    <s v="PLANEAR"/>
    <s v="1.0.1 Firma de Términos y Condiciones"/>
    <n v="1"/>
    <s v="se firma terminos y condiciones y envia pdf a correo,se le explica formato de planear y cada codigo de documentacion ,enviara rut y camara y comercio a correo."/>
    <d v="2025-05-30T00:00:00"/>
    <n v="36"/>
    <n v="2"/>
    <s v="ACTIVO"/>
  </r>
  <r>
    <d v="2025-03-08T00:00:00"/>
    <m/>
    <m/>
    <s v="JUEVES"/>
    <s v="TU EMPRESA SEGURA"/>
    <s v="LUZ"/>
    <s v="OLGA LUCIA LOPEZ ALVAREZ"/>
    <s v="Cédula de Ciudadanía"/>
    <n v="43862379"/>
    <s v="Asesorias@encontac.com"/>
    <n v="3147571005"/>
    <x v="17"/>
    <n v="43862379"/>
    <d v="2025-05-15T00:00:00"/>
    <m/>
    <n v="1"/>
    <n v="106.666"/>
    <s v="no "/>
    <s v="PLANEAR"/>
    <s v="0. No conexión"/>
    <n v="0"/>
    <s v="Se llamo via telefonica a doña olga   y refiere que su hermana es la encargada de conectarse el dia de hoy,que la llamaria ,se le escribe al whatsapp y no hay respuesta de doña olga ."/>
    <d v="2025-05-30T00:00:00"/>
    <n v="83"/>
    <n v="2"/>
    <s v="ACTIVO"/>
  </r>
  <r>
    <d v="2025-03-15T00:00:00"/>
    <m/>
    <m/>
    <s v="JUEVES"/>
    <s v="TU EMPRESA SEGURA"/>
    <s v="LUZ"/>
    <s v="OLGA LUCIA LOPEZ ALVAREZ"/>
    <s v="Cédula de Ciudadanía"/>
    <n v="43862379"/>
    <s v="Asesorias@encontac.com"/>
    <n v="3147571005"/>
    <x v="17"/>
    <n v="43862379"/>
    <d v="2025-05-22T00:00:00"/>
    <m/>
    <n v="1"/>
    <n v="106.666"/>
    <s v="si "/>
    <s v="PLANEAR"/>
    <s v="1.0.6 Diagnóstico del Sistema de Gestión de Seguridad y Salud en el Trabajo (SG-SST) 0312 DE 2019"/>
    <n v="2"/>
    <s v="Se conecto a los 10 minutos luego de la hora asignada,se realiza diagnostico y se revisa temas de afiliacion y archivo documental,donde no se ha subido evidencias,estamos en cero porque no es muy claro para ellas la plataforma y se les dificulta."/>
    <d v="2025-05-30T00:00:00"/>
    <n v="76"/>
    <n v="2"/>
    <s v="ACTIVO"/>
  </r>
  <r>
    <d v="2025-03-22T00:00:00"/>
    <m/>
    <m/>
    <s v="JUEVES"/>
    <s v="TU EMPRESA SEGURA"/>
    <s v="LUZ"/>
    <s v="OLGA LUCIA LOPEZ ALVAREZ"/>
    <s v="Cédula de Ciudadanía"/>
    <n v="43862379"/>
    <s v="Asesorias@encontac.com"/>
    <n v="3147571005"/>
    <x v="17"/>
    <n v="43862379"/>
    <d v="2025-05-29T00:00:00"/>
    <m/>
    <n v="1"/>
    <n v="106.666"/>
    <s v="no "/>
    <s v="PLANEAR"/>
    <s v="0. No conexión"/>
    <n v="0"/>
    <s v="Enviara correo no puede conectarse ."/>
    <d v="2025-05-30T00:00:00"/>
    <n v="69"/>
    <n v="2"/>
    <s v="ACTIVO"/>
  </r>
  <r>
    <d v="2025-03-29T00:00:00"/>
    <m/>
    <m/>
    <s v="JUEVES"/>
    <s v="TU EMPRESA SEGURA"/>
    <s v="LUZ"/>
    <s v="OLGA LUCIA LOPEZ ALVAREZ"/>
    <s v="Cédula de Ciudadanía"/>
    <n v="43862379"/>
    <s v="Asesorias@encontac.com"/>
    <n v="3147571005"/>
    <x v="17"/>
    <n v="43862379"/>
    <d v="2025-06-05T00:00:00"/>
    <m/>
    <n v="1"/>
    <n v="106.666"/>
    <s v="no "/>
    <s v="PLANEAR"/>
    <s v="0. No conexión"/>
    <n v="0"/>
    <s v="Solicita reprogramar para julio cuando salga de auditorias de empresas que maneja."/>
    <d v="2025-05-30T00:00:00"/>
    <n v="62"/>
    <n v="2"/>
    <s v="ACTIVO"/>
  </r>
  <r>
    <d v="2025-04-04T00:00:00"/>
    <s v="ABRIL"/>
    <n v="2"/>
    <s v="VIERNES "/>
    <s v="TU EMPRESA SEGURA"/>
    <s v="Juan Diego "/>
    <s v="CARLOS ALBERTO BEJARANO CAMACHO"/>
    <s v="Cédula de Ciudadanía"/>
    <n v="79291337"/>
    <s v="carlos.bejarano@prosolar.com.co"/>
    <n v="3104387811"/>
    <x v="18"/>
    <n v="901039724"/>
    <d v="2025-04-04T00:00:00"/>
    <s v="9:00a. m."/>
    <n v="2"/>
    <n v="106.666"/>
    <s v="si "/>
    <s v="PLANEAR"/>
    <s v="1.0.0 Bienvenida"/>
    <n v="1"/>
    <s v="el dia viernes 21 de marzo se llamo a la empresa para validar la llegada del correo electronico con el usuario y la contraseña a lo cual indicaron que si les llego y que no han tenido ningun inconveniente "/>
    <d v="2025-05-30T00:00:00"/>
    <n v="56"/>
    <n v="6"/>
    <s v="ACTIVO"/>
  </r>
  <r>
    <d v="2025-04-11T00:00:00"/>
    <m/>
    <m/>
    <s v="VIERNES "/>
    <s v="TU EMPRESA SEGURA"/>
    <s v="Juan Diego "/>
    <s v="CARLOS ALBERTO BEJARANO CAMACHO"/>
    <s v="Cédula de Ciudadanía"/>
    <n v="79291337"/>
    <s v="carlos.bejarano@prosolar.com.co"/>
    <n v="3104387811"/>
    <x v="18"/>
    <n v="901039724"/>
    <d v="2025-04-11T00:00:00"/>
    <s v="9:00a. m."/>
    <n v="2"/>
    <n v="106.666"/>
    <s v="si "/>
    <s v="PLANEAR"/>
    <s v="0. No conexión"/>
    <n v="0"/>
    <s v="se adelanta procedimiento de gestion documental y codificacion de listado maestro de documentos"/>
    <d v="2025-05-30T00:00:00"/>
    <n v="49"/>
    <n v="6"/>
    <s v="ACTIVO"/>
  </r>
  <r>
    <d v="2025-04-18T00:00:00"/>
    <m/>
    <m/>
    <s v="VIERNES "/>
    <s v="TU EMPRESA SEGURA"/>
    <s v="Juan Diego "/>
    <s v="CARLOS ALBERTO BEJARANO CAMACHO"/>
    <s v="Cédula de Ciudadanía"/>
    <n v="79291337"/>
    <s v="carlos.bejarano@prosolar.com.co"/>
    <n v="3104387811"/>
    <x v="18"/>
    <n v="901039724"/>
    <d v="2025-04-18T00:00:00"/>
    <s v="9:00a. m."/>
    <n v="2"/>
    <n v="106.666"/>
    <s v="no "/>
    <s v="PLANEAR"/>
    <s v="2.5.1 Archivo o retención documental del Sistema de Gestión en Seguridad y Salud en el Trabajo SG-SST"/>
    <n v="2"/>
    <s v="se organiza plantilla de evaluacion inicial y se empieza con la codificacion del listado maestro de documentos"/>
    <s v=" "/>
    <e v="#VALUE!"/>
    <n v="6"/>
    <s v="ACTIVO"/>
  </r>
  <r>
    <d v="2025-05-09T00:00:00"/>
    <m/>
    <m/>
    <s v="VIERNES "/>
    <s v="TU EMPRESA SEGURA"/>
    <s v="Juan Diego "/>
    <s v="CARLOS ALBERTO BEJARANO CAMACHO"/>
    <s v="Cédula de Ciudadanía"/>
    <n v="79291337"/>
    <s v="carlos.bejarano@prosolar.com.co"/>
    <n v="3104387811"/>
    <x v="18"/>
    <n v="901039724"/>
    <d v="2025-05-09T00:00:00"/>
    <s v="9:00a. m."/>
    <n v="2"/>
    <n v="106.666"/>
    <s v="si "/>
    <s v="PLANEAR"/>
    <s v="2.5.1 Archivo o retención documental del Sistema de Gestión en Seguridad y Salud en el Trabajo SG-SST"/>
    <n v="2"/>
    <s v="se continua con la  codificacion del listado maestro de documentos"/>
    <d v="2025-05-30T00:00:00"/>
    <n v="21"/>
    <n v="6"/>
    <s v="ACTIVO"/>
  </r>
  <r>
    <d v="2025-05-16T00:00:00"/>
    <m/>
    <m/>
    <s v="VIERNES "/>
    <s v="TU EMPRESA SEGURA"/>
    <s v="Juan Diego "/>
    <s v="CARLOS ALBERTO BEJARANO CAMACHO"/>
    <s v="Cédula de Ciudadanía"/>
    <n v="79291337"/>
    <s v="carlos.bejarano@prosolar.com.co"/>
    <n v="3104387811"/>
    <x v="18"/>
    <n v="901039724"/>
    <d v="2025-05-16T00:00:00"/>
    <s v="9:00a. m."/>
    <n v="2"/>
    <n v="106.666"/>
    <s v="si "/>
    <s v="PLANEAR"/>
    <s v="1.0.2 Socialización SGSST"/>
    <n v="2"/>
    <s v="Se solicita documentacion y se explica como registrar usuarios administradores en plataforma"/>
    <d v="2025-05-30T00:00:00"/>
    <n v="14"/>
    <n v="6"/>
    <s v="ACTIVO"/>
  </r>
  <r>
    <d v="2025-05-23T00:00:00"/>
    <m/>
    <m/>
    <s v="VIERNES "/>
    <s v="TU EMPRESA SEGURA"/>
    <s v="Juan Diego "/>
    <s v="CARLOS ALBERTO BEJARANO CAMACHO"/>
    <s v="Cédula de Ciudadanía"/>
    <n v="79291337"/>
    <s v="carlos.bejarano@prosolar.com.co"/>
    <n v="3104387811"/>
    <x v="18"/>
    <n v="901039724"/>
    <d v="2025-05-23T00:00:00"/>
    <s v="9:00a. m."/>
    <n v="2"/>
    <n v="106.666"/>
    <s v="no "/>
    <s v="PLANEAR"/>
    <s v="0.1 Trabajo autónomo analista en plataforma"/>
    <n v="0.5"/>
    <s v="le contacto para iniciar la reunion y me dice textualmente: &quot; hoy no puedo conectarme, tengo otra reunion. disculpa&quot;de inicia con la asignacion del responsable,asignacion d eresponsabilidades y se continua con el item de gestion documental"/>
    <d v="2025-05-30T00:00:00"/>
    <n v="7"/>
    <n v="6"/>
    <s v="ACTIVO"/>
  </r>
  <r>
    <d v="2025-05-30T00:00:00"/>
    <m/>
    <m/>
    <s v="VIERNES "/>
    <s v="TU EMPRESA SEGURA"/>
    <s v="Juan Diego "/>
    <s v="CARLOS ALBERTO BEJARANO CAMACHO"/>
    <s v="Cédula de Ciudadanía"/>
    <n v="79291337"/>
    <s v="carlos.bejarano@prosolar.com.co"/>
    <n v="3104387811"/>
    <x v="18"/>
    <n v="901039724"/>
    <d v="2025-05-30T00:00:00"/>
    <s v="9:00a. m."/>
    <n v="2"/>
    <n v="106.666"/>
    <s v="si "/>
    <s v="PLANEAR"/>
    <s v="1.1.1. Responsable del Sistema de Gestión de Seguridad y Salud en el Trabajo SG-SST"/>
    <n v="0.5"/>
    <s v="Se revisa pago de seguridad social, y se empieza a ingresar registro d epersonas en plataforma, se revisa responsable del sistema y asignacion de repsonsabilidades"/>
    <d v="2025-05-30T00:00:00"/>
    <n v="0"/>
    <n v="6"/>
    <s v="ACTIVO"/>
  </r>
  <r>
    <d v="2025-06-06T00:00:00"/>
    <m/>
    <m/>
    <s v="VIERNES "/>
    <s v="TU EMPRESA SEGURA"/>
    <s v="Juan Diego "/>
    <s v="CARLOS ALBERTO BEJARANO CAMACHO"/>
    <s v="Cédula de Ciudadanía"/>
    <n v="79291337"/>
    <s v="carlos.bejarano@prosolar.com.co"/>
    <n v="3104387811"/>
    <x v="18"/>
    <n v="901039724"/>
    <d v="2025-06-06T00:00:00"/>
    <s v="9:00a. m."/>
    <n v="2"/>
    <n v="106.666"/>
    <s v="no "/>
    <s v="PLANEAR"/>
    <s v="1.1.1. Responsable del Sistema de Gestión de Seguridad y Salud en el Trabajo SG-SST"/>
    <n v="0.5"/>
    <s v="Usuaria dice qe no se puede conectar porque tiene un mantenimiento remoto del equipo; se adelanta revision de asignacion de responsabilidades"/>
    <d v="2025-05-30T00:00:00"/>
    <n v="7"/>
    <n v="6"/>
    <s v="ACTIVO"/>
  </r>
  <r>
    <d v="2025-03-17T00:00:00"/>
    <s v="MARZO"/>
    <n v="3"/>
    <s v="LUNES"/>
    <s v="TU EMPRESA SEGURA"/>
    <s v="Cristhian"/>
    <s v="SAUL GÓMEZ JARAMILLO "/>
    <s v="Cédula de Ciudadanía"/>
    <n v="15384344"/>
    <s v="saul.gomez@hotmai.es"/>
    <n v="3148500297"/>
    <x v="19"/>
    <n v="15384344"/>
    <d v="2025-03-17T00:00:00"/>
    <s v="02:00p. m."/>
    <n v="2"/>
    <n v="106.666"/>
    <s v="si "/>
    <s v="PLANEAR"/>
    <s v="1.0.0 Bienvenida"/>
    <n v="1"/>
    <m/>
    <d v="2025-05-30T00:00:00"/>
    <n v="74"/>
    <n v="8"/>
    <s v="ACTIVO"/>
  </r>
  <r>
    <d v="2025-04-04T00:00:00"/>
    <m/>
    <m/>
    <s v="VIERNES "/>
    <s v="TU EMPRESA SEGURA"/>
    <s v="Cristhian"/>
    <s v="SAUL GÓMEZ JARAMILLO "/>
    <s v="Cédula de Ciudadanía"/>
    <n v="15384344"/>
    <s v="saul.gomez@hotmai.es"/>
    <n v="3148500297"/>
    <x v="19"/>
    <n v="15384344"/>
    <d v="2025-04-04T00:00:00"/>
    <s v="02:00p. m."/>
    <n v="2"/>
    <n v="106.666"/>
    <s v="si "/>
    <s v="PLANEAR"/>
    <s v="1.0.5 Diagnóstico de Madurez"/>
    <n v="3"/>
    <s v="Se reviso la firma de aceptación de términos y condiciones y se realizo el diagnostico de madurez"/>
    <d v="2025-05-30T00:00:00"/>
    <n v="56"/>
    <n v="8"/>
    <s v="ACTIVO"/>
  </r>
  <r>
    <d v="2025-04-11T00:00:00"/>
    <m/>
    <m/>
    <s v="VIERNES "/>
    <s v="TU EMPRESA SEGURA"/>
    <s v="Cristhian"/>
    <s v="SAUL GÓMEZ JARAMILLO "/>
    <s v="Cédula de Ciudadanía"/>
    <n v="15384344"/>
    <s v="saul.gomez@hotmai.es"/>
    <n v="3148500297"/>
    <x v="19"/>
    <n v="15384344"/>
    <d v="2025-04-11T00:00:00"/>
    <s v="02:00p. m."/>
    <n v="2"/>
    <n v="106.666"/>
    <s v="si "/>
    <s v="PLANEAR"/>
    <s v="1.0.6 Diagnóstico del Sistema de Gestión de Seguridad y Salud en el Trabajo (SG-SST) 0312 DE 2019"/>
    <n v="2"/>
    <s v="Se realizó la evaluación inicial del SG-SST"/>
    <d v="2025-05-30T00:00:00"/>
    <n v="49"/>
    <n v="8"/>
    <s v="ACTIVO"/>
  </r>
  <r>
    <d v="2025-04-22T00:00:00"/>
    <m/>
    <m/>
    <s v="MARTES"/>
    <s v="TU EMPRESA SEGURA"/>
    <s v="LUZ"/>
    <s v="SAUL GÓMEZ JARAMILLO "/>
    <s v="Cédula de Ciudadanía"/>
    <n v="15384344"/>
    <s v="saul.gomez@hotmai.es"/>
    <n v="3148500297"/>
    <x v="19"/>
    <n v="15384344"/>
    <d v="2025-04-22T00:00:00"/>
    <s v="3:55 p.m"/>
    <n v="2"/>
    <n v="106.666"/>
    <s v="no "/>
    <s v="PLANEAR"/>
    <s v="0. No conexión"/>
    <n v="0"/>
    <s v="El dia 22 de abril no se conecto el señor saul,se le envia mensaje por el whatsapp no lo responde ,se le realiza  llamada por celular y se va a buzon de voz."/>
    <d v="2025-05-30T00:00:00"/>
    <n v="38"/>
    <n v="8"/>
    <s v="ACTIVO"/>
  </r>
  <r>
    <d v="2025-04-29T00:00:00"/>
    <m/>
    <m/>
    <s v="MARTES"/>
    <s v="TU EMPRESA SEGURA"/>
    <s v="LUZ"/>
    <s v="SAUL GÓMEZ JARAMILLO "/>
    <s v="Cédula de Ciudadanía"/>
    <n v="15384344"/>
    <s v="saul.gomez@hotmai.es"/>
    <n v="3148500297"/>
    <x v="19"/>
    <n v="15384344"/>
    <d v="2025-04-29T00:00:00"/>
    <s v="3:55 p.m"/>
    <n v="2"/>
    <n v="106.666"/>
    <s v="si "/>
    <s v="PLANEAR"/>
    <s v="1.0.1 Firma de Términos y Condiciones"/>
    <n v="1"/>
    <s v="Firma de terminos y condiciones ,enviara documentos para actualizacion de empresa rut,camara y comercio etc."/>
    <d v="2025-05-30T00:00:00"/>
    <n v="31"/>
    <n v="8"/>
    <s v="ACTIVO"/>
  </r>
  <r>
    <d v="2025-05-06T00:00:00"/>
    <m/>
    <m/>
    <s v="MARTES"/>
    <s v="TU EMPRESA SEGURA"/>
    <s v="LUZ"/>
    <s v="SAUL GÓMEZ JARAMILLO "/>
    <s v="Cédula de Ciudadanía"/>
    <n v="15384344"/>
    <s v="saul.gomez@hotmai.es"/>
    <n v="3148500297"/>
    <x v="19"/>
    <n v="15384344"/>
    <d v="2025-05-06T00:00:00"/>
    <s v="3:55 p.m"/>
    <n v="2"/>
    <n v="106.666"/>
    <s v="si "/>
    <s v="PLANEAR"/>
    <s v="1.1.1. Responsable del Sistema de Gestión de Seguridad y Salud en el Trabajo SG-SST"/>
    <n v="0.5"/>
    <s v="se realiza diligenciamiento de algunos numerales de  archivo documental,se le deja como tarea de perfilsociodemografico,se diligenciamiento de responsable del sst."/>
    <d v="2025-05-30T00:00:00"/>
    <n v="24"/>
    <n v="8"/>
    <s v="ACTIVO"/>
  </r>
  <r>
    <d v="2025-05-13T00:00:00"/>
    <m/>
    <m/>
    <s v="MARTES"/>
    <s v="TU EMPRESA SEGURA"/>
    <s v="LUZ"/>
    <s v="SAUL GÓMEZ JARAMILLO "/>
    <s v="Cédula de Ciudadanía"/>
    <n v="15384344"/>
    <s v="saul.gomez@hotmai.es"/>
    <n v="3148500297"/>
    <x v="19"/>
    <n v="15384344"/>
    <d v="2025-05-13T00:00:00"/>
    <s v="3:55 p.m"/>
    <n v="2"/>
    <n v="106.666"/>
    <s v="si "/>
    <s v="PLANEAR"/>
    <s v="1.1.1. Responsable del Sistema de Gestión de Seguridad y Salud en el Trabajo SG-SST"/>
    <n v="0.5"/>
    <s v="se realiza diligenciamiento de algunos numerales de  archivo documental,se le deja como tarea de perfilsociodemografico,se diligenciamiento de responsable del sst."/>
    <d v="2025-05-30T00:00:00"/>
    <n v="17"/>
    <n v="8"/>
    <s v="ACTIVO"/>
  </r>
  <r>
    <d v="2025-05-20T00:00:00"/>
    <m/>
    <m/>
    <s v="MARTES"/>
    <s v="TU EMPRESA SEGURA"/>
    <s v="LUZ"/>
    <s v="SAUL GÓMEZ JARAMILLO "/>
    <s v="Cédula de Ciudadanía"/>
    <n v="15384344"/>
    <s v="saul.gomez@hotmai.es"/>
    <n v="3148500297"/>
    <x v="19"/>
    <n v="15384344"/>
    <d v="2025-05-20T00:00:00"/>
    <s v="3:55 p.m"/>
    <n v="2"/>
    <n v="106.666"/>
    <s v="si "/>
    <s v="PLANEAR"/>
    <s v="1.0.4 Acompañamiiento/Asesoría sobre SGSST"/>
    <n v="2"/>
    <s v="se realiza diligenciamiento de algunos numerales de  archivo documental,la señora que esta encargada no sabe manejar bien los pc,no fue posible montar el perfilsociodemografico."/>
    <d v="2025-05-30T00:00:00"/>
    <n v="10"/>
    <n v="8"/>
    <s v="ACTIVO"/>
  </r>
  <r>
    <d v="2025-05-27T00:00:00"/>
    <m/>
    <m/>
    <s v="MARTES"/>
    <s v="TU EMPRESA SEGURA"/>
    <s v="LUZ"/>
    <s v="SAUL GÓMEZ JARAMILLO "/>
    <s v="Cédula de Ciudadanía"/>
    <n v="15384344"/>
    <s v="saul.gomez@hotmai.es"/>
    <n v="3148500297"/>
    <x v="19"/>
    <n v="15384344"/>
    <d v="2025-05-27T00:00:00"/>
    <s v="3:55 p.m"/>
    <n v="2"/>
    <n v="106.666"/>
    <s v="si "/>
    <s v="PLANEAR"/>
    <s v="2.5.1 Archivo o retención documental del Sistema de Gestión en Seguridad y Salud en el Trabajo SG-SST"/>
    <n v="2"/>
    <s v="se realiza diligenciamiento del numeral documental del hacer,la señora tiene poco conocimiento en computadores."/>
    <d v="2025-05-30T00:00:00"/>
    <n v="3"/>
    <n v="8"/>
    <s v="ACTIVO"/>
  </r>
  <r>
    <d v="2025-06-03T00:00:00"/>
    <m/>
    <m/>
    <s v="MARTES"/>
    <s v="TU EMPRESA SEGURA"/>
    <s v="LUZ"/>
    <s v="SAUL GÓMEZ JARAMILLO "/>
    <s v="Cédula de Ciudadanía"/>
    <n v="15384344"/>
    <s v="saul.gomez@hotmai.es"/>
    <n v="3148500297"/>
    <x v="19"/>
    <n v="15384344"/>
    <d v="2025-06-03T00:00:00"/>
    <s v="3:55 p.m"/>
    <n v="2"/>
    <n v="106.666"/>
    <s v="si "/>
    <s v="PLANEAR"/>
    <s v="2.1.1 Política del Sistema de Gestión de Seguridad y Salud en el Trabajo SG-SST firmada, fechada y comunicada al COPASST"/>
    <n v="1"/>
    <s v="se realiza creacion de usuarios,firma de los mismos,firma de numeral 1.1.1 , se realiza numeral de politica y lo socializara,le queda como tarea subir numeral 1.1.4 y socializar politica,el perfil ok,se adelanta cronograma ."/>
    <d v="2025-05-30T00:00:00"/>
    <n v="4"/>
    <n v="8"/>
    <s v="ACTIVO"/>
  </r>
  <r>
    <d v="2025-03-08T00:00:00"/>
    <s v="MARZO"/>
    <n v="3"/>
    <s v="JUEVES"/>
    <s v="TU EMPRESA SEGURA"/>
    <s v="LUZ"/>
    <s v="MANDIRELIS FLOREZ MARIN"/>
    <s v="Cédula de Ciudadanía"/>
    <n v="39453906"/>
    <s v="mandy.f.m@hotmail.com"/>
    <n v="3128523870"/>
    <x v="20"/>
    <n v="901590411"/>
    <d v="2025-04-29T00:00:00"/>
    <s v="9:00a, m."/>
    <n v="2"/>
    <n v="106.666"/>
    <s v="si "/>
    <s v="PLANEAR"/>
    <s v="1.0.1 Firma de Términos y Condiciones"/>
    <n v="1"/>
    <s v="Se actualiza perfilsociodemografico,firma de terminos y condiciones,presentacion del programa."/>
    <d v="2025-05-30T00:00:00"/>
    <n v="83"/>
    <n v="23"/>
    <s v="ACTIVO"/>
  </r>
  <r>
    <d v="2025-04-24T00:00:00"/>
    <m/>
    <m/>
    <s v="JUEVES"/>
    <s v="TU EMPRESA SEGURA"/>
    <s v="LUZ"/>
    <s v="MANDIRELIS FLOREZ MARIN"/>
    <s v="Cédula de Ciudadanía"/>
    <n v="39453906"/>
    <s v="mandy.f.m@hotmail.com"/>
    <n v="3128523870"/>
    <x v="20"/>
    <n v="901590411"/>
    <s v=" 24/04/2025"/>
    <s v="9:00a, m."/>
    <n v="2"/>
    <n v="106.666"/>
    <s v="si "/>
    <s v="PLANEAR"/>
    <s v="1.0.4 Acompañamiiento/Asesoría sobre SGSST"/>
    <n v="2"/>
    <s v="Se reprograma por fuertes lluvias no hay internet y se le dificulta conectarse.el dia 29 de abril se actualiza perfil de empresa,firma de terminos y condiciones,presentacion del programa se le solicita rut,camara y comercio,logo de la empresa y afiliaciones EPS YARL."/>
    <d v="2025-05-30T00:00:00"/>
    <n v="36"/>
    <n v="23"/>
    <s v="ACTIVO"/>
  </r>
  <r>
    <d v="2025-03-15T00:00:00"/>
    <m/>
    <m/>
    <s v="JUEVES"/>
    <s v="TU EMPRESA SEGURA"/>
    <s v="LUZ"/>
    <s v="MANDIRELIS FLOREZ MARIN"/>
    <s v="Cédula de Ciudadanía"/>
    <n v="39453906"/>
    <s v="mandy.f.m@hotmail.com"/>
    <n v="3128523870"/>
    <x v="20"/>
    <n v="901590411"/>
    <d v="2025-05-13T00:00:00"/>
    <s v="9:00a, m."/>
    <n v="2"/>
    <n v="106.666"/>
    <s v="no "/>
    <s v="PLANEAR"/>
    <s v="1.0.0 Bienvenida"/>
    <n v="1"/>
    <s v="Bienvenida, Revisión de fechas para agenda de espacios,  la agenda del CRM de analista aparece como cliente los martes a la 1:50pm,pero en agenda de correo no existe y en agenda CRM de agenda extendida las fechas no concuerdan con calendario 2025."/>
    <d v="2025-05-30T00:00:00"/>
    <n v="76"/>
    <n v="23"/>
    <s v="ACTIVO"/>
  </r>
  <r>
    <d v="2025-03-22T00:00:00"/>
    <m/>
    <m/>
    <s v="JUEVES"/>
    <s v="TU EMPRESA SEGURA"/>
    <s v="LUZ"/>
    <s v="MANDIRELIS FLOREZ MARIN"/>
    <s v="Cédula de Ciudadanía"/>
    <n v="39453906"/>
    <s v="mandy.f.m@hotmail.com"/>
    <n v="3128523870"/>
    <x v="20"/>
    <n v="901590411"/>
    <d v="2025-05-20T00:00:00"/>
    <s v="9:00a, m."/>
    <n v="2"/>
    <n v="106.666"/>
    <s v="no "/>
    <s v="PLANEAR"/>
    <s v="1.0.4 Acompañamiiento/Asesoría sobre SGSST"/>
    <n v="2"/>
    <s v="Solicita via whatsapp que se cancele el beneficio por desolucion de empresa "/>
    <d v="2025-05-30T00:00:00"/>
    <n v="69"/>
    <n v="23"/>
    <s v="ACTIVO"/>
  </r>
  <r>
    <d v="2025-03-15T00:00:00"/>
    <s v="MARZO"/>
    <n v="3"/>
    <s v="JUEVES"/>
    <s v="TU EMPRESA SEGURA"/>
    <s v="LUZ"/>
    <s v="JAVIER IGNACIO GARCIA GARCIA"/>
    <s v="Cédula de Ciudadanía"/>
    <n v="15380272"/>
    <s v="teccons@hotmail.com"/>
    <n v="3113177651"/>
    <x v="21"/>
    <n v="900709843"/>
    <d v="2025-05-15T00:00:00"/>
    <s v="3:55p. m."/>
    <n v="5"/>
    <n v="213000"/>
    <s v="si "/>
    <s v="PLANEAR"/>
    <s v="1.1.4 Afiliación al Sistema General de Riesgos Laborales"/>
    <n v="0.5"/>
    <s v="Se realiza el perfilsociodemografico,se le enviara correo de verificacion para montar el numeral 1.1.4."/>
    <d v="2025-05-30T00:00:00"/>
    <n v="76"/>
    <n v="2"/>
    <s v="ACTIVO"/>
  </r>
  <r>
    <d v="2025-03-28T00:00:00"/>
    <m/>
    <m/>
    <s v="VIERNES "/>
    <s v="TU EMPRESA SEGURA"/>
    <s v="Cristhian"/>
    <s v="JAVIER IGNACIO GARCIA GARCIA"/>
    <s v="Cédula de Ciudadanía"/>
    <n v="15380272"/>
    <s v="teccons@hotmail.com"/>
    <n v="3113177651"/>
    <x v="21"/>
    <n v="900709843"/>
    <d v="2025-03-28T00:00:00"/>
    <s v="3:55p. m."/>
    <n v="5"/>
    <n v="213000"/>
    <s v="si "/>
    <s v="PLANEAR"/>
    <s v="1.0.0 Bienvenida"/>
    <n v="1"/>
    <s v="Bienvenida, el dia viernes 21 de marzo se llamo a la empresa para validar la llegada del correo electronico con el usuario y la contraseña a lo cual indicaron que si les llego y que no han tenido ningun inconveniente "/>
    <d v="2025-05-30T00:00:00"/>
    <n v="63"/>
    <n v="2"/>
    <s v="ACTIVO"/>
  </r>
  <r>
    <d v="2025-04-04T00:00:00"/>
    <m/>
    <m/>
    <s v="VIERNES "/>
    <s v="TU EMPRESA SEGURA"/>
    <s v="Cristhian"/>
    <s v="JAVIER IGNACIO GARCIA GARCIA"/>
    <s v="Cédula de Ciudadanía"/>
    <n v="15380272"/>
    <s v="teccons@hotmail.com"/>
    <n v="3113177651"/>
    <x v="21"/>
    <n v="900709843"/>
    <d v="2025-04-04T00:00:00"/>
    <s v="3:55p. m."/>
    <n v="5"/>
    <n v="213000"/>
    <s v="si "/>
    <s v="PLANEAR"/>
    <s v="0. No conexión"/>
    <n v="0"/>
    <m/>
    <d v="2025-05-30T00:00:00"/>
    <n v="56"/>
    <n v="2"/>
    <s v="ACTIVO"/>
  </r>
  <r>
    <d v="2025-04-11T00:00:00"/>
    <m/>
    <m/>
    <s v="VIERNES "/>
    <s v="TU EMPRESA SEGURA"/>
    <s v="Cristhian"/>
    <s v="JAVIER IGNACIO GARCIA GARCIA"/>
    <s v="Cédula de Ciudadanía"/>
    <n v="15380272"/>
    <s v="teccons@hotmail.com"/>
    <n v="3113177651"/>
    <x v="21"/>
    <n v="900709843"/>
    <d v="2025-04-11T00:00:00"/>
    <s v="3:55p. m."/>
    <n v="5"/>
    <n v="213000"/>
    <s v="si "/>
    <s v="PLANEAR"/>
    <s v="0. No conexión"/>
    <n v="0"/>
    <m/>
    <d v="2025-05-30T00:00:00"/>
    <n v="49"/>
    <n v="2"/>
    <s v="ACTIVO"/>
  </r>
  <r>
    <d v="2025-04-18T00:00:00"/>
    <m/>
    <m/>
    <s v="VIERNES "/>
    <s v="TU EMPRESA SEGURA"/>
    <s v="LUZ"/>
    <s v="JAVIER IGNACIO GARCIA GARCIA"/>
    <s v="Cédula de Ciudadanía"/>
    <n v="15380272"/>
    <s v="teccons@hotmail.com"/>
    <n v="3113177651"/>
    <x v="21"/>
    <n v="900709843"/>
    <d v="2025-04-18T00:00:00"/>
    <s v="3:55p. m."/>
    <n v="5"/>
    <n v="213000"/>
    <s v="no "/>
    <s v="PLANEAR"/>
    <s v="1.0.4 Acompañamiiento/Asesoría sobre SGSST"/>
    <n v="2"/>
    <s v="Empieza Ccon Luz estrada el 24 de abril del 2025,antes estaba con otro analista."/>
    <d v="2025-05-30T00:00:00"/>
    <n v="42"/>
    <n v="2"/>
    <s v="ACTIVO"/>
  </r>
  <r>
    <d v="2025-04-24T00:00:00"/>
    <m/>
    <m/>
    <s v="JUEVES"/>
    <s v="TU EMPRESA SEGURA"/>
    <s v="LUZ"/>
    <s v="JAVIER IGNACIO GARCIA GARCIA"/>
    <s v="Cédula de Ciudadanía"/>
    <n v="15380272"/>
    <s v="teccons@hotmail.com"/>
    <n v="3113177651"/>
    <x v="21"/>
    <n v="900709843"/>
    <s v=" 24/04/2025"/>
    <s v="3:55p. m."/>
    <n v="5"/>
    <n v="213000"/>
    <s v="si "/>
    <s v="PLANEAR"/>
    <s v="1.0.1 Firma de Términos y Condiciones"/>
    <n v="1"/>
    <s v="Ya cuenta con terminos y condiciones firmado,cuenta con contraseñay usuario,PENDIENTE POR ENVIIAR :Rut camara y comercio,rut,afiliacion a EPS y ARL ,Logo de la empresa."/>
    <d v="2025-05-30T00:00:00"/>
    <n v="36"/>
    <n v="2"/>
    <s v="ACTIVO"/>
  </r>
  <r>
    <d v="2025-03-08T00:00:00"/>
    <m/>
    <m/>
    <s v="JUEVES"/>
    <s v="TU EMPRESA SEGURA"/>
    <s v="LUZ"/>
    <s v="JAVIER IGNACIO GARCIA GARCIA"/>
    <s v="Cédula de Ciudadanía"/>
    <n v="15380272"/>
    <s v="teccons@hotmail.com"/>
    <n v="3113177651"/>
    <x v="21"/>
    <n v="900709843"/>
    <d v="2025-05-08T00:00:00"/>
    <s v="3:55p. m."/>
    <n v="5"/>
    <n v="213000"/>
    <s v="si "/>
    <s v="PLANEAR"/>
    <s v="1.1.4 Afiliación al Sistema General de Riesgos Laborales"/>
    <n v="0.5"/>
    <s v="Se realiza revision de terminos y condiciones,se explica tema de 1.4.1 ."/>
    <d v="2025-05-30T00:00:00"/>
    <n v="83"/>
    <n v="2"/>
    <s v="ACTIVO"/>
  </r>
  <r>
    <d v="2025-03-22T00:00:00"/>
    <m/>
    <m/>
    <s v="JUEVES"/>
    <s v="TU EMPRESA SEGURA"/>
    <s v="LUZ"/>
    <s v="JAVIER IGNACIO GARCIA GARCIA"/>
    <s v="Cédula de Ciudadanía"/>
    <n v="15380272"/>
    <s v="teccons@hotmail.com"/>
    <n v="3113177651"/>
    <x v="21"/>
    <n v="900709843"/>
    <d v="2025-05-22T00:00:00"/>
    <s v="3:55p. m."/>
    <n v="5"/>
    <n v="213000"/>
    <s v="no "/>
    <s v="PLANEAR"/>
    <s v="0. No conexión"/>
    <n v="0"/>
    <s v="Esta indispuesto de igual forma la grabacion se llevo acabo y se sube el reporte de su mensaje por medio de Whatsapp."/>
    <d v="2025-05-30T00:00:00"/>
    <n v="69"/>
    <n v="2"/>
    <s v="ACTIVO"/>
  </r>
  <r>
    <d v="2025-03-29T00:00:00"/>
    <m/>
    <m/>
    <s v="JUEVES"/>
    <s v="TU EMPRESA SEGURA"/>
    <s v="LUZ"/>
    <s v="JAVIER IGNACIO GARCIA GARCIA"/>
    <s v="Cédula de Ciudadanía"/>
    <n v="15380272"/>
    <s v="teccons@hotmail.com"/>
    <n v="3113177651"/>
    <x v="21"/>
    <n v="900709843"/>
    <d v="2025-05-29T00:00:00"/>
    <s v="3:55p. m."/>
    <n v="5"/>
    <n v="213000"/>
    <s v="si "/>
    <s v="PLANEAR"/>
    <s v="1.0.6 Diagnóstico del Sistema de Gestión de Seguridad y Salud en el Trabajo (SG-SST) 0312 DE 2019"/>
    <n v="2"/>
    <s v="Se realiza la evaluacion inicial CRITICO,se solicita documentos de rut,camara y comercio y terminos y condiciones en PDF."/>
    <d v="2025-05-30T00:00:00"/>
    <n v="62"/>
    <n v="2"/>
    <s v="ACTIVO"/>
  </r>
  <r>
    <d v="2025-05-06T00:00:00"/>
    <m/>
    <m/>
    <s v="JUEVES"/>
    <s v="TU EMPRESA SEGURA"/>
    <s v="LUZ"/>
    <s v="JAVIER IGNACIO GARCIA GARCIA"/>
    <s v="Cédula de Ciudadanía"/>
    <n v="15380272"/>
    <s v="teccons@hotmail.com"/>
    <n v="3113177651"/>
    <x v="21"/>
    <n v="900709843"/>
    <d v="2025-06-05T00:00:00"/>
    <s v="3:55p. m."/>
    <n v="5"/>
    <n v="213000"/>
    <s v="no "/>
    <s v="PLANEAR"/>
    <s v="1.0.9 Savanna Ruta de Bienestar "/>
    <n v="4"/>
    <s v="refiere que tiene cita medica y no le daria para la conexion,enviara correo."/>
    <d v="2025-05-30T00:00:00"/>
    <n v="24"/>
    <n v="2"/>
    <s v="ACTIVO"/>
  </r>
  <r>
    <d v="2025-06-05T00:00:00"/>
    <m/>
    <m/>
    <s v="JUEVES"/>
    <s v="TU EMPRESA SEGURA"/>
    <s v="LUZ"/>
    <s v="JAVIER IGNACIO GARCIA GARCIA"/>
    <s v="Cédula de Ciudadanía"/>
    <n v="15380272"/>
    <s v="teccons@hotmail.com"/>
    <n v="3113177651"/>
    <x v="21"/>
    <n v="900709843"/>
    <d v="2025-06-05T00:00:00"/>
    <s v="3:55p. m."/>
    <n v="5"/>
    <n v="213000"/>
    <s v="no "/>
    <s v="PLANEAR"/>
    <s v="2.5.1 Archivo o retención documental del Sistema de Gestión en Seguridad y Salud en el Trabajo SG-SST"/>
    <n v="2"/>
    <s v="refiere que tiene cita medica y no le daria para la conexion,enviara correo."/>
    <d v="2025-05-30T00:00:00"/>
    <n v="6"/>
    <n v="2"/>
    <s v="ACTIVO"/>
  </r>
  <r>
    <d v="2025-03-01T00:00:00"/>
    <s v="MARZO"/>
    <n v="3"/>
    <s v="JUEVES"/>
    <s v="TU EMPRESA SEGURA"/>
    <s v="LUZ"/>
    <s v="YURANI ANDREA MADRID MORALES "/>
    <s v="Cédula de Ciudadanía"/>
    <n v="1039681747"/>
    <s v="Yurandra198720@gmail.com"/>
    <n v="3136884875"/>
    <x v="22"/>
    <n v="1039681747"/>
    <d v="2025-05-08T00:00:00"/>
    <s v="7:15 a.m"/>
    <n v="3"/>
    <n v="106.666"/>
    <s v="si "/>
    <s v="PLANEAR"/>
    <s v="1.1.1. Responsable del Sistema de Gestión de Seguridad y Salud en el Trabajo SG-SST"/>
    <n v="0.5"/>
    <s v="Se diligencia responsabilidades,se adelanta tema de archivo documental,se envia correo de como montar evidencia de afiliacion,como realizar el perfilsociodemografico."/>
    <d v="2025-05-30T00:00:00"/>
    <n v="90"/>
    <n v="4"/>
    <s v="ACTIVO"/>
  </r>
  <r>
    <d v="2025-04-24T00:00:00"/>
    <m/>
    <m/>
    <s v="JUEVES"/>
    <s v="TU EMPRESA SEGURA"/>
    <s v="LUZ"/>
    <s v="YURANI ANDREA MADRID MORALES "/>
    <s v="Cédula de Ciudadanía"/>
    <n v="1039681747"/>
    <s v="Yurandra198720@gmail.com"/>
    <n v="3136884875"/>
    <x v="22"/>
    <n v="1039681747"/>
    <s v=" 24/04/2025"/>
    <s v="7:15 a.m"/>
    <n v="3"/>
    <n v="106.666"/>
    <s v="si "/>
    <s v="PLANEAR"/>
    <s v="1.0.0 Bienvenida"/>
    <n v="1"/>
    <s v="se reprograma 24-04-2025 2.25pm,Este encuentro se trato de como funciona la plataforma desde mi usuario(luz)ella no contaba con contraseña,debe firmar terminos y condiciones y actualizar empresa."/>
    <d v="2025-05-30T00:00:00"/>
    <n v="36"/>
    <n v="4"/>
    <s v="ACTIVO"/>
  </r>
  <r>
    <d v="2025-03-08T00:00:00"/>
    <m/>
    <m/>
    <s v="JUEVES"/>
    <s v="TU EMPRESA SEGURA"/>
    <s v="LUZ"/>
    <s v="YURANI ANDREA MADRID MORALES "/>
    <s v="Cédula de Ciudadanía"/>
    <n v="1039681747"/>
    <s v="Yurandra198720@gmail.com"/>
    <n v="3136884875"/>
    <x v="22"/>
    <n v="1039681747"/>
    <d v="2025-05-15T00:00:00"/>
    <s v="7:15 a.m"/>
    <n v="3"/>
    <n v="106.666"/>
    <s v="si "/>
    <s v="PLANEAR"/>
    <s v="2.5.1 Archivo o retención documental del Sistema de Gestión en Seguridad y Salud en el Trabajo SG-SST"/>
    <n v="2"/>
    <s v="La señora yurani refiere que es anciosa y por ende no entendio mucho el correo de subir evidencias y se adelanto tema archivo documental se termina todo el planear."/>
    <d v="2025-05-30T00:00:00"/>
    <n v="83"/>
    <n v="4"/>
    <s v="ACTIVO"/>
  </r>
  <r>
    <d v="2025-03-15T00:00:00"/>
    <m/>
    <m/>
    <s v="JUEVES"/>
    <s v="TU EMPRESA SEGURA"/>
    <s v="LUZ"/>
    <s v="YURANI ANDREA MADRID MORALES "/>
    <s v="Cédula de Ciudadanía"/>
    <n v="1039681747"/>
    <s v="Yurandra198720@gmail.com"/>
    <n v="3136884875"/>
    <x v="22"/>
    <n v="1039681747"/>
    <d v="2025-05-22T00:00:00"/>
    <s v="7:15 a.m"/>
    <n v="3"/>
    <n v="106.666"/>
    <s v="si "/>
    <s v="PLANEAR"/>
    <s v="1.0.1 Firma de Términos y Condiciones"/>
    <n v="1"/>
    <s v="Se firman terminos y condiciones y nos envia PDF,se actualiza empresa y documentacion,se realiza evaluacion inicial(CRITICO)"/>
    <d v="2025-05-30T00:00:00"/>
    <n v="76"/>
    <n v="4"/>
    <s v="ACTIVO"/>
  </r>
  <r>
    <d v="2025-03-22T00:00:00"/>
    <m/>
    <m/>
    <s v="JUEVES"/>
    <s v="TU EMPRESA SEGURA"/>
    <s v="LUZ"/>
    <s v="YURANI ANDREA MADRID MORALES "/>
    <s v="Cédula de Ciudadanía"/>
    <n v="1039681747"/>
    <s v="Yurandra198720@gmail.com"/>
    <n v="3136884875"/>
    <x v="22"/>
    <n v="1039681747"/>
    <d v="2025-05-29T00:00:00"/>
    <s v="7:15 a.m"/>
    <n v="3"/>
    <n v="106.666"/>
    <s v="si "/>
    <s v="PLANEAR"/>
    <s v="1.1.1. Responsable del Sistema de Gestión de Seguridad y Salud en el Trabajo SG-SST"/>
    <n v="0.5"/>
    <s v="Se reporgrama para EL 30 DE MAYO una exepcion por temas electricos del dia enterior en sistergra,se realiza 2.5.1 no es claro para ella documentar,compartir terminos y condiciones por correo,firma de responsable y funciones,firma de politica y porceder a divulgar,subir firma al sistema,actualizacion de datos."/>
    <d v="2025-05-30T00:00:00"/>
    <n v="69"/>
    <n v="4"/>
    <s v="ACTIVO"/>
  </r>
  <r>
    <d v="2025-03-22T00:00:00"/>
    <m/>
    <m/>
    <s v="JUEVES"/>
    <s v="TU EMPRESA SEGURA"/>
    <s v="LUZ"/>
    <s v="YURANI ANDREA MADRID MORALES "/>
    <s v="Cédula de Ciudadanía"/>
    <n v="1039681747"/>
    <s v="Yurandra198720@gmail.com"/>
    <n v="3136884875"/>
    <x v="22"/>
    <n v="1039681747"/>
    <d v="2025-05-29T00:00:00"/>
    <s v="7:15 a.m"/>
    <n v="3"/>
    <n v="106.666"/>
    <s v="si "/>
    <s v="PLANEAR"/>
    <s v="2.1.1 Política del Sistema de Gestión de Seguridad y Salud en el Trabajo SG-SST firmada, fechada y comunicada al COPASST"/>
    <n v="1"/>
    <s v="Se reporgrama para EL 30 DE MAYO una exepcion por temas electricos del dia enterior en sistergra,se realiza 2.5.1 no es claro para ella documentar,compartir terminos y condiciones por correo,firma de responsable y funciones,firma de politica y porceder a divulgar,subir firma al sistema,actualizacion de datos."/>
    <d v="2025-05-30T00:00:00"/>
    <n v="69"/>
    <n v="4"/>
    <s v="ACTIVO"/>
  </r>
  <r>
    <d v="2025-03-29T00:00:00"/>
    <m/>
    <m/>
    <s v="JUEVES"/>
    <s v="TU EMPRESA SEGURA"/>
    <s v="LUZ"/>
    <s v="YURANI ANDREA MADRID MORALES "/>
    <s v="Cédula de Ciudadanía"/>
    <n v="1039681747"/>
    <s v="Yurandra198720@gmail.com"/>
    <n v="3136884875"/>
    <x v="22"/>
    <n v="1039681747"/>
    <d v="2025-06-05T00:00:00"/>
    <s v="7:15 a.m"/>
    <n v="3"/>
    <n v="106.666"/>
    <s v="si "/>
    <s v="PLANEAR"/>
    <s v="2.5.1 Archivo o retención documental del Sistema de Gestión en Seguridad y Salud en el Trabajo SG-SST"/>
    <n v="2"/>
    <s v="le queda como tarea realizar el perfil,modificar el 2.5.1 del planear,socializar la politica y actualizar datos,se realiza socializacion del cronograma de trabajo segun la 0312."/>
    <d v="2025-05-30T00:00:00"/>
    <n v="62"/>
    <n v="4"/>
    <s v="ACTIVO"/>
  </r>
  <r>
    <d v="2025-03-26T00:00:00"/>
    <s v="MARZO"/>
    <n v="3"/>
    <s v="MIERCOLES"/>
    <s v="TU EMPRESA SEGURA"/>
    <s v="Cristhian"/>
    <s v="SANDRA MILENA ARANGO JARAMILLO"/>
    <s v="Cédula de Ciudadanía"/>
    <n v="39189386"/>
    <s v="sandra.arango@urantus.com"/>
    <n v="3022152280"/>
    <x v="23"/>
    <n v="901268585"/>
    <d v="2025-03-26T00:00:00"/>
    <s v="9:00AM"/>
    <n v="5"/>
    <n v="213000"/>
    <s v="si "/>
    <s v="PLANEAR"/>
    <s v="1.0.0 Bienvenida"/>
    <n v="1"/>
    <s v="Bienvenida al programa, se le explica detalladamente en que consiste y la duración estimada, se Indica cómo firmar los términos y condiciones, se agenda la reunión periódica, semanal, los viernes de 10:40 a 11:25Am "/>
    <d v="2025-05-30T00:00:00"/>
    <n v="65"/>
    <n v="9"/>
    <s v="ACTIVO"/>
  </r>
  <r>
    <d v="2025-03-28T00:00:00"/>
    <m/>
    <m/>
    <s v="VIERNES "/>
    <s v="TU EMPRESA SEGURA"/>
    <s v="Cristhian"/>
    <s v="SANDRA MILENA ARANGO JARAMILLO"/>
    <s v="Cédula de Ciudadanía"/>
    <n v="39189386"/>
    <s v="sandra.arango@urantus.com"/>
    <n v="3022152280"/>
    <x v="23"/>
    <n v="901268585"/>
    <d v="2025-03-28T00:00:00"/>
    <n v="0.44444444444444442"/>
    <n v="5"/>
    <n v="213000"/>
    <s v="si "/>
    <s v="PLANEAR"/>
    <s v="1.0.1 Firma de Términos y Condiciones"/>
    <n v="1"/>
    <s v="Se reviso la firma de aceptación de términos y condiciones y se inicia el diagnostico de madurez"/>
    <d v="2025-05-30T00:00:00"/>
    <n v="63"/>
    <n v="9"/>
    <s v="ACTIVO"/>
  </r>
  <r>
    <d v="2025-04-04T00:00:00"/>
    <m/>
    <m/>
    <s v="VIERNES "/>
    <s v="TU EMPRESA SEGURA"/>
    <s v="Cristhian"/>
    <s v="SANDRA MILENA ARANGO JARAMILLO"/>
    <s v="Cédula de Ciudadanía"/>
    <n v="39189386"/>
    <s v="sandra.arango@urantus.com"/>
    <n v="3022152280"/>
    <x v="23"/>
    <n v="901268585"/>
    <d v="2025-04-04T00:00:00"/>
    <n v="0.44444444444444442"/>
    <n v="5"/>
    <n v="213000"/>
    <s v="si "/>
    <s v="PLANEAR"/>
    <s v="1.0.5 Diagnóstico de Madurez"/>
    <n v="3"/>
    <s v="Se aclaran dudas sobre el diagnostico de madurez, se avanza, se retrasa mucho el avance ya que la señora realiza preguntas sobre cada ITEM"/>
    <d v="2025-05-30T00:00:00"/>
    <n v="56"/>
    <n v="9"/>
    <s v="ACTIVO"/>
  </r>
  <r>
    <d v="2025-04-11T00:00:00"/>
    <m/>
    <m/>
    <s v="VIERNES "/>
    <s v="TU EMPRESA SEGURA"/>
    <s v="Cristhian"/>
    <s v="SANDRA MILENA ARANGO JARAMILLO"/>
    <s v="Cédula de Ciudadanía"/>
    <n v="39189386"/>
    <s v="sandra.arango@urantus.com"/>
    <n v="3022152280"/>
    <x v="23"/>
    <n v="901268585"/>
    <d v="2025-04-11T00:00:00"/>
    <n v="0.44444444444444442"/>
    <n v="5"/>
    <n v="213000"/>
    <s v="si "/>
    <s v="PLANEAR"/>
    <s v="1.0.5 Diagnóstico de Madurez"/>
    <n v="3"/>
    <s v="Finalmente culmina el diagnostico ya que la señora presentaba inquietudes en cada uno de los items de la ultima encuesta del diagnostico"/>
    <d v="2025-05-30T00:00:00"/>
    <n v="49"/>
    <n v="9"/>
    <s v="ACTIVO"/>
  </r>
  <r>
    <d v="2025-04-24T00:00:00"/>
    <m/>
    <m/>
    <s v="JUEVES"/>
    <s v="TU EMPRESA SEGURA"/>
    <s v="LUZ"/>
    <s v="SANDRA MILENA ARANGO JARAMILLO"/>
    <s v="Cédula de Ciudadanía"/>
    <n v="39189386"/>
    <s v="sandra.arango@urantus.com"/>
    <n v="3022152280"/>
    <x v="23"/>
    <n v="901268585"/>
    <d v="2025-04-24T00:00:00"/>
    <s v="11:30 a.m"/>
    <n v="5"/>
    <n v="213000"/>
    <s v="si "/>
    <s v="PLANEAR"/>
    <s v="2.5.1 Archivo o retención documental del Sistema de Gestión en Seguridad y Salud en el Trabajo SG-SST"/>
    <n v="2"/>
    <s v="La señora sandra informa que con el analista cristian,realizo firma en documento de terminos y condiciones y se le brindo la informacion del programa de TU EMPRESA SEGURA,Hoy 24 de abril se le realiza actualizacion de la empresa,se le solicita documentos de rut,camara y comercio ,logo,arl,eps,se le informa la importancia de la codificacion de documentos y el numeral 2.5.1.ELLA SOLICITA DOCUMENTOS FISICOS PORQUE NO ES DEL AREA DE SST,ENTONCES NO LE ES FACIL ENTENDER LOS PROCESOS."/>
    <d v="2025-05-30T00:00:00"/>
    <n v="36"/>
    <n v="9"/>
    <s v="ACTIVO"/>
  </r>
  <r>
    <d v="2025-04-28T00:00:00"/>
    <m/>
    <m/>
    <s v="JUEVES"/>
    <s v="TU EMPRESA SEGURA"/>
    <s v="LUZ"/>
    <s v="SANDRA MILENA ARANGO JARAMILLO"/>
    <s v="Cédula de Ciudadanía"/>
    <n v="39189386"/>
    <s v="sandra.arango@urantus.com"/>
    <n v="3022152280"/>
    <x v="23"/>
    <n v="901268585"/>
    <d v="2025-04-28T00:00:00"/>
    <m/>
    <n v="5"/>
    <n v="213000"/>
    <s v="no "/>
    <s v="PLANEAR"/>
    <s v="1.0.9 Savanna Ruta de Bienestar "/>
    <n v="4"/>
    <s v="Festivo"/>
    <d v="2025-05-30T00:00:00"/>
    <n v="32"/>
    <n v="9"/>
    <s v="ACTIVO"/>
  </r>
  <r>
    <d v="2025-05-01T00:00:00"/>
    <m/>
    <m/>
    <s v="JUEVES"/>
    <s v="TU EMPRESA SEGURA"/>
    <s v="LUZ"/>
    <s v="SANDRA MILENA ARANGO JARAMILLO"/>
    <s v="Cédula de Ciudadanía"/>
    <n v="39189386"/>
    <s v="sandra.arango@urantus.com"/>
    <n v="3022152280"/>
    <x v="23"/>
    <n v="901268585"/>
    <d v="2025-05-01T00:00:00"/>
    <s v="11:30 a.m"/>
    <n v="5"/>
    <n v="213000"/>
    <s v="no "/>
    <s v="PLANEAR"/>
    <s v="0. No conexión"/>
    <n v="0"/>
    <s v="Festivo"/>
    <d v="2025-05-30T00:00:00"/>
    <n v="29"/>
    <n v="9"/>
    <s v="ACTIVO"/>
  </r>
  <r>
    <d v="2025-05-08T00:00:00"/>
    <m/>
    <m/>
    <s v="JUEVES"/>
    <s v="TU EMPRESA SEGURA"/>
    <s v="LUZ"/>
    <s v="SANDRA MILENA ARANGO JARAMILLO"/>
    <s v="Cédula de Ciudadanía"/>
    <n v="39189386"/>
    <s v="sandra.arango@urantus.com"/>
    <n v="3022152280"/>
    <x v="23"/>
    <n v="901268585"/>
    <d v="2025-05-08T00:00:00"/>
    <s v="11:30 a.m"/>
    <n v="5"/>
    <n v="213000"/>
    <s v="si "/>
    <s v="PLANEAR"/>
    <s v="1.1.1. Responsable del Sistema de Gestión de Seguridad y Salud en el Trabajo SG-SST"/>
    <n v="0.5"/>
    <s v="Se reprogramo para el dia 9 de mayo por temas de salud de la señora,se brinda asesoria de responsabilidades sg-sst,se diligencian algunos documentos de archivo documental,se deja como tarea el perfilsociodemografico. "/>
    <d v="2025-05-30T00:00:00"/>
    <n v="22"/>
    <n v="9"/>
    <s v="ACTIVO"/>
  </r>
  <r>
    <d v="2025-05-15T00:00:00"/>
    <m/>
    <m/>
    <s v="JUEVES"/>
    <s v="TU EMPRESA SEGURA"/>
    <s v="LUZ"/>
    <s v="SANDRA MILENA ARANGO JARAMILLO"/>
    <s v="Cédula de Ciudadanía"/>
    <n v="39189386"/>
    <s v="sandra.arango@urantus.com"/>
    <n v="3022152280"/>
    <x v="23"/>
    <n v="901268585"/>
    <d v="2025-05-15T00:00:00"/>
    <s v="11:30 a.m"/>
    <n v="5"/>
    <n v="213000"/>
    <s v="si "/>
    <s v="PLANEAR"/>
    <s v="2.5.1 Archivo o retención documental del Sistema de Gestión en Seguridad y Salud en el Trabajo SG-SST"/>
    <n v="2"/>
    <s v="Se realiza numeral 2.5.1 ,solicita tutorial para realizar usuarios y firmas,ya realizo todos los documentos del copasst, pendiente evaluacion inicial."/>
    <d v="2025-05-30T00:00:00"/>
    <n v="15"/>
    <n v="9"/>
    <s v="ACTIVO"/>
  </r>
  <r>
    <d v="2025-05-22T00:00:00"/>
    <m/>
    <m/>
    <s v="JUEVES"/>
    <s v="TU EMPRESA SEGURA"/>
    <s v="LUZ"/>
    <s v="SANDRA MILENA ARANGO JARAMILLO"/>
    <s v="Cédula de Ciudadanía"/>
    <n v="39189386"/>
    <s v="sandra.arango@urantus.com"/>
    <n v="3022152280"/>
    <x v="23"/>
    <n v="901268585"/>
    <d v="2025-05-22T00:00:00"/>
    <s v="11:30 a.m"/>
    <n v="5"/>
    <n v="213000"/>
    <s v="si "/>
    <s v="PLANEAR"/>
    <s v="1.0.4 Acompañamiiento/Asesoría sobre SGSST"/>
    <n v="2"/>
    <s v="La señora sandra me informa que ya termino el numeral 2.5.1 y que adelanto todo lo del numeral del copasst ,adicional esta en diligenciamiento de recomendaciones medicas.El sistema no le deja firmar documentos,ni subir firma digital.Se programa diagnostico para el 29 de mayo del 2025"/>
    <d v="2025-05-30T00:00:00"/>
    <n v="8"/>
    <n v="9"/>
    <s v="ACTIVO"/>
  </r>
  <r>
    <d v="2025-05-29T00:00:00"/>
    <m/>
    <m/>
    <s v="JUEVES"/>
    <s v="TU EMPRESA SEGURA"/>
    <s v="LUZ"/>
    <s v="SANDRA MILENA ARANGO JARAMILLO"/>
    <s v="Cédula de Ciudadanía"/>
    <n v="39189386"/>
    <s v="sandra.arango@urantus.com"/>
    <n v="3022152280"/>
    <x v="23"/>
    <n v="901268585"/>
    <d v="2025-05-29T00:00:00"/>
    <s v="11:30 a.m"/>
    <n v="5"/>
    <n v="213000"/>
    <s v="si "/>
    <s v="PLANEAR"/>
    <s v="1.0.6 Diagnóstico del Sistema de Gestión de Seguridad y Salud en el Trabajo (SG-SST) 0312 DE 2019"/>
    <n v="2"/>
    <s v="se realiza el diagnostico inicial,"/>
    <d v="2025-05-30T00:00:00"/>
    <n v="1"/>
    <n v="9"/>
    <s v="ACTIVO"/>
  </r>
  <r>
    <d v="2025-06-05T00:00:00"/>
    <m/>
    <m/>
    <s v="JUEVES"/>
    <s v="TU EMPRESA SEGURA"/>
    <s v="LUZ"/>
    <s v="SANDRA MILENA ARANGO JARAMILLO"/>
    <s v="Cédula de Ciudadanía"/>
    <n v="39189386"/>
    <s v="sandra.arango@urantus.com"/>
    <n v="3022152280"/>
    <x v="23"/>
    <n v="901268585"/>
    <d v="2025-06-05T00:00:00"/>
    <s v="11:30 a.m"/>
    <n v="5"/>
    <n v="213000"/>
    <s v="si "/>
    <s v="PLANEAR"/>
    <s v="1.0.4 Acompañamiiento/Asesoría sobre SGSST"/>
    <n v="2"/>
    <m/>
    <d v="2025-05-30T00:00:00"/>
    <n v="6"/>
    <n v="9"/>
    <s v="ACTIVO"/>
  </r>
  <r>
    <d v="2025-04-04T00:00:00"/>
    <s v="ABRIL"/>
    <n v="2"/>
    <s v="VIERNES "/>
    <s v="TU EMPRESA SEGURA"/>
    <s v="Cristhian"/>
    <s v="VANESSA VARGAS ALZATE "/>
    <s v="Cédula de Ciudadanía"/>
    <n v="1037649854"/>
    <s v="avelicafe@gmail.com"/>
    <n v="3114323737"/>
    <x v="24"/>
    <n v="1037649854"/>
    <d v="2025-04-04T00:00:00"/>
    <s v="8:05a. m."/>
    <n v="2"/>
    <n v="106.666"/>
    <s v="si "/>
    <s v="PLANEAR"/>
    <s v="1.0.0 Bienvenida"/>
    <n v="1"/>
    <s v="el dia viernes 21 de marzo se llamo a la empresa para validar la llegada del correo electronico con el usuario y la contraseña a lo cual indicaron que si les llego y que no han tenido ningun inconveniente "/>
    <d v="2025-05-30T00:00:00"/>
    <n v="56"/>
    <n v="2"/>
    <s v="ACTIV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d v="2025-05-20T00:00:00"/>
    <s v="MAYO"/>
    <n v="1"/>
    <s v="MARTES"/>
    <s v="TU EMPRESA SEGURA"/>
    <s v="LUZ"/>
    <s v="ALEXIS PÉREZ GÓMEZ "/>
    <s v="Cédula de Ciudadanía"/>
    <n v="1040325965"/>
    <s v="contacto@villaclara.com.co"/>
    <n v="3132973915"/>
    <x v="0"/>
    <n v="901250630"/>
    <d v="2025-05-20T00:00:00"/>
    <s v="11:30 a.m"/>
    <x v="0"/>
    <n v="106.666"/>
    <s v="SI"/>
    <s v="PLANEAR"/>
    <s v="1.0.6 Diagnóstico del Sistema de Gestión de Seguridad y Salud en el Trabajo (SG-SST) 0312 DE 2019"/>
    <x v="0"/>
    <s v="No firmo firma de termminos y condiciones por temas de no tener contraseña y usuario,se le presenta el programa .se le realiza evaluacion inicial"/>
    <d v="2025-05-30T00:00:00"/>
    <n v="10"/>
    <e v="#REF!"/>
    <x v="0"/>
  </r>
  <r>
    <d v="2025-04-04T00:00:00"/>
    <s v="ABRIL"/>
    <n v="2"/>
    <s v="VIERNES "/>
    <s v="TU EMPRESA SEGURA"/>
    <s v="Juan Diego "/>
    <s v="MERCEDES CARVAJAL OSPINA "/>
    <s v="Cédula de Ciudadanía"/>
    <n v="21481666"/>
    <s v="mercedesemprendedora2023@gmail.com"/>
    <n v="3053436587"/>
    <x v="1"/>
    <n v="901817841"/>
    <d v="2025-04-04T00:00:00"/>
    <s v="11:30a.m"/>
    <x v="1"/>
    <n v="213000"/>
    <s v="SI"/>
    <s v="PLANEAR"/>
    <s v="1.0.4 Acompañamiiento/Asesoría sobre SGSST"/>
    <x v="0"/>
    <s v="el dia martes 1 de abril  se llamo a la empresa para poder validar si se peude contactar ya que s ehabia intentado anteriormente y no se habia logrado _x000a__x000a_Presentación del Programa: Registro Usuario y contraseña, términos y condiciones y se explica reporte de incidentes y accidentes ante la ARL"/>
    <d v="2025-05-30T00:00:00"/>
    <n v="56"/>
    <e v="#REF!"/>
    <x v="0"/>
  </r>
  <r>
    <d v="2025-04-11T00:00:00"/>
    <m/>
    <m/>
    <s v="VIERNES "/>
    <s v="TU EMPRESA SEGURA"/>
    <s v="Juan Diego "/>
    <s v="MERCEDES CARVAJAL OSPINA "/>
    <s v="Cédula de Ciudadanía"/>
    <n v="21481666"/>
    <s v="mercedesemprendedora2023@gmail.com"/>
    <n v="3053436587"/>
    <x v="1"/>
    <n v="901817841"/>
    <d v="2025-04-11T00:00:00"/>
    <s v="11:30a.m"/>
    <x v="1"/>
    <n v="213000"/>
    <s v="SI"/>
    <s v="PLANEAR"/>
    <s v="1.0.8 Ruta de Bienestar Savanna"/>
    <x v="1"/>
    <s v="Se presenta el programa de Savanna con la Psicóloga Lorena, La primera conexión con la empresa se tuvo el día 11 de abril se hablo sobre toda la parte psicosocial que brinda la empresa _x000a_-Savanna _x000a_-asesorías psicológicas _x000a_-Capacitaciones y talleres _x000a_Se brindo toda la información de Savanna, se mostró plataforma y se envió el Excel para diligenciar información de los empleados y crear usuario y contraseña _x000a_Se dio a conocer modalidad de asesorías psicológicas y la importancia de esta en las empresas _x000a_Y al finalizar se dio a conocer las múltiples capacitaciones psicosociales que podemos trabajar durante el año. "/>
    <d v="2025-05-30T00:00:00"/>
    <n v="49"/>
    <e v="#REF!"/>
    <x v="0"/>
  </r>
  <r>
    <d v="2025-04-18T00:00:00"/>
    <m/>
    <m/>
    <s v="VIERNES "/>
    <s v="TU EMPRESA SEGURA"/>
    <s v="Juan Diego "/>
    <s v="MERCEDES CARVAJAL OSPINA "/>
    <s v="Cédula de Ciudadanía"/>
    <n v="21481666"/>
    <s v="mercedesemprendedora2023@gmail.com"/>
    <n v="3053436587"/>
    <x v="1"/>
    <n v="901817841"/>
    <d v="2025-04-18T00:00:00"/>
    <s v="11:30a.m"/>
    <x v="1"/>
    <n v="213000"/>
    <s v="NO CONEXIÓN"/>
    <s v="PLANEAR"/>
    <s v="0.1 Trabajo autónomo analista en plataforma"/>
    <x v="2"/>
    <s v="DIA FESTIVO"/>
    <d v="2025-05-30T00:00:00"/>
    <n v="42"/>
    <e v="#REF!"/>
    <x v="0"/>
  </r>
  <r>
    <d v="2025-05-09T00:00:00"/>
    <m/>
    <m/>
    <s v="VIERNES "/>
    <s v="TU EMPRESA SEGURA"/>
    <s v="Juan Diego "/>
    <s v="MERCEDES CARVAJAL OSPINA "/>
    <s v="Cédula de Ciudadanía"/>
    <n v="21481666"/>
    <s v="mercedesemprendedora2023@gmail.com"/>
    <n v="3053436587"/>
    <x v="1"/>
    <n v="901817841"/>
    <d v="2025-05-09T00:00:00"/>
    <s v="11:30a.m"/>
    <x v="1"/>
    <n v="213000"/>
    <s v="SI"/>
    <s v="PLANEAR"/>
    <s v="1.1.1. Responsable del Sistema de Gestión de Seguridad y Salud en el Trabajo SG-SST"/>
    <x v="2"/>
    <s v="se inicia con la asignacion de responsable del SGSST y se continua con el procedimiento de gestion documental; se deja pendiente la realizacion de los examenes medicos ocupacionales"/>
    <d v="2025-05-30T00:00:00"/>
    <n v="21"/>
    <e v="#REF!"/>
    <x v="0"/>
  </r>
  <r>
    <d v="2025-05-16T00:00:00"/>
    <m/>
    <m/>
    <s v="VIERNES "/>
    <s v="TU EMPRESA SEGURA"/>
    <s v="Juan Diego "/>
    <s v="MERCEDES CARVAJAL OSPINA "/>
    <s v="Cédula de Ciudadanía"/>
    <n v="21481666"/>
    <s v="mercedesemprendedora2023@gmail.com"/>
    <n v="3053436587"/>
    <x v="1"/>
    <n v="901817841"/>
    <d v="2025-05-16T00:00:00"/>
    <s v="11:30a.m"/>
    <x v="1"/>
    <n v="213000"/>
    <s v="SI"/>
    <s v="PLANEAR"/>
    <s v="1.0.3 Navegando en  la plataforma y beneficios del programa"/>
    <x v="3"/>
    <s v="se realiza registro de empleados en plataforma"/>
    <d v="2025-05-30T00:00:00"/>
    <n v="14"/>
    <e v="#REF!"/>
    <x v="0"/>
  </r>
  <r>
    <d v="2025-05-30T00:00:00"/>
    <m/>
    <m/>
    <s v="VIERNES "/>
    <s v="TU EMPRESA SEGURA"/>
    <s v="Juan Diego "/>
    <s v="MERCEDES CARVAJAL OSPINA "/>
    <s v="Cédula de Ciudadanía"/>
    <n v="21481666"/>
    <s v="mercedesemprendedora2023@gmail.com"/>
    <n v="3053436587"/>
    <x v="1"/>
    <n v="901817841"/>
    <d v="2025-05-30T00:00:00"/>
    <s v="11:30a.m"/>
    <x v="1"/>
    <n v="213000"/>
    <s v="SI"/>
    <s v="PLANEAR"/>
    <s v="1.0.4 Acompañamiiento/Asesoría sobre SGSST"/>
    <x v="0"/>
    <s v="se consulta sobre estado de examenes médicos, se explican los tipos segun la normativa y se  asignan responsabilidades"/>
    <d v="2025-05-30T00:00:00"/>
    <n v="0"/>
    <e v="#REF!"/>
    <x v="0"/>
  </r>
  <r>
    <d v="2025-06-06T00:00:00"/>
    <m/>
    <m/>
    <s v="VIERNES "/>
    <s v="TU EMPRESA SEGURA"/>
    <s v="Juan Diego "/>
    <s v="MERCEDES CARVAJAL OSPINA "/>
    <s v="Cédula de Ciudadanía"/>
    <n v="21481666"/>
    <s v="mercedesemprendedora2023@gmail.com"/>
    <n v="3053436587"/>
    <x v="1"/>
    <n v="901817841"/>
    <d v="2025-06-06T00:00:00"/>
    <s v="11:30a.m"/>
    <x v="1"/>
    <n v="213000"/>
    <s v="SI"/>
    <s v="PLANEAR"/>
    <s v="1.0.4 Acompañamiiento/Asesoría sobre SGSST"/>
    <x v="0"/>
    <s v="Se realiza, acta de actividades de alto riesgo, se ingresan planillas de examenes medicos"/>
    <d v="2025-05-30T00:00:00"/>
    <n v="7"/>
    <e v="#REF!"/>
    <x v="0"/>
  </r>
  <r>
    <d v="2025-05-16T00:00:00"/>
    <m/>
    <m/>
    <s v="VIERNES "/>
    <s v="TU EMPRESA SEGURA"/>
    <s v="Juan Diego "/>
    <s v="MERCEDES CARVAJAL OSPINA "/>
    <s v="Cédula de Ciudadanía"/>
    <n v="21481666"/>
    <s v="mercedesemprendedora2023@gmail.com"/>
    <n v="3053436587"/>
    <x v="1"/>
    <n v="901817841"/>
    <d v="2025-05-16T00:00:00"/>
    <m/>
    <x v="1"/>
    <n v="213000"/>
    <s v="SI"/>
    <s v="PLANEAR"/>
    <s v="1.0.4 Acompañamiiento/Asesoría sobre SGSST"/>
    <x v="0"/>
    <s v="Se xplica la importancia de los examenes médicos, como hacer lagestion, y se empieza a registrar el personal"/>
    <d v="2025-05-30T00:00:00"/>
    <n v="14"/>
    <e v="#REF!"/>
    <x v="0"/>
  </r>
  <r>
    <d v="2025-03-28T00:00:00"/>
    <s v="MARZO"/>
    <n v="3"/>
    <s v="VIERNES "/>
    <s v="TU EMPRESA SEGURA"/>
    <s v="Cristhian"/>
    <s v="Ana Maria Campuzano Arboleda"/>
    <s v="Cédula de Ciudadanía"/>
    <n v="1007445947"/>
    <s v="anam_campuzano@hotmail.com"/>
    <n v="3217213077"/>
    <x v="2"/>
    <n v="1007445947"/>
    <d v="2025-03-28T00:00:00"/>
    <s v="11:30a.m"/>
    <x v="2"/>
    <n v="106.666"/>
    <s v="SI"/>
    <s v="PLANEAR"/>
    <s v="1.0.0 Bienvenida"/>
    <x v="3"/>
    <s v="Bienvenida al programa, se le explica detalladamente en que consiste y la duración estimada, se Indica cómo firmar los términos y condiciones, se agenda la reunión periódica, semanal, los viernes de 11:30 a 12:15pm"/>
    <d v="2025-05-30T00:00:00"/>
    <n v="63"/>
    <e v="#REF!"/>
    <x v="0"/>
  </r>
  <r>
    <d v="2025-04-04T00:00:00"/>
    <m/>
    <m/>
    <s v="VIERNES "/>
    <s v="TU EMPRESA SEGURA"/>
    <s v="Cristhian"/>
    <s v="Ana Maria Campuzano Arboleda"/>
    <s v="Cédula de Ciudadanía"/>
    <n v="1007445947"/>
    <s v="anam_campuzano@hotmail.com"/>
    <n v="3217213077"/>
    <x v="2"/>
    <n v="1007445947"/>
    <d v="2025-04-04T00:00:00"/>
    <s v="11:30a.m"/>
    <x v="2"/>
    <n v="106.666"/>
    <s v="SI"/>
    <s v="PLANEAR"/>
    <s v="1.0.5 Diagnóstico de Madurez"/>
    <x v="4"/>
    <s v="Se realiza el diagnostico de madurez"/>
    <d v="2025-05-30T00:00:00"/>
    <s v=" "/>
    <e v="#REF!"/>
    <x v="0"/>
  </r>
  <r>
    <d v="2025-04-11T00:00:00"/>
    <m/>
    <m/>
    <s v="VIERNES "/>
    <s v="TU EMPRESA SEGURA"/>
    <s v="Cristhian"/>
    <s v="Ana Maria Campuzano Arboleda"/>
    <s v="Cédula de Ciudadanía"/>
    <n v="1007445947"/>
    <s v="anam_campuzano@hotmail.com"/>
    <n v="3217213077"/>
    <x v="2"/>
    <n v="1007445947"/>
    <d v="2025-04-11T00:00:00"/>
    <s v="11:30a.m"/>
    <x v="2"/>
    <n v="106.666"/>
    <s v="SI"/>
    <s v="PLANEAR"/>
    <s v="1.0.6 Diagnóstico del Sistema de Gestión de Seguridad y Salud en el Trabajo (SG-SST) 0312 DE 2019"/>
    <x v="0"/>
    <s v="Se realiza la evaluacion inicial del sistema de gestion, se dan recomendaciones iniciales"/>
    <d v="2025-05-30T00:00:00"/>
    <n v="49"/>
    <e v="#REF!"/>
    <x v="0"/>
  </r>
  <r>
    <d v="2025-04-18T00:00:00"/>
    <m/>
    <m/>
    <s v="VIERNES "/>
    <s v="TU EMPRESA SEGURA"/>
    <s v="LUZ"/>
    <s v="Ana Maria Campuzano Arboleda"/>
    <s v="Cédula de Ciudadanía"/>
    <n v="1007445947"/>
    <s v="anam_campuzano@hotmail.com"/>
    <n v="3217213077"/>
    <x v="2"/>
    <n v="1007445947"/>
    <d v="2025-04-18T00:00:00"/>
    <s v="11:30a.m"/>
    <x v="2"/>
    <n v="106.666"/>
    <s v="NO"/>
    <s v="PLANEAR"/>
    <s v="1.0.4 Acompañamiiento/Asesoría sobre SGSST"/>
    <x v="0"/>
    <s v="El 24 de abril del 2025 me transfieren a Doña ana ,Era del analista Cristian. "/>
    <d v="2025-05-30T00:00:00"/>
    <n v="42"/>
    <e v="#REF!"/>
    <x v="0"/>
  </r>
  <r>
    <d v="2025-04-24T00:00:00"/>
    <m/>
    <m/>
    <s v="JUEVES"/>
    <s v="TU EMPRESA SEGURA"/>
    <s v="LUZ"/>
    <s v="Ana Maria Campuzano Arboleda"/>
    <s v="Cédula de Ciudadanía"/>
    <n v="1007445947"/>
    <s v="anam_campuzano@hotmail.com"/>
    <n v="3217213077"/>
    <x v="2"/>
    <n v="1007445947"/>
    <d v="2025-04-25T00:00:00"/>
    <s v="11:30a.m"/>
    <x v="2"/>
    <n v="106.666"/>
    <s v="SI"/>
    <s v="PLANEAR"/>
    <s v="1.0.1 Firma de Términos y Condiciones"/>
    <x v="3"/>
    <s v="La señora ana refiere que con en analista Cristian se realizo,Firma de documento de  terminos y condiciones,cuenta con contraseña y usuario,se le realizo el diagnostico inicial.Hoy 24 de abril,se le informanuevamente del programa,se actualiza informacion de empresa,se le solicita documentos rut ,camara y comercio etc,se le informa del procedimiento del archivo documental y su importancia para continuar diligenciando documentos y se le explica el numerar 1.1.4."/>
    <d v="2025-05-30T00:00:00"/>
    <n v="36"/>
    <e v="#REF!"/>
    <x v="0"/>
  </r>
  <r>
    <d v="2025-03-08T00:00:00"/>
    <m/>
    <m/>
    <s v="JUEVES"/>
    <s v="TU EMPRESA SEGURA"/>
    <s v="LUZ"/>
    <s v="Ana Maria Campuzano Arboleda"/>
    <s v="Cédula de Ciudadanía"/>
    <n v="1007445947"/>
    <s v="anam_campuzano@hotmail.com"/>
    <n v="3217213077"/>
    <x v="2"/>
    <n v="1007445947"/>
    <d v="2025-05-08T00:00:00"/>
    <s v="11:30a.m"/>
    <x v="2"/>
    <n v="106.666"/>
    <s v="SI"/>
    <s v="PLANEAR"/>
    <s v="1.1.1. Responsable del Sistema de Gestión de Seguridad y Salud en el Trabajo SG-SST"/>
    <x v="2"/>
    <s v="se realiza archivo documental,se revisa numeral 1.1.4,tarea subir el perfilsociodemogradico,se realiza diligenciamiento del responsable sst."/>
    <d v="2025-05-30T00:00:00"/>
    <n v="83"/>
    <e v="#REF!"/>
    <x v="0"/>
  </r>
  <r>
    <d v="2025-03-15T00:00:00"/>
    <m/>
    <m/>
    <s v="JUEVES"/>
    <s v="TU EMPRESA SEGURA"/>
    <s v="LUZ"/>
    <s v="Ana Maria Campuzano Arboleda"/>
    <s v="Cédula de Ciudadanía"/>
    <n v="1007445947"/>
    <s v="anam_campuzano@hotmail.com"/>
    <n v="3217213077"/>
    <x v="2"/>
    <n v="1007445947"/>
    <d v="2025-05-15T00:00:00"/>
    <s v="11:30a.m"/>
    <x v="2"/>
    <n v="106.666"/>
    <s v="NO"/>
    <s v="PLANEAR"/>
    <s v="1.0.4 Acompañamiiento/Asesoría sobre SGSST"/>
    <x v="0"/>
    <s v="Envia correo de inconveniente en conexion,se deja tareas por correo para proximo encuentro. "/>
    <d v="2025-05-30T00:00:00"/>
    <n v="76"/>
    <e v="#REF!"/>
    <x v="0"/>
  </r>
  <r>
    <d v="2025-03-22T00:00:00"/>
    <m/>
    <m/>
    <s v="JUEVES"/>
    <s v="TU EMPRESA SEGURA"/>
    <s v="LUZ"/>
    <s v="Ana Maria Campuzano Arboleda"/>
    <s v="Cédula de Ciudadanía"/>
    <n v="1007445947"/>
    <s v="anam_campuzano@hotmail.com"/>
    <n v="3217213077"/>
    <x v="2"/>
    <n v="1007445947"/>
    <d v="2025-05-22T00:00:00"/>
    <s v="10:35a.m"/>
    <x v="2"/>
    <n v="106.666"/>
    <s v="SI"/>
    <s v="PLANEAR"/>
    <s v="1.0.4 Acompañamiiento/Asesoría sobre SGSST"/>
    <x v="0"/>
    <s v="Se verifica numerales del planear en archivo documental,se explica el tema de archivo documental del hacer y para la proxima reunion se realizara el tema de plan anual de trabajo."/>
    <d v="2025-05-30T00:00:00"/>
    <n v="69"/>
    <e v="#REF!"/>
    <x v="0"/>
  </r>
  <r>
    <d v="2025-03-29T00:00:00"/>
    <m/>
    <m/>
    <s v="JUEVES"/>
    <s v="TU EMPRESA SEGURA"/>
    <s v="LUZ"/>
    <s v="Ana Maria Campuzano Arboleda"/>
    <s v="Cédula de Ciudadanía"/>
    <n v="1007445947"/>
    <s v="anam_campuzano@hotmail.com"/>
    <n v="3217213077"/>
    <x v="2"/>
    <n v="1007445947"/>
    <d v="2025-05-29T00:00:00"/>
    <s v="10:35a.m"/>
    <x v="2"/>
    <n v="106.666"/>
    <s v="NO"/>
    <s v="PLANEAR"/>
    <s v="1.0.4 Acompañamiiento/Asesoría sobre SGSST"/>
    <x v="0"/>
    <s v="Envia correo de inconveniente en conexion,por temas de cita medica que se cruzaba con la conexion.solicita reprogramar para otro dia o enviarle tareaspor correo. "/>
    <d v="2025-05-30T00:00:00"/>
    <n v="62"/>
    <e v="#REF!"/>
    <x v="0"/>
  </r>
  <r>
    <d v="2025-06-05T00:00:00"/>
    <m/>
    <m/>
    <s v="JUEVES"/>
    <s v="TU EMPRESA SEGURA"/>
    <s v="LUZ"/>
    <s v="Ana Maria Campuzano Arboleda"/>
    <s v="Cédula de Ciudadanía"/>
    <n v="1007445947"/>
    <s v="anam_campuzano@hotmail.com"/>
    <n v="3217213077"/>
    <x v="2"/>
    <n v="1007445947"/>
    <d v="2025-06-05T00:00:00"/>
    <s v="10:35a.m"/>
    <x v="2"/>
    <n v="106.666"/>
    <s v="SI"/>
    <s v="PLANEAR"/>
    <s v="2.5.1 Archivo o retención documental del Sistema de Gestión en Seguridad y Salud en el Trabajo SG-SST"/>
    <x v="0"/>
    <s v="LA señora ana refiere que esta interesada en continuar con lña plataforma,solo que tiene un nuevo trabajo y no le dara tiempo para conectarse,enviara correo para reprogramar tiempos o espacio de conexion ,por este motivo solo se realiza numeral 2.5.1 ,se verifica 1.1.4 ,se realiza verificacion del 3.1.1.1.,depende de la solucion al correo que envie doña ana se realizara cronograma teniendo encuenta que es solo ella y un trabajador."/>
    <d v="2025-05-30T00:00:00"/>
    <n v="6"/>
    <e v="#REF!"/>
    <x v="0"/>
  </r>
  <r>
    <d v="2025-04-04T00:00:00"/>
    <s v="ABRIL"/>
    <n v="2"/>
    <s v="VIERNES "/>
    <s v="TU EMPRESA SEGURA"/>
    <s v="Juan Diego"/>
    <s v="MELISSA MARIA ROMAN BURITICA"/>
    <s v="Cédula de Ciudadanía"/>
    <n v="1040039119"/>
    <s v="gestionhumana@blackriverflowers.com"/>
    <n v="3173882936"/>
    <x v="3"/>
    <n v="900841005"/>
    <d v="2025-04-04T00:00:00"/>
    <s v="10:40a. m."/>
    <x v="3"/>
    <n v="106.666"/>
    <s v="SI"/>
    <s v="PLANEAR"/>
    <s v="1.0.1 Firma de Términos y Condiciones"/>
    <x v="3"/>
    <s v="el dia viernes 21 de marzo se llamo a la empresa para validar la llegada del correo electronico con el usuario y la contraseña a lo cual indicaron que si les llego y que no han tenido ningun inconveniente "/>
    <d v="2025-05-30T00:00:00"/>
    <n v="56"/>
    <e v="#REF!"/>
    <x v="0"/>
  </r>
  <r>
    <d v="2025-04-11T00:00:00"/>
    <m/>
    <m/>
    <s v="VIERNES "/>
    <s v="TU EMPRESA SEGURA"/>
    <s v="Juan Diego"/>
    <s v="MELISSA MARIA ROMAN BURITICA"/>
    <s v="Cédula de Ciudadanía"/>
    <n v="1040039119"/>
    <s v="gestionhumana@blackriverflowers.com"/>
    <n v="3173882936"/>
    <x v="3"/>
    <n v="900841005"/>
    <d v="2025-04-11T00:00:00"/>
    <s v="10:40a. m."/>
    <x v="3"/>
    <n v="106.666"/>
    <s v="NO"/>
    <s v="PLANEAR"/>
    <s v="0. No participación de empresa"/>
    <x v="5"/>
    <s v="Se actualiza plantilla de evaluacion inicial  para la empresa, y seempieza con la  codificacion , y procedimiento de listado maestro de documentos"/>
    <d v="2025-05-30T00:00:00"/>
    <n v="49"/>
    <e v="#REF!"/>
    <x v="0"/>
  </r>
  <r>
    <d v="2025-04-18T00:00:00"/>
    <m/>
    <m/>
    <s v="VIERNES "/>
    <s v="TU EMPRESA SEGURA"/>
    <s v="Juan Diego"/>
    <s v="MELISSA MARIA ROMAN BURITICA"/>
    <s v="Cédula de Ciudadanía"/>
    <n v="1040039119"/>
    <s v="gestionhumana@blackriverflowers.com"/>
    <n v="3173882936"/>
    <x v="3"/>
    <n v="900841005"/>
    <d v="2025-04-18T00:00:00"/>
    <s v="10:40a. m."/>
    <x v="3"/>
    <n v="106.666"/>
    <s v="NO"/>
    <s v="PLANEAR"/>
    <s v="0. No participación de empresa"/>
    <x v="1"/>
    <s v="se continua con la codificacion de documentos "/>
    <d v="2025-05-30T00:00:00"/>
    <n v="42"/>
    <e v="#REF!"/>
    <x v="0"/>
  </r>
  <r>
    <d v="2025-05-02T00:00:00"/>
    <m/>
    <m/>
    <s v="VIERNES "/>
    <s v="TU EMPRESA SEGURA"/>
    <s v="Juan Diego"/>
    <s v="MELISSA MARIA ROMAN BURITICA"/>
    <s v="Cédula de Ciudadanía"/>
    <n v="1040039119"/>
    <s v="gestionhumana@blackriverflowers.com"/>
    <n v="3173882936"/>
    <x v="3"/>
    <n v="900841005"/>
    <d v="2025-05-02T00:00:00"/>
    <s v="10:40a. m."/>
    <x v="3"/>
    <n v="106.666"/>
    <s v="NO"/>
    <s v="PLANEAR"/>
    <s v="0. No participación de empresa"/>
    <x v="1"/>
    <s v="no se conecta, se realizan las llamadas por wassap y telefonicas, y no se recibe respuesta, se gestiona documento de asignaion de responsable"/>
    <d v="2025-05-30T00:00:00"/>
    <n v="28"/>
    <e v="#REF!"/>
    <x v="0"/>
  </r>
  <r>
    <d v="2025-05-09T00:00:00"/>
    <m/>
    <m/>
    <s v="VIERNES "/>
    <s v="TU EMPRESA SEGURA"/>
    <s v="Juan Diego"/>
    <s v="MELISSA MARIA ROMAN BURITICA"/>
    <s v="Cédula de Ciudadanía"/>
    <n v="1040039119"/>
    <s v="gestionhumana@blackriverflowers.com"/>
    <n v="3173882936"/>
    <x v="3"/>
    <n v="900841005"/>
    <d v="2025-05-09T00:00:00"/>
    <s v="10:40a. m."/>
    <x v="3"/>
    <n v="106.666"/>
    <s v="NO"/>
    <s v="PLANEAR"/>
    <s v="0. No participación de empresa"/>
    <x v="1"/>
    <s v="no se conecta, escribo via whatsap, y me responden que no habia recibido la invitacion y por ende no estaba agendada para atenderme, verifico con la compañera Paula, y verificamos que la invitacion fue enviada al correo asignado por el cliente"/>
    <d v="2025-05-30T00:00:00"/>
    <n v="21"/>
    <e v="#REF!"/>
    <x v="0"/>
  </r>
  <r>
    <d v="2025-05-16T00:00:00"/>
    <m/>
    <m/>
    <s v="VIERNES "/>
    <s v="TU EMPRESA SEGURA"/>
    <s v="LUZ"/>
    <s v="MELISSA MARIA ROMAN BURITICA"/>
    <s v="Cédula de Ciudadanía"/>
    <n v="1040039119"/>
    <s v="gestionhumana@blackriverflowers.com"/>
    <n v="3173882936"/>
    <x v="3"/>
    <n v="900841005"/>
    <d v="2025-05-15T00:00:00"/>
    <s v="8:05a. m."/>
    <x v="3"/>
    <n v="106.666"/>
    <s v="SI"/>
    <s v="PLANEAR"/>
    <s v="1.1.4 Afiliación al Sistema General de Riesgos Laborales"/>
    <x v="2"/>
    <s v="Se realiza la conexion a las 8:41am no le fue posible conectarse antes,se le verifica firma de terminos y condiciones,la señora melissa actualizo documentos de la empresa en la plataforma,adicional de le indica como se realiza el numeral 1.1.4 y el 2.5.1 ,subira el perfil sociodemografico y se le endica que para realizar capacitaciones debemos realizar el diagnostico inicial el 22 de mayo y ahi ingresamos a realizar cronograma."/>
    <d v="2025-05-30T00:00:00"/>
    <n v="14"/>
    <e v="#REF!"/>
    <x v="0"/>
  </r>
  <r>
    <d v="2025-05-23T00:00:00"/>
    <m/>
    <m/>
    <s v="VIERNES "/>
    <s v="TU EMPRESA SEGURA"/>
    <s v="LUZ"/>
    <s v="MELISSA MARIA ROMAN BURITICA"/>
    <s v="Cédula de Ciudadanía"/>
    <n v="1040039119"/>
    <s v="gestionhumana@blackriverflowers.com"/>
    <n v="3173882936"/>
    <x v="3"/>
    <n v="900841005"/>
    <d v="2025-05-22T00:00:00"/>
    <s v="8:05a. m."/>
    <x v="3"/>
    <n v="106.666"/>
    <s v="SI"/>
    <s v="PLANEAR"/>
    <s v="1.0.6 Diagnóstico del Sistema de Gestión de Seguridad y Salud en el Trabajo (SG-SST) 0312 DE 2019"/>
    <x v="0"/>
    <s v="Se realiza la evaluacion inicial del  diagnostico sst,se le solicita documentos para actualizacion de datos e empresa."/>
    <d v="2025-05-30T00:00:00"/>
    <n v="7"/>
    <e v="#REF!"/>
    <x v="0"/>
  </r>
  <r>
    <d v="2025-05-26T00:00:00"/>
    <m/>
    <m/>
    <s v="VIERNES "/>
    <s v="TU EMPRESA SEGURA"/>
    <s v="LUZ"/>
    <s v="MELISSA MARIA ROMAN BURITICA"/>
    <s v="Cédula de Ciudadanía"/>
    <n v="1040039119"/>
    <s v="gestionhumana@blackriverflowers.com"/>
    <n v="3173882936"/>
    <x v="3"/>
    <n v="900841005"/>
    <d v="2025-05-26T00:00:00"/>
    <s v="8:05a. m."/>
    <x v="3"/>
    <n v="106.666"/>
    <s v="NO"/>
    <s v="PLANEAR"/>
    <s v="1.0.9 Savanna Ruta de Bienestar "/>
    <x v="6"/>
    <s v="Por temas de energia en sistegra, no fue posible la conexiony reprogramar tampoco por agenda copada."/>
    <d v="2025-05-30T00:00:00"/>
    <n v="4"/>
    <e v="#REF!"/>
    <x v="0"/>
  </r>
  <r>
    <d v="2025-05-30T00:00:00"/>
    <m/>
    <m/>
    <s v="VIERNES "/>
    <s v="TU EMPRESA SEGURA"/>
    <s v="LUZ"/>
    <s v="MELISSA MARIA ROMAN BURITICA"/>
    <s v="Cédula de Ciudadanía"/>
    <n v="1040039119"/>
    <s v="gestionhumana@blackriverflowers.com"/>
    <n v="3173882936"/>
    <x v="3"/>
    <n v="900841005"/>
    <d v="2025-05-29T00:00:00"/>
    <s v="8:05a. m."/>
    <x v="3"/>
    <n v="106.666"/>
    <s v="NO"/>
    <s v="PLANEAR"/>
    <s v="0. No participación de empresa"/>
    <x v="1"/>
    <s v="Por temas de energia en sistegra, no fue posible la conexiony reprogramar tampoco por agenda copada."/>
    <d v="2025-05-30T00:00:00"/>
    <n v="0"/>
    <e v="#REF!"/>
    <x v="0"/>
  </r>
  <r>
    <d v="2025-06-06T00:00:00"/>
    <m/>
    <m/>
    <s v="VIERNES "/>
    <s v="TU EMPRESA SEGURA"/>
    <s v="LUZ"/>
    <s v="MELISSA MARIA ROMAN BURITICA"/>
    <s v="Cédula de Ciudadanía"/>
    <n v="1040039119"/>
    <s v="gestionhumana@blackriverflowers.com"/>
    <n v="3173882936"/>
    <x v="3"/>
    <n v="900841005"/>
    <d v="2025-06-05T00:00:00"/>
    <s v="8:05a. m."/>
    <x v="3"/>
    <n v="106.666"/>
    <s v="SI"/>
    <s v="PLANEAR"/>
    <s v="1.2.1 Programa Capacitación promoción y prevención PYP"/>
    <x v="0"/>
    <s v="se visualisa terminos y condiciones firmada y compartida por correo,se le compartira cronograma de capacitaciones y cronograma anual de cumplimiento  0312,se verificara la contraseña y usuario para plataforma de capacitacion,no tiene datos para ingresar y solicita modificacion en representante legal porque no es ella ,melisa es de gestion humana."/>
    <d v="2025-05-30T00:00:00"/>
    <n v="7"/>
    <e v="#REF!"/>
    <x v="0"/>
  </r>
  <r>
    <d v="2025-05-09T00:00:00"/>
    <m/>
    <m/>
    <s v="VIERNES "/>
    <s v="TU EMPRESA SEGURA"/>
    <s v="LUZ"/>
    <s v="MELISSA MARIA ROMAN BURITICA"/>
    <s v="Cédula de Ciudadanía"/>
    <n v="1040039119"/>
    <s v="gestionhumana@blackriverflowers.com"/>
    <n v="3173882936"/>
    <x v="3"/>
    <n v="900841005"/>
    <d v="2025-05-09T00:00:00"/>
    <s v="10:40a. m."/>
    <x v="3"/>
    <n v="106.666"/>
    <s v="SI"/>
    <s v="PLANEAR"/>
    <s v="1.0.2 Socialización SGSST"/>
    <x v="0"/>
    <s v="estando conectado a la hora en punto, dicen que no asistira, ya que el 12 de mayo se reuniran con Laura DIaz"/>
    <d v="2025-05-30T00:00:00"/>
    <n v="21"/>
    <e v="#REF!"/>
    <x v="0"/>
  </r>
  <r>
    <d v="2025-05-12T00:00:00"/>
    <m/>
    <m/>
    <s v="LUNES"/>
    <s v="TU EMPRESA SEGURA"/>
    <s v="LUZ"/>
    <s v="MELISSA MARIA ROMAN BURITICA"/>
    <s v="Cédula de Ciudadanía"/>
    <n v="1040039119"/>
    <s v="gestionhumana@blackriverflowers.com"/>
    <n v="3173882936"/>
    <x v="3"/>
    <n v="900841005"/>
    <d v="2025-05-12T00:00:00"/>
    <m/>
    <x v="3"/>
    <n v="106.666"/>
    <s v="SI"/>
    <s v="PLANEAR"/>
    <s v="1.0.3 Navegando en  la plataforma y beneficios del programa"/>
    <x v="3"/>
    <s v="Se muestran los beneficios del programa y se rrealiza cambio de analista con nuevo horario para facilitar al cliente las conexiones."/>
    <d v="2025-05-12T00:00:00"/>
    <n v="0"/>
    <e v="#REF!"/>
    <x v="0"/>
  </r>
  <r>
    <d v="2025-05-16T00:00:00"/>
    <m/>
    <m/>
    <s v="VIERNES "/>
    <s v="TU EMPRESA SEGURA"/>
    <s v="Juan Diego "/>
    <s v="MELISSA MARIA ROMAN BURITICA"/>
    <s v="Cédula de Ciudadanía"/>
    <n v="1040039119"/>
    <s v="gestionhumana@blackriverflowers.com"/>
    <n v="3173882936"/>
    <x v="3"/>
    <n v="900841005"/>
    <d v="2025-05-09T00:00:00"/>
    <s v="10:40a. m."/>
    <x v="3"/>
    <n v="106.666"/>
    <s v="SI"/>
    <s v="PLANEAR"/>
    <s v="1.0.2 Socialización SGSST"/>
    <x v="0"/>
    <s v="menciona qe realiza cambio de horario autorizado por Laura Diaz"/>
    <d v="2025-05-30T00:00:00"/>
    <n v="14"/>
    <e v="#REF!"/>
    <x v="0"/>
  </r>
  <r>
    <d v="2025-04-04T00:00:00"/>
    <s v="ABRIL"/>
    <n v="2"/>
    <s v="VIERNES "/>
    <s v="TU EMPRESA SEGURA"/>
    <s v="Juan Diego "/>
    <s v="CLAUDIA PATRICIA MOLINA SANTOS "/>
    <s v="Cédula de Ciudadanía"/>
    <n v="1070989191"/>
    <s v="clau300625@hotmail.es"/>
    <n v="3132973915"/>
    <x v="4"/>
    <n v="901546567"/>
    <d v="2025-04-04T00:00:00"/>
    <s v="3:55p. m."/>
    <x v="3"/>
    <n v="106.666"/>
    <s v="SI"/>
    <s v="PLANEAR"/>
    <s v="1.0.0 Bienvenida"/>
    <x v="3"/>
    <s v="el dia viernes 21 de marzo se llamo a la empresa para validar la llegada del correo electronico con el usuario y la contraseña a lo cual indicaron que si les llego y que no han tenido ningun inconveniente "/>
    <d v="2025-05-30T00:00:00"/>
    <n v="56"/>
    <e v="#REF!"/>
    <x v="0"/>
  </r>
  <r>
    <d v="2025-04-11T00:00:00"/>
    <m/>
    <m/>
    <s v="VIERNES "/>
    <s v="TU EMPRESA SEGURA"/>
    <s v="Juan Diego "/>
    <s v="CLAUDIA PATRICIA MOLINA SANTOS "/>
    <s v="Cédula de Ciudadanía"/>
    <n v="1070989191"/>
    <s v="clau300625@hotmail.es"/>
    <n v="3132973915"/>
    <x v="4"/>
    <n v="901546567"/>
    <d v="2025-04-11T00:00:00"/>
    <s v="3:55p. m."/>
    <x v="3"/>
    <n v="106.666"/>
    <s v="SI"/>
    <s v="PLANEAR"/>
    <s v="0. No participación de empresa"/>
    <x v="1"/>
    <s v="Se reagenda espacio por calamidad de analista, se reprograma para el día 12 de abril"/>
    <d v="2025-05-30T00:00:00"/>
    <n v="49"/>
    <e v="#REF!"/>
    <x v="0"/>
  </r>
  <r>
    <d v="2025-04-18T00:00:00"/>
    <m/>
    <m/>
    <s v="VIERNES "/>
    <s v="TU EMPRESA SEGURA"/>
    <s v="Juan Diego "/>
    <s v="CLAUDIA PATRICIA MOLINA SANTOS "/>
    <s v="Cédula de Ciudadanía"/>
    <n v="1070989191"/>
    <s v="clau300625@hotmail.es"/>
    <n v="3132973915"/>
    <x v="4"/>
    <n v="901546567"/>
    <d v="2025-04-18T00:00:00"/>
    <s v="3:55p. m."/>
    <x v="3"/>
    <n v="106.666"/>
    <s v="CONEXIÓN AUTÓNOMA DE ANALISTA"/>
    <s v="PLANEAR"/>
    <s v="0.1 Trabajo autónomo analista en plataforma"/>
    <x v="2"/>
    <s v="Se adelanta documento de asignacion del responsable"/>
    <d v="2025-05-30T00:00:00"/>
    <n v="42"/>
    <e v="#REF!"/>
    <x v="0"/>
  </r>
  <r>
    <d v="2025-05-09T00:00:00"/>
    <m/>
    <m/>
    <s v="VIERNES "/>
    <s v="TU EMPRESA SEGURA"/>
    <s v="Juan Diego "/>
    <s v="CLAUDIA PATRICIA MOLINA SANTOS "/>
    <s v="Cédula de Ciudadanía"/>
    <n v="1070989191"/>
    <s v="clau300625@hotmail.es"/>
    <n v="3132973915"/>
    <x v="4"/>
    <n v="901546567"/>
    <d v="2025-05-09T00:00:00"/>
    <s v="3:55p. m."/>
    <x v="3"/>
    <n v="106.666"/>
    <s v="CONEXIÓN AUTÓNOMA DE ANALISTA"/>
    <s v="PLANEAR"/>
    <s v="0.1 Trabajo autónomo analista en plataforma"/>
    <x v="2"/>
    <s v="siendo la hora de conexion el usuario no se presenta, llamo via wassap y telefonicamente, y no recibo respuesta, se envia correo de citacion, se verifica el link y es el dado por el usuario, SE REALIZA FORMATO DE EVALUACION INICIAL, PARA CONTINUAR CON LOS CICLOS DEL P.HV.A"/>
    <d v="2025-05-30T00:00:00"/>
    <n v="21"/>
    <e v="#REF!"/>
    <x v="0"/>
  </r>
  <r>
    <d v="2025-05-16T00:00:00"/>
    <m/>
    <m/>
    <s v="VIERNES "/>
    <s v="TU EMPRESA SEGURA"/>
    <s v="Juan Diego "/>
    <s v="CLAUDIA PATRICIA MOLINA SANTOS "/>
    <s v="Cédula de Ciudadanía"/>
    <n v="1070989191"/>
    <s v="clau300625@hotmail.es"/>
    <n v="3132973915"/>
    <x v="4"/>
    <n v="901546567"/>
    <d v="2025-05-16T00:00:00"/>
    <s v="3:55p. m."/>
    <x v="3"/>
    <n v="106.666"/>
    <s v="SI"/>
    <s v="PLANEAR"/>
    <s v="1.0.3 Navegando en  la plataforma y beneficios del programa"/>
    <x v="3"/>
    <s v="se explica programa y se da induccion de la plataforma"/>
    <d v="2025-05-30T00:00:00"/>
    <n v="14"/>
    <e v="#REF!"/>
    <x v="0"/>
  </r>
  <r>
    <d v="2025-05-23T00:00:00"/>
    <m/>
    <m/>
    <s v="VIERNES "/>
    <s v="TU EMPRESA SEGURA"/>
    <s v="Juan Diego "/>
    <s v="CLAUDIA PATRICIA MOLINA SANTOS "/>
    <s v="Cédula de Ciudadanía"/>
    <n v="1070989191"/>
    <s v="clau300625@hotmail.es"/>
    <n v="3132973915"/>
    <x v="4"/>
    <n v="901546567"/>
    <d v="2025-05-20T00:00:00"/>
    <s v="3:55p. m."/>
    <x v="3"/>
    <n v="106.666"/>
    <s v="CONEXIÓN AUTÓNOMA DE ANALISTA"/>
    <s v="PLANEAR"/>
    <s v="0.1 Trabajo autónomo analista en plataforma"/>
    <x v="2"/>
    <s v="en la hora indicada se contacta a la persona enlace, me indica que no sera posible reunirse hoy porque esta en obra."/>
    <d v="2025-05-30T00:00:00"/>
    <n v="7"/>
    <e v="#REF!"/>
    <x v="0"/>
  </r>
  <r>
    <d v="2025-05-20T00:00:00"/>
    <m/>
    <m/>
    <s v="MARTES"/>
    <s v="TU EMPRESA SEGURA"/>
    <s v="LUZ"/>
    <s v="CLAUDIA PATRICIA MOLINA SANTOS "/>
    <s v="Cédula de Ciudadanía"/>
    <n v="1070989191"/>
    <s v="clau300625@hotmail.es"/>
    <n v="3132973915"/>
    <x v="4"/>
    <n v="901546567"/>
    <d v="2025-05-20T00:00:00"/>
    <s v="3:55p. m."/>
    <x v="3"/>
    <n v="106.666"/>
    <s v="NO"/>
    <s v="PLANEAR"/>
    <s v="0. No conexión"/>
    <x v="1"/>
    <s v="No se realizo la conexion por temas de coordinacion con correo ."/>
    <d v="2025-05-30T00:00:00"/>
    <n v="10"/>
    <e v="#REF!"/>
    <x v="0"/>
  </r>
  <r>
    <d v="2025-06-06T00:00:00"/>
    <m/>
    <m/>
    <s v="VIERNES "/>
    <s v="TU EMPRESA SEGURA"/>
    <s v="Juan Diego "/>
    <s v="CLAUDIA PATRICIA MOLINA SANTOS "/>
    <s v="Cédula de Ciudadanía"/>
    <n v="1070989191"/>
    <s v="clau300625@hotmail.es"/>
    <n v="3132973915"/>
    <x v="4"/>
    <n v="901546567"/>
    <d v="2025-06-06T00:00:00"/>
    <s v="3:55p. m."/>
    <x v="3"/>
    <n v="106.666"/>
    <s v="NO"/>
    <s v="PLANEAR"/>
    <s v="1.1.1. Responsable del Sistema de Gestión de Seguridad y Salud en el Trabajo SG-SST"/>
    <x v="2"/>
    <s v="Se raliza confirmacion de que debido a que la persona enlace estaba en cmpo no puede acceder a la asesrria, se adelanta asit¿gnacion de responsabilidades"/>
    <d v="2025-05-30T00:00:00"/>
    <n v="7"/>
    <e v="#REF!"/>
    <x v="0"/>
  </r>
  <r>
    <d v="2025-05-27T00:00:00"/>
    <m/>
    <m/>
    <s v="MARTES"/>
    <s v="TU EMPRESA SEGURA"/>
    <s v="LUZ"/>
    <s v="CLAUDIA PATRICIA MOLINA SANTOS "/>
    <s v="Cédula de Ciudadanía"/>
    <n v="1070989191"/>
    <s v="clau300625@hotmail.es"/>
    <n v="3132973915"/>
    <x v="4"/>
    <n v="901546567"/>
    <d v="2025-05-27T00:00:00"/>
    <s v="3:55p. m."/>
    <x v="3"/>
    <n v="106.666"/>
    <s v="CONEXIÓN AUTÓNOMA DE ANALISTA"/>
    <s v="PLANEAR"/>
    <s v="0.1 Trabajo autónomo analista en plataforma"/>
    <x v="2"/>
    <s v="No se conecto a la  conexion por temas de su agendamiento.olvido la conexion.dice via llamada telefonica."/>
    <d v="2025-05-30T00:00:00"/>
    <n v="3"/>
    <e v="#REF!"/>
    <x v="0"/>
  </r>
  <r>
    <d v="2025-01-09T00:00:00"/>
    <m/>
    <m/>
    <s v="VIERNES "/>
    <s v="TU EMPRESA SEGURA"/>
    <s v="LUZ"/>
    <s v="CLAUDIA PATRICIA MOLINA SANTOS "/>
    <s v="Cédula de Ciudadanía"/>
    <n v="1070989191"/>
    <s v="clau300625@hotmail.es"/>
    <n v="3132973915"/>
    <x v="4"/>
    <n v="901546567"/>
    <d v="2025-06-03T00:00:00"/>
    <s v="8:05 a. m."/>
    <x v="3"/>
    <n v="106.666"/>
    <s v="CONEXIÓN AUTÓNOMA DE ANALISTA"/>
    <s v="PLANEAR"/>
    <s v="0.1 Trabajo autónomo analista en plataforma"/>
    <x v="2"/>
    <s v="llevo junio 3 y 10 que el cliente No se conecta,no responde whatsapp ,ni la  llamada telefonica,venia del analista juan"/>
    <d v="2025-05-30T00:00:00"/>
    <n v="141"/>
    <e v="#REF!"/>
    <x v="0"/>
  </r>
  <r>
    <d v="2025-03-01T00:00:00"/>
    <s v="MARZO"/>
    <n v="3"/>
    <s v="JUEVES"/>
    <s v="TU EMPRESA SEGURA"/>
    <s v="LUZ"/>
    <s v="JUBER NEVARDO MARTINEZ GIRALDO"/>
    <s v="Cédula de Ciudadanía"/>
    <n v="1039685226"/>
    <s v="adm.car.mc@gmail.com"/>
    <n v="3206709930"/>
    <x v="5"/>
    <n v="43476587"/>
    <d v="2025-05-15T00:00:00"/>
    <s v="1:15 p.m"/>
    <x v="3"/>
    <n v="106.666"/>
    <s v="NO"/>
    <s v="PLANEAR"/>
    <s v="1.0.2 Socialización SGSST"/>
    <x v="0"/>
    <s v="Solicita reprogramar reunion para otro dia,teniendo en cuenta que la agenda esta copada ,se le enviara por correo tareas para la proxima conexion."/>
    <d v="2025-05-30T00:00:00"/>
    <n v="90"/>
    <e v="#REF!"/>
    <x v="0"/>
  </r>
  <r>
    <d v="2025-04-24T00:00:00"/>
    <m/>
    <m/>
    <s v="JUEVES"/>
    <s v="TU EMPRESA SEGURA"/>
    <s v="LUZ"/>
    <s v="JUBER NEVARDO MARTINEZ GIRALDO"/>
    <s v="Cédula de Ciudadanía"/>
    <n v="1039685226"/>
    <s v="adm.car.mc@gmail.com"/>
    <n v="3206709930"/>
    <x v="5"/>
    <n v="43476587"/>
    <s v=" 24/04/2025"/>
    <s v="1:15 p.m"/>
    <x v="3"/>
    <n v="106.666"/>
    <s v="SI"/>
    <s v="PLANEAR"/>
    <s v="1.0.1 Firma de Términos y Condiciones"/>
    <x v="3"/>
    <s v="El dia 24 de abril  quedamos pendientes de enviarle la contraseña y usuario,se le explica Dara por medio de la plataforma de luz estrada,como es el manejo de la plataforma,donde esta el documento de terminos y condiciones y la importancia de generar los archivos documentales para que sea mas efectivo el diligenciar los documentos."/>
    <d v="2025-05-30T00:00:00"/>
    <n v="36"/>
    <e v="#REF!"/>
    <x v="0"/>
  </r>
  <r>
    <d v="2025-03-08T00:00:00"/>
    <m/>
    <m/>
    <s v="JUEVES"/>
    <s v="TU EMPRESA SEGURA"/>
    <s v="LUZ"/>
    <s v="JUBER NEVARDO MARTINEZ GIRALDO"/>
    <s v="Cédula de Ciudadanía"/>
    <n v="1039685226"/>
    <s v="adm.car.mc@gmail.com"/>
    <n v="3206709930"/>
    <x v="5"/>
    <n v="43476587"/>
    <d v="2025-05-22T00:00:00"/>
    <s v="1:15 p.m"/>
    <x v="3"/>
    <n v="106.666"/>
    <s v="NO CONEXIÓN"/>
    <s v="PLANEAR"/>
    <s v="0. No conexión"/>
    <x v="1"/>
    <s v="Envia mensaje whatsapp que olvido la conexion."/>
    <d v="2025-05-30T00:00:00"/>
    <n v="83"/>
    <e v="#REF!"/>
    <x v="0"/>
  </r>
  <r>
    <d v="2025-03-15T00:00:00"/>
    <m/>
    <m/>
    <s v="JUEVES"/>
    <s v="TU EMPRESA SEGURA"/>
    <s v="LUZ"/>
    <s v="JUBER NEVARDO MARTINEZ GIRALDO"/>
    <s v="Cédula de Ciudadanía"/>
    <n v="1039685226"/>
    <s v="adm.car.mc@gmail.com"/>
    <n v="3206709930"/>
    <x v="5"/>
    <n v="43476587"/>
    <d v="2025-05-29T00:00:00"/>
    <s v="1:15 p.m"/>
    <x v="3"/>
    <n v="106.666"/>
    <s v="SI"/>
    <s v="PLANEAR"/>
    <s v="1.0.6 Diagnóstico del Sistema de Gestión de Seguridad y Salud en el Trabajo (SG-SST) 0312 DE 2019"/>
    <x v="0"/>
    <s v="se realiza evaluacion inicial (Critico)se envia correo de paso a paso para montar registro de afiliacion y documento del perfil."/>
    <d v="2025-05-30T00:00:00"/>
    <n v="76"/>
    <e v="#REF!"/>
    <x v="0"/>
  </r>
  <r>
    <d v="2025-03-22T00:00:00"/>
    <m/>
    <m/>
    <s v="JUEVES"/>
    <s v="TU EMPRESA SEGURA"/>
    <s v="LUZ"/>
    <s v="JUBER NEVARDO MARTINEZ GIRALDO"/>
    <s v="Cédula de Ciudadanía"/>
    <n v="1039685226"/>
    <s v="adm.car.mc@gmail.com"/>
    <n v="3206709930"/>
    <x v="5"/>
    <n v="43476587"/>
    <d v="2025-06-05T00:00:00"/>
    <s v="1:15 p.m"/>
    <x v="3"/>
    <n v="106.666"/>
    <s v="NO CONEXIÓN"/>
    <s v="PLANEAR"/>
    <s v="0. No conexión"/>
    <x v="1"/>
    <s v="refiere que el dia de hoy no tiene energia y los datos no le dan para la conexion,enviara correo."/>
    <d v="2025-05-30T00:00:00"/>
    <n v="69"/>
    <e v="#REF!"/>
    <x v="0"/>
  </r>
  <r>
    <d v="2025-04-04T00:00:00"/>
    <s v="ABRIL"/>
    <n v="2"/>
    <s v="VIERNES "/>
    <s v="TU EMPRESA SEGURA"/>
    <s v="Juan Diego"/>
    <s v="MONICA YANETH OCAMPO SERNA"/>
    <s v="Cédula de Ciudadanía"/>
    <n v="1036780830"/>
    <s v="floresmundocolores@gmail.com"/>
    <n v="3147830285"/>
    <x v="6"/>
    <n v="900509996"/>
    <d v="2025-04-04T00:00:00"/>
    <s v="3:05PM"/>
    <x v="3"/>
    <n v="106.666"/>
    <s v="SI"/>
    <s v="PLANEAR"/>
    <s v="1.0.0 Bienvenida"/>
    <x v="3"/>
    <s v="el dia viernes 21 de marzo se llamo a la empresa para validar la llegada del correo electronico con el usuario y la contraseña a lo cual indicaron que si les llego y que no han tenido ningun inconveniente "/>
    <d v="2025-05-30T00:00:00"/>
    <n v="56"/>
    <e v="#REF!"/>
    <x v="0"/>
  </r>
  <r>
    <d v="2025-04-11T00:00:00"/>
    <m/>
    <m/>
    <s v="VIERNES "/>
    <s v="TU EMPRESA SEGURA"/>
    <s v="Juan Diego"/>
    <s v="MONICA YANETH OCAMPO SERNA"/>
    <s v="Cédula de Ciudadanía"/>
    <n v="1036780830"/>
    <s v="floresmundocolores@gmail.com"/>
    <n v="3147830285"/>
    <x v="6"/>
    <n v="900509996"/>
    <d v="2025-04-11T00:00:00"/>
    <s v="3:05PM"/>
    <x v="3"/>
    <n v="106.666"/>
    <s v="SI"/>
    <s v="PLANEAR"/>
    <s v="0.1 Trabajo autónomo analista en plataforma"/>
    <x v="2"/>
    <s v="se orgniza la plantilla de evaluacion inicial,con los datos de la empresa, se nicia codificacion"/>
    <d v="2025-05-30T00:00:00"/>
    <n v="49"/>
    <e v="#REF!"/>
    <x v="0"/>
  </r>
  <r>
    <d v="2025-04-18T00:00:00"/>
    <m/>
    <m/>
    <s v="VIERNES "/>
    <s v="TU EMPRESA SEGURA"/>
    <s v="Juan Diego"/>
    <s v="MONICA YANETH OCAMPO SERNA"/>
    <s v="Cédula de Ciudadanía"/>
    <n v="1036780830"/>
    <s v="floresmundocolores@gmail.com"/>
    <n v="3147830285"/>
    <x v="6"/>
    <n v="900509996"/>
    <d v="2025-04-18T00:00:00"/>
    <s v="3:05PM"/>
    <x v="3"/>
    <n v="106.666"/>
    <s v="CONEXIÓN AUTÓNOMA DE ANALISTA"/>
    <s v="PLANEAR"/>
    <s v="0.1 Trabajo autónomo analista en plataforma"/>
    <x v="2"/>
    <s v="serealiza documento de asignacion del responsable,"/>
    <d v="2025-05-30T00:00:00"/>
    <n v="42"/>
    <e v="#REF!"/>
    <x v="0"/>
  </r>
  <r>
    <d v="2025-04-25T00:00:00"/>
    <m/>
    <m/>
    <s v="VIERNES "/>
    <s v="TU EMPRESA SEGURA"/>
    <s v="Juan Diego"/>
    <s v="MONICA YANETH OCAMPO SERNA"/>
    <s v="Cédula de Ciudadanía"/>
    <n v="1036780830"/>
    <s v="floresmundocolores@gmail.com"/>
    <n v="3147830285"/>
    <x v="6"/>
    <n v="900509996"/>
    <d v="2025-04-25T00:00:00"/>
    <s v="3:05PM"/>
    <x v="3"/>
    <n v="106.666"/>
    <s v="SI"/>
    <s v="PLANEAR"/>
    <s v="1.0.5 Diagnóstico de Madurez"/>
    <x v="4"/>
    <s v="Se solicitan documentos legales y se realiza registro de empleados en plataforma, se revisa la firma y queda adjuntada, se inicia diagnostico d emadurezen plataforma"/>
    <d v="2025-05-30T00:00:00"/>
    <n v="35"/>
    <e v="#REF!"/>
    <x v="0"/>
  </r>
  <r>
    <d v="2025-05-06T00:00:00"/>
    <m/>
    <m/>
    <s v="VIERNES "/>
    <s v="TU EMPRESA SEGURA"/>
    <s v="Juan Diego"/>
    <s v="MONICA YANETH OCAMPO SERNA"/>
    <s v="Cédula de Ciudadanía"/>
    <n v="1036780830"/>
    <s v="floresmundocolores@gmail.com"/>
    <n v="3147830285"/>
    <x v="6"/>
    <n v="900509996"/>
    <d v="2025-05-06T00:00:00"/>
    <s v="3:05PM"/>
    <x v="3"/>
    <n v="106.666"/>
    <s v="NO"/>
    <s v="PLANEAR"/>
    <s v="1.0.9 Savanna Ruta de Bienestar "/>
    <x v="6"/>
    <s v="no se realiza conexion via internet, por fallas en la red potr aprte del cliente, se da instruccion via telefonica de registrar los empleados en plataforma, y como hacerlo"/>
    <d v="2025-05-30T00:00:00"/>
    <n v="24"/>
    <e v="#REF!"/>
    <x v="0"/>
  </r>
  <r>
    <d v="2025-05-02T00:00:00"/>
    <m/>
    <m/>
    <s v="VIERNES "/>
    <s v="TU EMPRESA SEGURA"/>
    <s v="Juan Diego"/>
    <s v="MONICA YANETH OCAMPO SERNA"/>
    <s v="Cédula de Ciudadanía"/>
    <n v="1036780830"/>
    <s v="floresmundocolores@gmail.com"/>
    <n v="3147830285"/>
    <x v="6"/>
    <n v="900509996"/>
    <d v="2025-05-02T00:00:00"/>
    <s v="3:05PM"/>
    <x v="3"/>
    <n v="106.666"/>
    <s v="NO"/>
    <s v="PLANEAR"/>
    <s v="1.0.2 Socialización SGSST"/>
    <x v="0"/>
    <s v="no se realiza conexion via internet, por fallas en la red potr aprte del cliente, se da instruccion via telefonica de registrar los empleados en plataforma, y como hacerlo"/>
    <d v="2025-05-30T00:00:00"/>
    <n v="28"/>
    <e v="#REF!"/>
    <x v="0"/>
  </r>
  <r>
    <d v="2025-05-16T00:00:00"/>
    <m/>
    <m/>
    <s v="VIERNES "/>
    <s v="TU EMPRESA SEGURA"/>
    <s v="LUZ"/>
    <s v="MONICA YANETH OCAMPO SERNA"/>
    <s v="Cédula de Ciudadanía"/>
    <n v="1036780830"/>
    <s v="floresmundocolores@gmail.com"/>
    <n v="3147830285"/>
    <x v="6"/>
    <n v="900509996"/>
    <d v="2025-05-13T00:00:00"/>
    <s v="9:00AM"/>
    <x v="3"/>
    <n v="106.666"/>
    <s v="SI"/>
    <s v="PLANEAR"/>
    <s v="1.0.1 Firma de Términos y Condiciones"/>
    <x v="3"/>
    <s v="Se revisa terminos y condiciones,se le solicita logo de la empresa,se diligencia documento de responsable sst,se digitan 15 documentos de ejemplo para archivo documental,se le envia correo de paso a paso para diligenciar documento perfilsociodemografico y como subir documentos del numeral 1.1.4."/>
    <d v="2025-05-30T00:00:00"/>
    <n v="14"/>
    <e v="#REF!"/>
    <x v="0"/>
  </r>
  <r>
    <d v="2025-05-23T00:00:00"/>
    <m/>
    <m/>
    <s v="VIERNES "/>
    <s v="TU EMPRESA SEGURA"/>
    <s v="LUZ"/>
    <s v="MONICA YANETH OCAMPO SERNA"/>
    <s v="Cédula de Ciudadanía"/>
    <n v="1036780830"/>
    <s v="floresmundocolores@gmail.com"/>
    <n v="3147830285"/>
    <x v="6"/>
    <n v="900509996"/>
    <d v="2025-05-20T00:00:00"/>
    <s v="3:05PM"/>
    <x v="3"/>
    <n v="106.666"/>
    <s v="SI"/>
    <s v="PLANEAR"/>
    <s v="1.1.1. Responsable del Sistema de Gestión de Seguridad y Salud en el Trabajo SG-SST"/>
    <x v="2"/>
    <s v="Se sube el logo a la plataforma,severifica el perfilsociodemografico,firma de responsabilidad  y funciones del SG-SST ,Proxima reunion serrealizara evaluacion inicial y documento de terminos y condiciones."/>
    <d v="2025-05-30T00:00:00"/>
    <n v="7"/>
    <e v="#REF!"/>
    <x v="0"/>
  </r>
  <r>
    <d v="2025-05-23T00:00:00"/>
    <m/>
    <m/>
    <s v="VIERNES "/>
    <s v="TU EMPRESA SEGURA"/>
    <s v="LUZ"/>
    <s v="MONICA YANETH OCAMPO SERNA"/>
    <s v="Cédula de Ciudadanía"/>
    <n v="1036780830"/>
    <s v="floresmundocolores@gmail.com"/>
    <n v="3147830285"/>
    <x v="6"/>
    <n v="900509996"/>
    <d v="2025-05-20T00:00:00"/>
    <s v="3:05PM"/>
    <x v="3"/>
    <n v="106.666"/>
    <s v="SI"/>
    <s v="PLANEAR"/>
    <s v="1.1.2 Responsabilidades en el Sistema de Gestión de Seguridad y Salud en el Trabajo – SG-SST"/>
    <x v="2"/>
    <s v="Se sube el logo a la plataforma,severifica el perfilsociodemografico,firma de responsabilidad  y funciones del SG-SST ,Proxima reunion serrealizara evaluacion inicial y documento de terminos y condiciones."/>
    <d v="2025-05-30T00:00:00"/>
    <n v="7"/>
    <e v="#REF!"/>
    <x v="0"/>
  </r>
  <r>
    <d v="2025-05-30T00:00:00"/>
    <m/>
    <m/>
    <s v="VIERNES "/>
    <s v="TU EMPRESA SEGURA"/>
    <s v="LUZ"/>
    <s v="MONICA YANETH OCAMPO SERNA"/>
    <s v="Cédula de Ciudadanía"/>
    <n v="1036780830"/>
    <s v="floresmundocolores@gmail.com"/>
    <n v="3147830285"/>
    <x v="6"/>
    <n v="900509996"/>
    <d v="2025-05-27T00:00:00"/>
    <n v="0.375"/>
    <x v="3"/>
    <n v="106.666"/>
    <s v="SI"/>
    <s v="PLANEAR"/>
    <s v="1.0.6 Diagnóstico del Sistema de Gestión de Seguridad y Salud en el Trabajo (SG-SST) 0312 DE 2019"/>
    <x v="0"/>
    <s v="Se firma terminos y condiciones,envio pdf y se realiza evaluacion inicicial (critico)"/>
    <d v="2025-05-30T00:00:00"/>
    <n v="0"/>
    <e v="#REF!"/>
    <x v="0"/>
  </r>
  <r>
    <d v="2025-06-06T00:00:00"/>
    <m/>
    <m/>
    <s v="VIERNES "/>
    <s v="TU EMPRESA SEGURA"/>
    <s v="LUZ"/>
    <s v="MONICA YANETH OCAMPO SERNA"/>
    <s v="Cédula de Ciudadanía"/>
    <n v="1036780830"/>
    <s v="floresmundocolores@gmail.com"/>
    <n v="3147830285"/>
    <x v="6"/>
    <n v="900509996"/>
    <d v="2025-06-03T00:00:00"/>
    <n v="0.375"/>
    <x v="3"/>
    <n v="106.666"/>
    <s v="SI"/>
    <s v="PLANEAR"/>
    <s v="1.0.4 Acompañamiiento/Asesoría sobre SGSST"/>
    <x v="0"/>
    <s v="Se realiza revision del hacer esta diligenciado pero la señora monica manifiesta que nunca lo a realizado,porque no recuerda como se hace,se le notifica el procedimiento de la politica y por temas de tiempo en su conexion no se logro realizar el cronograma."/>
    <d v="2025-05-30T00:00:00"/>
    <n v="7"/>
    <e v="#REF!"/>
    <x v="0"/>
  </r>
  <r>
    <d v="2025-05-16T00:00:00"/>
    <m/>
    <m/>
    <s v="VIERNES "/>
    <s v="TU EMPRESA SEGURA"/>
    <s v="Juan Diego "/>
    <s v="MONICA YANETH OCAMPO SERNA"/>
    <s v="Cédula de Ciudadanía"/>
    <n v="1036780830"/>
    <s v="floresmundocolores@gmail.com"/>
    <n v="3147830285"/>
    <x v="6"/>
    <n v="900509996"/>
    <d v="2025-05-16T00:00:00"/>
    <s v="8:05-8:50AM"/>
    <x v="4"/>
    <s v=""/>
    <s v="CONEXIÓN AUTÓNOMA DE ANALISTA"/>
    <s v="PLANEAR"/>
    <s v="0.1 Trabajo autónomo analista en plataforma"/>
    <x v="2"/>
    <s v="se inicia con la codificacion"/>
    <d v="2025-05-30T00:00:00"/>
    <n v="14"/>
    <e v="#REF!"/>
    <x v="0"/>
  </r>
  <r>
    <d v="2025-04-04T00:00:00"/>
    <s v="ABRIL"/>
    <n v="2"/>
    <s v="VIERNES "/>
    <s v="TU EMPRESA SEGURA"/>
    <s v="Cristhian"/>
    <s v="Jorge ignacio Martínez García "/>
    <s v="Cédula de Ciudadanía"/>
    <n v="70952794"/>
    <s v="j73jimg@hotmail.com"/>
    <n v="3216422617"/>
    <x v="7"/>
    <n v="900112921"/>
    <d v="2025-04-04T00:00:00"/>
    <s v="7:15a. m."/>
    <x v="1"/>
    <n v="213000"/>
    <s v="SI"/>
    <s v="PLANEAR"/>
    <s v="1.0.0 Bienvenida"/>
    <x v="3"/>
    <s v="se realiza la reunion de bienvenida pero en la mitad de la reunion se tuvieron problemas de connexion por lo cual se finaliza la misma "/>
    <d v="2025-05-30T00:00:00"/>
    <n v="56"/>
    <e v="#REF!"/>
    <x v="0"/>
  </r>
  <r>
    <d v="2025-04-11T00:00:00"/>
    <m/>
    <m/>
    <s v="VIERNES "/>
    <s v="TU EMPRESA SEGURA"/>
    <s v="Cristhian"/>
    <s v="Jorge ignacio Martínez García "/>
    <s v="Cédula de Ciudadanía"/>
    <n v="70952794"/>
    <s v="j73jimg@hotmail.com"/>
    <n v="3216422617"/>
    <x v="7"/>
    <n v="900112921"/>
    <d v="2025-04-11T00:00:00"/>
    <s v="7:15a. m."/>
    <x v="1"/>
    <n v="213000"/>
    <s v="NO"/>
    <s v="PLANEAR"/>
    <s v="0. No participación de empresa"/>
    <x v="1"/>
    <s v="no se realiza conexión por que el señor encargado no se conecto al encuentro "/>
    <d v="2025-05-30T00:00:00"/>
    <n v="49"/>
    <e v="#REF!"/>
    <x v="0"/>
  </r>
  <r>
    <d v="2025-04-18T00:00:00"/>
    <m/>
    <m/>
    <s v="VIERNES "/>
    <s v="TU EMPRESA SEGURA"/>
    <s v="Juan Diego "/>
    <s v="Jorge ignacio Martínez García "/>
    <s v="Cédula de Ciudadanía"/>
    <n v="70952794"/>
    <s v="j73jimg@hotmail.com"/>
    <n v="3216422617"/>
    <x v="7"/>
    <n v="900112921"/>
    <d v="2025-04-18T00:00:00"/>
    <s v="7:15a. m."/>
    <x v="1"/>
    <n v="213000"/>
    <s v="NO"/>
    <s v="PLANEAR"/>
    <s v="0. No participación de empresa"/>
    <x v="1"/>
    <s v="no se realiza conexión por que era viernes de semana sanrta"/>
    <d v="2025-05-30T00:00:00"/>
    <n v="42"/>
    <e v="#REF!"/>
    <x v="0"/>
  </r>
  <r>
    <d v="2025-04-29T00:00:00"/>
    <m/>
    <m/>
    <s v="VIERNES "/>
    <s v="TU EMPRESA SEGURA"/>
    <s v="Juan Diego "/>
    <s v="Jorge ignacio Martínez García "/>
    <s v="Cédula de Ciudadanía"/>
    <n v="70952794"/>
    <s v="j73jimg@hotmail.com"/>
    <n v="3216422617"/>
    <x v="7"/>
    <n v="900112921"/>
    <d v="2025-04-29T00:00:00"/>
    <s v="7:15a. m."/>
    <x v="1"/>
    <n v="213000"/>
    <s v="SI"/>
    <s v="PLANEAR"/>
    <s v="1.0.9 Savanna Ruta de Bienestar "/>
    <x v="6"/>
    <m/>
    <d v="2025-05-30T00:00:00"/>
    <n v="31"/>
    <e v="#REF!"/>
    <x v="0"/>
  </r>
  <r>
    <d v="2025-04-25T00:00:00"/>
    <m/>
    <m/>
    <s v="VIERNES "/>
    <s v="TU EMPRESA SEGURA"/>
    <s v="Juan Diego "/>
    <s v="Jorge ignacio Martínez García "/>
    <s v="Cédula de Ciudadanía"/>
    <n v="70952794"/>
    <s v="j73jimg@hotmail.com"/>
    <n v="3216422617"/>
    <x v="7"/>
    <n v="900112921"/>
    <d v="2025-04-25T00:00:00"/>
    <s v="7:15a. m."/>
    <x v="1"/>
    <n v="213000"/>
    <s v="SI"/>
    <s v="PLANEAR"/>
    <s v="1.0.6 Diagnóstico del Sistema de Gestión de Seguridad y Salud en el Trabajo (SG-SST) 0312 DE 2019"/>
    <x v="0"/>
    <s v="S hace presentacion de analista y de la plataforma Sistegra, se Solicitan documentos legales: RUT, Documento delgerente, camara de comercio, dos ultimos pagos de seguridad social, examenes medicos(pendientes por realizar), se solicita carta de afilizacion a la ARL"/>
    <d v="2025-05-30T00:00:00"/>
    <n v="35"/>
    <e v="#REF!"/>
    <x v="0"/>
  </r>
  <r>
    <d v="2025-05-02T00:00:00"/>
    <m/>
    <m/>
    <s v="VIERNES "/>
    <s v="TU EMPRESA SEGURA"/>
    <s v="Juan Diego "/>
    <s v="Jorge ignacio Martínez García "/>
    <s v="Cédula de Ciudadanía"/>
    <n v="70952794"/>
    <s v="j73jimg@hotmail.com"/>
    <n v="3216422617"/>
    <x v="7"/>
    <n v="900112921"/>
    <d v="2025-05-02T00:00:00"/>
    <s v="7:15a. m."/>
    <x v="1"/>
    <n v="213000"/>
    <s v="NO"/>
    <s v="PLANEAR"/>
    <s v="0. No participación de empresa"/>
    <x v="1"/>
    <s v="el dos de mayo, no se reporta conexion a la hora establecida, 15 minutos antes llamo al contactto que esat en la base de datos compartida, via wassap, telefono y no hay respeusta, espero hasta las 7:26 am"/>
    <d v="2025-05-30T00:00:00"/>
    <n v="28"/>
    <e v="#REF!"/>
    <x v="0"/>
  </r>
  <r>
    <d v="2025-05-09T00:00:00"/>
    <m/>
    <m/>
    <s v="VIERNES "/>
    <s v="TU EMPRESA SEGURA"/>
    <s v="Juan Diego "/>
    <s v="Jorge ignacio Martínez García "/>
    <s v="Cédula de Ciudadanía"/>
    <n v="70952794"/>
    <s v="j73jimg@hotmail.com"/>
    <n v="3216422617"/>
    <x v="7"/>
    <n v="900112921"/>
    <d v="2025-05-09T00:00:00"/>
    <s v="7:15a. m."/>
    <x v="1"/>
    <n v="213000"/>
    <s v="SI"/>
    <s v="PLANEAR"/>
    <s v="1.0.1 Firma de Términos y Condiciones"/>
    <x v="3"/>
    <s v="se revisa usuario y contraseña en plataforma y se resuelven dudas frente al programa tu empresa segura, se revisa terminos y condiciones y esta al dia, quedamos en enviar examenes médicos y otra documentacion de soporte legal al analista, ya que, no tienen examenes médicos ocupacionales"/>
    <d v="2025-05-30T00:00:00"/>
    <n v="21"/>
    <e v="#REF!"/>
    <x v="0"/>
  </r>
  <r>
    <d v="2025-05-16T00:00:00"/>
    <m/>
    <m/>
    <s v="VIERNES "/>
    <s v="TU EMPRESA SEGURA"/>
    <s v="Juan Diego "/>
    <s v="Jorge ignacio Martínez García "/>
    <s v="Cédula de Ciudadanía"/>
    <n v="70952794"/>
    <s v="j73jimg@hotmail.com"/>
    <n v="3216422617"/>
    <x v="7"/>
    <n v="900112921"/>
    <d v="2025-05-16T00:00:00"/>
    <s v="7:15a. m."/>
    <x v="1"/>
    <n v="213000"/>
    <s v="SI"/>
    <s v="PLANEAR"/>
    <s v="1.0.3 Navegando en  la plataforma y beneficios del programa"/>
    <x v="3"/>
    <s v="se solicita nuevamente la realizacion de los examenes medicos ocupacionales, se verifica firma de terminos y condiciones y se da un panorama orientador del programa tue empresa segura y de la plataforma"/>
    <d v="2025-05-30T00:00:00"/>
    <n v="14"/>
    <e v="#REF!"/>
    <x v="0"/>
  </r>
  <r>
    <d v="2025-05-23T00:00:00"/>
    <m/>
    <m/>
    <s v="VIERNES "/>
    <s v="TU EMPRESA SEGURA"/>
    <s v="Juan Diego "/>
    <s v="Jorge ignacio Martínez García "/>
    <s v="Cédula de Ciudadanía"/>
    <n v="70952794"/>
    <s v="j73jimg@hotmail.com"/>
    <n v="3216422617"/>
    <x v="7"/>
    <n v="900112921"/>
    <d v="2025-05-23T00:00:00"/>
    <s v="7:15a. m."/>
    <x v="1"/>
    <n v="213000"/>
    <s v="SI"/>
    <s v="PLANEAR"/>
    <s v="1.1.1. Responsable del Sistema de Gestión de Seguridad y Salud en el Trabajo SG-SST"/>
    <x v="2"/>
    <s v="Se inicia con la asigacion del responsable en la plataforma, y se informa que se estan adelantando examenes medicos solicitados"/>
    <d v="2025-05-30T00:00:00"/>
    <n v="7"/>
    <e v="#REF!"/>
    <x v="0"/>
  </r>
  <r>
    <d v="2025-05-30T00:00:00"/>
    <m/>
    <m/>
    <s v="VIERNES "/>
    <s v="TU EMPRESA SEGURA"/>
    <s v="Juan Diego "/>
    <s v="Jorge ignacio Martínez García "/>
    <s v="Cédula de Ciudadanía"/>
    <n v="70952794"/>
    <s v="j73jimg@hotmail.com"/>
    <n v="3216422617"/>
    <x v="7"/>
    <n v="900112921"/>
    <d v="2025-05-30T00:00:00"/>
    <s v="7:15a. m."/>
    <x v="1"/>
    <n v="213000"/>
    <s v="SI"/>
    <s v="PLANEAR"/>
    <s v="1.1.4 Afiliación al Sistema General de Riesgos Laborales"/>
    <x v="2"/>
    <s v="se consulta sobre el estado de la  capacitacion en equipos de emergencia, ya que el Sr.tenia dudas sobre el  tipo de extintores para su empresa, se adelanta diligenciamiento de asignacion del responsable y recibo  de planillas de seguridad social"/>
    <d v="2025-05-30T00:00:00"/>
    <n v="0"/>
    <e v="#REF!"/>
    <x v="0"/>
  </r>
  <r>
    <d v="2025-06-06T00:00:00"/>
    <m/>
    <m/>
    <s v="VIERNES "/>
    <s v="TU EMPRESA SEGURA"/>
    <s v="Juan Diego "/>
    <s v="Jorge ignacio Martínez García "/>
    <s v="Cédula de Ciudadanía"/>
    <n v="70952794"/>
    <s v="j73jimg@hotmail.com"/>
    <n v="3216422617"/>
    <x v="7"/>
    <n v="900112921"/>
    <d v="2025-06-06T00:00:00"/>
    <s v="7:15a. m."/>
    <x v="1"/>
    <n v="213000"/>
    <s v="SI"/>
    <s v="PLANEAR"/>
    <s v="1.1.2 Responsabilidades en el Sistema de Gestión de Seguridad y Salud en el Trabajo – SG-SST"/>
    <x v="2"/>
    <s v="Se realiza registro de empleados, asignacion de responsabilidades"/>
    <d v="2025-05-30T00:00:00"/>
    <n v="7"/>
    <e v="#REF!"/>
    <x v="0"/>
  </r>
  <r>
    <d v="2025-05-16T00:00:00"/>
    <m/>
    <m/>
    <s v="VIERNES "/>
    <s v="TU EMPRESA SEGURA"/>
    <s v="Juan Diego "/>
    <s v="Jorge ignacio Martínez García "/>
    <s v="Cédula de Ciudadanía"/>
    <n v="70952794"/>
    <s v="j73jimg@hotmail.com"/>
    <n v="3216422617"/>
    <x v="7"/>
    <n v="900112921"/>
    <d v="2025-05-16T00:00:00"/>
    <m/>
    <x v="4"/>
    <s v=""/>
    <s v="SI"/>
    <s v="PLANEAR"/>
    <s v="0.1 Trabajo autónomo analista en plataforma"/>
    <x v="2"/>
    <s v="se realiza codificacion de documentos"/>
    <d v="2025-05-30T00:00:00"/>
    <n v="14"/>
    <e v="#REF!"/>
    <x v="0"/>
  </r>
  <r>
    <d v="2025-05-20T00:00:00"/>
    <s v="MAYO"/>
    <n v="1"/>
    <s v="MARTES"/>
    <s v="TU EMPRESA SEGURA"/>
    <s v="LUZ"/>
    <m/>
    <m/>
    <m/>
    <m/>
    <n v="3104997696"/>
    <x v="8"/>
    <m/>
    <d v="2025-05-20T00:00:00"/>
    <s v="10:40 a.m"/>
    <x v="3"/>
    <n v="106.666"/>
    <s v="SI"/>
    <s v="PLANEAR"/>
    <s v="1.0.0 Bienvenida"/>
    <x v="3"/>
    <s v="Bienvenida al programa, No firmo firma de termminos y condiciones por temas de no tener contraseña y usuario,se le presenta el programa .se le realiza evaluacion inicial"/>
    <d v="2025-05-30T00:00:00"/>
    <n v="10"/>
    <e v="#REF!"/>
    <x v="0"/>
  </r>
  <r>
    <d v="2025-05-20T00:00:00"/>
    <s v="MAYO"/>
    <n v="1"/>
    <s v="MARTES"/>
    <s v="TU EMPRESA SEGURA"/>
    <s v="LUZ"/>
    <s v="Kerly Andrea Ortiz Ramirez"/>
    <s v="Cédula de Ciudadanía"/>
    <n v="1128395305"/>
    <s v="Kerlyandreaortiz1407@gmail.com"/>
    <n v="3128926799"/>
    <x v="9"/>
    <n v="1128395305"/>
    <d v="2025-05-20T00:00:00"/>
    <s v="1:00 p.m"/>
    <x v="0"/>
    <n v="106.666"/>
    <s v="SI"/>
    <s v="PLANEAR"/>
    <s v="1.0.0 Bienvenida"/>
    <x v="3"/>
    <s v="Se realiza bienvenida, no firmo firma de termminos y condiciones por temas de no tener contraseña y usuario,se le presenta el programa ."/>
    <d v="2025-05-30T00:00:00"/>
    <n v="10"/>
    <e v="#REF!"/>
    <x v="0"/>
  </r>
  <r>
    <d v="2025-05-27T00:00:00"/>
    <m/>
    <m/>
    <s v="MARTES"/>
    <s v="TU EMPRESA SEGURA"/>
    <s v="LUZ"/>
    <s v="Kerly Andrea Ortiz Ramirez"/>
    <s v="Cédula de Ciudadanía"/>
    <n v="1128395305"/>
    <s v="Kerlyandreaortiz1407@gmail.com"/>
    <n v="3128926799"/>
    <x v="9"/>
    <n v="1128395305"/>
    <d v="2025-05-27T00:00:00"/>
    <s v="1:15 p.m"/>
    <x v="0"/>
    <n v="106.666"/>
    <s v="SI"/>
    <s v="PLANEAR"/>
    <s v="1.0.3 Navegando en  la plataforma y beneficios del programa"/>
    <x v="3"/>
    <s v="se realiza explicacion de la plataforma,se explica el numeral 1.1.4 y 2.5.1 .ya que se conecto 25 minutos luego no se pudo reaalizar la evauzaion inicial."/>
    <d v="2025-05-30T00:00:00"/>
    <n v="3"/>
    <e v="#REF!"/>
    <x v="0"/>
  </r>
  <r>
    <d v="2025-06-03T00:00:00"/>
    <m/>
    <m/>
    <s v="MARTES"/>
    <s v="TU EMPRESA SEGURA"/>
    <s v="LUZ"/>
    <s v="Kerly Andrea Ortiz Ramirez"/>
    <s v="Cédula de Ciudadanía"/>
    <n v="1128395305"/>
    <s v="Kerlyandreaortiz1407@gmail.com"/>
    <n v="3128926799"/>
    <x v="9"/>
    <n v="1128395305"/>
    <d v="2025-06-03T00:00:00"/>
    <s v="1:15 p.m"/>
    <x v="0"/>
    <n v="106.666"/>
    <s v="SI"/>
    <s v="PLANEAR"/>
    <s v="2.5.1 Archivo o retención documental del Sistema de Gestión en Seguridad y Salud en el Trabajo SG-SST"/>
    <x v="0"/>
    <s v="se firma terminos y condiciones,envia el PDF,se adelanta numeral 2.5.1."/>
    <d v="2025-05-30T00:00:00"/>
    <n v="4"/>
    <e v="#REF!"/>
    <x v="0"/>
  </r>
  <r>
    <d v="2025-04-28T00:00:00"/>
    <s v="ABRIL"/>
    <n v="2"/>
    <s v="VIERNES "/>
    <s v="TU EMPRESA SEGURA"/>
    <s v="Cristhian"/>
    <s v="LUISA GARCIA"/>
    <s v="Cédula de Ciudadanía"/>
    <n v="1036929374"/>
    <s v="luisayepes02@gmail.com"/>
    <n v="3194892497"/>
    <x v="10"/>
    <n v="901166099"/>
    <d v="2026-04-21T00:00:00"/>
    <s v="11:00a. m."/>
    <x v="2"/>
    <n v="106.666"/>
    <s v="SI"/>
    <s v="PLANEAR"/>
    <s v="1.0.0 Bienvenida"/>
    <x v="3"/>
    <s v="Bienvenida al programa, se le explica detalladamente en que consiste y la duración estimada, se Indica cómo firmar los términos y condiciones, se agenda la reunión periódica, semanal, los viernes de 3:00 a 3:45pm, se actualiza el correo de contacto: claoarbo@hotmail.com "/>
    <d v="2025-05-30T00:00:00"/>
    <n v="32"/>
    <e v="#REF!"/>
    <x v="0"/>
  </r>
  <r>
    <d v="2025-05-05T00:00:00"/>
    <m/>
    <m/>
    <s v="VIERNES "/>
    <s v="TU EMPRESA SEGURA"/>
    <s v="Cristhian"/>
    <s v="LUISA GARCIA"/>
    <s v="Cédula de Ciudadanía"/>
    <n v="1036929374"/>
    <s v="luisayepes02@gmail.com"/>
    <n v="3194892497"/>
    <x v="10"/>
    <n v="901166099"/>
    <d v="2026-04-28T00:00:00"/>
    <s v="3:00PM"/>
    <x v="2"/>
    <n v="106.666"/>
    <s v="NO"/>
    <s v="PLANEAR"/>
    <s v="0. No conexión"/>
    <x v="1"/>
    <s v="No hubo conexión "/>
    <d v="2025-05-30T00:00:00"/>
    <n v="25"/>
    <e v="#REF!"/>
    <x v="0"/>
  </r>
  <r>
    <d v="2025-05-12T00:00:00"/>
    <m/>
    <m/>
    <s v="VIERNES "/>
    <s v="TU EMPRESA SEGURA"/>
    <s v="Cristhian"/>
    <s v="LUISA GARCIA"/>
    <s v="Cédula de Ciudadanía"/>
    <n v="1036929374"/>
    <s v="luisayepes02@gmail.com"/>
    <n v="3194892497"/>
    <x v="10"/>
    <n v="901166099"/>
    <d v="2025-04-11T00:00:00"/>
    <s v="3:00PM"/>
    <x v="2"/>
    <n v="106.666"/>
    <s v="NO CONEXIÓN"/>
    <s v="PLANEAR"/>
    <s v="0. No conexión"/>
    <x v="1"/>
    <m/>
    <d v="2025-05-30T00:00:00"/>
    <n v="18"/>
    <e v="#REF!"/>
    <x v="0"/>
  </r>
  <r>
    <d v="2025-05-09T00:00:00"/>
    <m/>
    <m/>
    <s v="VIERNES "/>
    <s v="TU EMPRESA SEGURA"/>
    <s v="Juan Diego "/>
    <s v="LUISA GARCIA"/>
    <s v="Cédula de Ciudadanía"/>
    <n v="1036929374"/>
    <s v="luisayepes02@gmail.com"/>
    <n v="3194892497"/>
    <x v="10"/>
    <n v="901166099"/>
    <d v="2025-04-18T00:00:00"/>
    <s v="3:00PM"/>
    <x v="2"/>
    <n v="106.666"/>
    <s v="SI"/>
    <s v="PLANEAR"/>
    <s v="1.0.3 Navegando en  la plataforma y beneficios del programa"/>
    <x v="3"/>
    <s v="se da un panorama orientador de la plataforma, se explica en que consiste el sgsst y el programa tu empresa segura, se empieza registro de usuarios y administradores en plataforma"/>
    <d v="2025-05-30T00:00:00"/>
    <n v="21"/>
    <e v="#REF!"/>
    <x v="0"/>
  </r>
  <r>
    <d v="2025-06-09T00:00:00"/>
    <m/>
    <m/>
    <s v="VIERNES "/>
    <s v="TU EMPRESA SEGURA"/>
    <s v="Juan Diego "/>
    <s v="LUISA GARCIA"/>
    <s v="Cédula de Ciudadanía"/>
    <n v="1036929374"/>
    <s v="luisayepes02@gmail.com"/>
    <n v="3194892497"/>
    <x v="10"/>
    <n v="901166099"/>
    <d v="2025-05-09T00:00:00"/>
    <n v="0.60069444444444442"/>
    <x v="2"/>
    <n v="106.666"/>
    <s v="SI"/>
    <s v="PLANEAR"/>
    <s v="1.0.3 Navegando en  la plataforma y beneficios del programa"/>
    <x v="3"/>
    <s v="se hace solicitud de documentos de la empresa: Rut, camara de comercio, ultimos dos pagos de planilla de seg. social, logotipo de la empresa; se inicia con el registro de usuarios y administradores"/>
    <d v="2025-05-30T00:00:00"/>
    <n v="10"/>
    <e v="#REF!"/>
    <x v="0"/>
  </r>
  <r>
    <d v="2025-06-16T00:00:00"/>
    <m/>
    <m/>
    <s v="VIERNES "/>
    <s v="TU EMPRESA SEGURA"/>
    <s v="Juan Diego "/>
    <s v="LUISA GARCIA"/>
    <s v="Cédula de Ciudadanía"/>
    <n v="1036929374"/>
    <s v="luisayepes02@gmail.com"/>
    <n v="3194892497"/>
    <x v="10"/>
    <n v="901166099"/>
    <d v="2025-05-16T00:00:00"/>
    <n v="0.60069444444444442"/>
    <x v="2"/>
    <n v="106.666"/>
    <s v="SI"/>
    <s v="PLANEAR"/>
    <s v="1.0.6 Diagnóstico del Sistema de Gestión de Seguridad y Salud en el Trabajo (SG-SST) 0312 DE 2019"/>
    <x v="0"/>
    <s v="se se solicitam y se envia documentos de seg. social, y documentos del sistema de gestion, se explica mas a profundiad el programa tu empresa segura, por dudas del cliente"/>
    <d v="2025-05-30T00:00:00"/>
    <n v="17"/>
    <e v="#REF!"/>
    <x v="0"/>
  </r>
  <r>
    <d v="2025-06-23T00:00:00"/>
    <m/>
    <m/>
    <s v="VIERNES"/>
    <s v="TU EMPRESA SEGURA"/>
    <s v="Juan Diego "/>
    <s v="LUISA GARCIA"/>
    <s v="Cédula de Ciudadanía"/>
    <n v="1036929374"/>
    <s v="luisayepes02@gmail.com"/>
    <n v="3194892497"/>
    <x v="10"/>
    <n v="901166099"/>
    <d v="2025-05-23T00:00:00"/>
    <n v="0.60069444444444442"/>
    <x v="2"/>
    <n v="106.666"/>
    <s v="NO"/>
    <s v="PLANEAR"/>
    <s v="0. No conexión"/>
    <x v="1"/>
    <s v="se contacta en lahora indicada y la persona enlace,  me indica que se leha dificultado ingresar,le nevio ellink de teamas y no recibo  respuesta"/>
    <d v="2025-05-30T00:00:00"/>
    <n v="24"/>
    <e v="#REF!"/>
    <x v="0"/>
  </r>
  <r>
    <d v="2025-05-23T00:00:00"/>
    <m/>
    <m/>
    <s v="VIERNES"/>
    <s v="TU EMPRESA SEGURA"/>
    <s v="Juan Diego "/>
    <s v="LUISA GARCIA"/>
    <s v="Cédula de Ciudadanía"/>
    <n v="1036929374"/>
    <s v="luisayepes02@gmail.com"/>
    <n v="3194892497"/>
    <x v="10"/>
    <n v="901166099"/>
    <d v="2025-05-23T00:00:00"/>
    <s v="1:15 p.m"/>
    <x v="2"/>
    <n v="106.666"/>
    <s v="NO"/>
    <s v="PLANEAR"/>
    <s v="1.1.1. Responsable del Sistema de Gestión de Seguridad y Salud en el Trabajo SG-SST"/>
    <x v="2"/>
    <s v="Se contacta por via wassap y telefonica y no se recibe respuesta, se adelanta revision de asignaicon de responsabilidades"/>
    <d v="2025-05-30T00:00:00"/>
    <n v="7"/>
    <e v="#REF!"/>
    <x v="0"/>
  </r>
  <r>
    <d v="2025-03-25T00:00:00"/>
    <s v="MARZO"/>
    <n v="3"/>
    <s v="MARTES  "/>
    <s v="TU EMPRESA SEGURA"/>
    <s v="LUZ"/>
    <s v="LIANA OCAMPO"/>
    <s v="Cédula de Ciudadanía"/>
    <n v="1036778480"/>
    <s v="Locampo@picados.com.co"/>
    <n v="3127198417"/>
    <x v="11"/>
    <n v="900655932"/>
    <d v="2025-03-25T00:00:00"/>
    <s v="11:00 AM - 12:00  PM"/>
    <x v="3"/>
    <n v="106.666"/>
    <s v="SI"/>
    <s v="PLANEAR"/>
    <s v="1.0.0 Bienvenida"/>
    <x v="3"/>
    <s v="el dia viernes 21 de marzo se llamo a la empresa para validar la llegada del correo electronico con el usuario y la contraseña a lo cual indicaron que si les llego y que no han tenido ningun inconveniente "/>
    <d v="2025-05-30T00:00:00"/>
    <n v="66"/>
    <e v="#REF!"/>
    <x v="0"/>
  </r>
  <r>
    <d v="2025-04-15T00:00:00"/>
    <m/>
    <m/>
    <s v="MARTES  "/>
    <s v="TU EMPRESA SEGURA"/>
    <s v="LUZ"/>
    <s v="LIANA OCAMPO"/>
    <s v="Cédula de Ciudadanía"/>
    <n v="1036778480"/>
    <s v="Locampo@picados.com.co"/>
    <n v="3127198417"/>
    <x v="11"/>
    <n v="900655932"/>
    <d v="2025-04-15T00:00:00"/>
    <n v="0.40972222222222221"/>
    <x v="3"/>
    <n v="106.666"/>
    <s v="SI"/>
    <s v="PLANEAR"/>
    <s v="1.0.6 Diagnóstico del Sistema de Gestión de Seguridad y Salud en el Trabajo (SG-SST) 0312 DE 2019"/>
    <x v="0"/>
    <s v="Pendiente firma de representante legal en responsabilidades del sistema de gestion y en termino y condiciones,pendiente enviar correo con documentos de rut y camara y comercio se realizo el diagnostico inicial."/>
    <d v="2025-05-30T00:00:00"/>
    <n v="45"/>
    <e v="#REF!"/>
    <x v="0"/>
  </r>
  <r>
    <d v="2025-04-22T00:00:00"/>
    <m/>
    <m/>
    <s v="MARTES  "/>
    <s v="TU EMPRESA SEGURA"/>
    <s v="LUZ"/>
    <s v="LIANA OCAMPO"/>
    <s v="Cédula de Ciudadanía"/>
    <n v="1036778480"/>
    <s v="Locampo@picados.com.co"/>
    <n v="3127198417"/>
    <x v="11"/>
    <n v="900655932"/>
    <d v="2025-04-22T00:00:00"/>
    <n v="0.40972222222222221"/>
    <x v="3"/>
    <n v="106.666"/>
    <s v="SI"/>
    <s v="PLANEAR"/>
    <s v="1.1.4 Afiliación al Sistema General de Riesgos Laborales"/>
    <x v="2"/>
    <s v="el dia viernes 22 de abril Doña Liliana ocampo refiere manejar la plataforma y queda pendiente por su parte enviar correo electronico con rut,camara y comercio,logo,ARL.EPS Y adjuntar en el numeral 1.1.4 los certificados mes a mes de afiliaciones ,refiere tambien ya haber firmado terminos y condiciones ."/>
    <d v="2025-05-30T00:00:00"/>
    <n v="38"/>
    <e v="#REF!"/>
    <x v="0"/>
  </r>
  <r>
    <d v="2025-04-29T00:00:00"/>
    <m/>
    <m/>
    <s v="MARTES  "/>
    <s v="TU EMPRESA SEGURA"/>
    <s v="LUZ"/>
    <s v="LIANA OCAMPO"/>
    <s v="Cédula de Ciudadanía"/>
    <n v="1036778480"/>
    <s v="Locampo@picados.com.co"/>
    <n v="3127198417"/>
    <x v="11"/>
    <n v="900655932"/>
    <d v="2025-04-29T00:00:00"/>
    <n v="0.40972222222222221"/>
    <x v="3"/>
    <n v="106.666"/>
    <s v="NO"/>
    <s v="PLANEAR"/>
    <s v="0. No conexión"/>
    <x v="1"/>
    <s v="problemas con el interneth y conexion luz estrada ver correo del dia 30/4/2025 donde se informa el inconveniente con mi plataforma,no podia conectarme._x000a_"/>
    <d v="2025-05-30T00:00:00"/>
    <n v="31"/>
    <e v="#REF!"/>
    <x v="0"/>
  </r>
  <r>
    <d v="2025-05-06T00:00:00"/>
    <m/>
    <m/>
    <s v="MARTES  "/>
    <s v="TU EMPRESA SEGURA"/>
    <s v="LUZ"/>
    <s v="LIANA OCAMPO"/>
    <s v="Cédula de Ciudadanía"/>
    <n v="1036778480"/>
    <s v="Locampo@picados.com.co"/>
    <n v="3127198417"/>
    <x v="11"/>
    <n v="900655932"/>
    <d v="2025-05-06T00:00:00"/>
    <n v="0.40972222222222221"/>
    <x v="3"/>
    <n v="106.666"/>
    <s v="SI"/>
    <s v="PLANEAR"/>
    <s v="1.1.1. Responsable del Sistema de Gestión de Seguridad y Salud en el Trabajo SG-SST"/>
    <x v="2"/>
    <s v="se realiza  diligenciamiento de documento de responsable,,se inicia con archivo documental y se deja tarea de diligenciamiento de perfilsociodemografico."/>
    <d v="2025-05-30T00:00:00"/>
    <n v="24"/>
    <e v="#REF!"/>
    <x v="0"/>
  </r>
  <r>
    <d v="2025-05-13T00:00:00"/>
    <m/>
    <m/>
    <s v="MARTES  "/>
    <s v="TU EMPRESA SEGURA"/>
    <s v="LUZ"/>
    <s v="LIANA OCAMPO"/>
    <s v="Cédula de Ciudadanía"/>
    <n v="1036778480"/>
    <s v="Locampo@picados.com.co"/>
    <n v="3127198417"/>
    <x v="11"/>
    <n v="900655932"/>
    <d v="2025-05-13T00:00:00"/>
    <n v="0.40972222222222221"/>
    <x v="3"/>
    <n v="106.666"/>
    <s v="SI"/>
    <s v="HACER"/>
    <s v="3.1.1 Descripcion sociodemografica.Diagnostico de Condiciones de Salud"/>
    <x v="3"/>
    <s v="se continua diligenciando el archivo documental,pendiente perfilsociodemografico,no se adelanta mucho porque no era claro el tema de evidencias de perfil y de archivo documental.solicita correo de la grabacion de la conexion."/>
    <d v="2025-05-30T00:00:00"/>
    <n v="17"/>
    <e v="#REF!"/>
    <x v="0"/>
  </r>
  <r>
    <d v="2025-05-20T00:00:00"/>
    <m/>
    <m/>
    <s v="MARTES  "/>
    <s v="TU EMPRESA SEGURA"/>
    <s v="LUZ"/>
    <s v="LIANA OCAMPO"/>
    <s v="Cédula de Ciudadanía"/>
    <n v="1036778480"/>
    <s v="Locampo@picados.com.co"/>
    <n v="3127198417"/>
    <x v="11"/>
    <n v="900655932"/>
    <d v="2025-05-20T00:00:00"/>
    <n v="0.40972222222222221"/>
    <x v="3"/>
    <n v="106.666"/>
    <s v="SI"/>
    <s v="PLANEAR"/>
    <s v="2.5.1 Archivo o retención documental del Sistema de Gestión en Seguridad y Salud en el Trabajo SG-SST"/>
    <x v="0"/>
    <s v="Solicita que se le revise todo el numeral 2.5.1 cree que repitio datos,solicita paso a paso de subir firmas y enviar correo del numeral 1.1.4 para subir evidencias."/>
    <d v="2025-05-30T00:00:00"/>
    <n v="10"/>
    <e v="#REF!"/>
    <x v="0"/>
  </r>
  <r>
    <m/>
    <m/>
    <m/>
    <s v="MARTES  "/>
    <s v="TU EMPRESA SEGURA"/>
    <s v="LUZ"/>
    <s v="LIANA OCAMPO"/>
    <s v="Cédula de Ciudadanía"/>
    <n v="1036778480"/>
    <s v="Locampo@picados.com.co"/>
    <n v="3127198417"/>
    <x v="11"/>
    <n v="900655932"/>
    <d v="2025-04-30T00:00:00"/>
    <m/>
    <x v="3"/>
    <n v="106.666"/>
    <s v="SI"/>
    <s v="PLANEAR"/>
    <s v="1.0.4 Acompañamiiento/Asesoría sobre SGSST"/>
    <x v="0"/>
    <s v="Solicita que se le revise todo el numeral 2.5.1 cree que repitio datos,solicita paso a paso de subir firmas y enviar correo del numeral 1.1.4 para subir evidencias."/>
    <d v="2025-05-30T00:00:00"/>
    <n v="45807"/>
    <e v="#REF!"/>
    <x v="0"/>
  </r>
  <r>
    <d v="2025-05-27T00:00:00"/>
    <m/>
    <m/>
    <s v="MARTES  "/>
    <s v="TU EMPRESA SEGURA"/>
    <s v="LUZ"/>
    <s v="LIANA OCAMPO"/>
    <s v="Cédula de Ciudadanía"/>
    <n v="1036778480"/>
    <s v="Locampo@picados.com.co"/>
    <n v="3127198417"/>
    <x v="11"/>
    <n v="900655932"/>
    <d v="2025-05-27T00:00:00"/>
    <n v="0.40972222222222221"/>
    <x v="3"/>
    <n v="106.666"/>
    <s v="SI"/>
    <s v="PLANEAR"/>
    <s v="1.0.6 Diagnóstico del Sistema de Gestión de Seguridad y Salud en el Trabajo (SG-SST) 0312 DE 2019"/>
    <x v="0"/>
    <s v="Se realiza evalucion inicial  y se revisa numeral 1.1.4 (Aceptable)"/>
    <d v="2025-05-30T00:00:00"/>
    <n v="3"/>
    <e v="#REF!"/>
    <x v="0"/>
  </r>
  <r>
    <m/>
    <m/>
    <m/>
    <m/>
    <m/>
    <s v="LUZ"/>
    <s v="Jorge Eliecer Gómez Garcia  "/>
    <s v="Cédula de Ciudadanía"/>
    <n v="1128403927"/>
    <s v="gerenciacakareos@gmail.com "/>
    <n v="3148312199"/>
    <x v="12"/>
    <n v="1128403927"/>
    <d v="2025-06-03T00:00:00"/>
    <n v="0.62847222222222221"/>
    <x v="0"/>
    <n v="106.666"/>
    <s v="SI"/>
    <s v="PLANEAR"/>
    <s v="0. No conexión"/>
    <x v="1"/>
    <s v="Esta en duda si continua con tu empresa segura comfama o sigue con las niñas que le llevan el sistema en el momento."/>
    <d v="2025-05-30T00:00:00"/>
    <n v="45807"/>
    <e v="#REF!"/>
    <x v="0"/>
  </r>
  <r>
    <d v="2025-05-27T00:00:00"/>
    <m/>
    <m/>
    <s v="MARTES"/>
    <s v="TU EMPRESA SEGURA"/>
    <s v="LUZ"/>
    <s v="Jorge Eliecer Gómez Garcia  "/>
    <s v="Cédula de Ciudadanía"/>
    <n v="1128403927"/>
    <s v="gerenciacakareos@gmail.com "/>
    <n v="3017402779"/>
    <x v="12"/>
    <n v="1128403927"/>
    <d v="2025-05-27T00:00:00"/>
    <n v="0.62847222222222221"/>
    <x v="0"/>
    <n v="106.666"/>
    <s v="CONEXIÓN AUTÓNOMA DE ANALISTA"/>
    <s v="PLANEAR"/>
    <s v="0. No conexión"/>
    <x v="1"/>
    <s v="Refiere que espero todo el dia la conexion ,pero hay evidencias que no contesto el celular en llamada ,ni mensaje de whatsapp.en la grabacion de la misma fecha d econexion."/>
    <d v="2025-05-30T00:00:00"/>
    <n v="3"/>
    <e v="#REF!"/>
    <x v="0"/>
  </r>
  <r>
    <d v="2025-03-25T00:00:00"/>
    <s v="MARZO"/>
    <n v="3"/>
    <s v="MARTES  "/>
    <s v="TU EMPRESA SEGURA"/>
    <s v="Juan Diego "/>
    <s v="LADY NATALIA RODRÍGUEZ OSPINA "/>
    <s v="Cédula de Ciudadanía"/>
    <n v="1036937209"/>
    <s v="Natalia.rodriguez7209@gmail.com"/>
    <n v="3128650034"/>
    <x v="13"/>
    <n v="15448886"/>
    <d v="2025-03-25T00:00:00"/>
    <s v="1:00p.m."/>
    <x v="0"/>
    <n v="106.666"/>
    <s v="SI"/>
    <s v="PLANEAR"/>
    <s v="1.0.0 Bienvenida"/>
    <x v="3"/>
    <s v="el dia viernes 21 de marzo se llamo a la empresa para validar la llegada del correo electronico con el usuario y la contraseña a lo cual indicaron que si les llego y que no han tenido ningun inconveniente._x000a_Primer conexión explicación del proyecto"/>
    <d v="2025-05-30T00:00:00"/>
    <n v="66"/>
    <e v="#REF!"/>
    <x v="0"/>
  </r>
  <r>
    <d v="2025-04-05T00:00:00"/>
    <m/>
    <m/>
    <s v="SABADO"/>
    <s v="TU EMPRESA SEGURA"/>
    <s v="Juan Diego "/>
    <s v="LADY NATALIA RODRÍGUEZ OSPINA "/>
    <s v="Cédula de Ciudadanía"/>
    <n v="1036937209"/>
    <s v="Natalia.rodriguez7209@gmail.com"/>
    <n v="3128650034"/>
    <x v="13"/>
    <n v="15448886"/>
    <d v="2025-04-05T00:00:00"/>
    <s v="1:00p.m."/>
    <x v="0"/>
    <n v="106.666"/>
    <s v="SI"/>
    <s v="PLANEAR"/>
    <s v="1.0.1 Firma de Términos y Condiciones"/>
    <x v="3"/>
    <s v="Segunda conexión validación de usuario y contraseña, firma de de Términos y Condiciones"/>
    <d v="2025-05-30T00:00:00"/>
    <n v="55"/>
    <e v="#REF!"/>
    <x v="0"/>
  </r>
  <r>
    <d v="2025-04-12T00:00:00"/>
    <m/>
    <m/>
    <s v="SABADO"/>
    <s v="TU EMPRESA SEGURA"/>
    <s v="Juan Diego "/>
    <s v="LADY NATALIA RODRÍGUEZ OSPINA "/>
    <s v="Cédula de Ciudadanía"/>
    <n v="1036937209"/>
    <s v="Natalia.rodriguez7209@gmail.com"/>
    <n v="3128650034"/>
    <x v="13"/>
    <n v="15448886"/>
    <d v="2025-04-12T00:00:00"/>
    <s v="8:05AM"/>
    <x v="0"/>
    <n v="106.666"/>
    <s v="SI"/>
    <s v="PLANEAR"/>
    <s v="1.0.5 Diagnóstico de Madurez"/>
    <x v="4"/>
    <s v="Se realiza diagnóstico de madurez, con resultado aprobado y se adelanta términos y condiciones y se inicia perfil sociodemográfico, y se envía estándar de seguridad de cuchillo para la cocina."/>
    <d v="2025-05-30T00:00:00"/>
    <n v="48"/>
    <e v="#REF!"/>
    <x v="0"/>
  </r>
  <r>
    <d v="2025-04-19T00:00:00"/>
    <m/>
    <m/>
    <s v="SABADO"/>
    <s v="TU EMPRESA SEGURA"/>
    <s v="Juan Diego "/>
    <s v="LADY NATALIA RODRÍGUEZ OSPINA "/>
    <s v="Cédula de Ciudadanía"/>
    <n v="1036937209"/>
    <s v="Natalia.rodriguez7209@gmail.com"/>
    <n v="3128650034"/>
    <x v="13"/>
    <n v="15448886"/>
    <d v="2025-04-19T00:00:00"/>
    <s v="8:05AM"/>
    <x v="0"/>
    <n v="106.666"/>
    <s v="SI"/>
    <s v="PLANEAR"/>
    <s v="1.0.6 Diagnóstico del Sistema de Gestión de Seguridad y Salud en el Trabajo (SG-SST) 0312 DE 2019"/>
    <x v="0"/>
    <s v="se inicia a las8:am, se consulta sobre novedades de ausentismos por vacaciones y no se reportan, se consulta sobre novedades de acceso a plataforma y no se reportan novedades negativas, se inicia con la carga de examenes médicos en el modulo de salud laboral y de apgo de seguridad social en pago al sgrl, se continua con la evaluacion inicial para ir generando el puntaje segun los requerimientos de la Res. 0312 del 2019, terminamos a las 9am"/>
    <d v="2025-05-30T00:00:00"/>
    <n v="41"/>
    <e v="#REF!"/>
    <x v="0"/>
  </r>
  <r>
    <d v="2025-05-10T00:00:00"/>
    <m/>
    <m/>
    <s v="SABADO"/>
    <s v="TU EMPRESA SEGURA"/>
    <s v="Juan Diego "/>
    <s v="LADY NATALIA RODRÍGUEZ OSPINA "/>
    <s v="Cédula de Ciudadanía"/>
    <n v="1036937209"/>
    <s v="Natalia.rodriguez7209@gmail.com"/>
    <n v="3128650034"/>
    <x v="13"/>
    <n v="15448886"/>
    <d v="2025-05-10T00:00:00"/>
    <s v="8:05AM"/>
    <x v="0"/>
    <n v="106.666"/>
    <s v="SI"/>
    <s v="PLANEAR"/>
    <s v="1.1.3 Asignación de recursos para el Sistema de Gestión en Seguridad y Salud en el Trabajo – SG-SST"/>
    <x v="2"/>
    <s v="S e ingresa incapacidad a regi. de ausentismos en plataforma, tambien,se diligenca el  indicador de enfermedd general; se avanza en la matriz de asignacion de recursos; y se envia el MEDEVAC"/>
    <d v="2025-05-30T00:00:00"/>
    <n v="20"/>
    <e v="#REF!"/>
    <x v="0"/>
  </r>
  <r>
    <d v="2025-05-17T00:00:00"/>
    <m/>
    <m/>
    <s v="SABADO"/>
    <s v="TU EMPRESA SEGURA"/>
    <s v="Juan Diego "/>
    <s v="LADY NATALIA RODRÍGUEZ OSPINA "/>
    <s v="Cédula de Ciudadanía"/>
    <n v="1036937209"/>
    <s v="Natalia.rodriguez7209@gmail.com"/>
    <n v="3128650034"/>
    <x v="13"/>
    <n v="15448886"/>
    <d v="2025-05-17T00:00:00"/>
    <s v="8:05AM"/>
    <x v="0"/>
    <n v="106.666"/>
    <s v="SI"/>
    <s v="PLANEAR"/>
    <s v="1.1.6 Conformación COPASST"/>
    <x v="2"/>
    <s v="se avanza en la conformacion del copasst"/>
    <d v="2025-05-30T00:00:00"/>
    <n v="13"/>
    <e v="#REF!"/>
    <x v="0"/>
  </r>
  <r>
    <d v="2025-04-30T00:00:00"/>
    <m/>
    <m/>
    <s v="SABADO"/>
    <s v="TU EMPRESA SEGURA"/>
    <s v="Juan Diego "/>
    <s v="LADY NATALIA RODRÍGUEZ OSPINA "/>
    <s v="Cédula de Ciudadanía"/>
    <n v="1036937209"/>
    <s v="Natalia.rodriguez7209@gmail.com"/>
    <n v="3128650034"/>
    <x v="13"/>
    <n v="15448886"/>
    <d v="2025-04-30T00:00:00"/>
    <m/>
    <x v="0"/>
    <n v="106.666"/>
    <s v="SI"/>
    <s v="PLANEAR"/>
    <s v="1.0.9 Savanna Ruta de Bienestar "/>
    <x v="6"/>
    <s v="se avanza en la conformacion del copasst"/>
    <d v="2025-05-30T00:00:00"/>
    <n v="30"/>
    <e v="#REF!"/>
    <x v="0"/>
  </r>
  <r>
    <d v="2025-05-31T00:00:00"/>
    <m/>
    <m/>
    <s v="SABADO"/>
    <s v="TU EMPRESA SEGURA"/>
    <s v="Juan Diego "/>
    <s v="LADY NATALIA RODRÍGUEZ OSPINA "/>
    <s v="Cédula de Ciudadanía"/>
    <n v="1036937209"/>
    <s v="Natalia.rodriguez7209@gmail.com"/>
    <n v="3128650034"/>
    <x v="13"/>
    <n v="15448886"/>
    <d v="2025-05-31T00:00:00"/>
    <s v="8:05AM"/>
    <x v="0"/>
    <n v="106.666"/>
    <s v="SI"/>
    <s v="PLANEAR"/>
    <s v="1.0.8 Acompañamiento AT/EL"/>
    <x v="4"/>
    <s v="se programan las dos asesorias para el 7 de junio, se reporta accidente laboral en ausencia de la  administradora y se hace seguimiento a la  trabajadora"/>
    <d v="2025-05-30T00:00:00"/>
    <n v="1"/>
    <e v="#REF!"/>
    <x v="0"/>
  </r>
  <r>
    <d v="2025-03-28T00:00:00"/>
    <s v="MARZO"/>
    <n v="3"/>
    <s v="VIERNES "/>
    <s v="TU EMPRESA SEGURA"/>
    <s v="Cristhian"/>
    <s v="Dora Luz Arbelaez"/>
    <s v="Cédula de Ciudadanía"/>
    <n v="39382394"/>
    <s v="doraluzarbelaez@gmail.com"/>
    <n v="3113247283"/>
    <x v="14"/>
    <n v="900167311"/>
    <d v="2026-04-21T00:00:00"/>
    <s v="1:40PM"/>
    <x v="3"/>
    <n v="106.666"/>
    <s v="SI"/>
    <s v="PLANEAR"/>
    <s v="1.0.0 Bienvenida"/>
    <x v="3"/>
    <s v="Bienvenida al programa, se le explica detalladamente en que consiste y la duración estimada, se Indica cómo firmar los términos y condiciones, se agenda la reunión periódica, semanal, los viernes de 1:30 a 2:15Pm"/>
    <d v="2025-05-30T00:00:00"/>
    <n v="63"/>
    <e v="#REF!"/>
    <x v="0"/>
  </r>
  <r>
    <d v="2025-04-04T00:00:00"/>
    <m/>
    <m/>
    <s v="VIERNES "/>
    <s v="TU EMPRESA SEGURA"/>
    <s v="Cristhian"/>
    <s v="Dora Luz Arbelaez"/>
    <s v="Cédula de Ciudadanía"/>
    <n v="39382394"/>
    <s v="doraluzarbelaez@gmail.com"/>
    <n v="3113247283"/>
    <x v="14"/>
    <n v="900167311"/>
    <d v="2026-04-28T00:00:00"/>
    <s v="1:40PM"/>
    <x v="3"/>
    <n v="106.666"/>
    <s v="SI"/>
    <s v="PLANEAR"/>
    <s v="1.0.5 Diagnóstico de Madurez"/>
    <x v="4"/>
    <s v="se le da la bienvenida a la señora Alejandra quien es la responsable del SG.SST de la empresa, y se inicia con el diagnostico de madurez"/>
    <d v="2025-05-30T00:00:00"/>
    <n v="56"/>
    <e v="#REF!"/>
    <x v="0"/>
  </r>
  <r>
    <d v="2025-04-11T00:00:00"/>
    <m/>
    <m/>
    <s v="VIERNES "/>
    <s v="TU EMPRESA SEGURA"/>
    <s v="Cristhian"/>
    <s v="Dora Luz Arbelaez"/>
    <s v="Cédula de Ciudadanía"/>
    <n v="39382394"/>
    <s v="doraluzarbelaez@gmail.com"/>
    <n v="3113247283"/>
    <x v="14"/>
    <n v="900167311"/>
    <d v="2025-04-11T00:00:00"/>
    <s v="1:40PM"/>
    <x v="3"/>
    <n v="106.666"/>
    <s v="SI"/>
    <s v="PLANEAR"/>
    <s v="1.0.5 Diagnóstico de Madurez"/>
    <x v="4"/>
    <s v="Se realiza el ultimo cuestionario del diagnotico de madurez con la señora Alejandra y se le asigna la tarea de registrar los trabajadores con el perfil sociodemografico"/>
    <d v="2025-05-30T00:00:00"/>
    <n v="49"/>
    <e v="#REF!"/>
    <x v="0"/>
  </r>
  <r>
    <d v="2025-04-18T00:00:00"/>
    <m/>
    <m/>
    <s v="VIERNES "/>
    <s v="TU EMPRESA SEGURA"/>
    <s v="Juan Diego "/>
    <s v="Dora Luz Arbelaez"/>
    <s v="Cédula de Ciudadanía"/>
    <n v="39382394"/>
    <s v="doraluzarbelaez@gmail.com"/>
    <n v="3113247283"/>
    <x v="14"/>
    <n v="900167311"/>
    <d v="2025-04-18T00:00:00"/>
    <s v="1:40PM"/>
    <x v="3"/>
    <n v="106.666"/>
    <s v="NO"/>
    <s v="PLANEAR"/>
    <s v="0.1 Trabajo autónomo analista en plataforma"/>
    <x v="2"/>
    <s v="se adelanta codificacion de documentos"/>
    <d v="2025-05-30T00:00:00"/>
    <n v="42"/>
    <e v="#REF!"/>
    <x v="0"/>
  </r>
  <r>
    <d v="2025-04-25T00:00:00"/>
    <m/>
    <m/>
    <s v="VIERNES "/>
    <s v="TU EMPRESA SEGURA"/>
    <s v="Juan Diego "/>
    <s v="Dora Luz Arbelaez"/>
    <s v="Cédula de Ciudadanía"/>
    <n v="39382394"/>
    <s v="doraluzarbelaez@gmail.com"/>
    <n v="3113247283"/>
    <x v="14"/>
    <n v="900167311"/>
    <d v="2025-04-25T00:00:00"/>
    <s v="1:40PM"/>
    <x v="3"/>
    <n v="106.666"/>
    <s v="SI"/>
    <s v="PLANEAR"/>
    <s v="1.0.6 Diagnóstico del Sistema de Gestión de Seguridad y Salud en el Trabajo (SG-SST) 0312 DE 2019"/>
    <x v="0"/>
    <s v="Se solicitann documentos legales, informe de estandares ante el ministerio y ARL, se adjunta la firma y se hace registro de empleados  en plataforma"/>
    <d v="2025-05-30T00:00:00"/>
    <n v="35"/>
    <e v="#REF!"/>
    <x v="0"/>
  </r>
  <r>
    <d v="2025-05-02T00:00:00"/>
    <m/>
    <m/>
    <s v="VIERNES "/>
    <s v="TU EMPRESA SEGURA"/>
    <s v="Juan Diego "/>
    <s v="Dora Luz Arbelaez"/>
    <s v="Cédula de Ciudadanía"/>
    <n v="39382394"/>
    <s v="doraluzarbelaez@gmail.com"/>
    <n v="3113247283"/>
    <x v="14"/>
    <n v="900167311"/>
    <d v="2025-05-02T00:00:00"/>
    <s v="1:40PM"/>
    <x v="3"/>
    <n v="106.666"/>
    <s v="SI"/>
    <s v="PLANEAR"/>
    <s v="2.5.1 Archivo o retención documental del Sistema de Gestión en Seguridad y Salud en el Trabajo SG-SST"/>
    <x v="0"/>
    <s v="se revisa tareas adelantadas la sesion anterior, y no se han ejecutado por aprte del responsable enlace sst, se explica como vamos a codificar la documentacion y la importancia de registrar los empleados y enviar la documentacion legal de la empresa lo antes posible"/>
    <d v="2025-05-30T00:00:00"/>
    <n v="28"/>
    <e v="#REF!"/>
    <x v="0"/>
  </r>
  <r>
    <d v="2025-05-09T00:00:00"/>
    <m/>
    <m/>
    <s v="VIERNES "/>
    <s v="TU EMPRESA SEGURA"/>
    <s v="Juan Diego "/>
    <s v="Dora Luz Arbelaez"/>
    <s v="Cédula de Ciudadanía"/>
    <n v="39382394"/>
    <s v="doraluzarbelaez@gmail.com"/>
    <n v="3113247283"/>
    <x v="14"/>
    <n v="900167311"/>
    <d v="2025-05-09T00:00:00"/>
    <s v="1:40PM"/>
    <x v="3"/>
    <n v="106.666"/>
    <s v="SI"/>
    <s v="PLANEAR"/>
    <s v="2.5.1 Archivo o retención documental del Sistema de Gestión en Seguridad y Salud en el Trabajo SG-SST"/>
    <x v="0"/>
    <s v="se consulta como ha diso el acceso a plataforma, se adelanta codificacion del ciclo del planear, se sube perfil sociodemográfico y quedamos pendientes en la planilla de seg. actualizada de abril"/>
    <d v="2025-05-30T00:00:00"/>
    <n v="21"/>
    <e v="#REF!"/>
    <x v="0"/>
  </r>
  <r>
    <d v="2025-05-16T00:00:00"/>
    <m/>
    <m/>
    <s v="VIERNES "/>
    <s v="TU EMPRESA SEGURA"/>
    <s v="Juan Diego "/>
    <s v="Dora Luz Arbelaez"/>
    <s v="Cédula de Ciudadanía"/>
    <n v="39382394"/>
    <s v="doraluzarbelaez@gmail.com"/>
    <n v="3113247283"/>
    <x v="14"/>
    <n v="900167311"/>
    <d v="2025-05-16T00:00:00"/>
    <s v="1:40PM"/>
    <x v="3"/>
    <n v="106.666"/>
    <s v="SI"/>
    <s v="PLANEAR"/>
    <s v="1.0.4 Acompañamiiento/Asesoría sobre SGSST"/>
    <x v="0"/>
    <s v="se realiza registro de personal en plataforma,quedamos pendientes en envio de dcumentacion y seg. social"/>
    <d v="2025-05-30T00:00:00"/>
    <n v="14"/>
    <e v="#REF!"/>
    <x v="0"/>
  </r>
  <r>
    <d v="2025-05-23T00:00:00"/>
    <m/>
    <m/>
    <s v="VIERNES "/>
    <s v="TU EMPRESA SEGURA"/>
    <s v="Juan Diego "/>
    <s v="Dora Luz Arbelaez"/>
    <s v="Cédula de Ciudadanía"/>
    <n v="39382394"/>
    <s v="doraluzarbelaez@gmail.com"/>
    <n v="3113247283"/>
    <x v="14"/>
    <n v="900167311"/>
    <d v="2025-05-23T00:00:00"/>
    <s v="1:40PM"/>
    <x v="3"/>
    <n v="106.666"/>
    <s v="SI"/>
    <s v="PLANEAR"/>
    <s v="1.0.6 Diagnóstico del Sistema de Gestión de Seguridad y Salud en el Trabajo (SG-SST) 0312 DE 2019"/>
    <x v="0"/>
    <s v="se realiza registro de personal en plataforma, se recibe documento legales de la empresa y se hacen asignación delresponsable y asignación  de responsabilidades en la evaluacion inicial"/>
    <d v="2025-05-30T00:00:00"/>
    <n v="7"/>
    <e v="#REF!"/>
    <x v="0"/>
  </r>
  <r>
    <d v="2025-06-06T00:00:00"/>
    <m/>
    <m/>
    <s v="VIERNES "/>
    <s v="TU EMPRESA SEGURA"/>
    <s v="Juan Diego "/>
    <s v="Dora Luz Arbelaez"/>
    <s v="Cédula de Ciudadanía"/>
    <n v="39382394"/>
    <s v="doraluzarbelaez@gmail.com"/>
    <n v="3113247283"/>
    <x v="14"/>
    <n v="900167311"/>
    <d v="2025-06-06T00:00:00"/>
    <s v="1:40PM"/>
    <x v="3"/>
    <n v="106.666"/>
    <s v="SI"/>
    <s v="PLANEAR"/>
    <s v="1.1.3 Asignación de recursos para el Sistema de Gestión en Seguridad y Salud en el Trabajo – SG-SST"/>
    <x v="2"/>
    <s v="se realiza Alimentacion de indicadores de mayo, registro de ausentismo de una persona incapacitadase se realiza asignacion de recursos"/>
    <d v="2025-05-30T00:00:00"/>
    <n v="7"/>
    <e v="#REF!"/>
    <x v="0"/>
  </r>
  <r>
    <d v="2025-03-21T00:00:00"/>
    <s v="MARZO"/>
    <n v="3"/>
    <s v="VIERNES "/>
    <s v="TU EMPRESA SEGURA"/>
    <s v="Cristhian"/>
    <s v="JUAN FELIPE LÓPEZ OROZCO"/>
    <s v="Cédula de Ciudadanía"/>
    <n v="15356506"/>
    <s v="felipelopezorozco2020@gmail.com ,lopetransvolq@gmail.com"/>
    <n v="3136468404"/>
    <x v="15"/>
    <n v="901636833"/>
    <d v="2025-03-21T00:00:00"/>
    <s v="7:00AM"/>
    <x v="0"/>
    <n v="106.666"/>
    <s v="SI"/>
    <s v="PLANEAR"/>
    <s v="1.0.0 Bienvenida"/>
    <x v="3"/>
    <s v="Bienvenida al programa, se le explica detalladamente en que consiste y la duración estimada, se Indica cómo firmar los términos y condiciones, se agenda la reunión periódica, semanal, los Lunes de 7:15 a 8:00am"/>
    <d v="2025-05-30T00:00:00"/>
    <n v="70"/>
    <e v="#REF!"/>
    <x v="0"/>
  </r>
  <r>
    <d v="2025-03-31T00:00:00"/>
    <m/>
    <m/>
    <s v="LUNES"/>
    <s v="TU EMPRESA SEGURA"/>
    <s v="Cristhian"/>
    <s v="JUAN FELIPE LÓPEZ OROZCO"/>
    <s v="Cédula de Ciudadanía"/>
    <n v="15356506"/>
    <s v="felipelopezorozco2020@gmail.com ,lopetransvolq@gmail.com"/>
    <n v="3136468404"/>
    <x v="15"/>
    <n v="901636833"/>
    <d v="2025-03-31T00:00:00"/>
    <s v="7:00AM"/>
    <x v="0"/>
    <n v="106.666"/>
    <s v="SI"/>
    <s v="PLANEAR"/>
    <s v="1.0.1 Firma de Términos y Condiciones"/>
    <x v="3"/>
    <s v="Se reviso la firma de aceptación de términos y condiciones y se realizo el diagnostico de madurez"/>
    <d v="2025-05-30T00:00:00"/>
    <n v="60"/>
    <e v="#REF!"/>
    <x v="0"/>
  </r>
  <r>
    <d v="2025-04-07T00:00:00"/>
    <m/>
    <m/>
    <s v="LUNES"/>
    <s v="TU EMPRESA SEGURA"/>
    <s v="Cristhian"/>
    <s v="JUAN FELIPE LÓPEZ OROZCO"/>
    <s v="Cédula de Ciudadanía"/>
    <n v="15356506"/>
    <s v="felipelopezorozco2020@gmail.com ,lopetransvolq@gmail.com"/>
    <n v="3136468404"/>
    <x v="15"/>
    <n v="901636833"/>
    <d v="2025-04-07T00:00:00"/>
    <s v="7:00AM"/>
    <x v="0"/>
    <n v="106.666"/>
    <s v="SI"/>
    <s v="PLANEAR"/>
    <s v="1.0.6 Diagnóstico del Sistema de Gestión de Seguridad y Salud en el Trabajo (SG-SST) 0312 DE 2019"/>
    <x v="0"/>
    <s v="Se inició la evaluación inicial del SG-SST"/>
    <d v="2025-05-30T00:00:00"/>
    <n v="53"/>
    <e v="#REF!"/>
    <x v="0"/>
  </r>
  <r>
    <d v="2025-04-14T00:00:00"/>
    <m/>
    <m/>
    <s v="LUNES"/>
    <s v="TU EMPRESA SEGURA"/>
    <s v="Cristhian"/>
    <s v="JUAN FELIPE LÓPEZ OROZCO"/>
    <s v="Cédula de Ciudadanía"/>
    <n v="15356506"/>
    <s v="felipelopezorozco2020@gmail.com ,lopetransvolq@gmail.com"/>
    <n v="3136468404"/>
    <x v="15"/>
    <n v="901636833"/>
    <d v="2025-04-14T00:00:00"/>
    <s v="7:00AM"/>
    <x v="0"/>
    <n v="106.666"/>
    <s v="SI"/>
    <s v="PLANEAR"/>
    <s v="1.0.6 Diagnóstico del Sistema de Gestión de Seguridad y Salud en el Trabajo (SG-SST) 0312 DE 2019"/>
    <x v="0"/>
    <s v="Se finaliza la evaluación inicial del SG-SST"/>
    <d v="2025-05-30T00:00:00"/>
    <n v="46"/>
    <e v="#REF!"/>
    <x v="0"/>
  </r>
  <r>
    <d v="2025-04-22T00:00:00"/>
    <m/>
    <m/>
    <s v="MARTES"/>
    <s v="TU EMPRESA SEGURA"/>
    <s v="LUZ"/>
    <s v="JUAN FELIPE LÓPEZ OROZCO"/>
    <s v="Cédula de Ciudadanía"/>
    <n v="15356506"/>
    <s v="felipelopezorozco2020@gmail.com ,lopetransvolq@gmail.com"/>
    <n v="3136468404"/>
    <x v="15"/>
    <n v="901636833"/>
    <d v="2025-04-22T00:00:00"/>
    <s v="7:00AM"/>
    <x v="0"/>
    <n v="106.666"/>
    <s v="SI"/>
    <s v="PLANEAR"/>
    <s v="1.0.3 Navegando en  la plataforma y beneficios del programa"/>
    <x v="3"/>
    <s v="El dia 22 de abril se realiza reunion virtual a las 7:15 am,con la señora Ana Maria,manifiesta:  1.Entender la plataforma            2.Haber firmado el documento de terminos y condiciones                3.Pendiente el analista anterior enviarle la calificacion del sistema de gestion.               TAREAS POR PARTE DE LA EMPRESA SEGURA COMFAMA:Realizar el archivo documenttal del cliente y proseguir a diligenciar el documento de responsable del SG-SST.                                    TAREAS POR PARTE DE LOPETRANS :Anexar al item de planear numeral 1.1.4 los reportes de afiliaciones y en el item de hacer numeral 3.1.1 y me dirije al numeral 3.1.1.2 del perfilsociodemografico.Abril 29 la señora ana maria ingresa al programa afiliaciones y nos comparte documentos de la empresa,REAMILAZARA PARA EL PROXIMO ENCUENTRO archivo documental."/>
    <d v="2025-05-30T00:00:00"/>
    <n v="38"/>
    <e v="#REF!"/>
    <x v="0"/>
  </r>
  <r>
    <d v="2025-05-17T00:00:00"/>
    <m/>
    <m/>
    <s v="MARTES"/>
    <s v="TU EMPRESA SEGURA"/>
    <s v="LUZ"/>
    <s v="JUAN FELIPE LÓPEZ OROZCO"/>
    <s v="Cédula de Ciudadanía"/>
    <n v="15356506"/>
    <s v="felipelopezorozco2020@gmail.com ,lopetransvolq@gmail.com"/>
    <n v="3136468404"/>
    <x v="15"/>
    <n v="901636833"/>
    <d v="2025-05-17T00:00:00"/>
    <m/>
    <x v="0"/>
    <n v="106.666"/>
    <s v="SI"/>
    <s v="PLANEAR"/>
    <s v="1.0.8 Savanna Campañas de Sencibilización"/>
    <x v="6"/>
    <s v="Se diligencia documento de  responsable del sistema de gestion y se le explica como comenzar con el numeral 2.5.4 archivo documental."/>
    <d v="2025-05-30T00:00:00"/>
    <n v="13"/>
    <e v="#REF!"/>
    <x v="0"/>
  </r>
  <r>
    <d v="2025-04-29T00:00:00"/>
    <m/>
    <m/>
    <s v="MARTES"/>
    <s v="TU EMPRESA SEGURA"/>
    <s v="LUZ"/>
    <s v="JUAN FELIPE LÓPEZ OROZCO"/>
    <s v="Cédula de Ciudadanía"/>
    <n v="15356506"/>
    <s v="felipelopezorozco2020@gmail.com ,lopetransvolq@gmail.com"/>
    <n v="3136468404"/>
    <x v="15"/>
    <n v="901636833"/>
    <d v="2025-04-26T00:00:00"/>
    <m/>
    <x v="0"/>
    <n v="106.666"/>
    <s v="SI"/>
    <s v="PLANEAR"/>
    <s v="1.0.9 Savanna Ruta de Bienestar "/>
    <x v="6"/>
    <s v="Se diligencia documento de  responsable del sistema de gestion y se le explica como comenzar con el numeral 2.5.4 archivo documental."/>
    <d v="2025-05-30T00:00:00"/>
    <n v="31"/>
    <e v="#REF!"/>
    <x v="0"/>
  </r>
  <r>
    <d v="2025-04-29T00:00:00"/>
    <m/>
    <m/>
    <s v="MARTES"/>
    <s v="TU EMPRESA SEGURA"/>
    <s v="LUZ"/>
    <s v="JUAN FELIPE LÓPEZ OROZCO"/>
    <s v="Cédula de Ciudadanía"/>
    <n v="15356506"/>
    <s v="felipelopezorozco2020@gmail.com ,lopetransvolq@gmail.com"/>
    <n v="3136468404"/>
    <x v="15"/>
    <n v="901636833"/>
    <d v="2025-04-29T00:00:00"/>
    <s v="7:00AM"/>
    <x v="0"/>
    <n v="106.666"/>
    <s v="SI"/>
    <s v="PLANEAR"/>
    <s v="1.1.1. Responsable del Sistema de Gestión de Seguridad y Salud en el Trabajo SG-SST"/>
    <x v="2"/>
    <s v="Se diligencia documento de  responsable del sistema de gestion y se le explica como comenzar con el numeral 2.5.4 archivo documental."/>
    <d v="2025-05-30T00:00:00"/>
    <n v="31"/>
    <e v="#REF!"/>
    <x v="0"/>
  </r>
  <r>
    <d v="2025-05-06T00:00:00"/>
    <m/>
    <m/>
    <s v="MARTES"/>
    <s v="TU EMPRESA SEGURA"/>
    <s v="LUZ"/>
    <s v="JUAN FELIPE LÓPEZ OROZCO"/>
    <s v="Cédula de Ciudadanía"/>
    <n v="15356506"/>
    <s v="felipelopezorozco2020@gmail.com ,lopetransvolq@gmail.com"/>
    <n v="3136468404"/>
    <x v="15"/>
    <n v="901636833"/>
    <d v="2025-05-06T00:00:00"/>
    <s v="7:00AM"/>
    <x v="0"/>
    <n v="106.666"/>
    <s v="SI"/>
    <s v="PLANEAR"/>
    <s v="2.5.1 Archivo o retención documental del Sistema de Gestión en Seguridad y Salud en el Trabajo SG-SST"/>
    <x v="0"/>
    <s v="la señora ana refiere que no a podido adelantar el numera 2.5.1 y no le a sido posible completar documento de responsables del sg-sst,HOY se realiza 10 diligenciamientos de documentos del 2.5.1 .enviara documentos de RUT,CAMARA Y COMERCIO ,ARL Y LOGO. "/>
    <d v="2025-05-30T00:00:00"/>
    <n v="24"/>
    <e v="#REF!"/>
    <x v="0"/>
  </r>
  <r>
    <d v="2025-05-13T00:00:00"/>
    <m/>
    <m/>
    <s v="MARTES"/>
    <s v="TU EMPRESA SEGURA"/>
    <s v="LUZ"/>
    <s v="JUAN FELIPE LÓPEZ OROZCO"/>
    <s v="Cédula de Ciudadanía"/>
    <n v="15356506"/>
    <s v="felipelopezorozco2020@gmail.com ,lopetransvolq@gmail.com"/>
    <n v="3136468404"/>
    <x v="15"/>
    <n v="901636833"/>
    <d v="2025-05-13T00:00:00"/>
    <s v="7:00AM"/>
    <x v="0"/>
    <n v="106.666"/>
    <s v="SI"/>
    <s v="PLANEAR"/>
    <s v="1.1.4 Afiliación al Sistema General de Riesgos Laborales"/>
    <x v="2"/>
    <s v="se revisa y diligencia numeral 2.5.4 archivo documental , se revisa numeral 1.4.1 ,pendiente para la proxima conexion evaluacion inicial del sistema de gestion.."/>
    <d v="2025-05-30T00:00:00"/>
    <n v="17"/>
    <e v="#REF!"/>
    <x v="0"/>
  </r>
  <r>
    <d v="2025-05-20T00:00:00"/>
    <m/>
    <m/>
    <s v="MARTES"/>
    <s v="TU EMPRESA SEGURA"/>
    <s v="LUZ"/>
    <s v="JUAN FELIPE LÓPEZ OROZCO"/>
    <s v="Cédula de Ciudadanía"/>
    <n v="15356506"/>
    <s v="felipelopezorozco2020@gmail.com ,lopetransvolq@gmail.com"/>
    <n v="3136468404"/>
    <x v="15"/>
    <n v="901636833"/>
    <d v="2025-05-20T00:00:00"/>
    <s v="7:00AM"/>
    <x v="0"/>
    <n v="106.666"/>
    <s v="SI"/>
    <s v="PLANEAR"/>
    <s v="2.1.1 Política del Sistema de Gestión de Seguridad y Salud en el Trabajo SG-SST firmada, fechada y comunicada al COPASST"/>
    <x v="3"/>
    <s v="Se termina el numeral 2.5.1 del planear,se inicia el del hacer,ya cuenta con calificacion del sistema (Cristian Gomez lo realizo),Solicita Doña ana compartirle documento para socializar la politica ,ES DECIR LISTA DE ASISTENCIA.SOLICITA GRABACION DEL TEMA DE HOY."/>
    <d v="2025-05-30T00:00:00"/>
    <n v="10"/>
    <e v="#REF!"/>
    <x v="0"/>
  </r>
  <r>
    <d v="2025-05-27T00:00:00"/>
    <m/>
    <m/>
    <s v="MARTES"/>
    <s v="TU EMPRESA SEGURA"/>
    <s v="LUZ"/>
    <s v="JUAN FELIPE LÓPEZ OROZCO"/>
    <s v="Cédula de Ciudadanía"/>
    <n v="15356506"/>
    <s v="felipelopezorozco2020@gmail.com ,lopetransvolq@gmail.com"/>
    <n v="3136468404"/>
    <x v="15"/>
    <n v="901636833"/>
    <d v="2025-05-27T00:00:00"/>
    <s v="7:00AM"/>
    <x v="0"/>
    <n v="106.666"/>
    <s v="SI"/>
    <s v="PLANEAR"/>
    <s v="2.5.1 Archivo o retención documental del Sistema de Gestión en Seguridad y Salud en el Trabajo SG-SST"/>
    <x v="0"/>
    <s v="Se realiza digitacion del 2.5.1  del numeral del hacer,se realizara cronograma en proxima conexion,y solicita enviar grabacion."/>
    <d v="2025-05-30T00:00:00"/>
    <n v="3"/>
    <e v="#REF!"/>
    <x v="0"/>
  </r>
  <r>
    <d v="2025-06-03T00:00:00"/>
    <m/>
    <m/>
    <s v="MARTES"/>
    <s v="TU EMPRESA SEGURA"/>
    <s v="LUZ"/>
    <s v="JUAN FELIPE LÓPEZ OROZCO"/>
    <s v="Cédula de Ciudadanía"/>
    <n v="15356506"/>
    <s v="felipelopezorozco2020@gmail.com ,lopetransvolq@gmail.com"/>
    <n v="3136468404"/>
    <x v="15"/>
    <n v="901636833"/>
    <d v="2025-06-03T00:00:00"/>
    <s v="7:00AM"/>
    <x v="0"/>
    <n v="106.666"/>
    <s v="SI"/>
    <s v="PLANEAR"/>
    <s v="1.0.2 Socialización SGSST"/>
    <x v="0"/>
    <s v="Fue dificil para ana maria continuar con el numeral 2.5.1,se termina ,se reliza politicas para socializar,se verifica afiliacion,perfilsociodemografico y el oferente ."/>
    <d v="2025-05-30T00:00:00"/>
    <n v="4"/>
    <e v="#REF!"/>
    <x v="0"/>
  </r>
  <r>
    <d v="2025-03-19T00:00:00"/>
    <s v="MARZO"/>
    <n v="3"/>
    <s v="MERCOLES "/>
    <s v="TU EMPRESA SEGURA"/>
    <s v="CRISTIAN"/>
    <s v="BRANDON YESID VELASQUEZ LOPEZ"/>
    <s v="Cédula de Ciudadanía"/>
    <n v="1013654370"/>
    <s v="Maderas.sanrafael@hotmail.com"/>
    <n v="3105299313"/>
    <x v="16"/>
    <n v="1013654370"/>
    <d v="2025-03-19T00:00:00"/>
    <s v="02:00p. m."/>
    <x v="1"/>
    <n v="213000"/>
    <s v="SI"/>
    <s v="PLANEAR"/>
    <s v="1.0.0 Bienvenida"/>
    <x v="3"/>
    <s v="Bienvenida al programa, se le explica detalladamente en que consiste y la duración estimada, se Indica cómo firmar los términos y condiciones, se agenda la reunión periódica, semanal"/>
    <d v="2025-05-30T00:00:00"/>
    <n v="72"/>
    <e v="#REF!"/>
    <x v="0"/>
  </r>
  <r>
    <d v="2025-03-26T00:00:00"/>
    <m/>
    <m/>
    <s v="MIERCOLES "/>
    <s v="TU EMPRESA SEGURA"/>
    <s v="CRISTIAN"/>
    <s v="BRANDON YESID VELASQUEZ LOPEZ"/>
    <s v="Cédula de Ciudadanía"/>
    <n v="1013654370"/>
    <s v="Maderas.sanrafael@hotmail.com"/>
    <n v="3105299313"/>
    <x v="16"/>
    <n v="1013654370"/>
    <d v="2025-03-26T00:00:00"/>
    <s v="02:00p. m."/>
    <x v="1"/>
    <n v="213000"/>
    <s v="NO"/>
    <s v="PLANEAR"/>
    <s v="0. No conexión"/>
    <x v="1"/>
    <s v="No hubo conexión ,COMIENZA CON luz elena el 8 de abril del 2025."/>
    <d v="2025-05-30T00:00:00"/>
    <n v="65"/>
    <e v="#REF!"/>
    <x v="0"/>
  </r>
  <r>
    <d v="2025-04-08T00:00:00"/>
    <m/>
    <m/>
    <s v="MARTES  "/>
    <s v="TU EMPRESA SEGURA"/>
    <s v="LUZ"/>
    <s v="BRANDON YESID VELASQUEZ LOPEZ"/>
    <s v="Cédula de Ciudadanía"/>
    <n v="1013654370"/>
    <s v="Maderas.sanrafael@hotmail.com"/>
    <n v="3105299313"/>
    <x v="16"/>
    <n v="1013654370"/>
    <d v="2025-04-08T00:00:00"/>
    <s v="02:25p. m."/>
    <x v="1"/>
    <n v="213000"/>
    <s v="SI"/>
    <s v="PLANEAR"/>
    <s v="1.0.2 Socialización SGSST"/>
    <x v="0"/>
    <s v="Abril 8,Natalia se conecta y se le brinda charla del numeral 1 PLANEAR,el computador de la empresa esta en reparacion,hasta el momento le ha parecido facil el programa,solo tiene duda en el numeral 1.1.1 si ella lo puede implementar sin ser del area SST._x000a_Se activa "/>
    <d v="2025-05-30T00:00:00"/>
    <n v="52"/>
    <e v="#REF!"/>
    <x v="0"/>
  </r>
  <r>
    <d v="2025-04-15T00:00:00"/>
    <m/>
    <m/>
    <s v="MARTES  "/>
    <s v="TU EMPRESA SEGURA"/>
    <s v="LUZ"/>
    <s v="BRANDON YESID VELASQUEZ LOPEZ"/>
    <s v="Cédula de Ciudadanía"/>
    <n v="1013654370"/>
    <s v="Maderas.sanrafael@hotmail.com"/>
    <n v="3105299313"/>
    <x v="16"/>
    <n v="1013654370"/>
    <d v="2025-04-15T00:00:00"/>
    <s v="02:25p. m."/>
    <x v="1"/>
    <n v="213000"/>
    <s v="SI"/>
    <s v="PLANEAR"/>
    <s v="1.0.2 Socialización SGSST"/>
    <x v="0"/>
    <s v="se contacta la empresa por medio de correo electronico para confirmar fecha y hora de conexión indica que esta bien y que le esta  llendo bien con la plataforma "/>
    <d v="2025-05-30T00:00:00"/>
    <n v="45"/>
    <e v="#REF!"/>
    <x v="0"/>
  </r>
  <r>
    <d v="2025-04-22T00:00:00"/>
    <m/>
    <m/>
    <s v="MARTES  "/>
    <s v="TU EMPRESA SEGURA"/>
    <s v="LUZ"/>
    <s v="BRANDON YESID VELASQUEZ LOPEZ"/>
    <s v="Cédula de Ciudadanía"/>
    <n v="1013654370"/>
    <s v="Maderas.sanrafael@hotmail.com"/>
    <s v="o"/>
    <x v="16"/>
    <n v="1013654370"/>
    <d v="2025-06-06T00:00:00"/>
    <s v="02:25p. m."/>
    <x v="1"/>
    <n v="213000"/>
    <s v="SI"/>
    <s v="PLANEAR"/>
    <s v="1.0.2 Socialización SGSST"/>
    <x v="0"/>
    <s v="Abril 8,Natalia se conecta y se le brinda charla del numeral 1 PLANEAR,el computador de la empresa esta en reparacion,hasta el momento le ha parecido facil el programa,solo tiene duda en el numeral 1.1.1 si ella lo puede implementar sin ser del area SST._x000a_abril 15 no se pudo conectar por fuertes lluvias y sin internet en la empresa."/>
    <d v="2025-05-30T00:00:00"/>
    <n v="38"/>
    <e v="#REF!"/>
    <x v="0"/>
  </r>
  <r>
    <d v="2025-04-29T00:00:00"/>
    <m/>
    <m/>
    <s v="MARTES  "/>
    <s v="TU EMPRESA SEGURA"/>
    <s v="LUZ"/>
    <s v="BRANDON YESID VELASQUEZ LOPEZ"/>
    <s v="Cédula de Ciudadanía"/>
    <n v="1013654370"/>
    <s v="Maderas.sanrafael@hotmail.com"/>
    <n v="3105299313"/>
    <x v="16"/>
    <n v="1013654370"/>
    <d v="2025-04-22T00:00:00"/>
    <s v="02:25p. m."/>
    <x v="1"/>
    <n v="213000"/>
    <s v="SI"/>
    <s v="PLANEAR"/>
    <s v="1.0.6 Diagnóstico del Sistema de Gestión de Seguridad y Salud en el Trabajo (SG-SST) 0312 DE 2019"/>
    <x v="0"/>
    <s v="Se actualiza informacion de la empresa ,pendiente enviar documentacion de rut,camara y comercio,la evaluacion inicial del sistema de gestion solo se realiza numeral 2.5.1"/>
    <d v="2025-05-30T00:00:00"/>
    <n v="31"/>
    <e v="#REF!"/>
    <x v="0"/>
  </r>
  <r>
    <d v="2025-05-06T00:00:00"/>
    <m/>
    <m/>
    <s v="MARTES  "/>
    <s v="TU EMPRESA SEGURA"/>
    <s v="LUZ"/>
    <s v="BRANDON YESID VELASQUEZ LOPEZ"/>
    <s v="Cédula de Ciudadanía"/>
    <n v="1013654370"/>
    <s v="Maderas.sanrafael@hotmail.com"/>
    <n v="3105299313"/>
    <x v="16"/>
    <n v="1013654370"/>
    <d v="2025-04-29T00:00:00"/>
    <s v="02:25p. m."/>
    <x v="1"/>
    <n v="213000"/>
    <s v="SI"/>
    <s v="PLANEAR"/>
    <s v="1.0.6 Diagnóstico del Sistema de Gestión de Seguridad y Salud en el Trabajo (SG-SST) 0312 DE 2019"/>
    <x v="0"/>
    <s v="Envia pdf a correo con terminos y condiciones firmada,se realiza evaluacion inicial de diagnostico,CRITICO,en la proxima reunion se debe realizar cronograma d e actividades."/>
    <d v="2025-05-30T00:00:00"/>
    <n v="24"/>
    <e v="#REF!"/>
    <x v="0"/>
  </r>
  <r>
    <d v="2025-05-13T00:00:00"/>
    <m/>
    <m/>
    <s v="MARTES  "/>
    <s v="TU EMPRESA SEGURA"/>
    <s v="LUZ"/>
    <s v="BRANDON YESID VELASQUEZ LOPEZ"/>
    <s v="Cédula de Ciudadanía"/>
    <n v="1013654370"/>
    <s v="Maderas.sanrafael@hotmail.com"/>
    <n v="3105299313"/>
    <x v="16"/>
    <n v="1013654370"/>
    <d v="2025-05-06T00:00:00"/>
    <s v="02:25p. m."/>
    <x v="1"/>
    <n v="213000"/>
    <s v="SI"/>
    <s v="PLANEAR"/>
    <s v="1.0.4 Acompañamiiento/Asesoría sobre SGSST"/>
    <x v="0"/>
    <s v="Se diligencia el documento de responsable sst,se realiza documentacion del 2.5.1,se revisa afiliacion,queda pendiente perfilsociodemografico.en la proxima reunion se realiza cronograma,politicas y recursos financieron."/>
    <d v="2025-05-30T00:00:00"/>
    <n v="17"/>
    <e v="#REF!"/>
    <x v="0"/>
  </r>
  <r>
    <d v="2025-05-20T00:00:00"/>
    <m/>
    <m/>
    <s v="MARTES  "/>
    <s v="TU EMPRESA SEGURA"/>
    <s v="LUZ"/>
    <s v="BRANDON YESID VELASQUEZ LOPEZ"/>
    <s v="Cédula de Ciudadanía"/>
    <n v="1013654370"/>
    <s v="Maderas.sanrafael@hotmail.com"/>
    <n v="3105299313"/>
    <x v="16"/>
    <n v="1013654370"/>
    <d v="2025-05-13T00:00:00"/>
    <s v="02:25p. m."/>
    <x v="1"/>
    <n v="213000"/>
    <s v="CONEXIÓN AUTÓNOMA DE ANALISTA"/>
    <s v="PLANEAR"/>
    <s v="0. No conexión"/>
    <x v="1"/>
    <s v="Envia al correo analista21 ,que no fue posible conectarse,por temas laborales."/>
    <d v="2025-05-30T00:00:00"/>
    <n v="10"/>
    <e v="#REF!"/>
    <x v="0"/>
  </r>
  <r>
    <d v="2025-05-27T00:00:00"/>
    <m/>
    <m/>
    <s v="MARTES"/>
    <s v="TU EMPRESA SEGURA"/>
    <s v="LUZ"/>
    <s v="BRANDON YESID VELASQUEZ LOPEZ"/>
    <s v="Cédula de Ciudadanía"/>
    <n v="1013654370"/>
    <s v="Maderas.sanrafael@hotmail.com"/>
    <n v="3105299313"/>
    <x v="16"/>
    <n v="1013654370"/>
    <d v="2025-05-20T00:00:00"/>
    <s v="02:25p. m."/>
    <x v="1"/>
    <n v="213000"/>
    <s v="CONEXIÓN AUTÓNOMA DE ANALISTA"/>
    <s v="PLANEAR"/>
    <s v="0. No conexión"/>
    <x v="1"/>
    <s v="Olvido conectarce"/>
    <d v="2025-05-30T00:00:00"/>
    <n v="3"/>
    <e v="#REF!"/>
    <x v="0"/>
  </r>
  <r>
    <d v="2025-06-03T00:00:00"/>
    <m/>
    <m/>
    <s v="MARTES  "/>
    <s v="TU EMPRESA SEGURA"/>
    <s v="LUZ"/>
    <s v="BRANDON YESID VELASQUEZ LOPEZ"/>
    <s v="Cédula de Ciudadanía"/>
    <n v="1013654370"/>
    <s v="Maderas.sanrafael@hotmail.com"/>
    <n v="3105299313"/>
    <x v="16"/>
    <n v="1013654370"/>
    <d v="2025-05-27T00:00:00"/>
    <s v="02:25p. m."/>
    <x v="1"/>
    <n v="213000"/>
    <s v="SI"/>
    <s v="PLANEAR"/>
    <s v="2.5.1 Archivo o retención documental del Sistema de Gestión en Seguridad y Salud en el Trabajo SG-SST"/>
    <x v="0"/>
    <s v="se Verifica adelanto del hacer Numeral 2.5.1 y se termina todo lo documenta."/>
    <d v="2025-05-30T00:00:00"/>
    <n v="4"/>
    <e v="#REF!"/>
    <x v="0"/>
  </r>
  <r>
    <d v="2025-03-01T00:00:00"/>
    <s v="MARZO"/>
    <n v="3"/>
    <s v="JUEVES"/>
    <s v="TU EMPRESA SEGURA"/>
    <s v="LUZ"/>
    <s v="OLGA LUCIA LOPEZ ALVAREZ"/>
    <s v="Cédula de Ciudadanía"/>
    <n v="43862379"/>
    <s v="Asesorias@encontac.com"/>
    <n v="3147571005"/>
    <x v="17"/>
    <n v="43862379"/>
    <d v="2025-05-08T00:00:00"/>
    <m/>
    <x v="0"/>
    <n v="106.666"/>
    <s v="SI"/>
    <s v="PLANEAR"/>
    <s v="1.1.1. Responsable del Sistema de Gestión de Seguridad y Salud en el Trabajo SG-SST"/>
    <x v="2"/>
    <s v="se realiza digitacion y explicacion de archivo,se le explica el perfilsociodemografica y queda como tarea,se revisa afiliaciones y documento de responsable del sistema."/>
    <d v="2025-05-30T00:00:00"/>
    <n v="90"/>
    <e v="#REF!"/>
    <x v="0"/>
  </r>
  <r>
    <d v="2025-04-24T00:00:00"/>
    <m/>
    <m/>
    <s v="JUEVES"/>
    <s v="TU EMPRESA SEGURA"/>
    <s v="LUZ"/>
    <s v="OLGA LUCIA LOPEZ ALVAREZ"/>
    <s v="Cédula de Ciudadanía"/>
    <n v="43862379"/>
    <s v="Asesorias@encontac.com"/>
    <n v="3147571005"/>
    <x v="17"/>
    <n v="43862379"/>
    <d v="2025-04-29T00:00:00"/>
    <m/>
    <x v="0"/>
    <n v="106.666"/>
    <s v="SI"/>
    <s v="PLANEAR"/>
    <s v="1.0.1 Firma de Términos y Condiciones"/>
    <x v="3"/>
    <s v="se firma terminos y condiciones y envia pdf a correo,se le explica formato de planear y cada codigo de documentacion ,enviara rut y camara y comercio a correo."/>
    <d v="2025-05-30T00:00:00"/>
    <n v="36"/>
    <e v="#REF!"/>
    <x v="0"/>
  </r>
  <r>
    <d v="2025-03-08T00:00:00"/>
    <m/>
    <m/>
    <s v="JUEVES"/>
    <s v="TU EMPRESA SEGURA"/>
    <s v="LUZ"/>
    <s v="OLGA LUCIA LOPEZ ALVAREZ"/>
    <s v="Cédula de Ciudadanía"/>
    <n v="43862379"/>
    <s v="Asesorias@encontac.com"/>
    <n v="3147571005"/>
    <x v="17"/>
    <n v="43862379"/>
    <d v="2025-05-15T00:00:00"/>
    <m/>
    <x v="0"/>
    <n v="106.666"/>
    <s v="NO"/>
    <s v="PLANEAR"/>
    <s v="0. No conexión"/>
    <x v="1"/>
    <s v="Se llamo via telefonica a doña olga   y refiere que su hermana es la encargada de conectarse el dia de hoy,que la llamaria ,se le escribe al whatsapp y no hay respuesta de doña olga ."/>
    <d v="2025-05-30T00:00:00"/>
    <n v="83"/>
    <e v="#REF!"/>
    <x v="0"/>
  </r>
  <r>
    <d v="2025-03-15T00:00:00"/>
    <m/>
    <m/>
    <s v="JUEVES"/>
    <s v="TU EMPRESA SEGURA"/>
    <s v="LUZ"/>
    <s v="OLGA LUCIA LOPEZ ALVAREZ"/>
    <s v="Cédula de Ciudadanía"/>
    <n v="43862379"/>
    <s v="Asesorias@encontac.com"/>
    <n v="3147571005"/>
    <x v="17"/>
    <n v="43862379"/>
    <d v="2025-05-22T00:00:00"/>
    <m/>
    <x v="0"/>
    <n v="106.666"/>
    <s v="SI"/>
    <s v="PLANEAR"/>
    <s v="1.0.6 Diagnóstico del Sistema de Gestión de Seguridad y Salud en el Trabajo (SG-SST) 0312 DE 2019"/>
    <x v="0"/>
    <s v="Se conecto a los 10 minutos luego de la hora asignada,se realiza diagnostico y se revisa temas de afiliacion y archivo documental,donde no se ha subido evidencias,estamos en cero porque no es muy claro para ellas la plataforma y se les dificulta."/>
    <d v="2025-05-30T00:00:00"/>
    <n v="76"/>
    <e v="#REF!"/>
    <x v="0"/>
  </r>
  <r>
    <d v="2025-03-22T00:00:00"/>
    <m/>
    <m/>
    <s v="JUEVES"/>
    <s v="TU EMPRESA SEGURA"/>
    <s v="LUZ"/>
    <s v="OLGA LUCIA LOPEZ ALVAREZ"/>
    <s v="Cédula de Ciudadanía"/>
    <n v="43862379"/>
    <s v="Asesorias@encontac.com"/>
    <n v="3147571005"/>
    <x v="17"/>
    <n v="43862379"/>
    <d v="2025-05-29T00:00:00"/>
    <m/>
    <x v="0"/>
    <n v="106.666"/>
    <s v="NO"/>
    <s v="PLANEAR"/>
    <s v="0. No conexión"/>
    <x v="1"/>
    <s v="Enviara correo no puede conectarse ."/>
    <d v="2025-05-30T00:00:00"/>
    <n v="69"/>
    <e v="#REF!"/>
    <x v="0"/>
  </r>
  <r>
    <d v="2025-03-29T00:00:00"/>
    <m/>
    <m/>
    <s v="JUEVES"/>
    <s v="TU EMPRESA SEGURA"/>
    <s v="LUZ"/>
    <s v="OLGA LUCIA LOPEZ ALVAREZ"/>
    <s v="Cédula de Ciudadanía"/>
    <n v="43862379"/>
    <s v="Asesorias@encontac.com"/>
    <n v="3147571005"/>
    <x v="17"/>
    <n v="43862379"/>
    <d v="2025-06-05T00:00:00"/>
    <m/>
    <x v="0"/>
    <n v="106.666"/>
    <s v="NO"/>
    <s v="PLANEAR"/>
    <s v="0. No conexión"/>
    <x v="1"/>
    <s v="Solicita reprogramar para julio cuando salga de auditorias de empresas que maneja."/>
    <d v="2025-05-30T00:00:00"/>
    <n v="62"/>
    <e v="#REF!"/>
    <x v="0"/>
  </r>
  <r>
    <d v="2025-04-04T00:00:00"/>
    <s v="ABRIL"/>
    <n v="2"/>
    <s v="VIERNES "/>
    <s v="TU EMPRESA SEGURA"/>
    <s v="Juan Diego "/>
    <s v="CARLOS ALBERTO BEJARANO CAMACHO"/>
    <s v="Cédula de Ciudadanía"/>
    <n v="79291337"/>
    <s v="carlos.bejarano@prosolar.com.co"/>
    <n v="3104387811"/>
    <x v="18"/>
    <n v="901039724"/>
    <d v="2025-04-04T00:00:00"/>
    <s v="9:00a. m."/>
    <x v="2"/>
    <n v="106.666"/>
    <s v="SI"/>
    <s v="PLANEAR"/>
    <s v="1.0.0 Bienvenida"/>
    <x v="3"/>
    <s v="el dia viernes 21 de marzo se llamo a la empresa para validar la llegada del correo electronico con el usuario y la contraseña a lo cual indicaron que si les llego y que no han tenido ningun inconveniente "/>
    <d v="2025-05-30T00:00:00"/>
    <n v="56"/>
    <e v="#REF!"/>
    <x v="0"/>
  </r>
  <r>
    <d v="2025-04-11T00:00:00"/>
    <m/>
    <m/>
    <s v="VIERNES "/>
    <s v="TU EMPRESA SEGURA"/>
    <s v="Juan Diego "/>
    <s v="CARLOS ALBERTO BEJARANO CAMACHO"/>
    <s v="Cédula de Ciudadanía"/>
    <n v="79291337"/>
    <s v="carlos.bejarano@prosolar.com.co"/>
    <n v="3104387811"/>
    <x v="18"/>
    <n v="901039724"/>
    <d v="2025-04-11T00:00:00"/>
    <s v="9:00a. m."/>
    <x v="2"/>
    <n v="106.666"/>
    <s v="SI"/>
    <s v="PLANEAR"/>
    <s v="0. No conexión"/>
    <x v="1"/>
    <s v="se adelanta procedimiento de gestion documental y codificacion de listado maestro de documentos"/>
    <d v="2025-05-30T00:00:00"/>
    <n v="49"/>
    <e v="#REF!"/>
    <x v="0"/>
  </r>
  <r>
    <d v="2025-04-18T00:00:00"/>
    <m/>
    <m/>
    <s v="VIERNES "/>
    <s v="TU EMPRESA SEGURA"/>
    <s v="Juan Diego "/>
    <s v="CARLOS ALBERTO BEJARANO CAMACHO"/>
    <s v="Cédula de Ciudadanía"/>
    <n v="79291337"/>
    <s v="carlos.bejarano@prosolar.com.co"/>
    <n v="3104387811"/>
    <x v="18"/>
    <n v="901039724"/>
    <d v="2025-04-18T00:00:00"/>
    <s v="9:00a. m."/>
    <x v="2"/>
    <n v="106.666"/>
    <s v="NO"/>
    <s v="PLANEAR"/>
    <s v="2.5.1 Archivo o retención documental del Sistema de Gestión en Seguridad y Salud en el Trabajo SG-SST"/>
    <x v="0"/>
    <s v="se organiza plantilla de evaluacion inicial y se empieza con la codificacion del listado maestro de documentos"/>
    <s v=" "/>
    <e v="#VALUE!"/>
    <e v="#REF!"/>
    <x v="0"/>
  </r>
  <r>
    <d v="2025-05-09T00:00:00"/>
    <m/>
    <m/>
    <s v="VIERNES "/>
    <s v="TU EMPRESA SEGURA"/>
    <s v="Juan Diego "/>
    <s v="CARLOS ALBERTO BEJARANO CAMACHO"/>
    <s v="Cédula de Ciudadanía"/>
    <n v="79291337"/>
    <s v="carlos.bejarano@prosolar.com.co"/>
    <n v="3104387811"/>
    <x v="18"/>
    <n v="901039724"/>
    <d v="2025-05-09T00:00:00"/>
    <s v="9:00a. m."/>
    <x v="2"/>
    <n v="106.666"/>
    <s v="SI"/>
    <s v="PLANEAR"/>
    <s v="2.5.1 Archivo o retención documental del Sistema de Gestión en Seguridad y Salud en el Trabajo SG-SST"/>
    <x v="0"/>
    <s v="se continua con la  codificacion del listado maestro de documentos"/>
    <d v="2025-05-30T00:00:00"/>
    <n v="21"/>
    <e v="#REF!"/>
    <x v="0"/>
  </r>
  <r>
    <d v="2025-05-16T00:00:00"/>
    <m/>
    <m/>
    <s v="VIERNES "/>
    <s v="TU EMPRESA SEGURA"/>
    <s v="Juan Diego "/>
    <s v="CARLOS ALBERTO BEJARANO CAMACHO"/>
    <s v="Cédula de Ciudadanía"/>
    <n v="79291337"/>
    <s v="carlos.bejarano@prosolar.com.co"/>
    <n v="3104387811"/>
    <x v="18"/>
    <n v="901039724"/>
    <d v="2025-05-16T00:00:00"/>
    <s v="9:00a. m."/>
    <x v="2"/>
    <n v="106.666"/>
    <s v="SI"/>
    <s v="PLANEAR"/>
    <s v="1.0.2 Socialización SGSST"/>
    <x v="0"/>
    <s v="Se solicita documentacion y se explica como registrar usuarios administradores en plataforma"/>
    <d v="2025-05-30T00:00:00"/>
    <n v="14"/>
    <e v="#REF!"/>
    <x v="0"/>
  </r>
  <r>
    <d v="2025-05-23T00:00:00"/>
    <m/>
    <m/>
    <s v="VIERNES "/>
    <s v="TU EMPRESA SEGURA"/>
    <s v="Juan Diego "/>
    <s v="CARLOS ALBERTO BEJARANO CAMACHO"/>
    <s v="Cédula de Ciudadanía"/>
    <n v="79291337"/>
    <s v="carlos.bejarano@prosolar.com.co"/>
    <n v="3104387811"/>
    <x v="18"/>
    <n v="901039724"/>
    <d v="2025-05-23T00:00:00"/>
    <s v="9:00a. m."/>
    <x v="2"/>
    <n v="106.666"/>
    <s v="NO"/>
    <s v="PLANEAR"/>
    <s v="0.1 Trabajo autónomo analista en plataforma"/>
    <x v="2"/>
    <s v="le contacto para iniciar la reunion y me dice textualmente: &quot; hoy no puedo conectarme, tengo otra reunion. disculpa&quot;de inicia con la asignacion del responsable,asignacion d eresponsabilidades y se continua con el item de gestion documental"/>
    <d v="2025-05-30T00:00:00"/>
    <n v="7"/>
    <e v="#REF!"/>
    <x v="0"/>
  </r>
  <r>
    <d v="2025-05-30T00:00:00"/>
    <m/>
    <m/>
    <s v="VIERNES "/>
    <s v="TU EMPRESA SEGURA"/>
    <s v="Juan Diego "/>
    <s v="CARLOS ALBERTO BEJARANO CAMACHO"/>
    <s v="Cédula de Ciudadanía"/>
    <n v="79291337"/>
    <s v="carlos.bejarano@prosolar.com.co"/>
    <n v="3104387811"/>
    <x v="18"/>
    <n v="901039724"/>
    <d v="2025-05-30T00:00:00"/>
    <s v="9:00a. m."/>
    <x v="2"/>
    <n v="106.666"/>
    <s v="SI"/>
    <s v="PLANEAR"/>
    <s v="1.1.1. Responsable del Sistema de Gestión de Seguridad y Salud en el Trabajo SG-SST"/>
    <x v="2"/>
    <s v="Se revisa pago de seguridad social, y se empieza a ingresar registro d epersonas en plataforma, se revisa responsable del sistema y asignacion de repsonsabilidades"/>
    <d v="2025-05-30T00:00:00"/>
    <n v="0"/>
    <e v="#REF!"/>
    <x v="0"/>
  </r>
  <r>
    <d v="2025-06-06T00:00:00"/>
    <m/>
    <m/>
    <s v="VIERNES "/>
    <s v="TU EMPRESA SEGURA"/>
    <s v="Juan Diego "/>
    <s v="CARLOS ALBERTO BEJARANO CAMACHO"/>
    <s v="Cédula de Ciudadanía"/>
    <n v="79291337"/>
    <s v="carlos.bejarano@prosolar.com.co"/>
    <n v="3104387811"/>
    <x v="18"/>
    <n v="901039724"/>
    <d v="2025-06-06T00:00:00"/>
    <s v="9:00a. m."/>
    <x v="2"/>
    <n v="106.666"/>
    <s v="NO"/>
    <s v="PLANEAR"/>
    <s v="1.1.1. Responsable del Sistema de Gestión de Seguridad y Salud en el Trabajo SG-SST"/>
    <x v="2"/>
    <s v="Usuaria dice qe no se puede conectar porque tiene un mantenimiento remoto del equipo; se adelanta revision de asignacion de responsabilidades"/>
    <d v="2025-05-30T00:00:00"/>
    <n v="7"/>
    <e v="#REF!"/>
    <x v="0"/>
  </r>
  <r>
    <d v="2025-03-17T00:00:00"/>
    <s v="MARZO"/>
    <n v="3"/>
    <s v="LUNES"/>
    <s v="TU EMPRESA SEGURA"/>
    <s v="Cristhian"/>
    <s v="SAUL GÓMEZ JARAMILLO "/>
    <s v="Cédula de Ciudadanía"/>
    <n v="15384344"/>
    <s v="saul.gomez@hotmai.es"/>
    <n v="3148500297"/>
    <x v="19"/>
    <n v="15384344"/>
    <d v="2025-03-17T00:00:00"/>
    <s v="02:00p. m."/>
    <x v="2"/>
    <n v="106.666"/>
    <s v="SI"/>
    <s v="PLANEAR"/>
    <s v="1.0.0 Bienvenida"/>
    <x v="3"/>
    <m/>
    <d v="2025-05-30T00:00:00"/>
    <n v="74"/>
    <e v="#REF!"/>
    <x v="0"/>
  </r>
  <r>
    <d v="2025-04-04T00:00:00"/>
    <m/>
    <m/>
    <s v="VIERNES "/>
    <s v="TU EMPRESA SEGURA"/>
    <s v="Cristhian"/>
    <s v="SAUL GÓMEZ JARAMILLO "/>
    <s v="Cédula de Ciudadanía"/>
    <n v="15384344"/>
    <s v="saul.gomez@hotmai.es"/>
    <n v="3148500297"/>
    <x v="19"/>
    <n v="15384344"/>
    <d v="2025-04-04T00:00:00"/>
    <s v="02:00p. m."/>
    <x v="2"/>
    <n v="106.666"/>
    <s v="SI"/>
    <s v="PLANEAR"/>
    <s v="1.0.5 Diagnóstico de Madurez"/>
    <x v="4"/>
    <s v="Se reviso la firma de aceptación de términos y condiciones y se realizo el diagnostico de madurez"/>
    <d v="2025-05-30T00:00:00"/>
    <n v="56"/>
    <e v="#REF!"/>
    <x v="0"/>
  </r>
  <r>
    <d v="2025-04-11T00:00:00"/>
    <m/>
    <m/>
    <s v="VIERNES "/>
    <s v="TU EMPRESA SEGURA"/>
    <s v="Cristhian"/>
    <s v="SAUL GÓMEZ JARAMILLO "/>
    <s v="Cédula de Ciudadanía"/>
    <n v="15384344"/>
    <s v="saul.gomez@hotmai.es"/>
    <n v="3148500297"/>
    <x v="19"/>
    <n v="15384344"/>
    <d v="2025-04-11T00:00:00"/>
    <s v="02:00p. m."/>
    <x v="2"/>
    <n v="106.666"/>
    <s v="SI"/>
    <s v="PLANEAR"/>
    <s v="1.0.6 Diagnóstico del Sistema de Gestión de Seguridad y Salud en el Trabajo (SG-SST) 0312 DE 2019"/>
    <x v="0"/>
    <s v="Se realizó la evaluación inicial del SG-SST"/>
    <d v="2025-05-30T00:00:00"/>
    <n v="49"/>
    <e v="#REF!"/>
    <x v="0"/>
  </r>
  <r>
    <d v="2025-04-22T00:00:00"/>
    <m/>
    <m/>
    <s v="MARTES"/>
    <s v="TU EMPRESA SEGURA"/>
    <s v="LUZ"/>
    <s v="SAUL GÓMEZ JARAMILLO "/>
    <s v="Cédula de Ciudadanía"/>
    <n v="15384344"/>
    <s v="saul.gomez@hotmai.es"/>
    <n v="3148500297"/>
    <x v="19"/>
    <n v="15384344"/>
    <d v="2025-04-22T00:00:00"/>
    <s v="3:55 p.m"/>
    <x v="2"/>
    <n v="106.666"/>
    <s v="NO"/>
    <s v="PLANEAR"/>
    <s v="0. No conexión"/>
    <x v="1"/>
    <s v="El dia 22 de abril no se conecto el señor saul,se le envia mensaje por el whatsapp no lo responde ,se le realiza  llamada por celular y se va a buzon de voz."/>
    <d v="2025-05-30T00:00:00"/>
    <n v="38"/>
    <e v="#REF!"/>
    <x v="0"/>
  </r>
  <r>
    <d v="2025-04-29T00:00:00"/>
    <m/>
    <m/>
    <s v="MARTES"/>
    <s v="TU EMPRESA SEGURA"/>
    <s v="LUZ"/>
    <s v="SAUL GÓMEZ JARAMILLO "/>
    <s v="Cédula de Ciudadanía"/>
    <n v="15384344"/>
    <s v="saul.gomez@hotmai.es"/>
    <n v="3148500297"/>
    <x v="19"/>
    <n v="15384344"/>
    <d v="2025-04-29T00:00:00"/>
    <s v="3:55 p.m"/>
    <x v="2"/>
    <n v="106.666"/>
    <s v="SI"/>
    <s v="PLANEAR"/>
    <s v="1.0.1 Firma de Términos y Condiciones"/>
    <x v="3"/>
    <s v="Firma de terminos y condiciones ,enviara documentos para actualizacion de empresa rut,camara y comercio etc."/>
    <d v="2025-05-30T00:00:00"/>
    <n v="31"/>
    <e v="#REF!"/>
    <x v="0"/>
  </r>
  <r>
    <d v="2025-05-06T00:00:00"/>
    <m/>
    <m/>
    <s v="MARTES"/>
    <s v="TU EMPRESA SEGURA"/>
    <s v="LUZ"/>
    <s v="SAUL GÓMEZ JARAMILLO "/>
    <s v="Cédula de Ciudadanía"/>
    <n v="15384344"/>
    <s v="saul.gomez@hotmai.es"/>
    <n v="3148500297"/>
    <x v="19"/>
    <n v="15384344"/>
    <d v="2025-05-06T00:00:00"/>
    <s v="3:55 p.m"/>
    <x v="2"/>
    <n v="106.666"/>
    <s v="SI"/>
    <s v="PLANEAR"/>
    <s v="1.1.1. Responsable del Sistema de Gestión de Seguridad y Salud en el Trabajo SG-SST"/>
    <x v="2"/>
    <s v="se realiza diligenciamiento de algunos numerales de  archivo documental,se le deja como tarea de perfilsociodemografico,se diligenciamiento de responsable del sst."/>
    <d v="2025-05-30T00:00:00"/>
    <n v="24"/>
    <e v="#REF!"/>
    <x v="0"/>
  </r>
  <r>
    <d v="2025-05-13T00:00:00"/>
    <m/>
    <m/>
    <s v="MARTES"/>
    <s v="TU EMPRESA SEGURA"/>
    <s v="LUZ"/>
    <s v="SAUL GÓMEZ JARAMILLO "/>
    <s v="Cédula de Ciudadanía"/>
    <n v="15384344"/>
    <s v="saul.gomez@hotmai.es"/>
    <n v="3148500297"/>
    <x v="19"/>
    <n v="15384344"/>
    <d v="2025-05-13T00:00:00"/>
    <s v="3:55 p.m"/>
    <x v="2"/>
    <n v="106.666"/>
    <s v="SI"/>
    <s v="PLANEAR"/>
    <s v="1.1.1. Responsable del Sistema de Gestión de Seguridad y Salud en el Trabajo SG-SST"/>
    <x v="2"/>
    <s v="se realiza diligenciamiento de algunos numerales de  archivo documental,se le deja como tarea de perfilsociodemografico,se diligenciamiento de responsable del sst."/>
    <d v="2025-05-30T00:00:00"/>
    <n v="17"/>
    <e v="#REF!"/>
    <x v="0"/>
  </r>
  <r>
    <d v="2025-05-20T00:00:00"/>
    <m/>
    <m/>
    <s v="MARTES"/>
    <s v="TU EMPRESA SEGURA"/>
    <s v="LUZ"/>
    <s v="SAUL GÓMEZ JARAMILLO "/>
    <s v="Cédula de Ciudadanía"/>
    <n v="15384344"/>
    <s v="saul.gomez@hotmai.es"/>
    <n v="3148500297"/>
    <x v="19"/>
    <n v="15384344"/>
    <d v="2025-05-20T00:00:00"/>
    <s v="3:55 p.m"/>
    <x v="2"/>
    <n v="106.666"/>
    <s v="SI"/>
    <s v="PLANEAR"/>
    <s v="1.0.4 Acompañamiiento/Asesoría sobre SGSST"/>
    <x v="0"/>
    <s v="se realiza diligenciamiento de algunos numerales de  archivo documental,la señora que esta encargada no sabe manejar bien los pc,no fue posible montar el perfilsociodemografico."/>
    <d v="2025-05-30T00:00:00"/>
    <n v="10"/>
    <e v="#REF!"/>
    <x v="0"/>
  </r>
  <r>
    <d v="2025-05-27T00:00:00"/>
    <m/>
    <m/>
    <s v="MARTES"/>
    <s v="TU EMPRESA SEGURA"/>
    <s v="LUZ"/>
    <s v="SAUL GÓMEZ JARAMILLO "/>
    <s v="Cédula de Ciudadanía"/>
    <n v="15384344"/>
    <s v="saul.gomez@hotmai.es"/>
    <n v="3148500297"/>
    <x v="19"/>
    <n v="15384344"/>
    <d v="2025-05-27T00:00:00"/>
    <s v="3:55 p.m"/>
    <x v="2"/>
    <n v="106.666"/>
    <s v="SI"/>
    <s v="PLANEAR"/>
    <s v="2.5.1 Archivo o retención documental del Sistema de Gestión en Seguridad y Salud en el Trabajo SG-SST"/>
    <x v="0"/>
    <s v="se realiza diligenciamiento del numeral documental del hacer,la señora tiene poco conocimiento en computadores."/>
    <d v="2025-05-30T00:00:00"/>
    <n v="3"/>
    <e v="#REF!"/>
    <x v="0"/>
  </r>
  <r>
    <d v="2025-06-03T00:00:00"/>
    <m/>
    <m/>
    <s v="MARTES"/>
    <s v="TU EMPRESA SEGURA"/>
    <s v="LUZ"/>
    <s v="SAUL GÓMEZ JARAMILLO "/>
    <s v="Cédula de Ciudadanía"/>
    <n v="15384344"/>
    <s v="saul.gomez@hotmai.es"/>
    <n v="3148500297"/>
    <x v="19"/>
    <n v="15384344"/>
    <d v="2025-06-03T00:00:00"/>
    <s v="3:55 p.m"/>
    <x v="2"/>
    <n v="106.666"/>
    <s v="SI"/>
    <s v="PLANEAR"/>
    <s v="2.1.1 Política del Sistema de Gestión de Seguridad y Salud en el Trabajo SG-SST firmada, fechada y comunicada al COPASST"/>
    <x v="3"/>
    <s v="se realiza creacion de usuarios,firma de los mismos,firma de numeral 1.1.1 , se realiza numeral de politica y lo socializara,le queda como tarea subir numeral 1.1.4 y socializar politica,el perfil ok,se adelanta cronograma ."/>
    <d v="2025-05-30T00:00:00"/>
    <n v="4"/>
    <e v="#REF!"/>
    <x v="0"/>
  </r>
  <r>
    <d v="2025-03-08T00:00:00"/>
    <s v="MARZO"/>
    <n v="3"/>
    <s v="JUEVES"/>
    <s v="TU EMPRESA SEGURA"/>
    <s v="LUZ"/>
    <s v="MANDIRELIS FLOREZ MARIN"/>
    <s v="Cédula de Ciudadanía"/>
    <n v="39453906"/>
    <s v="mandy.f.m@hotmail.com"/>
    <n v="3128523870"/>
    <x v="20"/>
    <n v="901590411"/>
    <d v="2025-04-29T00:00:00"/>
    <s v="9:00a, m."/>
    <x v="2"/>
    <n v="106.666"/>
    <s v="SI"/>
    <s v="PLANEAR"/>
    <s v="1.0.1 Firma de Términos y Condiciones"/>
    <x v="3"/>
    <s v="Se actualiza perfilsociodemografico,firma de terminos y condiciones,presentacion del programa."/>
    <d v="2025-05-30T00:00:00"/>
    <n v="83"/>
    <e v="#REF!"/>
    <x v="0"/>
  </r>
  <r>
    <d v="2025-04-24T00:00:00"/>
    <m/>
    <m/>
    <s v="JUEVES"/>
    <s v="TU EMPRESA SEGURA"/>
    <s v="LUZ"/>
    <s v="MANDIRELIS FLOREZ MARIN"/>
    <s v="Cédula de Ciudadanía"/>
    <n v="39453906"/>
    <s v="mandy.f.m@hotmail.com"/>
    <n v="3128523870"/>
    <x v="20"/>
    <n v="901590411"/>
    <s v=" 24/04/2025"/>
    <s v="9:00a, m."/>
    <x v="2"/>
    <n v="106.666"/>
    <s v="SI"/>
    <s v="PLANEAR"/>
    <s v="1.0.4 Acompañamiiento/Asesoría sobre SGSST"/>
    <x v="0"/>
    <s v="Se reprograma por fuertes lluvias no hay internet y se le dificulta conectarse.el dia 29 de abril se actualiza perfil de empresa,firma de terminos y condiciones,presentacion del programa se le solicita rut,camara y comercio,logo de la empresa y afiliaciones EPS YARL."/>
    <d v="2025-05-30T00:00:00"/>
    <n v="36"/>
    <e v="#REF!"/>
    <x v="0"/>
  </r>
  <r>
    <d v="2025-03-15T00:00:00"/>
    <m/>
    <m/>
    <s v="JUEVES"/>
    <s v="TU EMPRESA SEGURA"/>
    <s v="LUZ"/>
    <s v="MANDIRELIS FLOREZ MARIN"/>
    <s v="Cédula de Ciudadanía"/>
    <n v="39453906"/>
    <s v="mandy.f.m@hotmail.com"/>
    <n v="3128523870"/>
    <x v="20"/>
    <n v="901590411"/>
    <d v="2025-05-13T00:00:00"/>
    <s v="9:00a, m."/>
    <x v="2"/>
    <n v="106.666"/>
    <s v="NO"/>
    <s v="PLANEAR"/>
    <s v="1.0.0 Bienvenida"/>
    <x v="3"/>
    <s v="Bienvenida, Revisión de fechas para agenda de espacios,  la agenda del CRM de analista aparece como cliente los martes a la 1:50pm,pero en agenda de correo no existe y en agenda CRM de agenda extendida las fechas no concuerdan con calendario 2025."/>
    <d v="2025-05-30T00:00:00"/>
    <n v="76"/>
    <e v="#REF!"/>
    <x v="0"/>
  </r>
  <r>
    <d v="2025-03-22T00:00:00"/>
    <m/>
    <m/>
    <s v="JUEVES"/>
    <s v="TU EMPRESA SEGURA"/>
    <s v="LUZ"/>
    <s v="MANDIRELIS FLOREZ MARIN"/>
    <s v="Cédula de Ciudadanía"/>
    <n v="39453906"/>
    <s v="mandy.f.m@hotmail.com"/>
    <n v="3128523870"/>
    <x v="20"/>
    <n v="901590411"/>
    <d v="2025-05-20T00:00:00"/>
    <s v="9:00a, m."/>
    <x v="2"/>
    <n v="106.666"/>
    <s v="NO"/>
    <s v="PLANEAR"/>
    <s v="1.0.4 Acompañamiiento/Asesoría sobre SGSST"/>
    <x v="0"/>
    <s v="Solicita via whatsapp que se cancele el beneficio por desolucion de empresa "/>
    <d v="2025-05-30T00:00:00"/>
    <n v="69"/>
    <e v="#REF!"/>
    <x v="0"/>
  </r>
  <r>
    <d v="2025-03-15T00:00:00"/>
    <s v="MARZO"/>
    <n v="3"/>
    <s v="JUEVES"/>
    <s v="TU EMPRESA SEGURA"/>
    <s v="LUZ"/>
    <s v="JAVIER IGNACIO GARCIA GARCIA"/>
    <s v="Cédula de Ciudadanía"/>
    <n v="15380272"/>
    <s v="teccons@hotmail.com"/>
    <n v="3113177651"/>
    <x v="21"/>
    <n v="900709843"/>
    <d v="2025-05-15T00:00:00"/>
    <s v="3:55p. m."/>
    <x v="5"/>
    <n v="213000"/>
    <s v="SI"/>
    <s v="PLANEAR"/>
    <s v="1.1.4 Afiliación al Sistema General de Riesgos Laborales"/>
    <x v="2"/>
    <s v="Se realiza el perfilsociodemografico,se le enviara correo de verificacion para montar el numeral 1.1.4."/>
    <d v="2025-05-30T00:00:00"/>
    <n v="76"/>
    <e v="#REF!"/>
    <x v="0"/>
  </r>
  <r>
    <d v="2025-03-28T00:00:00"/>
    <m/>
    <m/>
    <s v="VIERNES "/>
    <s v="TU EMPRESA SEGURA"/>
    <s v="Cristhian"/>
    <s v="JAVIER IGNACIO GARCIA GARCIA"/>
    <s v="Cédula de Ciudadanía"/>
    <n v="15380272"/>
    <s v="teccons@hotmail.com"/>
    <n v="3113177651"/>
    <x v="21"/>
    <n v="900709843"/>
    <d v="2025-03-28T00:00:00"/>
    <s v="3:55p. m."/>
    <x v="5"/>
    <n v="213000"/>
    <s v="SI"/>
    <s v="PLANEAR"/>
    <s v="1.0.0 Bienvenida"/>
    <x v="3"/>
    <s v="Bienvenida, el dia viernes 21 de marzo se llamo a la empresa para validar la llegada del correo electronico con el usuario y la contraseña a lo cual indicaron que si les llego y que no han tenido ningun inconveniente "/>
    <d v="2025-05-30T00:00:00"/>
    <n v="63"/>
    <e v="#REF!"/>
    <x v="0"/>
  </r>
  <r>
    <d v="2025-04-04T00:00:00"/>
    <m/>
    <m/>
    <s v="VIERNES "/>
    <s v="TU EMPRESA SEGURA"/>
    <s v="Cristhian"/>
    <s v="JAVIER IGNACIO GARCIA GARCIA"/>
    <s v="Cédula de Ciudadanía"/>
    <n v="15380272"/>
    <s v="teccons@hotmail.com"/>
    <n v="3113177651"/>
    <x v="21"/>
    <n v="900709843"/>
    <d v="2025-04-04T00:00:00"/>
    <s v="3:55p. m."/>
    <x v="5"/>
    <n v="213000"/>
    <s v="SI"/>
    <s v="PLANEAR"/>
    <s v="0. No conexión"/>
    <x v="1"/>
    <m/>
    <d v="2025-05-30T00:00:00"/>
    <n v="56"/>
    <e v="#REF!"/>
    <x v="0"/>
  </r>
  <r>
    <d v="2025-04-11T00:00:00"/>
    <m/>
    <m/>
    <s v="VIERNES "/>
    <s v="TU EMPRESA SEGURA"/>
    <s v="Cristhian"/>
    <s v="JAVIER IGNACIO GARCIA GARCIA"/>
    <s v="Cédula de Ciudadanía"/>
    <n v="15380272"/>
    <s v="teccons@hotmail.com"/>
    <n v="3113177651"/>
    <x v="21"/>
    <n v="900709843"/>
    <d v="2025-04-11T00:00:00"/>
    <s v="3:55p. m."/>
    <x v="5"/>
    <n v="213000"/>
    <s v="SI"/>
    <s v="PLANEAR"/>
    <s v="0. No conexión"/>
    <x v="1"/>
    <m/>
    <d v="2025-05-30T00:00:00"/>
    <n v="49"/>
    <e v="#REF!"/>
    <x v="0"/>
  </r>
  <r>
    <d v="2025-04-18T00:00:00"/>
    <m/>
    <m/>
    <s v="VIERNES "/>
    <s v="TU EMPRESA SEGURA"/>
    <s v="LUZ"/>
    <s v="JAVIER IGNACIO GARCIA GARCIA"/>
    <s v="Cédula de Ciudadanía"/>
    <n v="15380272"/>
    <s v="teccons@hotmail.com"/>
    <n v="3113177651"/>
    <x v="21"/>
    <n v="900709843"/>
    <d v="2025-04-18T00:00:00"/>
    <s v="3:55p. m."/>
    <x v="5"/>
    <n v="213000"/>
    <s v="NO"/>
    <s v="PLANEAR"/>
    <s v="1.0.4 Acompañamiiento/Asesoría sobre SGSST"/>
    <x v="0"/>
    <s v="Empieza Ccon Luz estrada el 24 de abril del 2025,antes estaba con otro analista."/>
    <d v="2025-05-30T00:00:00"/>
    <n v="42"/>
    <e v="#REF!"/>
    <x v="0"/>
  </r>
  <r>
    <d v="2025-04-24T00:00:00"/>
    <m/>
    <m/>
    <s v="JUEVES"/>
    <s v="TU EMPRESA SEGURA"/>
    <s v="LUZ"/>
    <s v="JAVIER IGNACIO GARCIA GARCIA"/>
    <s v="Cédula de Ciudadanía"/>
    <n v="15380272"/>
    <s v="teccons@hotmail.com"/>
    <n v="3113177651"/>
    <x v="21"/>
    <n v="900709843"/>
    <s v=" 24/04/2025"/>
    <s v="3:55p. m."/>
    <x v="5"/>
    <n v="213000"/>
    <s v="SI"/>
    <s v="PLANEAR"/>
    <s v="1.0.1 Firma de Términos y Condiciones"/>
    <x v="3"/>
    <s v="Ya cuenta con terminos y condiciones firmado,cuenta con contraseñay usuario,PENDIENTE POR ENVIIAR :Rut camara y comercio,rut,afiliacion a EPS y ARL ,Logo de la empresa."/>
    <d v="2025-05-30T00:00:00"/>
    <n v="36"/>
    <e v="#REF!"/>
    <x v="0"/>
  </r>
  <r>
    <d v="2025-03-08T00:00:00"/>
    <m/>
    <m/>
    <s v="JUEVES"/>
    <s v="TU EMPRESA SEGURA"/>
    <s v="LUZ"/>
    <s v="JAVIER IGNACIO GARCIA GARCIA"/>
    <s v="Cédula de Ciudadanía"/>
    <n v="15380272"/>
    <s v="teccons@hotmail.com"/>
    <n v="3113177651"/>
    <x v="21"/>
    <n v="900709843"/>
    <d v="2025-05-08T00:00:00"/>
    <s v="3:55p. m."/>
    <x v="5"/>
    <n v="213000"/>
    <s v="SI"/>
    <s v="PLANEAR"/>
    <s v="1.1.4 Afiliación al Sistema General de Riesgos Laborales"/>
    <x v="2"/>
    <s v="Se realiza revision de terminos y condiciones,se explica tema de 1.4.1 ."/>
    <d v="2025-05-30T00:00:00"/>
    <n v="83"/>
    <e v="#REF!"/>
    <x v="0"/>
  </r>
  <r>
    <d v="2025-03-22T00:00:00"/>
    <m/>
    <m/>
    <s v="JUEVES"/>
    <s v="TU EMPRESA SEGURA"/>
    <s v="LUZ"/>
    <s v="JAVIER IGNACIO GARCIA GARCIA"/>
    <s v="Cédula de Ciudadanía"/>
    <n v="15380272"/>
    <s v="teccons@hotmail.com"/>
    <n v="3113177651"/>
    <x v="21"/>
    <n v="900709843"/>
    <d v="2025-05-22T00:00:00"/>
    <s v="3:55p. m."/>
    <x v="5"/>
    <n v="213000"/>
    <s v="NO"/>
    <s v="PLANEAR"/>
    <s v="0. No conexión"/>
    <x v="1"/>
    <s v="Esta indispuesto de igual forma la grabacion se llevo acabo y se sube el reporte de su mensaje por medio de Whatsapp."/>
    <d v="2025-05-30T00:00:00"/>
    <n v="69"/>
    <e v="#REF!"/>
    <x v="0"/>
  </r>
  <r>
    <d v="2025-03-29T00:00:00"/>
    <m/>
    <m/>
    <s v="JUEVES"/>
    <s v="TU EMPRESA SEGURA"/>
    <s v="LUZ"/>
    <s v="JAVIER IGNACIO GARCIA GARCIA"/>
    <s v="Cédula de Ciudadanía"/>
    <n v="15380272"/>
    <s v="teccons@hotmail.com"/>
    <n v="3113177651"/>
    <x v="21"/>
    <n v="900709843"/>
    <d v="2025-05-29T00:00:00"/>
    <s v="3:55p. m."/>
    <x v="5"/>
    <n v="213000"/>
    <s v="SI"/>
    <s v="PLANEAR"/>
    <s v="1.0.6 Diagnóstico del Sistema de Gestión de Seguridad y Salud en el Trabajo (SG-SST) 0312 DE 2019"/>
    <x v="0"/>
    <s v="Se realiza la evaluacion inicial CRITICO,se solicita documentos de rut,camara y comercio y terminos y condiciones en PDF."/>
    <d v="2025-05-30T00:00:00"/>
    <n v="62"/>
    <e v="#REF!"/>
    <x v="0"/>
  </r>
  <r>
    <d v="2025-05-06T00:00:00"/>
    <m/>
    <m/>
    <s v="JUEVES"/>
    <s v="TU EMPRESA SEGURA"/>
    <s v="LUZ"/>
    <s v="JAVIER IGNACIO GARCIA GARCIA"/>
    <s v="Cédula de Ciudadanía"/>
    <n v="15380272"/>
    <s v="teccons@hotmail.com"/>
    <n v="3113177651"/>
    <x v="21"/>
    <n v="900709843"/>
    <d v="2025-06-05T00:00:00"/>
    <s v="3:55p. m."/>
    <x v="5"/>
    <n v="213000"/>
    <s v="NO"/>
    <s v="PLANEAR"/>
    <s v="1.0.9 Savanna Ruta de Bienestar "/>
    <x v="6"/>
    <s v="refiere que tiene cita medica y no le daria para la conexion,enviara correo."/>
    <d v="2025-05-30T00:00:00"/>
    <n v="24"/>
    <e v="#REF!"/>
    <x v="0"/>
  </r>
  <r>
    <d v="2025-06-05T00:00:00"/>
    <m/>
    <m/>
    <s v="JUEVES"/>
    <s v="TU EMPRESA SEGURA"/>
    <s v="LUZ"/>
    <s v="JAVIER IGNACIO GARCIA GARCIA"/>
    <s v="Cédula de Ciudadanía"/>
    <n v="15380272"/>
    <s v="teccons@hotmail.com"/>
    <n v="3113177651"/>
    <x v="21"/>
    <n v="900709843"/>
    <d v="2025-06-05T00:00:00"/>
    <s v="3:55p. m."/>
    <x v="5"/>
    <n v="213000"/>
    <s v="CONEXIÓN AUTÓNOMA DE ANALISTA"/>
    <s v="PLANEAR"/>
    <s v="2.5.1 Archivo o retención documental del Sistema de Gestión en Seguridad y Salud en el Trabajo SG-SST"/>
    <x v="0"/>
    <s v="refiere que tiene cita medica y no le daria para la conexion,enviara correo."/>
    <d v="2025-05-30T00:00:00"/>
    <n v="6"/>
    <e v="#REF!"/>
    <x v="0"/>
  </r>
  <r>
    <d v="2025-03-01T00:00:00"/>
    <s v="MARZO"/>
    <n v="3"/>
    <s v="JUEVES"/>
    <s v="TU EMPRESA SEGURA"/>
    <s v="LUZ"/>
    <s v="YURANI ANDREA MADRID MORALES "/>
    <s v="Cédula de Ciudadanía"/>
    <n v="1039681747"/>
    <s v="Yurandra198720@gmail.com"/>
    <n v="3136884875"/>
    <x v="22"/>
    <n v="1039681747"/>
    <d v="2025-05-08T00:00:00"/>
    <s v="7:15 a.m"/>
    <x v="3"/>
    <n v="106.666"/>
    <s v="SI"/>
    <s v="PLANEAR"/>
    <s v="1.1.1. Responsable del Sistema de Gestión de Seguridad y Salud en el Trabajo SG-SST"/>
    <x v="2"/>
    <s v="Se diligencia responsabilidades,se adelanta tema de archivo documental,se envia correo de como montar evidencia de afiliacion,como realizar el perfilsociodemografico."/>
    <d v="2025-05-30T00:00:00"/>
    <n v="90"/>
    <e v="#REF!"/>
    <x v="0"/>
  </r>
  <r>
    <d v="2025-04-24T00:00:00"/>
    <m/>
    <m/>
    <s v="JUEVES"/>
    <s v="TU EMPRESA SEGURA"/>
    <s v="LUZ"/>
    <s v="YURANI ANDREA MADRID MORALES "/>
    <s v="Cédula de Ciudadanía"/>
    <n v="1039681747"/>
    <s v="Yurandra198720@gmail.com"/>
    <n v="3136884875"/>
    <x v="22"/>
    <n v="1039681747"/>
    <s v=" 24/04/2025"/>
    <s v="7:15 a.m"/>
    <x v="3"/>
    <n v="106.666"/>
    <s v="SI"/>
    <s v="PLANEAR"/>
    <s v="1.0.0 Bienvenida"/>
    <x v="3"/>
    <s v="se reprograma 24-04-2025 2.25pm,Este encuentro se trato de como funciona la plataforma desde mi usuario(luz)ella no contaba con contraseña,debe firmar terminos y condiciones y actualizar empresa."/>
    <d v="2025-05-30T00:00:00"/>
    <n v="36"/>
    <e v="#REF!"/>
    <x v="0"/>
  </r>
  <r>
    <d v="2025-03-08T00:00:00"/>
    <m/>
    <m/>
    <s v="JUEVES"/>
    <s v="TU EMPRESA SEGURA"/>
    <s v="LUZ"/>
    <s v="YURANI ANDREA MADRID MORALES "/>
    <s v="Cédula de Ciudadanía"/>
    <n v="1039681747"/>
    <s v="Yurandra198720@gmail.com"/>
    <n v="3136884875"/>
    <x v="22"/>
    <n v="1039681747"/>
    <d v="2025-05-15T00:00:00"/>
    <s v="7:15 a.m"/>
    <x v="3"/>
    <n v="106.666"/>
    <s v="SI"/>
    <s v="PLANEAR"/>
    <s v="2.5.1 Archivo o retención documental del Sistema de Gestión en Seguridad y Salud en el Trabajo SG-SST"/>
    <x v="0"/>
    <s v="La señora yurani refiere que es anciosa y por ende no entendio mucho el correo de subir evidencias y se adelanto tema archivo documental se termina todo el planear."/>
    <d v="2025-05-30T00:00:00"/>
    <n v="83"/>
    <e v="#REF!"/>
    <x v="0"/>
  </r>
  <r>
    <d v="2025-03-15T00:00:00"/>
    <m/>
    <m/>
    <s v="JUEVES"/>
    <s v="TU EMPRESA SEGURA"/>
    <s v="LUZ"/>
    <s v="YURANI ANDREA MADRID MORALES "/>
    <s v="Cédula de Ciudadanía"/>
    <n v="1039681747"/>
    <s v="Yurandra198720@gmail.com"/>
    <n v="3136884875"/>
    <x v="22"/>
    <n v="1039681747"/>
    <d v="2025-05-22T00:00:00"/>
    <s v="7:15 a.m"/>
    <x v="3"/>
    <n v="106.666"/>
    <s v="SI"/>
    <s v="PLANEAR"/>
    <s v="1.0.1 Firma de Términos y Condiciones"/>
    <x v="3"/>
    <s v="Se firman terminos y condiciones y nos envia PDF,se actualiza empresa y documentacion,se realiza evaluacion inicial(CRITICO)"/>
    <d v="2025-05-30T00:00:00"/>
    <n v="76"/>
    <e v="#REF!"/>
    <x v="0"/>
  </r>
  <r>
    <d v="2025-03-22T00:00:00"/>
    <m/>
    <m/>
    <s v="JUEVES"/>
    <s v="TU EMPRESA SEGURA"/>
    <s v="LUZ"/>
    <s v="YURANI ANDREA MADRID MORALES "/>
    <s v="Cédula de Ciudadanía"/>
    <n v="1039681747"/>
    <s v="Yurandra198720@gmail.com"/>
    <n v="3136884875"/>
    <x v="22"/>
    <n v="1039681747"/>
    <d v="2025-05-29T00:00:00"/>
    <s v="7:15 a.m"/>
    <x v="3"/>
    <n v="106.666"/>
    <s v="SI"/>
    <s v="PLANEAR"/>
    <s v="1.1.1. Responsable del Sistema de Gestión de Seguridad y Salud en el Trabajo SG-SST"/>
    <x v="2"/>
    <s v="Se reporgrama para EL 30 DE MAYO una exepcion por temas electricos del dia enterior en sistergra,se realiza 2.5.1 no es claro para ella documentar,compartir terminos y condiciones por correo,firma de responsable y funciones,firma de politica y porceder a divulgar,subir firma al sistema,actualizacion de datos."/>
    <d v="2025-05-30T00:00:00"/>
    <n v="69"/>
    <e v="#REF!"/>
    <x v="0"/>
  </r>
  <r>
    <d v="2025-03-22T00:00:00"/>
    <m/>
    <m/>
    <s v="JUEVES"/>
    <s v="TU EMPRESA SEGURA"/>
    <s v="LUZ"/>
    <s v="YURANI ANDREA MADRID MORALES "/>
    <s v="Cédula de Ciudadanía"/>
    <n v="1039681747"/>
    <s v="Yurandra198720@gmail.com"/>
    <n v="3136884875"/>
    <x v="22"/>
    <n v="1039681747"/>
    <d v="2025-05-29T00:00:00"/>
    <s v="7:15 a.m"/>
    <x v="3"/>
    <n v="106.666"/>
    <s v="SI"/>
    <s v="PLANEAR"/>
    <s v="2.1.1 Política del Sistema de Gestión de Seguridad y Salud en el Trabajo SG-SST firmada, fechada y comunicada al COPASST"/>
    <x v="3"/>
    <s v="Se reporgrama para EL 30 DE MAYO una exepcion por temas electricos del dia enterior en sistergra,se realiza 2.5.1 no es claro para ella documentar,compartir terminos y condiciones por correo,firma de responsable y funciones,firma de politica y porceder a divulgar,subir firma al sistema,actualizacion de datos."/>
    <d v="2025-05-30T00:00:00"/>
    <n v="69"/>
    <e v="#REF!"/>
    <x v="0"/>
  </r>
  <r>
    <d v="2025-03-29T00:00:00"/>
    <m/>
    <m/>
    <s v="JUEVES"/>
    <s v="TU EMPRESA SEGURA"/>
    <s v="LUZ"/>
    <s v="YURANI ANDREA MADRID MORALES "/>
    <s v="Cédula de Ciudadanía"/>
    <n v="1039681747"/>
    <s v="Yurandra198720@gmail.com"/>
    <n v="3136884875"/>
    <x v="22"/>
    <n v="1039681747"/>
    <d v="2025-06-05T00:00:00"/>
    <s v="7:15 a.m"/>
    <x v="3"/>
    <n v="106.666"/>
    <s v="SI"/>
    <s v="PLANEAR"/>
    <s v="2.5.1 Archivo o retención documental del Sistema de Gestión en Seguridad y Salud en el Trabajo SG-SST"/>
    <x v="0"/>
    <s v="le queda como tarea realizar el perfil,modificar el 2.5.1 del planear,socializar la politica y actualizar datos,se realiza socializacion del cronograma de trabajo segun la 0312."/>
    <d v="2025-05-30T00:00:00"/>
    <n v="62"/>
    <e v="#REF!"/>
    <x v="0"/>
  </r>
  <r>
    <d v="2025-03-26T00:00:00"/>
    <s v="MARZO"/>
    <n v="3"/>
    <s v="MIERCOLES"/>
    <s v="TU EMPRESA SEGURA"/>
    <s v="Cristhian"/>
    <s v="SANDRA MILENA ARANGO JARAMILLO"/>
    <s v="Cédula de Ciudadanía"/>
    <n v="39189386"/>
    <s v="sandra.arango@urantus.com"/>
    <n v="3022152280"/>
    <x v="23"/>
    <n v="901268585"/>
    <d v="2025-03-26T00:00:00"/>
    <s v="9:00AM"/>
    <x v="5"/>
    <n v="213000"/>
    <s v="SI"/>
    <s v="PLANEAR"/>
    <s v="1.0.0 Bienvenida"/>
    <x v="3"/>
    <s v="Bienvenida al programa, se le explica detalladamente en que consiste y la duración estimada, se Indica cómo firmar los términos y condiciones, se agenda la reunión periódica, semanal, los viernes de 10:40 a 11:25Am "/>
    <d v="2025-05-30T00:00:00"/>
    <n v="65"/>
    <e v="#REF!"/>
    <x v="0"/>
  </r>
  <r>
    <d v="2025-03-28T00:00:00"/>
    <m/>
    <m/>
    <s v="VIERNES "/>
    <s v="TU EMPRESA SEGURA"/>
    <s v="Cristhian"/>
    <s v="SANDRA MILENA ARANGO JARAMILLO"/>
    <s v="Cédula de Ciudadanía"/>
    <n v="39189386"/>
    <s v="sandra.arango@urantus.com"/>
    <n v="3022152280"/>
    <x v="23"/>
    <n v="901268585"/>
    <d v="2025-03-28T00:00:00"/>
    <n v="0.44444444444444442"/>
    <x v="5"/>
    <n v="213000"/>
    <s v="SI"/>
    <s v="PLANEAR"/>
    <s v="1.0.1 Firma de Términos y Condiciones"/>
    <x v="3"/>
    <s v="Se reviso la firma de aceptación de términos y condiciones y se inicia el diagnostico de madurez"/>
    <d v="2025-05-30T00:00:00"/>
    <n v="63"/>
    <e v="#REF!"/>
    <x v="0"/>
  </r>
  <r>
    <d v="2025-04-04T00:00:00"/>
    <m/>
    <m/>
    <s v="VIERNES "/>
    <s v="TU EMPRESA SEGURA"/>
    <s v="Cristhian"/>
    <s v="SANDRA MILENA ARANGO JARAMILLO"/>
    <s v="Cédula de Ciudadanía"/>
    <n v="39189386"/>
    <s v="sandra.arango@urantus.com"/>
    <n v="3022152280"/>
    <x v="23"/>
    <n v="901268585"/>
    <d v="2025-04-04T00:00:00"/>
    <n v="0.44444444444444442"/>
    <x v="5"/>
    <n v="213000"/>
    <s v="SI"/>
    <s v="PLANEAR"/>
    <s v="1.0.5 Diagnóstico de Madurez"/>
    <x v="4"/>
    <s v="Se aclaran dudas sobre el diagnostico de madurez, se avanza, se retrasa mucho el avance ya que la señora realiza preguntas sobre cada ITEM"/>
    <d v="2025-05-30T00:00:00"/>
    <n v="56"/>
    <e v="#REF!"/>
    <x v="0"/>
  </r>
  <r>
    <d v="2025-04-11T00:00:00"/>
    <m/>
    <m/>
    <s v="VIERNES "/>
    <s v="TU EMPRESA SEGURA"/>
    <s v="Cristhian"/>
    <s v="SANDRA MILENA ARANGO JARAMILLO"/>
    <s v="Cédula de Ciudadanía"/>
    <n v="39189386"/>
    <s v="sandra.arango@urantus.com"/>
    <n v="3022152280"/>
    <x v="23"/>
    <n v="901268585"/>
    <d v="2025-04-11T00:00:00"/>
    <n v="0.44444444444444442"/>
    <x v="5"/>
    <n v="213000"/>
    <s v="SI"/>
    <s v="PLANEAR"/>
    <s v="1.0.5 Diagnóstico de Madurez"/>
    <x v="4"/>
    <s v="Finalmente culmina el diagnostico ya que la señora presentaba inquietudes en cada uno de los items de la ultima encuesta del diagnostico"/>
    <d v="2025-05-30T00:00:00"/>
    <n v="49"/>
    <e v="#REF!"/>
    <x v="0"/>
  </r>
  <r>
    <d v="2025-04-24T00:00:00"/>
    <m/>
    <m/>
    <s v="JUEVES"/>
    <s v="TU EMPRESA SEGURA"/>
    <s v="LUZ"/>
    <s v="SANDRA MILENA ARANGO JARAMILLO"/>
    <s v="Cédula de Ciudadanía"/>
    <n v="39189386"/>
    <s v="sandra.arango@urantus.com"/>
    <n v="3022152280"/>
    <x v="23"/>
    <n v="901268585"/>
    <d v="2025-04-24T00:00:00"/>
    <s v="11:30 a.m"/>
    <x v="5"/>
    <n v="213000"/>
    <s v="SI"/>
    <s v="PLANEAR"/>
    <s v="2.5.1 Archivo o retención documental del Sistema de Gestión en Seguridad y Salud en el Trabajo SG-SST"/>
    <x v="0"/>
    <s v="La señora sandra informa que con el analista cristian,realizo firma en documento de terminos y condiciones y se le brindo la informacion del programa de TU EMPRESA SEGURA,Hoy 24 de abril se le realiza actualizacion de la empresa,se le solicita documentos de rut,camara y comercio ,logo,arl,eps,se le informa la importancia de la codificacion de documentos y el numeral 2.5.1.ELLA SOLICITA DOCUMENTOS FISICOS PORQUE NO ES DEL AREA DE SST,ENTONCES NO LE ES FACIL ENTENDER LOS PROCESOS."/>
    <d v="2025-05-30T00:00:00"/>
    <n v="36"/>
    <e v="#REF!"/>
    <x v="0"/>
  </r>
  <r>
    <d v="2025-04-28T00:00:00"/>
    <m/>
    <m/>
    <s v="JUEVES"/>
    <s v="TU EMPRESA SEGURA"/>
    <s v="LUZ"/>
    <s v="SANDRA MILENA ARANGO JARAMILLO"/>
    <s v="Cédula de Ciudadanía"/>
    <n v="39189386"/>
    <s v="sandra.arango@urantus.com"/>
    <n v="3022152280"/>
    <x v="23"/>
    <n v="901268585"/>
    <d v="2025-04-28T00:00:00"/>
    <m/>
    <x v="5"/>
    <n v="213000"/>
    <s v="NO"/>
    <s v="PLANEAR"/>
    <s v="0. No conexión Savanna"/>
    <x v="1"/>
    <s v="Festivo"/>
    <d v="2025-05-30T00:00:00"/>
    <n v="32"/>
    <e v="#REF!"/>
    <x v="0"/>
  </r>
  <r>
    <d v="2025-05-01T00:00:00"/>
    <m/>
    <m/>
    <s v="JUEVES"/>
    <s v="TU EMPRESA SEGURA"/>
    <s v="LUZ"/>
    <s v="SANDRA MILENA ARANGO JARAMILLO"/>
    <s v="Cédula de Ciudadanía"/>
    <n v="39189386"/>
    <s v="sandra.arango@urantus.com"/>
    <n v="3022152280"/>
    <x v="23"/>
    <n v="901268585"/>
    <d v="2025-05-01T00:00:00"/>
    <s v="11:30 a.m"/>
    <x v="5"/>
    <n v="213000"/>
    <s v="NO"/>
    <s v="PLANEAR"/>
    <s v="0. No conexión"/>
    <x v="1"/>
    <s v="Festivo"/>
    <d v="2025-05-30T00:00:00"/>
    <n v="29"/>
    <e v="#REF!"/>
    <x v="0"/>
  </r>
  <r>
    <d v="2025-05-08T00:00:00"/>
    <m/>
    <m/>
    <s v="JUEVES"/>
    <s v="TU EMPRESA SEGURA"/>
    <s v="LUZ"/>
    <s v="SANDRA MILENA ARANGO JARAMILLO"/>
    <s v="Cédula de Ciudadanía"/>
    <n v="39189386"/>
    <s v="sandra.arango@urantus.com"/>
    <n v="3022152280"/>
    <x v="23"/>
    <n v="901268585"/>
    <d v="2025-05-08T00:00:00"/>
    <s v="11:30 a.m"/>
    <x v="5"/>
    <n v="213000"/>
    <s v="SI"/>
    <s v="PLANEAR"/>
    <s v="1.1.1. Responsable del Sistema de Gestión de Seguridad y Salud en el Trabajo SG-SST"/>
    <x v="2"/>
    <s v="Se reprogramo para el dia 9 de mayo por temas de salud de la señora,se brinda asesoria de responsabilidades sg-sst,se diligencian algunos documentos de archivo documental,se deja como tarea el perfilsociodemografico. "/>
    <d v="2025-05-30T00:00:00"/>
    <n v="22"/>
    <e v="#REF!"/>
    <x v="0"/>
  </r>
  <r>
    <d v="2025-05-15T00:00:00"/>
    <m/>
    <m/>
    <s v="JUEVES"/>
    <s v="TU EMPRESA SEGURA"/>
    <s v="LUZ"/>
    <s v="SANDRA MILENA ARANGO JARAMILLO"/>
    <s v="Cédula de Ciudadanía"/>
    <n v="39189386"/>
    <s v="sandra.arango@urantus.com"/>
    <n v="3022152280"/>
    <x v="23"/>
    <n v="901268585"/>
    <d v="2025-05-15T00:00:00"/>
    <s v="11:30 a.m"/>
    <x v="5"/>
    <n v="213000"/>
    <s v="SI"/>
    <s v="PLANEAR"/>
    <s v="2.5.1 Archivo o retención documental del Sistema de Gestión en Seguridad y Salud en el Trabajo SG-SST"/>
    <x v="0"/>
    <s v="Se realiza numeral 2.5.1 ,solicita tutorial para realizar usuarios y firmas,ya realizo todos los documentos del copasst, pendiente evaluacion inicial."/>
    <d v="2025-05-30T00:00:00"/>
    <n v="15"/>
    <e v="#REF!"/>
    <x v="0"/>
  </r>
  <r>
    <d v="2025-05-22T00:00:00"/>
    <m/>
    <m/>
    <s v="JUEVES"/>
    <s v="TU EMPRESA SEGURA"/>
    <s v="LUZ"/>
    <s v="SANDRA MILENA ARANGO JARAMILLO"/>
    <s v="Cédula de Ciudadanía"/>
    <n v="39189386"/>
    <s v="sandra.arango@urantus.com"/>
    <n v="3022152280"/>
    <x v="23"/>
    <n v="901268585"/>
    <d v="2025-05-22T00:00:00"/>
    <s v="11:30 a.m"/>
    <x v="5"/>
    <n v="213000"/>
    <s v="SI"/>
    <s v="PLANEAR"/>
    <s v="1.0.4 Acompañamiiento/Asesoría sobre SGSST"/>
    <x v="0"/>
    <s v="La señora sandra me informa que ya termino el numeral 2.5.1 y que adelanto todo lo del numeral del copasst ,adicional esta en diligenciamiento de recomendaciones medicas.El sistema no le deja firmar documentos,ni subir firma digital.Se programa diagnostico para el 29 de mayo del 2025"/>
    <d v="2025-05-30T00:00:00"/>
    <n v="8"/>
    <e v="#REF!"/>
    <x v="0"/>
  </r>
  <r>
    <d v="2025-05-29T00:00:00"/>
    <m/>
    <m/>
    <s v="JUEVES"/>
    <s v="TU EMPRESA SEGURA"/>
    <s v="LUZ"/>
    <s v="SANDRA MILENA ARANGO JARAMILLO"/>
    <s v="Cédula de Ciudadanía"/>
    <n v="39189386"/>
    <s v="sandra.arango@urantus.com"/>
    <n v="3022152280"/>
    <x v="23"/>
    <n v="901268585"/>
    <d v="2025-05-29T00:00:00"/>
    <s v="11:30 a.m"/>
    <x v="5"/>
    <n v="213000"/>
    <s v="SI"/>
    <s v="PLANEAR"/>
    <s v="1.0.6 Diagnóstico del Sistema de Gestión de Seguridad y Salud en el Trabajo (SG-SST) 0312 DE 2019"/>
    <x v="0"/>
    <s v="se realiza el diagnostico inicial,"/>
    <d v="2025-05-30T00:00:00"/>
    <n v="1"/>
    <e v="#REF!"/>
    <x v="0"/>
  </r>
  <r>
    <d v="2025-06-05T00:00:00"/>
    <m/>
    <m/>
    <s v="JUEVES"/>
    <s v="TU EMPRESA SEGURA"/>
    <s v="LUZ"/>
    <s v="SANDRA MILENA ARANGO JARAMILLO"/>
    <s v="Cédula de Ciudadanía"/>
    <n v="39189386"/>
    <s v="sandra.arango@urantus.com"/>
    <n v="3022152280"/>
    <x v="23"/>
    <n v="901268585"/>
    <d v="2025-06-05T00:00:00"/>
    <s v="11:30 a.m"/>
    <x v="5"/>
    <n v="213000"/>
    <s v="SI"/>
    <s v="PLANEAR"/>
    <s v="1.0.4 Acompañamiiento/Asesoría sobre SGSST"/>
    <x v="0"/>
    <m/>
    <d v="2025-05-30T00:00:00"/>
    <n v="6"/>
    <e v="#REF!"/>
    <x v="0"/>
  </r>
  <r>
    <d v="2025-04-04T00:00:00"/>
    <s v="ABRIL"/>
    <n v="2"/>
    <s v="VIERNES "/>
    <s v="TU EMPRESA SEGURA"/>
    <s v="Cristhian"/>
    <s v="VANESSA VARGAS ALZATE "/>
    <s v="Cédula de Ciudadanía"/>
    <n v="1037649854"/>
    <s v="avelicafe@gmail.com"/>
    <n v="3114323737"/>
    <x v="24"/>
    <n v="1037649854"/>
    <d v="2025-04-04T00:00:00"/>
    <s v="8:05a. m."/>
    <x v="2"/>
    <n v="106.666"/>
    <s v="SI"/>
    <s v="PLANEAR"/>
    <s v="1.0.0 Bienvenida"/>
    <x v="3"/>
    <s v="el dia viernes 21 de marzo se llamo a la empresa para validar la llegada del correo electronico con el usuario y la contraseña a lo cual indicaron que si les llego y que no han tenido ningun inconveniente "/>
    <d v="2025-05-30T00:00:00"/>
    <n v="56"/>
    <e v="#REF!"/>
    <x v="0"/>
  </r>
  <r>
    <d v="2025-04-11T00:00:00"/>
    <m/>
    <m/>
    <s v="VIERNES "/>
    <s v="TU EMPRESA SEGURA"/>
    <s v="Juan Diego "/>
    <s v="VANESSA VARGAS ALZATE "/>
    <s v="Cédula de Ciudadanía"/>
    <n v="1037649854"/>
    <s v="avelicafe@gmail.com"/>
    <n v="3114323737"/>
    <x v="24"/>
    <n v="1037649854"/>
    <d v="2025-04-11T00:00:00"/>
    <s v="8:05a. m."/>
    <x v="2"/>
    <n v="106.666"/>
    <s v="SI"/>
    <s v="PLANEAR"/>
    <s v="1.0.6 Diagnóstico del Sistema de Gestión de Seguridad y Salud en el Trabajo (SG-SST) 0312 DE 2019"/>
    <x v="0"/>
    <s v="se empieza evaluacion inicial"/>
    <d v="2025-05-30T00:00:00"/>
    <n v="49"/>
    <e v="#REF!"/>
    <x v="0"/>
  </r>
  <r>
    <d v="2025-04-18T00:00:00"/>
    <m/>
    <m/>
    <s v="VIERNES "/>
    <s v="TU EMPRESA SEGURA"/>
    <s v="Juan Diego "/>
    <s v="VANESSA VARGAS ALZATE "/>
    <s v="Cédula de Ciudadanía"/>
    <n v="1037649854"/>
    <s v="avelicafe@gmail.com"/>
    <n v="3114323737"/>
    <x v="24"/>
    <n v="1037649854"/>
    <d v="2025-04-18T00:00:00"/>
    <s v="8:05a. m."/>
    <x v="2"/>
    <n v="106.666"/>
    <s v="SI"/>
    <s v="PLANEAR"/>
    <s v="0. No conexión"/>
    <x v="1"/>
    <s v="se informa por parte de la usuarioa que esta indispuesta, que no puede asiastir, le digo que si gusta la podemos reprogramar para el martes 13 de mayo en horas d ela tarde, acepta agradecida"/>
    <d v="2025-05-30T00:00:00"/>
    <n v="42"/>
    <e v="#REF!"/>
    <x v="0"/>
  </r>
  <r>
    <d v="2025-04-25T00:00:00"/>
    <m/>
    <m/>
    <s v="VIERNES "/>
    <s v="TU EMPRESA SEGURA"/>
    <s v="Juan Diego "/>
    <s v="VANESSA VARGAS ALZATE "/>
    <s v="Cédula de Ciudadanía"/>
    <n v="1037649854"/>
    <s v="avelicafe@gmail.com"/>
    <n v="3114323737"/>
    <x v="24"/>
    <n v="1037649854"/>
    <d v="2025-04-25T00:00:00"/>
    <s v="8:05a. m."/>
    <x v="2"/>
    <n v="106.666"/>
    <s v="SI"/>
    <s v="PLANEAR"/>
    <s v="1.0.5 Diagnóstico de Madurez"/>
    <x v="4"/>
    <s v="Se consulta dificultades de acceso a plataforma y no se reportan, se realiza diagnostico de madurez, y se solicitan documentos legales: RUT, camara de comercio, logotipo, planilla de seguridad social,certificado afiliacion ARL, examenes medicos (pendientes por realizar)"/>
    <d v="2025-05-30T00:00:00"/>
    <n v="35"/>
    <e v="#REF!"/>
    <x v="0"/>
  </r>
  <r>
    <d v="2025-05-02T00:00:00"/>
    <m/>
    <m/>
    <s v="VIERNES "/>
    <s v="TU EMPRESA SEGURA"/>
    <s v="Juan Diego "/>
    <s v="VANESSA VARGAS ALZATE "/>
    <s v="Cédula de Ciudadanía"/>
    <n v="1037649854"/>
    <s v="avelicafe@gmail.com"/>
    <n v="3114323737"/>
    <x v="24"/>
    <n v="1037649854"/>
    <d v="2025-05-02T00:00:00"/>
    <s v="8:05a. m."/>
    <x v="2"/>
    <n v="106.666"/>
    <s v="SI"/>
    <s v="PLANEAR"/>
    <s v="1.0.4 Acompañamiiento/Asesoría sobre SGSST"/>
    <x v="0"/>
    <s v="se revisa registro de usuarios y administradores"/>
    <d v="2025-05-30T00:00:00"/>
    <n v="28"/>
    <e v="#REF!"/>
    <x v="0"/>
  </r>
  <r>
    <d v="2025-05-09T00:00:00"/>
    <m/>
    <m/>
    <s v="VIERNES "/>
    <s v="TU EMPRESA SEGURA"/>
    <s v="Juan Diego "/>
    <s v="VANESSA VARGAS ALZATE "/>
    <s v="Cédula de Ciudadanía"/>
    <n v="1037649854"/>
    <s v="avelicafe@gmail.com"/>
    <n v="3114323737"/>
    <x v="24"/>
    <n v="1037649854"/>
    <d v="2025-05-09T00:00:00"/>
    <s v="8:05a. m."/>
    <x v="2"/>
    <n v="106.666"/>
    <s v="NO"/>
    <s v="PLANEAR"/>
    <s v="0. No conexión"/>
    <x v="1"/>
    <s v="dice que esta incapacitada, y se reprograma para el miercoles siguiente, en este dia dice que continua incapacitada, le sugiero enviar soporte a la lider del programa Comfama en Sistegra Laura Diaz, se continua con los documentos de asignacion de responsables y responsabilidades"/>
    <d v="2025-05-30T00:00:00"/>
    <n v="21"/>
    <e v="#REF!"/>
    <x v="0"/>
  </r>
  <r>
    <d v="2025-05-16T00:00:00"/>
    <m/>
    <m/>
    <s v="VIERNES "/>
    <s v="TU EMPRESA SEGURA"/>
    <s v="Juan Diego "/>
    <s v="VANESSA VARGAS ALZATE "/>
    <s v="Cédula de Ciudadanía"/>
    <n v="1037649854"/>
    <s v="avelicafe@gmail.com"/>
    <n v="3114323737"/>
    <x v="24"/>
    <n v="1037649854"/>
    <d v="2025-05-16T00:00:00"/>
    <s v="8:05a. m."/>
    <x v="2"/>
    <n v="106.666"/>
    <s v="NO"/>
    <s v="PLANEAR"/>
    <s v="0.1 Trabajo autónomo analista en plataforma"/>
    <x v="2"/>
    <s v="la usuaria dice que tiene incapacidad por enfermedad general, se realiza asignacion de responsable y se continua con la cofificacion del listado maestro, se asignan responsabilidades"/>
    <d v="2025-05-30T00:00:00"/>
    <n v="14"/>
    <e v="#REF!"/>
    <x v="0"/>
  </r>
  <r>
    <d v="2025-05-23T00:00:00"/>
    <m/>
    <m/>
    <s v="VIERNES "/>
    <s v="TU EMPRESA SEGURA"/>
    <s v="LUZ"/>
    <s v="VANESSA VARGAS ALZATE "/>
    <s v="Cédula de Ciudadanía"/>
    <n v="1037649854"/>
    <s v="avelicafe@gmail.com"/>
    <n v="3114323737"/>
    <x v="24"/>
    <n v="1037649854"/>
    <d v="2025-05-22T00:00:00"/>
    <s v="2:25 P.M"/>
    <x v="2"/>
    <n v="106.666"/>
    <s v="SI"/>
    <s v="PLANEAR"/>
    <s v="1.0.3 Navegando en  la plataforma y beneficios del programa"/>
    <x v="3"/>
    <s v="La Señora manifiesta que solo en las conexion le solicitaban resultados,pero no le explicaron por donde realizar dichos documentos,Hoy se le explicanuevamente la plata forma y se le solicita documentacion para actualizar,en el proximo encuentro sera la evaluacion inicial."/>
    <d v="2025-05-30T00:00:00"/>
    <n v="7"/>
    <e v="#REF!"/>
    <x v="0"/>
  </r>
  <r>
    <d v="2025-05-30T00:00:00"/>
    <m/>
    <m/>
    <s v="VIERNES "/>
    <s v="TU EMPRESA SEGURA"/>
    <s v="LUZ"/>
    <s v="VANESSA VARGAS ALZATE "/>
    <s v="Cédula de Ciudadanía"/>
    <n v="1037649854"/>
    <s v="avelicafe@gmail.com"/>
    <n v="3114323737"/>
    <x v="24"/>
    <n v="1037649854"/>
    <d v="2025-05-29T00:00:00"/>
    <s v="2:25 P.M"/>
    <x v="2"/>
    <n v="106.666"/>
    <s v="SI"/>
    <s v="PLANEAR"/>
    <s v="1.0.6 Diagnóstico del Sistema de Gestión de Seguridad y Salud en el Trabajo (SG-SST) 0312 DE 2019"/>
    <x v="0"/>
    <s v="Se realiza evaluacion inicial Critico-se firma terminos y condiciones y envia PDF a correo."/>
    <d v="2025-05-30T00:00:00"/>
    <n v="0"/>
    <e v="#REF!"/>
    <x v="0"/>
  </r>
  <r>
    <d v="2025-05-16T00:00:00"/>
    <m/>
    <m/>
    <s v="VIERNES "/>
    <s v="TU EMPRESA SEGURA"/>
    <s v="Juan Diego "/>
    <s v="VANESSA VARGAS ALZATE "/>
    <s v="Cédula de Ciudadanía"/>
    <n v="1037649854"/>
    <s v="avelicafe@gmail.com"/>
    <n v="3114323737"/>
    <x v="24"/>
    <n v="1037649854"/>
    <d v="2025-05-16T00:00:00"/>
    <m/>
    <x v="2"/>
    <n v="106.666"/>
    <s v="NO"/>
    <s v="PLANEAR"/>
    <s v="0.1 Trabajo autónomo analista en plataforma"/>
    <x v="2"/>
    <s v="se explica la importancia derealizar los examenes medicos y como gestionarlos en su municipio"/>
    <d v="2025-05-30T00:00:00"/>
    <n v="14"/>
    <e v="#REF!"/>
    <x v="0"/>
  </r>
  <r>
    <d v="2025-06-05T00:00:00"/>
    <m/>
    <m/>
    <s v="JUEVES"/>
    <s v="TU EMPRESA SEGURA"/>
    <s v="LUZ"/>
    <s v="VANNESA VANEGAS ALZATE"/>
    <m/>
    <n v="1037649854"/>
    <s v="avelicafe@gmail.com"/>
    <n v="3114323737"/>
    <x v="24"/>
    <n v="1037649854"/>
    <d v="2025-06-05T00:00:00"/>
    <n v="0.10069444444444445"/>
    <x v="2"/>
    <n v="106.666"/>
    <s v="SI"/>
    <s v="PLANEAR"/>
    <s v="2.5.1 Archivo o retención documental del Sistema de Gestión en Seguridad y Salud en el Trabajo SG-SST"/>
    <x v="0"/>
    <s v="Se realiza cronograma,se revisa terminos y condiciones firmada y enviada al correo,se evidencia que la firma una vez montada no se deje visualizar en la plataforma,el listado maestro esta ok,tarea realizar el perfil y subir afiliaciones,"/>
    <d v="2025-05-30T00:00:00"/>
    <n v="6"/>
    <e v="#REF!"/>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
  <r>
    <d v="2025-05-20T00:00:00"/>
    <s v="MAYO"/>
    <n v="1"/>
    <s v="MARTES"/>
    <s v="TU EMPRESA SEGURA"/>
    <s v="LUZ"/>
    <s v="ALEXIS PÉREZ GÓMEZ "/>
    <s v="Cédula de Ciudadanía"/>
    <n v="1040325965"/>
    <s v="contacto@villaclara.com.co"/>
    <n v="3132973915"/>
    <x v="0"/>
    <x v="0"/>
    <d v="2025-05-20T00:00:00"/>
    <s v="11:30 a.m"/>
    <n v="1"/>
    <n v="106666"/>
    <s v="SI"/>
    <s v="PLANEAR"/>
    <s v="1.0.6 Diagnóstico del Sistema de Gestión de Seguridad y Salud en el Trabajo (SG-SST) 0312 DE 2019"/>
    <n v="2"/>
    <s v="No firmo firma de termminos y condiciones por temas de no tener contraseña y usuario,se le presenta el programa .se le realiza evaluacion inicial"/>
    <d v="2025-05-30T00:00:00"/>
    <n v="10"/>
    <n v="14"/>
    <s v="ACTIVO"/>
  </r>
  <r>
    <d v="2025-04-04T00:00:00"/>
    <s v="ABRIL"/>
    <n v="2"/>
    <s v="VIERNES "/>
    <s v="TU EMPRESA SEGURA"/>
    <s v="Juan Diego "/>
    <s v="MERCEDES CARVAJAL OSPINA "/>
    <s v="Cédula de Ciudadanía"/>
    <n v="21481666"/>
    <s v="mercedesemprendedora2023@gmail.com"/>
    <n v="3053436587"/>
    <x v="1"/>
    <x v="1"/>
    <d v="2025-04-04T00:00:00"/>
    <s v="11:30a.m"/>
    <n v="4"/>
    <n v="213000"/>
    <s v="SI"/>
    <s v="PLANEAR"/>
    <s v="1.0.4 Acompañamiiento/Asesoría sobre SGSST"/>
    <n v="2"/>
    <s v="el dia martes 1 de abril  se llamo a la empresa para poder validar si se peude contactar ya que s ehabia intentado anteriormente y no se habia logrado _x000a__x000a_Presentación del Programa: Registro Usuario y contraseña, términos y condiciones y se explica reporte de incidentes y accidentes ante la ARL"/>
    <d v="2025-05-30T00:00:00"/>
    <n v="56"/>
    <n v="2"/>
    <s v="ACTIVO"/>
  </r>
  <r>
    <d v="2025-04-11T00:00:00"/>
    <m/>
    <m/>
    <s v="VIERNES "/>
    <s v="TU EMPRESA SEGURA"/>
    <s v="Juan Diego "/>
    <s v="MERCEDES CARVAJAL OSPINA "/>
    <s v="Cédula de Ciudadanía"/>
    <n v="21481666"/>
    <s v="mercedesemprendedora2023@gmail.com"/>
    <n v="3053436587"/>
    <x v="1"/>
    <x v="1"/>
    <d v="2025-04-11T00:00:00"/>
    <s v="11:30a.m"/>
    <n v="4"/>
    <n v="213000"/>
    <s v="SI"/>
    <s v="PLANEAR"/>
    <s v="1.0.8 Ruta de Bienestar Savanna"/>
    <n v="0"/>
    <s v="Se presenta el programa de Savanna con la Psicóloga Lorena, La primera conexión con la empresa se tuvo el día 11 de abril se hablo sobre toda la parte psicosocial que brinda la empresa _x000a_-Savanna _x000a_-asesorías psicológicas _x000a_-Capacitaciones y talleres _x000a_Se brindo toda la información de Savanna, se mostró plataforma y se envió el Excel para diligenciar información de los empleados y crear usuario y contraseña _x000a_Se dio a conocer modalidad de asesorías psicológicas y la importancia de esta en las empresas _x000a_Y al finalizar se dio a conocer las múltiples capacitaciones psicosociales que podemos trabajar durante el año. "/>
    <d v="2025-05-30T00:00:00"/>
    <n v="49"/>
    <n v="2"/>
    <s v="ACTIVO"/>
  </r>
  <r>
    <d v="2025-04-18T00:00:00"/>
    <m/>
    <m/>
    <s v="VIERNES "/>
    <s v="TU EMPRESA SEGURA"/>
    <s v="Juan Diego "/>
    <s v="MERCEDES CARVAJAL OSPINA "/>
    <s v="Cédula de Ciudadanía"/>
    <n v="21481666"/>
    <s v="mercedesemprendedora2023@gmail.com"/>
    <n v="3053436587"/>
    <x v="1"/>
    <x v="1"/>
    <d v="2025-04-18T00:00:00"/>
    <s v="11:30a.m"/>
    <n v="4"/>
    <n v="213000"/>
    <s v="NO CONEXIÓN"/>
    <s v="PLANEAR"/>
    <s v="0.1 Trabajo autónomo analista en plataforma"/>
    <n v="0.5"/>
    <s v="DIA FESTIVO"/>
    <d v="2025-05-30T00:00:00"/>
    <n v="42"/>
    <n v="2"/>
    <s v="ACTIVO"/>
  </r>
  <r>
    <d v="2025-05-09T00:00:00"/>
    <m/>
    <m/>
    <s v="VIERNES "/>
    <s v="TU EMPRESA SEGURA"/>
    <s v="Juan Diego "/>
    <s v="MERCEDES CARVAJAL OSPINA "/>
    <s v="Cédula de Ciudadanía"/>
    <n v="21481666"/>
    <s v="mercedesemprendedora2023@gmail.com"/>
    <n v="3053436587"/>
    <x v="1"/>
    <x v="1"/>
    <d v="2025-05-09T00:00:00"/>
    <s v="11:30a.m"/>
    <n v="4"/>
    <n v="213000"/>
    <s v="SI"/>
    <s v="PLANEAR"/>
    <s v="1.1.1. Responsable del Sistema de Gestión de Seguridad y Salud en el Trabajo SG-SST"/>
    <n v="0.5"/>
    <s v="se inicia con la asignacion de responsable del SGSST y se continua con el procedimiento de gestion documental; se deja pendiente la realizacion de los examenes medicos ocupacionales"/>
    <d v="2025-05-30T00:00:00"/>
    <n v="21"/>
    <n v="2"/>
    <s v="ACTIVO"/>
  </r>
  <r>
    <d v="2025-05-16T00:00:00"/>
    <m/>
    <m/>
    <s v="VIERNES "/>
    <s v="TU EMPRESA SEGURA"/>
    <s v="Juan Diego "/>
    <s v="MERCEDES CARVAJAL OSPINA "/>
    <s v="Cédula de Ciudadanía"/>
    <n v="21481666"/>
    <s v="mercedesemprendedora2023@gmail.com"/>
    <n v="3053436587"/>
    <x v="1"/>
    <x v="1"/>
    <d v="2025-05-16T00:00:00"/>
    <s v="11:30a.m"/>
    <n v="4"/>
    <n v="213000"/>
    <s v="SI"/>
    <s v="PLANEAR"/>
    <s v="1.0.3 Navegando en  la plataforma y beneficios del programa"/>
    <n v="1"/>
    <s v="se realiza registro de empleados en plataforma"/>
    <d v="2025-05-30T00:00:00"/>
    <n v="14"/>
    <n v="2"/>
    <s v="ACTIVO"/>
  </r>
  <r>
    <d v="2025-05-30T00:00:00"/>
    <m/>
    <m/>
    <s v="VIERNES "/>
    <s v="TU EMPRESA SEGURA"/>
    <s v="Juan Diego "/>
    <s v="MERCEDES CARVAJAL OSPINA "/>
    <s v="Cédula de Ciudadanía"/>
    <n v="21481666"/>
    <s v="mercedesemprendedora2023@gmail.com"/>
    <n v="3053436587"/>
    <x v="1"/>
    <x v="1"/>
    <d v="2025-05-30T00:00:00"/>
    <s v="11:30a.m"/>
    <n v="4"/>
    <n v="213000"/>
    <s v="SI"/>
    <s v="PLANEAR"/>
    <s v="1.0.4 Acompañamiiento/Asesoría sobre SGSST"/>
    <n v="2"/>
    <s v="se consulta sobre estado de examenes médicos, se explican los tipos segun la normativa y se  asignan responsabilidades"/>
    <d v="2025-05-30T00:00:00"/>
    <n v="0"/>
    <n v="2"/>
    <s v="ACTIVO"/>
  </r>
  <r>
    <d v="2025-06-06T00:00:00"/>
    <m/>
    <m/>
    <s v="VIERNES "/>
    <s v="TU EMPRESA SEGURA"/>
    <s v="Juan Diego "/>
    <s v="MERCEDES CARVAJAL OSPINA "/>
    <s v="Cédula de Ciudadanía"/>
    <n v="21481666"/>
    <s v="mercedesemprendedora2023@gmail.com"/>
    <n v="3053436587"/>
    <x v="1"/>
    <x v="1"/>
    <d v="2025-06-06T00:00:00"/>
    <s v="11:30a.m"/>
    <n v="4"/>
    <n v="213000"/>
    <s v="SI"/>
    <s v="PLANEAR"/>
    <s v="1.0.4 Acompañamiiento/Asesoría sobre SGSST"/>
    <n v="2"/>
    <s v="Se realiza, acta de actividades de alto riesgo, se ingresan planillas de examenes medicos"/>
    <d v="2025-05-30T00:00:00"/>
    <n v="7"/>
    <n v="2"/>
    <s v="ACTIVO"/>
  </r>
  <r>
    <d v="2025-05-16T00:00:00"/>
    <m/>
    <m/>
    <s v="VIERNES "/>
    <s v="TU EMPRESA SEGURA"/>
    <s v="Juan Diego "/>
    <s v="MERCEDES CARVAJAL OSPINA "/>
    <s v="Cédula de Ciudadanía"/>
    <n v="21481666"/>
    <s v="mercedesemprendedora2023@gmail.com"/>
    <n v="3053436587"/>
    <x v="1"/>
    <x v="1"/>
    <d v="2025-05-16T00:00:00"/>
    <m/>
    <n v="4"/>
    <n v="213000"/>
    <s v="SI"/>
    <s v="PLANEAR"/>
    <s v="1.0.4 Acompañamiiento/Asesoría sobre SGSST"/>
    <n v="2"/>
    <s v="Se xplica la importancia de los examenes médicos, como hacer lagestion, y se empieza a registrar el personal"/>
    <d v="2025-05-30T00:00:00"/>
    <n v="14"/>
    <n v="2"/>
    <s v="ACTIVO"/>
  </r>
  <r>
    <d v="2025-03-28T00:00:00"/>
    <s v="MARZO"/>
    <n v="3"/>
    <s v="VIERNES "/>
    <s v="TU EMPRESA SEGURA"/>
    <s v="Cristhian"/>
    <s v="Ana Maria Campuzano Arboleda"/>
    <s v="Cédula de Ciudadanía"/>
    <n v="1007445947"/>
    <s v="anam_campuzano@hotmail.com"/>
    <n v="3217213077"/>
    <x v="2"/>
    <x v="2"/>
    <d v="2025-03-28T00:00:00"/>
    <s v="11:30a.m"/>
    <n v="2"/>
    <n v="106666"/>
    <s v="SI"/>
    <s v="PLANEAR"/>
    <s v="1.0.0 Bienvenida"/>
    <n v="1"/>
    <s v="Bienvenida al programa, se le explica detalladamente en que consiste y la duración estimada, se Indica cómo firmar los términos y condiciones, se agenda la reunión periódica, semanal, los viernes de 11:30 a 12:15pm"/>
    <d v="2025-05-30T00:00:00"/>
    <n v="63"/>
    <n v="2"/>
    <s v="ACTIVO"/>
  </r>
  <r>
    <d v="2025-04-04T00:00:00"/>
    <m/>
    <m/>
    <s v="VIERNES "/>
    <s v="TU EMPRESA SEGURA"/>
    <s v="Cristhian"/>
    <s v="Ana Maria Campuzano Arboleda"/>
    <s v="Cédula de Ciudadanía"/>
    <n v="1007445947"/>
    <s v="anam_campuzano@hotmail.com"/>
    <n v="3217213077"/>
    <x v="2"/>
    <x v="2"/>
    <d v="2025-04-04T00:00:00"/>
    <s v="11:30a.m"/>
    <n v="2"/>
    <n v="106666"/>
    <s v="SI"/>
    <s v="PLANEAR"/>
    <s v="1.0.5 Diagnóstico de Madurez"/>
    <n v="3"/>
    <s v="Se realiza el diagnostico de madurez"/>
    <d v="2025-05-30T00:00:00"/>
    <s v=" "/>
    <n v="2"/>
    <s v="ACTIVO"/>
  </r>
  <r>
    <d v="2025-04-11T00:00:00"/>
    <m/>
    <m/>
    <s v="VIERNES "/>
    <s v="TU EMPRESA SEGURA"/>
    <s v="Cristhian"/>
    <s v="Ana Maria Campuzano Arboleda"/>
    <s v="Cédula de Ciudadanía"/>
    <n v="1007445947"/>
    <s v="anam_campuzano@hotmail.com"/>
    <n v="3217213077"/>
    <x v="2"/>
    <x v="2"/>
    <d v="2025-04-11T00:00:00"/>
    <s v="11:30a.m"/>
    <n v="2"/>
    <n v="106666"/>
    <s v="SI"/>
    <s v="PLANEAR"/>
    <s v="1.0.6 Diagnóstico del Sistema de Gestión de Seguridad y Salud en el Trabajo (SG-SST) 0312 DE 2019"/>
    <n v="2"/>
    <s v="Se realiza la evaluacion inicial del sistema de gestion, se dan recomendaciones iniciales"/>
    <d v="2025-05-30T00:00:00"/>
    <n v="49"/>
    <n v="2"/>
    <s v="ACTIVO"/>
  </r>
  <r>
    <d v="2025-04-18T00:00:00"/>
    <m/>
    <m/>
    <s v="VIERNES "/>
    <s v="TU EMPRESA SEGURA"/>
    <s v="LUZ"/>
    <s v="Ana Maria Campuzano Arboleda"/>
    <s v="Cédula de Ciudadanía"/>
    <n v="1007445947"/>
    <s v="anam_campuzano@hotmail.com"/>
    <n v="3217213077"/>
    <x v="2"/>
    <x v="2"/>
    <d v="2025-04-18T00:00:00"/>
    <s v="11:30a.m"/>
    <n v="2"/>
    <n v="106666"/>
    <s v="NO"/>
    <s v="PLANEAR"/>
    <s v="1.0.4 Acompañamiiento/Asesoría sobre SGSST"/>
    <n v="2"/>
    <s v="El 24 de abril del 2025 me transfieren a Doña ana ,Era del analista Cristian. "/>
    <d v="2025-05-30T00:00:00"/>
    <n v="42"/>
    <n v="2"/>
    <s v="ACTIVO"/>
  </r>
  <r>
    <d v="2025-04-24T00:00:00"/>
    <m/>
    <m/>
    <s v="JUEVES"/>
    <s v="TU EMPRESA SEGURA"/>
    <s v="LUZ"/>
    <s v="Ana Maria Campuzano Arboleda"/>
    <s v="Cédula de Ciudadanía"/>
    <n v="1007445947"/>
    <s v="anam_campuzano@hotmail.com"/>
    <n v="3217213077"/>
    <x v="2"/>
    <x v="2"/>
    <d v="2025-04-25T00:00:00"/>
    <s v="11:30a.m"/>
    <n v="2"/>
    <n v="106666"/>
    <s v="SI"/>
    <s v="PLANEAR"/>
    <s v="1.0.1 Firma de Términos y Condiciones"/>
    <n v="1"/>
    <s v="La señora ana refiere que con en analista Cristian se realizo,Firma de documento de  terminos y condiciones,cuenta con contraseña y usuario,se le realizo el diagnostico inicial.Hoy 24 de abril,se le informanuevamente del programa,se actualiza informacion de empresa,se le solicita documentos rut ,camara y comercio etc,se le informa del procedimiento del archivo documental y su importancia para continuar diligenciando documentos y se le explica el numerar 1.1.4."/>
    <d v="2025-05-30T00:00:00"/>
    <n v="36"/>
    <n v="2"/>
    <s v="ACTIVO"/>
  </r>
  <r>
    <d v="2025-03-08T00:00:00"/>
    <m/>
    <m/>
    <s v="JUEVES"/>
    <s v="TU EMPRESA SEGURA"/>
    <s v="LUZ"/>
    <s v="Ana Maria Campuzano Arboleda"/>
    <s v="Cédula de Ciudadanía"/>
    <n v="1007445947"/>
    <s v="anam_campuzano@hotmail.com"/>
    <n v="3217213077"/>
    <x v="2"/>
    <x v="2"/>
    <d v="2025-05-08T00:00:00"/>
    <s v="11:30a.m"/>
    <n v="2"/>
    <n v="106666"/>
    <s v="SI"/>
    <s v="PLANEAR"/>
    <s v="1.1.1. Responsable del Sistema de Gestión de Seguridad y Salud en el Trabajo SG-SST"/>
    <n v="0.5"/>
    <s v="se realiza archivo documental,se revisa numeral 1.1.4,tarea subir el perfilsociodemogradico,se realiza diligenciamiento del responsable sst."/>
    <d v="2025-05-30T00:00:00"/>
    <n v="83"/>
    <n v="2"/>
    <s v="ACTIVO"/>
  </r>
  <r>
    <d v="2025-03-15T00:00:00"/>
    <m/>
    <m/>
    <s v="JUEVES"/>
    <s v="TU EMPRESA SEGURA"/>
    <s v="LUZ"/>
    <s v="Ana Maria Campuzano Arboleda"/>
    <s v="Cédula de Ciudadanía"/>
    <n v="1007445947"/>
    <s v="anam_campuzano@hotmail.com"/>
    <n v="3217213077"/>
    <x v="2"/>
    <x v="2"/>
    <d v="2025-05-15T00:00:00"/>
    <s v="11:30a.m"/>
    <n v="2"/>
    <n v="106666"/>
    <s v="NO"/>
    <s v="PLANEAR"/>
    <s v="1.0.4 Acompañamiiento/Asesoría sobre SGSST"/>
    <n v="2"/>
    <s v="Envia correo de inconveniente en conexion,se deja tareas por correo para proximo encuentro. "/>
    <d v="2025-05-30T00:00:00"/>
    <n v="76"/>
    <n v="2"/>
    <s v="ACTIVO"/>
  </r>
  <r>
    <d v="2025-03-22T00:00:00"/>
    <m/>
    <m/>
    <s v="JUEVES"/>
    <s v="TU EMPRESA SEGURA"/>
    <s v="LUZ"/>
    <s v="Ana Maria Campuzano Arboleda"/>
    <s v="Cédula de Ciudadanía"/>
    <n v="1007445947"/>
    <s v="anam_campuzano@hotmail.com"/>
    <n v="3217213077"/>
    <x v="2"/>
    <x v="2"/>
    <d v="2025-05-22T00:00:00"/>
    <s v="10:35a.m"/>
    <n v="2"/>
    <n v="106666"/>
    <s v="SI"/>
    <s v="PLANEAR"/>
    <s v="1.0.4 Acompañamiiento/Asesoría sobre SGSST"/>
    <n v="2"/>
    <s v="Se verifica numerales del planear en archivo documental,se explica el tema de archivo documental del hacer y para la proxima reunion se realizara el tema de plan anual de trabajo."/>
    <d v="2025-05-30T00:00:00"/>
    <n v="69"/>
    <n v="2"/>
    <s v="ACTIVO"/>
  </r>
  <r>
    <d v="2025-03-29T00:00:00"/>
    <m/>
    <m/>
    <s v="JUEVES"/>
    <s v="TU EMPRESA SEGURA"/>
    <s v="LUZ"/>
    <s v="Ana Maria Campuzano Arboleda"/>
    <s v="Cédula de Ciudadanía"/>
    <n v="1007445947"/>
    <s v="anam_campuzano@hotmail.com"/>
    <n v="3217213077"/>
    <x v="2"/>
    <x v="2"/>
    <d v="2025-05-29T00:00:00"/>
    <s v="10:35a.m"/>
    <n v="2"/>
    <n v="106666"/>
    <s v="NO"/>
    <s v="PLANEAR"/>
    <s v="1.0.4 Acompañamiiento/Asesoría sobre SGSST"/>
    <n v="2"/>
    <s v="Envia correo de inconveniente en conexion,por temas de cita medica que se cruzaba con la conexion.solicita reprogramar para otro dia o enviarle tareaspor correo. "/>
    <d v="2025-05-30T00:00:00"/>
    <n v="62"/>
    <n v="2"/>
    <s v="ACTIVO"/>
  </r>
  <r>
    <d v="2025-06-05T00:00:00"/>
    <m/>
    <m/>
    <s v="JUEVES"/>
    <s v="TU EMPRESA SEGURA"/>
    <s v="LUZ"/>
    <s v="Ana Maria Campuzano Arboleda"/>
    <s v="Cédula de Ciudadanía"/>
    <n v="1007445947"/>
    <s v="anam_campuzano@hotmail.com"/>
    <n v="3217213077"/>
    <x v="2"/>
    <x v="2"/>
    <d v="2025-06-05T00:00:00"/>
    <s v="10:35a.m"/>
    <n v="2"/>
    <n v="106666"/>
    <s v="SI"/>
    <s v="PLANEAR"/>
    <s v="2.5.1 Archivo o retención documental del Sistema de Gestión en Seguridad y Salud en el Trabajo SG-SST"/>
    <n v="2"/>
    <s v="LA señora ana refiere que esta interesada en continuar con lña plataforma,solo que tiene un nuevo trabajo y no le dara tiempo para conectarse,enviara correo para reprogramar tiempos o espacio de conexion ,por este motivo solo se realiza numeral 2.5.1 ,se verifica 1.1.4 ,se realiza verificacion del 3.1.1.1.,depende de la solucion al correo que envie doña ana se realizara cronograma teniendo encuenta que es solo ella y un trabajador."/>
    <d v="2025-05-30T00:00:00"/>
    <n v="6"/>
    <n v="2"/>
    <s v="ACTIVO"/>
  </r>
  <r>
    <d v="2025-04-04T00:00:00"/>
    <s v="ABRIL"/>
    <n v="2"/>
    <s v="VIERNES "/>
    <s v="TU EMPRESA SEGURA"/>
    <s v="Juan Diego"/>
    <s v="MELISSA MARIA ROMAN BURITICA"/>
    <s v="Cédula de Ciudadanía"/>
    <n v="1040039119"/>
    <s v="gestionhumana@blackriverflowers.com"/>
    <n v="3173882936"/>
    <x v="3"/>
    <x v="3"/>
    <d v="2025-04-04T00:00:00"/>
    <s v="10:40a. m."/>
    <n v="3"/>
    <n v="106666"/>
    <s v="SI"/>
    <s v="PLANEAR"/>
    <s v="1.0.1 Firma de Términos y Condiciones"/>
    <n v="1"/>
    <s v="el dia viernes 21 de marzo se llamo a la empresa para validar la llegada del correo electronico con el usuario y la contraseña a lo cual indicaron que si les llego y que no han tenido ningun inconveniente "/>
    <d v="2025-05-30T00:00:00"/>
    <n v="56"/>
    <n v="55"/>
    <s v="ACTIVO"/>
  </r>
  <r>
    <d v="2025-04-11T00:00:00"/>
    <m/>
    <m/>
    <s v="VIERNES "/>
    <s v="TU EMPRESA SEGURA"/>
    <s v="Juan Diego"/>
    <s v="MELISSA MARIA ROMAN BURITICA"/>
    <s v="Cédula de Ciudadanía"/>
    <n v="1040039119"/>
    <s v="gestionhumana@blackriverflowers.com"/>
    <n v="3173882936"/>
    <x v="3"/>
    <x v="3"/>
    <d v="2025-04-11T00:00:00"/>
    <s v="10:40a. m."/>
    <n v="3"/>
    <n v="106666"/>
    <s v="NO"/>
    <s v="PLANEAR"/>
    <s v="0. No participación de empresa"/>
    <m/>
    <s v="Se actualiza plantilla de evaluacion inicial  para la empresa, y seempieza con la  codificacion , y procedimiento de listado maestro de documentos"/>
    <d v="2025-05-30T00:00:00"/>
    <n v="49"/>
    <n v="55"/>
    <s v="ACTIVO"/>
  </r>
  <r>
    <d v="2025-04-18T00:00:00"/>
    <m/>
    <m/>
    <s v="VIERNES "/>
    <s v="TU EMPRESA SEGURA"/>
    <s v="Juan Diego"/>
    <s v="MELISSA MARIA ROMAN BURITICA"/>
    <s v="Cédula de Ciudadanía"/>
    <n v="1040039119"/>
    <s v="gestionhumana@blackriverflowers.com"/>
    <n v="3173882936"/>
    <x v="3"/>
    <x v="3"/>
    <d v="2025-04-18T00:00:00"/>
    <s v="10:40a. m."/>
    <n v="3"/>
    <n v="106666"/>
    <s v="NO"/>
    <s v="PLANEAR"/>
    <s v="0. No participación de empresa"/>
    <n v="0"/>
    <s v="se continua con la codificacion de documentos "/>
    <d v="2025-05-30T00:00:00"/>
    <n v="42"/>
    <n v="55"/>
    <s v="ACTIVO"/>
  </r>
  <r>
    <d v="2025-05-02T00:00:00"/>
    <m/>
    <m/>
    <s v="VIERNES "/>
    <s v="TU EMPRESA SEGURA"/>
    <s v="Juan Diego"/>
    <s v="MELISSA MARIA ROMAN BURITICA"/>
    <s v="Cédula de Ciudadanía"/>
    <n v="1040039119"/>
    <s v="gestionhumana@blackriverflowers.com"/>
    <n v="3173882936"/>
    <x v="3"/>
    <x v="3"/>
    <d v="2025-05-02T00:00:00"/>
    <s v="10:40a. m."/>
    <n v="3"/>
    <n v="106666"/>
    <s v="NO"/>
    <s v="PLANEAR"/>
    <s v="0. No participación de empresa"/>
    <n v="0"/>
    <s v="no se conecta, se realizan las llamadas por wassap y telefonicas, y no se recibe respuesta, se gestiona documento de asignaion de responsable"/>
    <d v="2025-05-30T00:00:00"/>
    <n v="28"/>
    <n v="55"/>
    <s v="ACTIVO"/>
  </r>
  <r>
    <d v="2025-05-09T00:00:00"/>
    <m/>
    <m/>
    <s v="VIERNES "/>
    <s v="TU EMPRESA SEGURA"/>
    <s v="Juan Diego"/>
    <s v="MELISSA MARIA ROMAN BURITICA"/>
    <s v="Cédula de Ciudadanía"/>
    <n v="1040039119"/>
    <s v="gestionhumana@blackriverflowers.com"/>
    <n v="3173882936"/>
    <x v="3"/>
    <x v="3"/>
    <d v="2025-05-09T00:00:00"/>
    <s v="10:40a. m."/>
    <n v="3"/>
    <n v="106666"/>
    <s v="NO"/>
    <s v="PLANEAR"/>
    <s v="0. No participación de empresa"/>
    <n v="0"/>
    <s v="no se conecta, escribo via whatsap, y me responden que no habia recibido la invitacion y por ende no estaba agendada para atenderme, verifico con la compañera Paula, y verificamos que la invitacion fue enviada al correo asignado por el cliente"/>
    <d v="2025-05-30T00:00:00"/>
    <n v="21"/>
    <n v="55"/>
    <s v="ACTIVO"/>
  </r>
  <r>
    <d v="2025-05-16T00:00:00"/>
    <m/>
    <m/>
    <s v="VIERNES "/>
    <s v="TU EMPRESA SEGURA"/>
    <s v="LUZ"/>
    <s v="MELISSA MARIA ROMAN BURITICA"/>
    <s v="Cédula de Ciudadanía"/>
    <n v="1040039119"/>
    <s v="gestionhumana@blackriverflowers.com"/>
    <n v="3173882936"/>
    <x v="3"/>
    <x v="3"/>
    <d v="2025-05-15T00:00:00"/>
    <s v="8:05a. m."/>
    <n v="3"/>
    <n v="106666"/>
    <s v="SI"/>
    <s v="PLANEAR"/>
    <s v="1.1.4 Afiliación al Sistema General de Riesgos Laborales"/>
    <n v="0.5"/>
    <s v="Se realiza la conexion a las 8:41am no le fue posible conectarse antes,se le verifica firma de terminos y condiciones,la señora melissa actualizo documentos de la empresa en la plataforma,adicional de le indica como se realiza el numeral 1.1.4 y el 2.5.1 ,subira el perfil sociodemografico y se le endica que para realizar capacitaciones debemos realizar el diagnostico inicial el 22 de mayo y ahi ingresamos a realizar cronograma."/>
    <d v="2025-05-30T00:00:00"/>
    <n v="14"/>
    <n v="55"/>
    <s v="ACTIVO"/>
  </r>
  <r>
    <d v="2025-05-23T00:00:00"/>
    <m/>
    <m/>
    <s v="VIERNES "/>
    <s v="TU EMPRESA SEGURA"/>
    <s v="LUZ"/>
    <s v="MELISSA MARIA ROMAN BURITICA"/>
    <s v="Cédula de Ciudadanía"/>
    <n v="1040039119"/>
    <s v="gestionhumana@blackriverflowers.com"/>
    <n v="3173882936"/>
    <x v="3"/>
    <x v="3"/>
    <d v="2025-05-22T00:00:00"/>
    <s v="8:05a. m."/>
    <n v="3"/>
    <n v="106666"/>
    <s v="SI"/>
    <s v="PLANEAR"/>
    <s v="1.0.6 Diagnóstico del Sistema de Gestión de Seguridad y Salud en el Trabajo (SG-SST) 0312 DE 2019"/>
    <n v="2"/>
    <s v="Se realiza la evaluacion inicial del  diagnostico sst,se le solicita documentos para actualizacion de datos e empresa."/>
    <d v="2025-05-30T00:00:00"/>
    <n v="7"/>
    <n v="55"/>
    <s v="ACTIVO"/>
  </r>
  <r>
    <d v="2025-05-26T00:00:00"/>
    <m/>
    <m/>
    <s v="VIERNES "/>
    <s v="TU EMPRESA SEGURA"/>
    <s v="LUZ"/>
    <s v="MELISSA MARIA ROMAN BURITICA"/>
    <s v="Cédula de Ciudadanía"/>
    <n v="1040039119"/>
    <s v="gestionhumana@blackriverflowers.com"/>
    <n v="3173882936"/>
    <x v="3"/>
    <x v="3"/>
    <d v="2025-05-26T00:00:00"/>
    <s v="8:05a. m."/>
    <n v="3"/>
    <n v="106666"/>
    <s v="NO"/>
    <s v="PLANEAR"/>
    <s v="1.0.9 Savanna Ruta de Bienestar "/>
    <n v="4"/>
    <s v="Por temas de energia en sistegra, no fue posible la conexiony reprogramar tampoco por agenda copada."/>
    <d v="2025-05-30T00:00:00"/>
    <n v="4"/>
    <n v="55"/>
    <s v="ACTIVO"/>
  </r>
  <r>
    <d v="2025-05-30T00:00:00"/>
    <m/>
    <m/>
    <s v="VIERNES "/>
    <s v="TU EMPRESA SEGURA"/>
    <s v="LUZ"/>
    <s v="MELISSA MARIA ROMAN BURITICA"/>
    <s v="Cédula de Ciudadanía"/>
    <n v="1040039119"/>
    <s v="gestionhumana@blackriverflowers.com"/>
    <n v="3173882936"/>
    <x v="3"/>
    <x v="3"/>
    <d v="2025-05-29T00:00:00"/>
    <s v="8:05a. m."/>
    <n v="3"/>
    <n v="106666"/>
    <s v="NO"/>
    <s v="PLANEAR"/>
    <s v="0. No participación de empresa"/>
    <n v="0"/>
    <s v="Por temas de energia en sistegra, no fue posible la conexiony reprogramar tampoco por agenda copada."/>
    <d v="2025-05-30T00:00:00"/>
    <n v="0"/>
    <n v="55"/>
    <s v="ACTIVO"/>
  </r>
  <r>
    <d v="2025-06-06T00:00:00"/>
    <m/>
    <m/>
    <s v="VIERNES "/>
    <s v="TU EMPRESA SEGURA"/>
    <s v="LUZ"/>
    <s v="MELISSA MARIA ROMAN BURITICA"/>
    <s v="Cédula de Ciudadanía"/>
    <n v="1040039119"/>
    <s v="gestionhumana@blackriverflowers.com"/>
    <n v="3173882936"/>
    <x v="3"/>
    <x v="3"/>
    <d v="2025-06-05T00:00:00"/>
    <s v="8:05a. m."/>
    <n v="3"/>
    <n v="106666"/>
    <s v="SI"/>
    <s v="PLANEAR"/>
    <s v="1.2.1 Programa Capacitación promoción y prevención PYP"/>
    <n v="2"/>
    <s v="se visualisa terminos y condiciones firmada y compartida por correo,se le compartira cronograma de capacitaciones y cronograma anual de cumplimiento  0312,se verificara la contraseña y usuario para plataforma de capacitacion,no tiene datos para ingresar y solicita modificacion en representante legal porque no es ella ,melisa es de gestion humana."/>
    <d v="2025-05-30T00:00:00"/>
    <n v="7"/>
    <n v="55"/>
    <s v="ACTIVO"/>
  </r>
  <r>
    <d v="2025-05-09T00:00:00"/>
    <m/>
    <m/>
    <s v="VIERNES "/>
    <s v="TU EMPRESA SEGURA"/>
    <s v="LUZ"/>
    <s v="MELISSA MARIA ROMAN BURITICA"/>
    <s v="Cédula de Ciudadanía"/>
    <n v="1040039119"/>
    <s v="gestionhumana@blackriverflowers.com"/>
    <n v="3173882936"/>
    <x v="3"/>
    <x v="3"/>
    <d v="2025-05-09T00:00:00"/>
    <s v="10:40a. m."/>
    <n v="3"/>
    <n v="106666"/>
    <s v="SI"/>
    <s v="PLANEAR"/>
    <s v="1.0.2 Socialización SGSST"/>
    <n v="2"/>
    <s v="estando conectado a la hora en punto, dicen que no asistira, ya que el 12 de mayo se reuniran con Laura DIaz"/>
    <d v="2025-05-30T00:00:00"/>
    <n v="21"/>
    <n v="55"/>
    <s v="ACTIVO"/>
  </r>
  <r>
    <d v="2025-05-12T00:00:00"/>
    <m/>
    <m/>
    <s v="LUNES"/>
    <s v="TU EMPRESA SEGURA"/>
    <s v="LUZ"/>
    <s v="MELISSA MARIA ROMAN BURITICA"/>
    <s v="Cédula de Ciudadanía"/>
    <n v="1040039119"/>
    <s v="gestionhumana@blackriverflowers.com"/>
    <n v="3173882936"/>
    <x v="3"/>
    <x v="3"/>
    <d v="2025-05-12T00:00:00"/>
    <m/>
    <n v="3"/>
    <n v="106666"/>
    <s v="SI"/>
    <s v="PLANEAR"/>
    <s v="1.0.3 Navegando en  la plataforma y beneficios del programa"/>
    <n v="1"/>
    <s v="Se muestran los beneficios del programa y se rrealiza cambio de analista con nuevo horario para facilitar al cliente las conexiones."/>
    <d v="2025-05-12T00:00:00"/>
    <n v="0"/>
    <n v="55"/>
    <s v="ACTIVO"/>
  </r>
  <r>
    <d v="2025-05-16T00:00:00"/>
    <m/>
    <m/>
    <s v="VIERNES "/>
    <s v="TU EMPRESA SEGURA"/>
    <s v="Juan Diego "/>
    <s v="MELISSA MARIA ROMAN BURITICA"/>
    <s v="Cédula de Ciudadanía"/>
    <n v="1040039119"/>
    <s v="gestionhumana@blackriverflowers.com"/>
    <n v="3173882936"/>
    <x v="3"/>
    <x v="3"/>
    <d v="2025-05-09T00:00:00"/>
    <s v="10:40a. m."/>
    <n v="3"/>
    <n v="106666"/>
    <s v="SI"/>
    <s v="PLANEAR"/>
    <s v="1.0.2 Socialización SGSST"/>
    <n v="2"/>
    <s v="menciona qe realiza cambio de horario autorizado por Laura Diaz"/>
    <d v="2025-05-30T00:00:00"/>
    <n v="14"/>
    <n v="55"/>
    <s v="ACTIVO"/>
  </r>
  <r>
    <d v="2025-04-04T00:00:00"/>
    <s v="ABRIL"/>
    <n v="2"/>
    <s v="VIERNES "/>
    <s v="TU EMPRESA SEGURA"/>
    <s v="Juan Diego "/>
    <s v="CLAUDIA PATRICIA MOLINA SANTOS "/>
    <s v="Cédula de Ciudadanía"/>
    <n v="1070989191"/>
    <s v="clau300625@hotmail.es"/>
    <n v="3132973915"/>
    <x v="4"/>
    <x v="4"/>
    <d v="2025-04-04T00:00:00"/>
    <s v="3:55p. m."/>
    <n v="3"/>
    <n v="106666"/>
    <s v="SI"/>
    <s v="PLANEAR"/>
    <s v="1.0.0 Bienvenida"/>
    <n v="1"/>
    <s v="el dia viernes 21 de marzo se llamo a la empresa para validar la llegada del correo electronico con el usuario y la contraseña a lo cual indicaron que si les llego y que no han tenido ningun inconveniente "/>
    <d v="2025-05-30T00:00:00"/>
    <n v="56"/>
    <n v="30"/>
    <s v="ACTIVO"/>
  </r>
  <r>
    <d v="2025-04-11T00:00:00"/>
    <m/>
    <m/>
    <s v="VIERNES "/>
    <s v="TU EMPRESA SEGURA"/>
    <s v="Juan Diego "/>
    <s v="CLAUDIA PATRICIA MOLINA SANTOS "/>
    <s v="Cédula de Ciudadanía"/>
    <n v="1070989191"/>
    <s v="clau300625@hotmail.es"/>
    <n v="3132973915"/>
    <x v="4"/>
    <x v="4"/>
    <d v="2025-04-11T00:00:00"/>
    <s v="3:55p. m."/>
    <n v="3"/>
    <n v="106666"/>
    <s v="SI"/>
    <s v="PLANEAR"/>
    <s v="0. No participación de empresa"/>
    <n v="0"/>
    <s v="Se reagenda espacio por calamidad de analista, se reprograma para el día 12 de abril"/>
    <d v="2025-05-30T00:00:00"/>
    <n v="49"/>
    <n v="30"/>
    <s v="ACTIVO"/>
  </r>
  <r>
    <d v="2025-04-18T00:00:00"/>
    <m/>
    <m/>
    <s v="VIERNES "/>
    <s v="TU EMPRESA SEGURA"/>
    <s v="Juan Diego "/>
    <s v="CLAUDIA PATRICIA MOLINA SANTOS "/>
    <s v="Cédula de Ciudadanía"/>
    <n v="1070989191"/>
    <s v="clau300625@hotmail.es"/>
    <n v="3132973915"/>
    <x v="4"/>
    <x v="4"/>
    <d v="2025-04-18T00:00:00"/>
    <s v="3:55p. m."/>
    <n v="3"/>
    <n v="106666"/>
    <s v="CONEXIÓN AUTÓNOMA DE ANALISTA"/>
    <s v="PLANEAR"/>
    <s v="0.1 Trabajo autónomo analista en plataforma"/>
    <n v="0.5"/>
    <s v="Se adelanta documento de asignacion del responsable"/>
    <d v="2025-05-30T00:00:00"/>
    <n v="42"/>
    <n v="30"/>
    <s v="ACTIVO"/>
  </r>
  <r>
    <d v="2025-05-09T00:00:00"/>
    <m/>
    <m/>
    <s v="VIERNES "/>
    <s v="TU EMPRESA SEGURA"/>
    <s v="Juan Diego "/>
    <s v="CLAUDIA PATRICIA MOLINA SANTOS "/>
    <s v="Cédula de Ciudadanía"/>
    <n v="1070989191"/>
    <s v="clau300625@hotmail.es"/>
    <n v="3132973915"/>
    <x v="4"/>
    <x v="4"/>
    <d v="2025-05-09T00:00:00"/>
    <s v="3:55p. m."/>
    <n v="3"/>
    <n v="106666"/>
    <s v="CONEXIÓN AUTÓNOMA DE ANALISTA"/>
    <s v="PLANEAR"/>
    <s v="0.1 Trabajo autónomo analista en plataforma"/>
    <n v="0.5"/>
    <s v="siendo la hora de conexion el usuario no se presenta, llamo via wassap y telefonicamente, y no recibo respuesta, se envia correo de citacion, se verifica el link y es el dado por el usuario, SE REALIZA FORMATO DE EVALUACION INICIAL, PARA CONTINUAR CON LOS CICLOS DEL P.HV.A"/>
    <d v="2025-05-30T00:00:00"/>
    <n v="21"/>
    <n v="30"/>
    <s v="ACTIVO"/>
  </r>
  <r>
    <d v="2025-05-16T00:00:00"/>
    <m/>
    <m/>
    <s v="VIERNES "/>
    <s v="TU EMPRESA SEGURA"/>
    <s v="Juan Diego "/>
    <s v="CLAUDIA PATRICIA MOLINA SANTOS "/>
    <s v="Cédula de Ciudadanía"/>
    <n v="1070989191"/>
    <s v="clau300625@hotmail.es"/>
    <n v="3132973915"/>
    <x v="4"/>
    <x v="4"/>
    <d v="2025-05-16T00:00:00"/>
    <s v="3:55p. m."/>
    <n v="3"/>
    <n v="106666"/>
    <s v="SI"/>
    <s v="PLANEAR"/>
    <s v="1.0.3 Navegando en  la plataforma y beneficios del programa"/>
    <n v="1"/>
    <s v="se explica programa y se da induccion de la plataforma"/>
    <d v="2025-05-30T00:00:00"/>
    <n v="14"/>
    <n v="30"/>
    <s v="ACTIVO"/>
  </r>
  <r>
    <d v="2025-05-23T00:00:00"/>
    <m/>
    <m/>
    <s v="VIERNES "/>
    <s v="TU EMPRESA SEGURA"/>
    <s v="Juan Diego "/>
    <s v="CLAUDIA PATRICIA MOLINA SANTOS "/>
    <s v="Cédula de Ciudadanía"/>
    <n v="1070989191"/>
    <s v="clau300625@hotmail.es"/>
    <n v="3132973915"/>
    <x v="4"/>
    <x v="4"/>
    <d v="2025-05-20T00:00:00"/>
    <s v="3:55p. m."/>
    <n v="3"/>
    <n v="106666"/>
    <s v="CONEXIÓN AUTÓNOMA DE ANALISTA"/>
    <s v="PLANEAR"/>
    <s v="0.1 Trabajo autónomo analista en plataforma"/>
    <n v="0.5"/>
    <s v="en la hora indicada se contacta a la persona enlace, me indica que no sera posible reunirse hoy porque esta en obra."/>
    <d v="2025-05-30T00:00:00"/>
    <n v="7"/>
    <n v="30"/>
    <s v="ACTIVO"/>
  </r>
  <r>
    <d v="2025-05-20T00:00:00"/>
    <m/>
    <m/>
    <s v="MARTES"/>
    <s v="TU EMPRESA SEGURA"/>
    <s v="LUZ"/>
    <s v="CLAUDIA PATRICIA MOLINA SANTOS "/>
    <s v="Cédula de Ciudadanía"/>
    <n v="1070989191"/>
    <s v="clau300625@hotmail.es"/>
    <n v="3132973915"/>
    <x v="4"/>
    <x v="4"/>
    <d v="2025-05-20T00:00:00"/>
    <s v="3:55p. m."/>
    <n v="3"/>
    <n v="106666"/>
    <s v="NO"/>
    <s v="PLANEAR"/>
    <s v="0. No conexión"/>
    <n v="0"/>
    <s v="No se realizo la conexion por temas de coordinacion con correo ."/>
    <d v="2025-05-30T00:00:00"/>
    <n v="10"/>
    <n v="30"/>
    <s v="ACTIVO"/>
  </r>
  <r>
    <d v="2025-06-06T00:00:00"/>
    <m/>
    <m/>
    <s v="VIERNES "/>
    <s v="TU EMPRESA SEGURA"/>
    <s v="Juan Diego "/>
    <s v="CLAUDIA PATRICIA MOLINA SANTOS "/>
    <s v="Cédula de Ciudadanía"/>
    <n v="1070989191"/>
    <s v="clau300625@hotmail.es"/>
    <n v="3132973915"/>
    <x v="4"/>
    <x v="4"/>
    <d v="2025-06-06T00:00:00"/>
    <s v="3:55p. m."/>
    <n v="3"/>
    <n v="106666"/>
    <s v="NO"/>
    <s v="PLANEAR"/>
    <s v="1.1.1. Responsable del Sistema de Gestión de Seguridad y Salud en el Trabajo SG-SST"/>
    <n v="0.5"/>
    <s v="Se raliza confirmacion de que debido a que la persona enlace estaba en cmpo no puede acceder a la asesrria, se adelanta asit¿gnacion de responsabilidades"/>
    <d v="2025-05-30T00:00:00"/>
    <n v="7"/>
    <n v="30"/>
    <s v="ACTIVO"/>
  </r>
  <r>
    <d v="2025-05-27T00:00:00"/>
    <m/>
    <m/>
    <s v="MARTES"/>
    <s v="TU EMPRESA SEGURA"/>
    <s v="LUZ"/>
    <s v="CLAUDIA PATRICIA MOLINA SANTOS "/>
    <s v="Cédula de Ciudadanía"/>
    <n v="1070989191"/>
    <s v="clau300625@hotmail.es"/>
    <n v="3132973915"/>
    <x v="4"/>
    <x v="4"/>
    <d v="2025-05-27T00:00:00"/>
    <s v="3:55p. m."/>
    <n v="3"/>
    <n v="106666"/>
    <s v="CONEXIÓN AUTÓNOMA DE ANALISTA"/>
    <s v="PLANEAR"/>
    <s v="0.1 Trabajo autónomo analista en plataforma"/>
    <n v="0.5"/>
    <s v="No se conecto a la  conexion por temas de su agendamiento.olvido la conexion.dice via llamada telefonica."/>
    <d v="2025-05-30T00:00:00"/>
    <n v="3"/>
    <n v="30"/>
    <s v="ACTIVO"/>
  </r>
  <r>
    <d v="2025-01-09T00:00:00"/>
    <m/>
    <m/>
    <s v="VIERNES "/>
    <s v="TU EMPRESA SEGURA"/>
    <s v="LUZ"/>
    <s v="CLAUDIA PATRICIA MOLINA SANTOS "/>
    <s v="Cédula de Ciudadanía"/>
    <n v="1070989191"/>
    <s v="clau300625@hotmail.es"/>
    <n v="3132973915"/>
    <x v="4"/>
    <x v="4"/>
    <d v="2025-06-03T00:00:00"/>
    <s v="8:05 a. m."/>
    <n v="3"/>
    <n v="106666"/>
    <s v="CONEXIÓN AUTÓNOMA DE ANALISTA"/>
    <s v="PLANEAR"/>
    <s v="0.1 Trabajo autónomo analista en plataforma"/>
    <n v="0.5"/>
    <s v="llevo junio 3 y 10 que el cliente No se conecta,no responde whatsapp ,ni la  llamada telefonica,venia del analista juan"/>
    <d v="2025-05-30T00:00:00"/>
    <n v="141"/>
    <n v="30"/>
    <s v="ACTIVO"/>
  </r>
  <r>
    <d v="2025-03-01T00:00:00"/>
    <s v="MARZO"/>
    <n v="3"/>
    <s v="JUEVES"/>
    <s v="TU EMPRESA SEGURA"/>
    <s v="LUZ"/>
    <s v="JUBER NEVARDO MARTINEZ GIRALDO"/>
    <s v="Cédula de Ciudadanía"/>
    <n v="1039685226"/>
    <s v="adm.car.mc@gmail.com"/>
    <n v="3206709930"/>
    <x v="5"/>
    <x v="5"/>
    <d v="2025-05-15T00:00:00"/>
    <s v="1:15 p.m"/>
    <n v="3"/>
    <n v="106666"/>
    <s v="NO"/>
    <s v="PLANEAR"/>
    <s v="1.0.2 Socialización SGSST"/>
    <n v="2"/>
    <s v="Solicita reprogramar reunion para otro dia,teniendo en cuenta que la agenda esta copada ,se le enviara por correo tareas para la proxima conexion."/>
    <d v="2025-05-30T00:00:00"/>
    <n v="90"/>
    <n v="4"/>
    <s v="ACTIVO"/>
  </r>
  <r>
    <d v="2025-04-24T00:00:00"/>
    <m/>
    <m/>
    <s v="JUEVES"/>
    <s v="TU EMPRESA SEGURA"/>
    <s v="LUZ"/>
    <s v="JUBER NEVARDO MARTINEZ GIRALDO"/>
    <s v="Cédula de Ciudadanía"/>
    <n v="1039685226"/>
    <s v="adm.car.mc@gmail.com"/>
    <n v="3206709930"/>
    <x v="5"/>
    <x v="5"/>
    <s v=" 24/04/2025"/>
    <s v="1:15 p.m"/>
    <n v="3"/>
    <n v="106666"/>
    <s v="SI"/>
    <s v="PLANEAR"/>
    <s v="1.0.1 Firma de Términos y Condiciones"/>
    <n v="1"/>
    <s v="El dia 24 de abril  quedamos pendientes de enviarle la contraseña y usuario,se le explica Dara por medio de la plataforma de luz estrada,como es el manejo de la plataforma,donde esta el documento de terminos y condiciones y la importancia de generar los archivos documentales para que sea mas efectivo el diligenciar los documentos."/>
    <d v="2025-05-30T00:00:00"/>
    <n v="36"/>
    <n v="4"/>
    <s v="ACTIVO"/>
  </r>
  <r>
    <d v="2025-03-08T00:00:00"/>
    <m/>
    <m/>
    <s v="JUEVES"/>
    <s v="TU EMPRESA SEGURA"/>
    <s v="LUZ"/>
    <s v="JUBER NEVARDO MARTINEZ GIRALDO"/>
    <s v="Cédula de Ciudadanía"/>
    <n v="1039685226"/>
    <s v="adm.car.mc@gmail.com"/>
    <n v="3206709930"/>
    <x v="5"/>
    <x v="5"/>
    <d v="2025-05-22T00:00:00"/>
    <s v="1:15 p.m"/>
    <n v="3"/>
    <n v="106666"/>
    <s v="NO CONEXIÓN"/>
    <s v="PLANEAR"/>
    <s v="0. No conexión"/>
    <n v="0"/>
    <s v="Envia mensaje whatsapp que olvido la conexion."/>
    <d v="2025-05-30T00:00:00"/>
    <n v="83"/>
    <n v="4"/>
    <s v="ACTIVO"/>
  </r>
  <r>
    <d v="2025-03-15T00:00:00"/>
    <m/>
    <m/>
    <s v="JUEVES"/>
    <s v="TU EMPRESA SEGURA"/>
    <s v="LUZ"/>
    <s v="JUBER NEVARDO MARTINEZ GIRALDO"/>
    <s v="Cédula de Ciudadanía"/>
    <n v="1039685226"/>
    <s v="adm.car.mc@gmail.com"/>
    <n v="3206709930"/>
    <x v="5"/>
    <x v="5"/>
    <d v="2025-05-29T00:00:00"/>
    <s v="1:15 p.m"/>
    <n v="3"/>
    <n v="106666"/>
    <s v="SI"/>
    <s v="PLANEAR"/>
    <s v="1.0.6 Diagnóstico del Sistema de Gestión de Seguridad y Salud en el Trabajo (SG-SST) 0312 DE 2019"/>
    <n v="2"/>
    <s v="se realiza evaluacion inicial (Critico)se envia correo de paso a paso para montar registro de afiliacion y documento del perfil."/>
    <d v="2025-05-30T00:00:00"/>
    <n v="76"/>
    <n v="4"/>
    <s v="ACTIVO"/>
  </r>
  <r>
    <d v="2025-03-22T00:00:00"/>
    <m/>
    <m/>
    <s v="JUEVES"/>
    <s v="TU EMPRESA SEGURA"/>
    <s v="LUZ"/>
    <s v="JUBER NEVARDO MARTINEZ GIRALDO"/>
    <s v="Cédula de Ciudadanía"/>
    <n v="1039685226"/>
    <s v="adm.car.mc@gmail.com"/>
    <n v="3206709930"/>
    <x v="5"/>
    <x v="5"/>
    <d v="2025-06-05T00:00:00"/>
    <s v="1:15 p.m"/>
    <n v="3"/>
    <n v="106666"/>
    <s v="NO CONEXIÓN"/>
    <s v="PLANEAR"/>
    <s v="0. No conexión"/>
    <n v="0"/>
    <s v="refiere que el dia de hoy no tiene energia y los datos no le dan para la conexion,enviara correo."/>
    <d v="2025-05-30T00:00:00"/>
    <n v="69"/>
    <n v="4"/>
    <s v="ACTIVO"/>
  </r>
  <r>
    <d v="2025-04-04T00:00:00"/>
    <s v="ABRIL"/>
    <n v="2"/>
    <s v="VIERNES "/>
    <s v="TU EMPRESA SEGURA"/>
    <s v="Juan Diego"/>
    <s v="MONICA YANETH OCAMPO SERNA"/>
    <s v="Cédula de Ciudadanía"/>
    <n v="1036780830"/>
    <s v="floresmundocolores@gmail.com"/>
    <n v="3147830285"/>
    <x v="6"/>
    <x v="6"/>
    <d v="2025-04-04T00:00:00"/>
    <s v="3:05PM"/>
    <n v="3"/>
    <n v="106666"/>
    <s v="SI"/>
    <s v="PLANEAR"/>
    <s v="1.0.0 Bienvenida"/>
    <n v="1"/>
    <s v="el dia viernes 21 de marzo se llamo a la empresa para validar la llegada del correo electronico con el usuario y la contraseña a lo cual indicaron que si les llego y que no han tenido ningun inconveniente "/>
    <d v="2025-05-30T00:00:00"/>
    <n v="56"/>
    <n v="3"/>
    <s v="ACTIVO"/>
  </r>
  <r>
    <d v="2025-04-11T00:00:00"/>
    <m/>
    <m/>
    <s v="VIERNES "/>
    <s v="TU EMPRESA SEGURA"/>
    <s v="Juan Diego"/>
    <s v="MONICA YANETH OCAMPO SERNA"/>
    <s v="Cédula de Ciudadanía"/>
    <n v="1036780830"/>
    <s v="floresmundocolores@gmail.com"/>
    <n v="3147830285"/>
    <x v="6"/>
    <x v="6"/>
    <d v="2025-04-11T00:00:00"/>
    <s v="3:05PM"/>
    <n v="3"/>
    <n v="106666"/>
    <s v="SI"/>
    <s v="PLANEAR"/>
    <s v="0.1 Trabajo autónomo analista en plataforma"/>
    <n v="0.5"/>
    <s v="se orgniza la plantilla de evaluacion inicial,con los datos de la empresa, se nicia codificacion"/>
    <d v="2025-05-30T00:00:00"/>
    <n v="49"/>
    <n v="3"/>
    <s v="ACTIVO"/>
  </r>
  <r>
    <d v="2025-04-18T00:00:00"/>
    <m/>
    <m/>
    <s v="VIERNES "/>
    <s v="TU EMPRESA SEGURA"/>
    <s v="Juan Diego"/>
    <s v="MONICA YANETH OCAMPO SERNA"/>
    <s v="Cédula de Ciudadanía"/>
    <n v="1036780830"/>
    <s v="floresmundocolores@gmail.com"/>
    <n v="3147830285"/>
    <x v="6"/>
    <x v="6"/>
    <d v="2025-04-18T00:00:00"/>
    <s v="3:05PM"/>
    <n v="3"/>
    <n v="106666"/>
    <s v="CONEXIÓN AUTÓNOMA DE ANALISTA"/>
    <s v="PLANEAR"/>
    <s v="0.1 Trabajo autónomo analista en plataforma"/>
    <n v="0.5"/>
    <s v="serealiza documento de asignacion del responsable,"/>
    <d v="2025-05-30T00:00:00"/>
    <n v="42"/>
    <n v="3"/>
    <s v="ACTIVO"/>
  </r>
  <r>
    <d v="2025-04-25T00:00:00"/>
    <m/>
    <m/>
    <s v="VIERNES "/>
    <s v="TU EMPRESA SEGURA"/>
    <s v="Juan Diego"/>
    <s v="MONICA YANETH OCAMPO SERNA"/>
    <s v="Cédula de Ciudadanía"/>
    <n v="1036780830"/>
    <s v="floresmundocolores@gmail.com"/>
    <n v="3147830285"/>
    <x v="6"/>
    <x v="6"/>
    <d v="2025-04-25T00:00:00"/>
    <s v="3:05PM"/>
    <n v="3"/>
    <n v="106666"/>
    <s v="SI"/>
    <s v="PLANEAR"/>
    <s v="1.0.5 Diagnóstico de Madurez"/>
    <n v="3"/>
    <s v="Se solicitan documentos legales y se realiza registro de empleados en plataforma, se revisa la firma y queda adjuntada, se inicia diagnostico d emadurezen plataforma"/>
    <d v="2025-05-30T00:00:00"/>
    <n v="35"/>
    <n v="3"/>
    <s v="ACTIVO"/>
  </r>
  <r>
    <d v="2025-05-06T00:00:00"/>
    <m/>
    <m/>
    <s v="VIERNES "/>
    <s v="TU EMPRESA SEGURA"/>
    <s v="Juan Diego"/>
    <s v="MONICA YANETH OCAMPO SERNA"/>
    <s v="Cédula de Ciudadanía"/>
    <n v="1036780830"/>
    <s v="floresmundocolores@gmail.com"/>
    <n v="3147830285"/>
    <x v="6"/>
    <x v="6"/>
    <d v="2025-05-06T00:00:00"/>
    <s v="3:05PM"/>
    <n v="3"/>
    <n v="106666"/>
    <s v="NO"/>
    <s v="PLANEAR"/>
    <s v="1.0.9 Savanna Ruta de Bienestar "/>
    <n v="4"/>
    <s v="no se realiza conexion via internet, por fallas en la red potr aprte del cliente, se da instruccion via telefonica de registrar los empleados en plataforma, y como hacerlo"/>
    <d v="2025-05-30T00:00:00"/>
    <n v="24"/>
    <n v="3"/>
    <s v="ACTIVO"/>
  </r>
  <r>
    <d v="2025-05-02T00:00:00"/>
    <m/>
    <m/>
    <s v="VIERNES "/>
    <s v="TU EMPRESA SEGURA"/>
    <s v="Juan Diego"/>
    <s v="MONICA YANETH OCAMPO SERNA"/>
    <s v="Cédula de Ciudadanía"/>
    <n v="1036780830"/>
    <s v="floresmundocolores@gmail.com"/>
    <n v="3147830285"/>
    <x v="6"/>
    <x v="6"/>
    <d v="2025-05-02T00:00:00"/>
    <s v="3:05PM"/>
    <n v="3"/>
    <n v="106666"/>
    <s v="NO"/>
    <s v="PLANEAR"/>
    <s v="1.0.2 Socialización SGSST"/>
    <n v="2"/>
    <s v="no se realiza conexion via internet, por fallas en la red potr aprte del cliente, se da instruccion via telefonica de registrar los empleados en plataforma, y como hacerlo"/>
    <d v="2025-05-30T00:00:00"/>
    <n v="28"/>
    <n v="3"/>
    <s v="ACTIVO"/>
  </r>
  <r>
    <d v="2025-05-16T00:00:00"/>
    <m/>
    <m/>
    <s v="VIERNES "/>
    <s v="TU EMPRESA SEGURA"/>
    <s v="LUZ"/>
    <s v="MONICA YANETH OCAMPO SERNA"/>
    <s v="Cédula de Ciudadanía"/>
    <n v="1036780830"/>
    <s v="floresmundocolores@gmail.com"/>
    <n v="3147830285"/>
    <x v="6"/>
    <x v="6"/>
    <d v="2025-05-13T00:00:00"/>
    <s v="9:00AM"/>
    <n v="3"/>
    <n v="106666"/>
    <s v="SI"/>
    <s v="PLANEAR"/>
    <s v="1.0.1 Firma de Términos y Condiciones"/>
    <n v="1"/>
    <s v="Se revisa terminos y condiciones,se le solicita logo de la empresa,se diligencia documento de responsable sst,se digitan 15 documentos de ejemplo para archivo documental,se le envia correo de paso a paso para diligenciar documento perfilsociodemografico y como subir documentos del numeral 1.1.4."/>
    <d v="2025-05-30T00:00:00"/>
    <n v="14"/>
    <n v="3"/>
    <s v="ACTIVO"/>
  </r>
  <r>
    <d v="2025-05-23T00:00:00"/>
    <m/>
    <m/>
    <s v="VIERNES "/>
    <s v="TU EMPRESA SEGURA"/>
    <s v="LUZ"/>
    <s v="MONICA YANETH OCAMPO SERNA"/>
    <s v="Cédula de Ciudadanía"/>
    <n v="1036780830"/>
    <s v="floresmundocolores@gmail.com"/>
    <n v="3147830285"/>
    <x v="6"/>
    <x v="6"/>
    <d v="2025-05-20T00:00:00"/>
    <s v="3:05PM"/>
    <n v="3"/>
    <n v="106666"/>
    <s v="SI"/>
    <s v="PLANEAR"/>
    <s v="1.1.1. Responsable del Sistema de Gestión de Seguridad y Salud en el Trabajo SG-SST"/>
    <n v="0.5"/>
    <s v="Se sube el logo a la plataforma,severifica el perfilsociodemografico,firma de responsabilidad  y funciones del SG-SST ,Proxima reunion serrealizara evaluacion inicial y documento de terminos y condiciones."/>
    <d v="2025-05-30T00:00:00"/>
    <n v="7"/>
    <n v="3"/>
    <s v="ACTIVO"/>
  </r>
  <r>
    <d v="2025-05-23T00:00:00"/>
    <m/>
    <m/>
    <s v="VIERNES "/>
    <s v="TU EMPRESA SEGURA"/>
    <s v="LUZ"/>
    <s v="MONICA YANETH OCAMPO SERNA"/>
    <s v="Cédula de Ciudadanía"/>
    <n v="1036780830"/>
    <s v="floresmundocolores@gmail.com"/>
    <n v="3147830285"/>
    <x v="6"/>
    <x v="6"/>
    <d v="2025-05-20T00:00:00"/>
    <s v="3:05PM"/>
    <n v="3"/>
    <n v="106666"/>
    <s v="SI"/>
    <s v="PLANEAR"/>
    <s v="1.1.2 Responsabilidades en el Sistema de Gestión de Seguridad y Salud en el Trabajo – SG-SST"/>
    <n v="0.5"/>
    <s v="Se sube el logo a la plataforma,severifica el perfilsociodemografico,firma de responsabilidad  y funciones del SG-SST ,Proxima reunion serrealizara evaluacion inicial y documento de terminos y condiciones."/>
    <d v="2025-05-30T00:00:00"/>
    <n v="7"/>
    <n v="3"/>
    <s v="ACTIVO"/>
  </r>
  <r>
    <d v="2025-05-30T00:00:00"/>
    <m/>
    <m/>
    <s v="VIERNES "/>
    <s v="TU EMPRESA SEGURA"/>
    <s v="LUZ"/>
    <s v="MONICA YANETH OCAMPO SERNA"/>
    <s v="Cédula de Ciudadanía"/>
    <n v="1036780830"/>
    <s v="floresmundocolores@gmail.com"/>
    <n v="3147830285"/>
    <x v="6"/>
    <x v="6"/>
    <d v="2025-05-27T00:00:00"/>
    <d v="1899-12-30T09:00:00"/>
    <n v="3"/>
    <n v="106666"/>
    <s v="SI"/>
    <s v="PLANEAR"/>
    <s v="1.0.6 Diagnóstico del Sistema de Gestión de Seguridad y Salud en el Trabajo (SG-SST) 0312 DE 2019"/>
    <n v="2"/>
    <s v="Se firma terminos y condiciones,envio pdf y se realiza evaluacion inicicial (critico)"/>
    <d v="2025-05-30T00:00:00"/>
    <n v="0"/>
    <n v="3"/>
    <s v="ACTIVO"/>
  </r>
  <r>
    <d v="2025-06-06T00:00:00"/>
    <m/>
    <m/>
    <s v="VIERNES "/>
    <s v="TU EMPRESA SEGURA"/>
    <s v="LUZ"/>
    <s v="MONICA YANETH OCAMPO SERNA"/>
    <s v="Cédula de Ciudadanía"/>
    <n v="1036780830"/>
    <s v="floresmundocolores@gmail.com"/>
    <n v="3147830285"/>
    <x v="6"/>
    <x v="6"/>
    <d v="2025-06-03T00:00:00"/>
    <d v="1899-12-30T09:00:00"/>
    <n v="3"/>
    <n v="106666"/>
    <s v="SI"/>
    <s v="PLANEAR"/>
    <s v="1.0.4 Acompañamiiento/Asesoría sobre SGSST"/>
    <n v="2"/>
    <s v="Se realiza revision del hacer esta diligenciado pero la señora monica manifiesta que nunca lo a realizado,porque no recuerda como se hace,se le notifica el procedimiento de la politica y por temas de tiempo en su conexion no se logro realizar el cronograma."/>
    <d v="2025-05-30T00:00:00"/>
    <n v="7"/>
    <n v="3"/>
    <s v="ACTIVO"/>
  </r>
  <r>
    <d v="2025-05-16T00:00:00"/>
    <m/>
    <m/>
    <s v="VIERNES "/>
    <s v="TU EMPRESA SEGURA"/>
    <s v="Juan Diego "/>
    <s v="MONICA YANETH OCAMPO SERNA"/>
    <s v="Cédula de Ciudadanía"/>
    <n v="1036780830"/>
    <s v="floresmundocolores@gmail.com"/>
    <n v="3147830285"/>
    <x v="6"/>
    <x v="6"/>
    <d v="2025-05-16T00:00:00"/>
    <s v="8:05-8:50AM"/>
    <m/>
    <s v=""/>
    <s v="CONEXIÓN AUTÓNOMA DE ANALISTA"/>
    <s v="PLANEAR"/>
    <s v="0.1 Trabajo autónomo analista en plataforma"/>
    <n v="0.5"/>
    <s v="se inicia con la codificacion"/>
    <d v="2025-05-30T00:00:00"/>
    <n v="14"/>
    <n v="3"/>
    <s v="ACTIVO"/>
  </r>
  <r>
    <d v="2025-04-04T00:00:00"/>
    <s v="ABRIL"/>
    <n v="2"/>
    <s v="VIERNES "/>
    <s v="TU EMPRESA SEGURA"/>
    <s v="Cristhian"/>
    <s v="Jorge ignacio Martínez García "/>
    <s v="Cédula de Ciudadanía"/>
    <n v="70952794"/>
    <s v="j73jimg@hotmail.com"/>
    <n v="3216422617"/>
    <x v="7"/>
    <x v="7"/>
    <d v="2025-04-04T00:00:00"/>
    <s v="7:15a. m."/>
    <n v="4"/>
    <n v="213000"/>
    <s v="SI"/>
    <s v="PLANEAR"/>
    <s v="1.0.0 Bienvenida"/>
    <n v="1"/>
    <s v="se realiza la reunion de bienvenida pero en la mitad de la reunion se tuvieron problemas de connexion por lo cual se finaliza la misma "/>
    <d v="2025-05-30T00:00:00"/>
    <n v="56"/>
    <n v="5"/>
    <s v="ACTIVO"/>
  </r>
  <r>
    <d v="2025-04-11T00:00:00"/>
    <m/>
    <m/>
    <s v="VIERNES "/>
    <s v="TU EMPRESA SEGURA"/>
    <s v="Cristhian"/>
    <s v="Jorge ignacio Martínez García "/>
    <s v="Cédula de Ciudadanía"/>
    <n v="70952794"/>
    <s v="j73jimg@hotmail.com"/>
    <n v="3216422617"/>
    <x v="7"/>
    <x v="7"/>
    <d v="2025-04-11T00:00:00"/>
    <s v="7:15a. m."/>
    <n v="4"/>
    <n v="213000"/>
    <s v="NO"/>
    <s v="PLANEAR"/>
    <s v="0. No participación de empresa"/>
    <n v="0"/>
    <s v="no se realiza conexión por que el señor encargado no se conecto al encuentro "/>
    <d v="2025-05-30T00:00:00"/>
    <n v="49"/>
    <n v="5"/>
    <s v="ACTIVO"/>
  </r>
  <r>
    <d v="2025-04-18T00:00:00"/>
    <m/>
    <m/>
    <s v="VIERNES "/>
    <s v="TU EMPRESA SEGURA"/>
    <s v="Juan Diego "/>
    <s v="Jorge ignacio Martínez García "/>
    <s v="Cédula de Ciudadanía"/>
    <n v="70952794"/>
    <s v="j73jimg@hotmail.com"/>
    <n v="3216422617"/>
    <x v="7"/>
    <x v="7"/>
    <d v="2025-04-18T00:00:00"/>
    <s v="7:15a. m."/>
    <n v="4"/>
    <n v="213000"/>
    <s v="NO"/>
    <s v="PLANEAR"/>
    <s v="0. No participación de empresa"/>
    <n v="0"/>
    <s v="no se realiza conexión por que era viernes de semana sanrta"/>
    <d v="2025-05-30T00:00:00"/>
    <n v="42"/>
    <n v="5"/>
    <s v="ACTIVO"/>
  </r>
  <r>
    <d v="2025-04-29T00:00:00"/>
    <m/>
    <m/>
    <s v="VIERNES "/>
    <s v="TU EMPRESA SEGURA"/>
    <s v="Juan Diego "/>
    <s v="Jorge ignacio Martínez García "/>
    <s v="Cédula de Ciudadanía"/>
    <n v="70952794"/>
    <s v="j73jimg@hotmail.com"/>
    <n v="3216422617"/>
    <x v="7"/>
    <x v="7"/>
    <d v="2025-04-29T00:00:00"/>
    <s v="7:15a. m."/>
    <n v="4"/>
    <n v="213000"/>
    <s v="SI"/>
    <s v="PLANEAR"/>
    <s v="1.0.9 Savanna Ruta de Bienestar "/>
    <n v="4"/>
    <m/>
    <d v="2025-05-30T00:00:00"/>
    <n v="31"/>
    <n v="5"/>
    <s v="ACTIVO"/>
  </r>
  <r>
    <d v="2025-04-25T00:00:00"/>
    <m/>
    <m/>
    <s v="VIERNES "/>
    <s v="TU EMPRESA SEGURA"/>
    <s v="Juan Diego "/>
    <s v="Jorge ignacio Martínez García "/>
    <s v="Cédula de Ciudadanía"/>
    <n v="70952794"/>
    <s v="j73jimg@hotmail.com"/>
    <n v="3216422617"/>
    <x v="7"/>
    <x v="7"/>
    <d v="2025-04-25T00:00:00"/>
    <s v="7:15a. m."/>
    <n v="4"/>
    <n v="213000"/>
    <s v="SI"/>
    <s v="PLANEAR"/>
    <s v="1.0.6 Diagnóstico del Sistema de Gestión de Seguridad y Salud en el Trabajo (SG-SST) 0312 DE 2019"/>
    <n v="2"/>
    <s v="S hace presentacion de analista y de la plataforma Sistegra, se Solicitan documentos legales: RUT, Documento delgerente, camara de comercio, dos ultimos pagos de seguridad social, examenes medicos(pendientes por realizar), se solicita carta de afilizacion a la ARL"/>
    <d v="2025-05-30T00:00:00"/>
    <n v="35"/>
    <n v="5"/>
    <s v="ACTIVO"/>
  </r>
  <r>
    <d v="2025-05-02T00:00:00"/>
    <m/>
    <m/>
    <s v="VIERNES "/>
    <s v="TU EMPRESA SEGURA"/>
    <s v="Juan Diego "/>
    <s v="Jorge ignacio Martínez García "/>
    <s v="Cédula de Ciudadanía"/>
    <n v="70952794"/>
    <s v="j73jimg@hotmail.com"/>
    <n v="3216422617"/>
    <x v="7"/>
    <x v="7"/>
    <d v="2025-05-02T00:00:00"/>
    <s v="7:15a. m."/>
    <n v="4"/>
    <n v="213000"/>
    <s v="NO"/>
    <s v="PLANEAR"/>
    <s v="0. No participación de empresa"/>
    <n v="0"/>
    <s v="el dos de mayo, no se reporta conexion a la hora establecida, 15 minutos antes llamo al contactto que esat en la base de datos compartida, via wassap, telefono y no hay respeusta, espero hasta las 7:26 am"/>
    <d v="2025-05-30T00:00:00"/>
    <n v="28"/>
    <n v="5"/>
    <s v="ACTIVO"/>
  </r>
  <r>
    <d v="2025-05-09T00:00:00"/>
    <m/>
    <m/>
    <s v="VIERNES "/>
    <s v="TU EMPRESA SEGURA"/>
    <s v="Juan Diego "/>
    <s v="Jorge ignacio Martínez García "/>
    <s v="Cédula de Ciudadanía"/>
    <n v="70952794"/>
    <s v="j73jimg@hotmail.com"/>
    <n v="3216422617"/>
    <x v="7"/>
    <x v="7"/>
    <d v="2025-05-09T00:00:00"/>
    <s v="7:15a. m."/>
    <n v="4"/>
    <n v="213000"/>
    <s v="SI"/>
    <s v="PLANEAR"/>
    <s v="1.0.1 Firma de Términos y Condiciones"/>
    <n v="1"/>
    <s v="se revisa usuario y contraseña en plataforma y se resuelven dudas frente al programa tu empresa segura, se revisa terminos y condiciones y esta al dia, quedamos en enviar examenes médicos y otra documentacion de soporte legal al analista, ya que, no tienen examenes médicos ocupacionales"/>
    <d v="2025-05-30T00:00:00"/>
    <n v="21"/>
    <n v="5"/>
    <s v="ACTIVO"/>
  </r>
  <r>
    <d v="2025-05-16T00:00:00"/>
    <m/>
    <m/>
    <s v="VIERNES "/>
    <s v="TU EMPRESA SEGURA"/>
    <s v="Juan Diego "/>
    <s v="Jorge ignacio Martínez García "/>
    <s v="Cédula de Ciudadanía"/>
    <n v="70952794"/>
    <s v="j73jimg@hotmail.com"/>
    <n v="3216422617"/>
    <x v="7"/>
    <x v="7"/>
    <d v="2025-05-16T00:00:00"/>
    <s v="7:15a. m."/>
    <n v="4"/>
    <n v="213000"/>
    <s v="SI"/>
    <s v="PLANEAR"/>
    <s v="1.0.3 Navegando en  la plataforma y beneficios del programa"/>
    <n v="1"/>
    <s v="se solicita nuevamente la realizacion de los examenes medicos ocupacionales, se verifica firma de terminos y condiciones y se da un panorama orientador del programa tue empresa segura y de la plataforma"/>
    <d v="2025-05-30T00:00:00"/>
    <n v="14"/>
    <n v="5"/>
    <s v="ACTIVO"/>
  </r>
  <r>
    <d v="2025-05-23T00:00:00"/>
    <m/>
    <m/>
    <s v="VIERNES "/>
    <s v="TU EMPRESA SEGURA"/>
    <s v="Juan Diego "/>
    <s v="Jorge ignacio Martínez García "/>
    <s v="Cédula de Ciudadanía"/>
    <n v="70952794"/>
    <s v="j73jimg@hotmail.com"/>
    <n v="3216422617"/>
    <x v="7"/>
    <x v="7"/>
    <d v="2025-05-23T00:00:00"/>
    <s v="7:15a. m."/>
    <n v="4"/>
    <n v="213000"/>
    <s v="SI"/>
    <s v="PLANEAR"/>
    <s v="1.1.1. Responsable del Sistema de Gestión de Seguridad y Salud en el Trabajo SG-SST"/>
    <n v="0.5"/>
    <s v="Se inicia con la asigacion del responsable en la plataforma, y se informa que se estan adelantando examenes medicos solicitados"/>
    <d v="2025-05-30T00:00:00"/>
    <n v="7"/>
    <n v="5"/>
    <s v="ACTIVO"/>
  </r>
  <r>
    <d v="2025-05-30T00:00:00"/>
    <m/>
    <m/>
    <s v="VIERNES "/>
    <s v="TU EMPRESA SEGURA"/>
    <s v="Juan Diego "/>
    <s v="Jorge ignacio Martínez García "/>
    <s v="Cédula de Ciudadanía"/>
    <n v="70952794"/>
    <s v="j73jimg@hotmail.com"/>
    <n v="3216422617"/>
    <x v="7"/>
    <x v="7"/>
    <d v="2025-05-30T00:00:00"/>
    <s v="7:15a. m."/>
    <n v="4"/>
    <n v="213000"/>
    <s v="SI"/>
    <s v="PLANEAR"/>
    <s v="1.1.4 Afiliación al Sistema General de Riesgos Laborales"/>
    <n v="0.5"/>
    <s v="se consulta sobre el estado de la  capacitacion en equipos de emergencia, ya que el Sr.tenia dudas sobre el  tipo de extintores para su empresa, se adelanta diligenciamiento de asignacion del responsable y recibo  de planillas de seguridad social"/>
    <d v="2025-05-30T00:00:00"/>
    <n v="0"/>
    <n v="5"/>
    <s v="ACTIVO"/>
  </r>
  <r>
    <d v="2025-06-06T00:00:00"/>
    <m/>
    <m/>
    <s v="VIERNES "/>
    <s v="TU EMPRESA SEGURA"/>
    <s v="Juan Diego "/>
    <s v="Jorge ignacio Martínez García "/>
    <s v="Cédula de Ciudadanía"/>
    <n v="70952794"/>
    <s v="j73jimg@hotmail.com"/>
    <n v="3216422617"/>
    <x v="7"/>
    <x v="7"/>
    <d v="2025-06-06T00:00:00"/>
    <s v="7:15a. m."/>
    <n v="4"/>
    <n v="213000"/>
    <s v="SI"/>
    <s v="PLANEAR"/>
    <s v="1.1.2 Responsabilidades en el Sistema de Gestión de Seguridad y Salud en el Trabajo – SG-SST"/>
    <n v="0.5"/>
    <s v="Se realiza registro de empleados, asignacion de responsabilidades"/>
    <d v="2025-05-30T00:00:00"/>
    <n v="7"/>
    <n v="5"/>
    <s v="ACTIVO"/>
  </r>
  <r>
    <d v="2025-05-16T00:00:00"/>
    <m/>
    <m/>
    <s v="VIERNES "/>
    <s v="TU EMPRESA SEGURA"/>
    <s v="Juan Diego "/>
    <s v="Jorge ignacio Martínez García "/>
    <s v="Cédula de Ciudadanía"/>
    <n v="70952794"/>
    <s v="j73jimg@hotmail.com"/>
    <n v="3216422617"/>
    <x v="7"/>
    <x v="7"/>
    <d v="2025-05-16T00:00:00"/>
    <m/>
    <m/>
    <s v=""/>
    <s v="SI"/>
    <s v="PLANEAR"/>
    <s v="0.1 Trabajo autónomo analista en plataforma"/>
    <n v="0.5"/>
    <s v="se realiza codificacion de documentos"/>
    <d v="2025-05-30T00:00:00"/>
    <n v="14"/>
    <n v="5"/>
    <s v="ACTIVO"/>
  </r>
  <r>
    <d v="2025-05-20T00:00:00"/>
    <s v="MAYO"/>
    <n v="1"/>
    <s v="MARTES"/>
    <s v="TU EMPRESA SEGURA"/>
    <s v="LUZ"/>
    <m/>
    <m/>
    <m/>
    <m/>
    <n v="3104997696"/>
    <x v="8"/>
    <x v="8"/>
    <d v="2025-05-20T00:00:00"/>
    <s v="10:40 a.m"/>
    <n v="3"/>
    <n v="106666"/>
    <s v="SI"/>
    <s v="PLANEAR"/>
    <s v="1.0.0 Bienvenida"/>
    <n v="1"/>
    <s v="Bienvenida al programa, No firmo firma de termminos y condiciones por temas de no tener contraseña y usuario,se le presenta el programa .se le realiza evaluacion inicial"/>
    <d v="2025-05-30T00:00:00"/>
    <n v="10"/>
    <e v="#N/A"/>
    <s v="ACTIVO"/>
  </r>
  <r>
    <d v="2025-05-20T00:00:00"/>
    <s v="MAYO"/>
    <n v="1"/>
    <s v="MARTES"/>
    <s v="TU EMPRESA SEGURA"/>
    <s v="LUZ"/>
    <s v="Kerly Andrea Ortiz Ramirez"/>
    <s v="Cédula de Ciudadanía"/>
    <n v="1128395305"/>
    <s v="Kerlyandreaortiz1407@gmail.com"/>
    <n v="3128926799"/>
    <x v="9"/>
    <x v="9"/>
    <d v="2025-05-20T00:00:00"/>
    <s v="1:00 p.m"/>
    <n v="1"/>
    <n v="106666"/>
    <s v="SI"/>
    <s v="PLANEAR"/>
    <s v="1.0.0 Bienvenida"/>
    <n v="1"/>
    <s v="Se realiza bienvenida, no firmo firma de termminos y condiciones por temas de no tener contraseña y usuario,se le presenta el programa ."/>
    <d v="2025-05-30T00:00:00"/>
    <n v="10"/>
    <n v="3"/>
    <s v="ACTIVO"/>
  </r>
  <r>
    <d v="2025-05-27T00:00:00"/>
    <m/>
    <m/>
    <s v="MARTES"/>
    <s v="TU EMPRESA SEGURA"/>
    <s v="LUZ"/>
    <s v="Kerly Andrea Ortiz Ramirez"/>
    <s v="Cédula de Ciudadanía"/>
    <n v="1128395305"/>
    <s v="Kerlyandreaortiz1407@gmail.com"/>
    <n v="3128926799"/>
    <x v="9"/>
    <x v="9"/>
    <d v="2025-05-27T00:00:00"/>
    <s v="1:15 p.m"/>
    <n v="1"/>
    <n v="106666"/>
    <s v="SI"/>
    <s v="PLANEAR"/>
    <s v="1.0.3 Navegando en  la plataforma y beneficios del programa"/>
    <n v="1"/>
    <s v="se realiza explicacion de la plataforma,se explica el numeral 1.1.4 y 2.5.1 .ya que se conecto 25 minutos luego no se pudo reaalizar la evauzaion inicial."/>
    <d v="2025-05-30T00:00:00"/>
    <n v="3"/>
    <n v="3"/>
    <s v="ACTIVO"/>
  </r>
  <r>
    <d v="2025-06-03T00:00:00"/>
    <m/>
    <m/>
    <s v="MARTES"/>
    <s v="TU EMPRESA SEGURA"/>
    <s v="LUZ"/>
    <s v="Kerly Andrea Ortiz Ramirez"/>
    <s v="Cédula de Ciudadanía"/>
    <n v="1128395305"/>
    <s v="Kerlyandreaortiz1407@gmail.com"/>
    <n v="3128926799"/>
    <x v="9"/>
    <x v="9"/>
    <d v="2025-06-03T00:00:00"/>
    <s v="1:15 p.m"/>
    <n v="1"/>
    <n v="106666"/>
    <s v="SI"/>
    <s v="PLANEAR"/>
    <s v="2.5.1 Archivo o retención documental del Sistema de Gestión en Seguridad y Salud en el Trabajo SG-SST"/>
    <n v="2"/>
    <s v="se firma terminos y condiciones,envia el PDF,se adelanta numeral 2.5.1."/>
    <d v="2025-05-30T00:00:00"/>
    <n v="4"/>
    <n v="3"/>
    <s v="ACTIVO"/>
  </r>
  <r>
    <d v="2025-04-28T00:00:00"/>
    <s v="ABRIL"/>
    <n v="2"/>
    <s v="VIERNES "/>
    <s v="TU EMPRESA SEGURA"/>
    <s v="Cristhian"/>
    <s v="LUISA GARCIA"/>
    <s v="Cédula de Ciudadanía"/>
    <n v="1036929374"/>
    <s v="luisayepes02@gmail.com"/>
    <n v="3194892497"/>
    <x v="10"/>
    <x v="10"/>
    <d v="2026-04-21T00:00:00"/>
    <s v="11:00a. m."/>
    <n v="2"/>
    <n v="106666"/>
    <s v="SI"/>
    <s v="PLANEAR"/>
    <s v="1.0.0 Bienvenida"/>
    <n v="1"/>
    <s v="Bienvenida al programa, se le explica detalladamente en que consiste y la duración estimada, se Indica cómo firmar los términos y condiciones, se agenda la reunión periódica, semanal, los viernes de 3:00 a 3:45pm, se actualiza el correo de contacto: claoarbo@hotmail.com "/>
    <d v="2025-05-30T00:00:00"/>
    <n v="32"/>
    <n v="7"/>
    <s v="ACTIVO"/>
  </r>
  <r>
    <d v="2025-05-05T00:00:00"/>
    <m/>
    <m/>
    <s v="VIERNES "/>
    <s v="TU EMPRESA SEGURA"/>
    <s v="Cristhian"/>
    <s v="LUISA GARCIA"/>
    <s v="Cédula de Ciudadanía"/>
    <n v="1036929374"/>
    <s v="luisayepes02@gmail.com"/>
    <n v="3194892497"/>
    <x v="10"/>
    <x v="10"/>
    <d v="2026-04-28T00:00:00"/>
    <s v="3:00PM"/>
    <n v="2"/>
    <n v="106666"/>
    <s v="NO"/>
    <s v="PLANEAR"/>
    <s v="0. No conexión"/>
    <n v="0"/>
    <s v="No hubo conexión "/>
    <d v="2025-05-30T00:00:00"/>
    <n v="25"/>
    <n v="7"/>
    <s v="ACTIVO"/>
  </r>
  <r>
    <d v="2025-05-12T00:00:00"/>
    <m/>
    <m/>
    <s v="VIERNES "/>
    <s v="TU EMPRESA SEGURA"/>
    <s v="Cristhian"/>
    <s v="LUISA GARCIA"/>
    <s v="Cédula de Ciudadanía"/>
    <n v="1036929374"/>
    <s v="luisayepes02@gmail.com"/>
    <n v="3194892497"/>
    <x v="10"/>
    <x v="10"/>
    <d v="2025-04-11T00:00:00"/>
    <s v="3:00PM"/>
    <n v="2"/>
    <n v="106666"/>
    <s v="NO CONEXIÓN"/>
    <s v="PLANEAR"/>
    <s v="0. No conexión"/>
    <n v="0"/>
    <m/>
    <d v="2025-05-30T00:00:00"/>
    <n v="18"/>
    <n v="7"/>
    <s v="ACTIVO"/>
  </r>
  <r>
    <d v="2025-05-09T00:00:00"/>
    <m/>
    <m/>
    <s v="VIERNES "/>
    <s v="TU EMPRESA SEGURA"/>
    <s v="Juan Diego "/>
    <s v="LUISA GARCIA"/>
    <s v="Cédula de Ciudadanía"/>
    <n v="1036929374"/>
    <s v="luisayepes02@gmail.com"/>
    <n v="3194892497"/>
    <x v="10"/>
    <x v="10"/>
    <d v="2025-04-18T00:00:00"/>
    <s v="3:00PM"/>
    <n v="2"/>
    <n v="106666"/>
    <s v="SI"/>
    <s v="PLANEAR"/>
    <s v="1.0.3 Navegando en  la plataforma y beneficios del programa"/>
    <n v="1"/>
    <s v="se da un panorama orientador de la plataforma, se explica en que consiste el sgsst y el programa tu empresa segura, se empieza registro de usuarios y administradores en plataforma"/>
    <d v="2025-05-30T00:00:00"/>
    <n v="21"/>
    <n v="7"/>
    <s v="ACTIVO"/>
  </r>
  <r>
    <d v="2025-06-09T00:00:00"/>
    <m/>
    <m/>
    <s v="VIERNES "/>
    <s v="TU EMPRESA SEGURA"/>
    <s v="Juan Diego "/>
    <s v="LUISA GARCIA"/>
    <s v="Cédula de Ciudadanía"/>
    <n v="1036929374"/>
    <s v="luisayepes02@gmail.com"/>
    <n v="3194892497"/>
    <x v="10"/>
    <x v="10"/>
    <d v="2025-05-09T00:00:00"/>
    <d v="1899-12-30T14:25:00"/>
    <n v="2"/>
    <n v="106666"/>
    <s v="SI"/>
    <s v="PLANEAR"/>
    <s v="1.0.3 Navegando en  la plataforma y beneficios del programa"/>
    <n v="1"/>
    <s v="se hace solicitud de documentos de la empresa: Rut, camara de comercio, ultimos dos pagos de planilla de seg. social, logotipo de la empresa; se inicia con el registro de usuarios y administradores"/>
    <d v="2025-05-30T00:00:00"/>
    <n v="10"/>
    <n v="7"/>
    <s v="ACTIVO"/>
  </r>
  <r>
    <d v="2025-06-16T00:00:00"/>
    <m/>
    <m/>
    <s v="VIERNES "/>
    <s v="TU EMPRESA SEGURA"/>
    <s v="Juan Diego "/>
    <s v="LUISA GARCIA"/>
    <s v="Cédula de Ciudadanía"/>
    <n v="1036929374"/>
    <s v="luisayepes02@gmail.com"/>
    <n v="3194892497"/>
    <x v="10"/>
    <x v="10"/>
    <d v="2025-05-16T00:00:00"/>
    <d v="1899-12-30T14:25:00"/>
    <n v="2"/>
    <n v="106666"/>
    <s v="SI"/>
    <s v="PLANEAR"/>
    <s v="1.0.6 Diagnóstico del Sistema de Gestión de Seguridad y Salud en el Trabajo (SG-SST) 0312 DE 2019"/>
    <n v="2"/>
    <s v="se se solicitam y se envia documentos de seg. social, y documentos del sistema de gestion, se explica mas a profundiad el programa tu empresa segura, por dudas del cliente"/>
    <d v="2025-05-30T00:00:00"/>
    <n v="17"/>
    <n v="7"/>
    <s v="ACTIVO"/>
  </r>
  <r>
    <d v="2025-06-23T00:00:00"/>
    <m/>
    <m/>
    <s v="VIERNES"/>
    <s v="TU EMPRESA SEGURA"/>
    <s v="Juan Diego "/>
    <s v="LUISA GARCIA"/>
    <s v="Cédula de Ciudadanía"/>
    <n v="1036929374"/>
    <s v="luisayepes02@gmail.com"/>
    <n v="3194892497"/>
    <x v="10"/>
    <x v="10"/>
    <d v="2025-05-23T00:00:00"/>
    <d v="1899-12-30T14:25:00"/>
    <n v="2"/>
    <n v="106666"/>
    <s v="NO"/>
    <s v="PLANEAR"/>
    <s v="0. No conexión"/>
    <n v="0"/>
    <s v="se contacta en lahora indicada y la persona enlace,  me indica que se leha dificultado ingresar,le nevio ellink de teamas y no recibo  respuesta"/>
    <d v="2025-05-30T00:00:00"/>
    <n v="24"/>
    <n v="7"/>
    <s v="ACTIVO"/>
  </r>
  <r>
    <d v="2025-05-23T00:00:00"/>
    <m/>
    <m/>
    <s v="VIERNES"/>
    <s v="TU EMPRESA SEGURA"/>
    <s v="Juan Diego "/>
    <s v="LUISA GARCIA"/>
    <s v="Cédula de Ciudadanía"/>
    <n v="1036929374"/>
    <s v="luisayepes02@gmail.com"/>
    <n v="3194892497"/>
    <x v="10"/>
    <x v="10"/>
    <d v="2025-05-23T00:00:00"/>
    <s v="1:15 p.m"/>
    <n v="2"/>
    <n v="106666"/>
    <s v="NO"/>
    <s v="PLANEAR"/>
    <s v="1.1.1. Responsable del Sistema de Gestión de Seguridad y Salud en el Trabajo SG-SST"/>
    <n v="0.5"/>
    <s v="Se contacta por via wassap y telefonica y no se recibe respuesta, se adelanta revision de asignaicon de responsabilidades"/>
    <d v="2025-05-30T00:00:00"/>
    <n v="7"/>
    <n v="7"/>
    <s v="ACTIVO"/>
  </r>
  <r>
    <d v="2025-03-25T00:00:00"/>
    <s v="MARZO"/>
    <n v="3"/>
    <s v="MARTES  "/>
    <s v="TU EMPRESA SEGURA"/>
    <s v="LUZ"/>
    <s v="LIANA OCAMPO"/>
    <s v="Cédula de Ciudadanía"/>
    <n v="1036778480"/>
    <s v="Locampo@picados.com.co"/>
    <n v="3127198417"/>
    <x v="11"/>
    <x v="11"/>
    <d v="2025-03-25T00:00:00"/>
    <d v="1899-12-30T11:00:00"/>
    <n v="3"/>
    <n v="106666"/>
    <s v="SI"/>
    <s v="PLANEAR"/>
    <s v="1.0.0 Bienvenida"/>
    <n v="1"/>
    <s v="el dia viernes 21 de marzo se llamo a la empresa para validar la llegada del correo electronico con el usuario y la contraseña a lo cual indicaron que si les llego y que no han tenido ningun inconveniente "/>
    <d v="2025-05-30T00:00:00"/>
    <n v="66"/>
    <n v="42"/>
    <s v="ACTIVO"/>
  </r>
  <r>
    <d v="2025-04-15T00:00:00"/>
    <m/>
    <m/>
    <s v="MARTES  "/>
    <s v="TU EMPRESA SEGURA"/>
    <s v="LUZ"/>
    <s v="LIANA OCAMPO"/>
    <s v="Cédula de Ciudadanía"/>
    <n v="1036778480"/>
    <s v="Locampo@picados.com.co"/>
    <n v="3127198417"/>
    <x v="11"/>
    <x v="11"/>
    <d v="2025-04-15T00:00:00"/>
    <d v="1899-12-30T09:50:00"/>
    <n v="3"/>
    <n v="106666"/>
    <s v="SI"/>
    <s v="PLANEAR"/>
    <s v="1.0.6 Diagnóstico del Sistema de Gestión de Seguridad y Salud en el Trabajo (SG-SST) 0312 DE 2019"/>
    <n v="2"/>
    <s v="Pendiente firma de representante legal en responsabilidades del sistema de gestion y en termino y condiciones,pendiente enviar correo con documentos de rut y camara y comercio se realizo el diagnostico inicial."/>
    <d v="2025-05-30T00:00:00"/>
    <n v="45"/>
    <n v="42"/>
    <s v="ACTIVO"/>
  </r>
  <r>
    <d v="2025-04-22T00:00:00"/>
    <m/>
    <m/>
    <s v="MARTES  "/>
    <s v="TU EMPRESA SEGURA"/>
    <s v="LUZ"/>
    <s v="LIANA OCAMPO"/>
    <s v="Cédula de Ciudadanía"/>
    <n v="1036778480"/>
    <s v="Locampo@picados.com.co"/>
    <n v="3127198417"/>
    <x v="11"/>
    <x v="11"/>
    <d v="2025-04-22T00:00:00"/>
    <d v="1899-12-30T09:50:00"/>
    <n v="3"/>
    <n v="106666"/>
    <s v="SI"/>
    <s v="PLANEAR"/>
    <s v="1.1.4 Afiliación al Sistema General de Riesgos Laborales"/>
    <n v="0.5"/>
    <s v="el dia viernes 22 de abril Doña Liliana ocampo refiere manejar la plataforma y queda pendiente por su parte enviar correo electronico con rut,camara y comercio,logo,ARL.EPS Y adjuntar en el numeral 1.1.4 los certificados mes a mes de afiliaciones ,refiere tambien ya haber firmado terminos y condiciones ."/>
    <d v="2025-05-30T00:00:00"/>
    <n v="38"/>
    <n v="42"/>
    <s v="ACTIVO"/>
  </r>
  <r>
    <d v="2025-04-29T00:00:00"/>
    <m/>
    <m/>
    <s v="MARTES  "/>
    <s v="TU EMPRESA SEGURA"/>
    <s v="LUZ"/>
    <s v="LIANA OCAMPO"/>
    <s v="Cédula de Ciudadanía"/>
    <n v="1036778480"/>
    <s v="Locampo@picados.com.co"/>
    <n v="3127198417"/>
    <x v="11"/>
    <x v="11"/>
    <d v="2025-04-29T00:00:00"/>
    <d v="1899-12-30T09:50:00"/>
    <n v="3"/>
    <n v="106666"/>
    <s v="NO"/>
    <s v="PLANEAR"/>
    <s v="0. No conexión"/>
    <n v="0"/>
    <s v="problemas con el interneth y conexion luz estrada ver correo del dia 30/4/2025 donde se informa el inconveniente con mi plataforma,no podia conectarme._x000a_"/>
    <d v="2025-05-30T00:00:00"/>
    <n v="31"/>
    <n v="42"/>
    <s v="ACTIVO"/>
  </r>
  <r>
    <d v="2025-05-06T00:00:00"/>
    <m/>
    <m/>
    <s v="MARTES  "/>
    <s v="TU EMPRESA SEGURA"/>
    <s v="LUZ"/>
    <s v="LIANA OCAMPO"/>
    <s v="Cédula de Ciudadanía"/>
    <n v="1036778480"/>
    <s v="Locampo@picados.com.co"/>
    <n v="3127198417"/>
    <x v="11"/>
    <x v="11"/>
    <d v="2025-05-06T00:00:00"/>
    <d v="1899-12-30T09:50:00"/>
    <n v="3"/>
    <n v="106666"/>
    <s v="SI"/>
    <s v="PLANEAR"/>
    <s v="1.1.1. Responsable del Sistema de Gestión de Seguridad y Salud en el Trabajo SG-SST"/>
    <n v="0.5"/>
    <s v="se realiza  diligenciamiento de documento de responsable,,se inicia con archivo documental y se deja tarea de diligenciamiento de perfilsociodemografico."/>
    <d v="2025-05-30T00:00:00"/>
    <n v="24"/>
    <n v="42"/>
    <s v="ACTIVO"/>
  </r>
  <r>
    <d v="2025-05-13T00:00:00"/>
    <m/>
    <m/>
    <s v="MARTES  "/>
    <s v="TU EMPRESA SEGURA"/>
    <s v="LUZ"/>
    <s v="LIANA OCAMPO"/>
    <s v="Cédula de Ciudadanía"/>
    <n v="1036778480"/>
    <s v="Locampo@picados.com.co"/>
    <n v="3127198417"/>
    <x v="11"/>
    <x v="11"/>
    <d v="2025-05-13T00:00:00"/>
    <d v="1899-12-30T09:50:00"/>
    <n v="3"/>
    <n v="106666"/>
    <s v="SI"/>
    <s v="HACER"/>
    <s v="3.1.1 Descripcion sociodemografica.Diagnostico de Condiciones de Salud"/>
    <n v="1"/>
    <s v="se continua diligenciando el archivo documental,pendiente perfilsociodemografico,no se adelanta mucho porque no era claro el tema de evidencias de perfil y de archivo documental.solicita correo de la grabacion de la conexion."/>
    <d v="2025-05-30T00:00:00"/>
    <n v="17"/>
    <n v="42"/>
    <s v="ACTIVO"/>
  </r>
  <r>
    <d v="2025-05-20T00:00:00"/>
    <m/>
    <m/>
    <s v="MARTES  "/>
    <s v="TU EMPRESA SEGURA"/>
    <s v="LUZ"/>
    <s v="LIANA OCAMPO"/>
    <s v="Cédula de Ciudadanía"/>
    <n v="1036778480"/>
    <s v="Locampo@picados.com.co"/>
    <n v="3127198417"/>
    <x v="11"/>
    <x v="11"/>
    <d v="2025-05-20T00:00:00"/>
    <d v="1899-12-30T09:50:00"/>
    <n v="3"/>
    <n v="106666"/>
    <s v="SI"/>
    <s v="PLANEAR"/>
    <s v="2.5.1 Archivo o retención documental del Sistema de Gestión en Seguridad y Salud en el Trabajo SG-SST"/>
    <n v="2"/>
    <s v="Solicita que se le revise todo el numeral 2.5.1 cree que repitio datos,solicita paso a paso de subir firmas y enviar correo del numeral 1.1.4 para subir evidencias."/>
    <d v="2025-05-30T00:00:00"/>
    <n v="10"/>
    <n v="42"/>
    <s v="ACTIVO"/>
  </r>
  <r>
    <m/>
    <m/>
    <m/>
    <s v="MARTES  "/>
    <s v="TU EMPRESA SEGURA"/>
    <s v="LUZ"/>
    <s v="LIANA OCAMPO"/>
    <s v="Cédula de Ciudadanía"/>
    <n v="1036778480"/>
    <s v="Locampo@picados.com.co"/>
    <n v="3127198417"/>
    <x v="11"/>
    <x v="11"/>
    <d v="2025-04-30T00:00:00"/>
    <m/>
    <n v="3"/>
    <n v="106666"/>
    <s v="SI"/>
    <s v="PLANEAR"/>
    <s v="1.0.4 Acompañamiiento/Asesoría sobre SGSST"/>
    <n v="2"/>
    <s v="Solicita que se le revise todo el numeral 2.5.1 cree que repitio datos,solicita paso a paso de subir firmas y enviar correo del numeral 1.1.4 para subir evidencias."/>
    <d v="2025-05-30T00:00:00"/>
    <n v="45807"/>
    <n v="42"/>
    <s v="ACTIVO"/>
  </r>
  <r>
    <d v="2025-05-27T00:00:00"/>
    <m/>
    <m/>
    <s v="MARTES  "/>
    <s v="TU EMPRESA SEGURA"/>
    <s v="LUZ"/>
    <s v="LIANA OCAMPO"/>
    <s v="Cédula de Ciudadanía"/>
    <n v="1036778480"/>
    <s v="Locampo@picados.com.co"/>
    <n v="3127198417"/>
    <x v="11"/>
    <x v="11"/>
    <d v="2025-05-27T00:00:00"/>
    <d v="1899-12-30T09:50:00"/>
    <n v="3"/>
    <n v="106666"/>
    <s v="SI"/>
    <s v="PLANEAR"/>
    <s v="1.0.6 Diagnóstico del Sistema de Gestión de Seguridad y Salud en el Trabajo (SG-SST) 0312 DE 2019"/>
    <n v="2"/>
    <s v="Se realiza evalucion inicial  y se revisa numeral 1.1.4 (Aceptable)"/>
    <d v="2025-05-30T00:00:00"/>
    <n v="3"/>
    <n v="42"/>
    <s v="ACTIVO"/>
  </r>
  <r>
    <m/>
    <m/>
    <m/>
    <m/>
    <m/>
    <s v="LUZ"/>
    <s v="Jorge Eliecer Gómez Garcia  "/>
    <s v="Cédula de Ciudadanía"/>
    <n v="1128403927"/>
    <s v="gerenciacakareos@gmail.com "/>
    <n v="3148312199"/>
    <x v="12"/>
    <x v="12"/>
    <d v="2025-06-03T00:00:00"/>
    <d v="1899-12-30T15:05:00"/>
    <n v="1"/>
    <n v="106666"/>
    <s v="SI"/>
    <s v="PLANEAR"/>
    <s v="0. No conexión"/>
    <n v="0"/>
    <s v="Esta en duda si continua con tu empresa segura comfama o sigue con las niñas que le llevan el sistema en el momento."/>
    <d v="2025-05-30T00:00:00"/>
    <n v="45807"/>
    <n v="5"/>
    <s v="ACTIVO"/>
  </r>
  <r>
    <d v="2025-05-27T00:00:00"/>
    <m/>
    <m/>
    <s v="MARTES"/>
    <s v="TU EMPRESA SEGURA"/>
    <s v="LUZ"/>
    <s v="Jorge Eliecer Gómez Garcia  "/>
    <s v="Cédula de Ciudadanía"/>
    <n v="1128403927"/>
    <s v="gerenciacakareos@gmail.com "/>
    <n v="3017402779"/>
    <x v="12"/>
    <x v="12"/>
    <d v="2025-05-27T00:00:00"/>
    <d v="1899-12-30T15:05:00"/>
    <n v="1"/>
    <n v="106666"/>
    <s v="CONEXIÓN AUTÓNOMA DE ANALISTA"/>
    <s v="PLANEAR"/>
    <s v="0. No conexión"/>
    <n v="0"/>
    <s v="Refiere que espero todo el dia la conexion ,pero hay evidencias que no contesto el celular en llamada ,ni mensaje de whatsapp.en la grabacion de la misma fecha d econexion."/>
    <d v="2025-05-30T00:00:00"/>
    <n v="3"/>
    <n v="5"/>
    <s v="ACTIVO"/>
  </r>
  <r>
    <d v="2025-03-25T00:00:00"/>
    <s v="MARZO"/>
    <n v="3"/>
    <s v="MARTES  "/>
    <s v="TU EMPRESA SEGURA"/>
    <s v="Juan Diego "/>
    <s v="LADY NATALIA RODRÍGUEZ OSPINA "/>
    <s v="Cédula de Ciudadanía"/>
    <n v="1036937209"/>
    <s v="Natalia.rodriguez7209@gmail.com"/>
    <n v="3128650034"/>
    <x v="13"/>
    <x v="13"/>
    <d v="2025-03-25T00:00:00"/>
    <s v="1:00p.m."/>
    <n v="1"/>
    <n v="106666"/>
    <s v="SI"/>
    <s v="PLANEAR"/>
    <s v="1.0.0 Bienvenida"/>
    <n v="1"/>
    <s v="el dia viernes 21 de marzo se llamo a la empresa para validar la llegada del correo electronico con el usuario y la contraseña a lo cual indicaron que si les llego y que no han tenido ningun inconveniente._x000a_Primer conexión explicación del proyecto"/>
    <d v="2025-05-30T00:00:00"/>
    <n v="66"/>
    <n v="11"/>
    <s v="ACTIVO"/>
  </r>
  <r>
    <d v="2025-04-05T00:00:00"/>
    <m/>
    <m/>
    <s v="SABADO"/>
    <s v="TU EMPRESA SEGURA"/>
    <s v="Juan Diego "/>
    <s v="LADY NATALIA RODRÍGUEZ OSPINA "/>
    <s v="Cédula de Ciudadanía"/>
    <n v="1036937209"/>
    <s v="Natalia.rodriguez7209@gmail.com"/>
    <n v="3128650034"/>
    <x v="13"/>
    <x v="13"/>
    <d v="2025-04-05T00:00:00"/>
    <s v="1:00p.m."/>
    <n v="1"/>
    <n v="106666"/>
    <s v="SI"/>
    <s v="PLANEAR"/>
    <s v="1.0.1 Firma de Términos y Condiciones"/>
    <n v="1"/>
    <s v="Segunda conexión validación de usuario y contraseña, firma de de Términos y Condiciones"/>
    <d v="2025-05-30T00:00:00"/>
    <n v="55"/>
    <n v="11"/>
    <s v="ACTIVO"/>
  </r>
  <r>
    <d v="2025-04-12T00:00:00"/>
    <m/>
    <m/>
    <s v="SABADO"/>
    <s v="TU EMPRESA SEGURA"/>
    <s v="Juan Diego "/>
    <s v="LADY NATALIA RODRÍGUEZ OSPINA "/>
    <s v="Cédula de Ciudadanía"/>
    <n v="1036937209"/>
    <s v="Natalia.rodriguez7209@gmail.com"/>
    <n v="3128650034"/>
    <x v="13"/>
    <x v="13"/>
    <d v="2025-04-12T00:00:00"/>
    <s v="8:05AM"/>
    <n v="1"/>
    <n v="106666"/>
    <s v="SI"/>
    <s v="PLANEAR"/>
    <s v="1.0.5 Diagnóstico de Madurez"/>
    <n v="3"/>
    <s v="Se realiza diagnóstico de madurez, con resultado aprobado y se adelanta términos y condiciones y se inicia perfil sociodemográfico, y se envía estándar de seguridad de cuchillo para la cocina."/>
    <d v="2025-05-30T00:00:00"/>
    <n v="48"/>
    <n v="11"/>
    <s v="ACTIVO"/>
  </r>
  <r>
    <d v="2025-04-19T00:00:00"/>
    <m/>
    <m/>
    <s v="SABADO"/>
    <s v="TU EMPRESA SEGURA"/>
    <s v="Juan Diego "/>
    <s v="LADY NATALIA RODRÍGUEZ OSPINA "/>
    <s v="Cédula de Ciudadanía"/>
    <n v="1036937209"/>
    <s v="Natalia.rodriguez7209@gmail.com"/>
    <n v="3128650034"/>
    <x v="13"/>
    <x v="13"/>
    <d v="2025-04-19T00:00:00"/>
    <s v="8:05AM"/>
    <n v="1"/>
    <n v="106666"/>
    <s v="SI"/>
    <s v="PLANEAR"/>
    <s v="1.0.6 Diagnóstico del Sistema de Gestión de Seguridad y Salud en el Trabajo (SG-SST) 0312 DE 2019"/>
    <n v="2"/>
    <s v="se inicia a las8:am, se consulta sobre novedades de ausentismos por vacaciones y no se reportan, se consulta sobre novedades de acceso a plataforma y no se reportan novedades negativas, se inicia con la carga de examenes médicos en el modulo de salud laboral y de apgo de seguridad social en pago al sgrl, se continua con la evaluacion inicial para ir generando el puntaje segun los requerimientos de la Res. 0312 del 2019, terminamos a las 9am"/>
    <d v="2025-05-30T00:00:00"/>
    <n v="41"/>
    <n v="11"/>
    <s v="ACTIVO"/>
  </r>
  <r>
    <d v="2025-05-10T00:00:00"/>
    <m/>
    <m/>
    <s v="SABADO"/>
    <s v="TU EMPRESA SEGURA"/>
    <s v="Juan Diego "/>
    <s v="LADY NATALIA RODRÍGUEZ OSPINA "/>
    <s v="Cédula de Ciudadanía"/>
    <n v="1036937209"/>
    <s v="Natalia.rodriguez7209@gmail.com"/>
    <n v="3128650034"/>
    <x v="13"/>
    <x v="13"/>
    <d v="2025-05-10T00:00:00"/>
    <s v="8:05AM"/>
    <n v="1"/>
    <n v="106666"/>
    <s v="SI"/>
    <s v="PLANEAR"/>
    <s v="1.1.3 Asignación de recursos para el Sistema de Gestión en Seguridad y Salud en el Trabajo – SG-SST"/>
    <n v="0.5"/>
    <s v="S e ingresa incapacidad a regi. de ausentismos en plataforma, tambien,se diligenca el  indicador de enfermedd general; se avanza en la matriz de asignacion de recursos; y se envia el MEDEVAC"/>
    <d v="2025-05-30T00:00:00"/>
    <n v="20"/>
    <n v="11"/>
    <s v="ACTIVO"/>
  </r>
  <r>
    <d v="2025-05-17T00:00:00"/>
    <m/>
    <m/>
    <s v="SABADO"/>
    <s v="TU EMPRESA SEGURA"/>
    <s v="Juan Diego "/>
    <s v="LADY NATALIA RODRÍGUEZ OSPINA "/>
    <s v="Cédula de Ciudadanía"/>
    <n v="1036937209"/>
    <s v="Natalia.rodriguez7209@gmail.com"/>
    <n v="3128650034"/>
    <x v="13"/>
    <x v="13"/>
    <d v="2025-05-17T00:00:00"/>
    <s v="8:05AM"/>
    <n v="1"/>
    <n v="106666"/>
    <s v="SI"/>
    <s v="PLANEAR"/>
    <s v="1.1.6 Conformación COPASST"/>
    <n v="0.5"/>
    <s v="se avanza en la conformacion del copasst"/>
    <d v="2025-05-30T00:00:00"/>
    <n v="13"/>
    <n v="11"/>
    <s v="ACTIVO"/>
  </r>
  <r>
    <d v="2025-04-30T00:00:00"/>
    <m/>
    <m/>
    <s v="SABADO"/>
    <s v="TU EMPRESA SEGURA"/>
    <s v="Juan Diego "/>
    <s v="LADY NATALIA RODRÍGUEZ OSPINA "/>
    <s v="Cédula de Ciudadanía"/>
    <n v="1036937209"/>
    <s v="Natalia.rodriguez7209@gmail.com"/>
    <n v="3128650034"/>
    <x v="13"/>
    <x v="13"/>
    <d v="2025-04-30T00:00:00"/>
    <m/>
    <n v="1"/>
    <n v="106666"/>
    <s v="SI"/>
    <s v="PLANEAR"/>
    <s v="1.0.9 Savanna Ruta de Bienestar "/>
    <n v="4"/>
    <s v="se avanza en la conformacion del copasst"/>
    <d v="2025-05-30T00:00:00"/>
    <n v="30"/>
    <n v="11"/>
    <s v="ACTIVO"/>
  </r>
  <r>
    <d v="2025-05-31T00:00:00"/>
    <m/>
    <m/>
    <s v="SABADO"/>
    <s v="TU EMPRESA SEGURA"/>
    <s v="Juan Diego "/>
    <s v="LADY NATALIA RODRÍGUEZ OSPINA "/>
    <s v="Cédula de Ciudadanía"/>
    <n v="1036937209"/>
    <s v="Natalia.rodriguez7209@gmail.com"/>
    <n v="3128650034"/>
    <x v="13"/>
    <x v="13"/>
    <d v="2025-05-31T00:00:00"/>
    <s v="8:05AM"/>
    <n v="1"/>
    <n v="106666"/>
    <s v="SI"/>
    <s v="PLANEAR"/>
    <s v="1.0.8 Acompañamiento AT/EL"/>
    <n v="3"/>
    <s v="se programan las dos asesorias para el 7 de junio, se reporta accidente laboral en ausencia de la  administradora y se hace seguimiento a la  trabajadora"/>
    <d v="2025-05-30T00:00:00"/>
    <n v="1"/>
    <n v="11"/>
    <s v="ACTIVO"/>
  </r>
  <r>
    <d v="2025-03-28T00:00:00"/>
    <s v="MARZO"/>
    <n v="3"/>
    <s v="VIERNES "/>
    <s v="TU EMPRESA SEGURA"/>
    <s v="Cristhian"/>
    <s v="Dora Luz Arbelaez"/>
    <s v="Cédula de Ciudadanía"/>
    <n v="39382394"/>
    <s v="doraluzarbelaez@gmail.com"/>
    <n v="3113247283"/>
    <x v="14"/>
    <x v="14"/>
    <d v="2026-04-21T00:00:00"/>
    <s v="1:40PM"/>
    <n v="3"/>
    <n v="106666"/>
    <s v="SI"/>
    <s v="PLANEAR"/>
    <s v="1.0.0 Bienvenida"/>
    <n v="1"/>
    <s v="Bienvenida al programa, se le explica detalladamente en que consiste y la duración estimada, se Indica cómo firmar los términos y condiciones, se agenda la reunión periódica, semanal, los viernes de 1:30 a 2:15Pm"/>
    <d v="2025-05-30T00:00:00"/>
    <n v="63"/>
    <n v="11"/>
    <s v="ACTIVO"/>
  </r>
  <r>
    <d v="2025-04-04T00:00:00"/>
    <m/>
    <m/>
    <s v="VIERNES "/>
    <s v="TU EMPRESA SEGURA"/>
    <s v="Cristhian"/>
    <s v="Dora Luz Arbelaez"/>
    <s v="Cédula de Ciudadanía"/>
    <n v="39382394"/>
    <s v="doraluzarbelaez@gmail.com"/>
    <n v="3113247283"/>
    <x v="14"/>
    <x v="14"/>
    <d v="2026-04-28T00:00:00"/>
    <s v="1:40PM"/>
    <n v="3"/>
    <n v="106666"/>
    <s v="SI"/>
    <s v="PLANEAR"/>
    <s v="1.0.5 Diagnóstico de Madurez"/>
    <n v="3"/>
    <s v="se le da la bienvenida a la señora Alejandra quien es la responsable del SG.SST de la empresa, y se inicia con el diagnostico de madurez"/>
    <d v="2025-05-30T00:00:00"/>
    <n v="56"/>
    <n v="11"/>
    <s v="ACTIVO"/>
  </r>
  <r>
    <d v="2025-04-11T00:00:00"/>
    <m/>
    <m/>
    <s v="VIERNES "/>
    <s v="TU EMPRESA SEGURA"/>
    <s v="Cristhian"/>
    <s v="Dora Luz Arbelaez"/>
    <s v="Cédula de Ciudadanía"/>
    <n v="39382394"/>
    <s v="doraluzarbelaez@gmail.com"/>
    <n v="3113247283"/>
    <x v="14"/>
    <x v="14"/>
    <d v="2025-04-11T00:00:00"/>
    <s v="1:40PM"/>
    <n v="3"/>
    <n v="106666"/>
    <s v="SI"/>
    <s v="PLANEAR"/>
    <s v="1.0.5 Diagnóstico de Madurez"/>
    <n v="3"/>
    <s v="Se realiza el ultimo cuestionario del diagnotico de madurez con la señora Alejandra y se le asigna la tarea de registrar los trabajadores con el perfil sociodemografico"/>
    <d v="2025-05-30T00:00:00"/>
    <n v="49"/>
    <n v="11"/>
    <s v="ACTIVO"/>
  </r>
  <r>
    <d v="2025-04-18T00:00:00"/>
    <m/>
    <m/>
    <s v="VIERNES "/>
    <s v="TU EMPRESA SEGURA"/>
    <s v="Juan Diego "/>
    <s v="Dora Luz Arbelaez"/>
    <s v="Cédula de Ciudadanía"/>
    <n v="39382394"/>
    <s v="doraluzarbelaez@gmail.com"/>
    <n v="3113247283"/>
    <x v="14"/>
    <x v="14"/>
    <d v="2025-04-18T00:00:00"/>
    <s v="1:40PM"/>
    <n v="3"/>
    <n v="106666"/>
    <s v="NO"/>
    <s v="PLANEAR"/>
    <s v="0.1 Trabajo autónomo analista en plataforma"/>
    <n v="0.5"/>
    <s v="se adelanta codificacion de documentos"/>
    <d v="2025-05-30T00:00:00"/>
    <n v="42"/>
    <n v="11"/>
    <s v="ACTIVO"/>
  </r>
  <r>
    <d v="2025-04-25T00:00:00"/>
    <m/>
    <m/>
    <s v="VIERNES "/>
    <s v="TU EMPRESA SEGURA"/>
    <s v="Juan Diego "/>
    <s v="Dora Luz Arbelaez"/>
    <s v="Cédula de Ciudadanía"/>
    <n v="39382394"/>
    <s v="doraluzarbelaez@gmail.com"/>
    <n v="3113247283"/>
    <x v="14"/>
    <x v="14"/>
    <d v="2025-04-25T00:00:00"/>
    <s v="1:40PM"/>
    <n v="3"/>
    <n v="106666"/>
    <s v="SI"/>
    <s v="PLANEAR"/>
    <s v="1.0.6 Diagnóstico del Sistema de Gestión de Seguridad y Salud en el Trabajo (SG-SST) 0312 DE 2019"/>
    <n v="2"/>
    <s v="Se solicitann documentos legales, informe de estandares ante el ministerio y ARL, se adjunta la firma y se hace registro de empleados  en plataforma"/>
    <d v="2025-05-30T00:00:00"/>
    <n v="35"/>
    <n v="11"/>
    <s v="ACTIVO"/>
  </r>
  <r>
    <d v="2025-05-02T00:00:00"/>
    <m/>
    <m/>
    <s v="VIERNES "/>
    <s v="TU EMPRESA SEGURA"/>
    <s v="Juan Diego "/>
    <s v="Dora Luz Arbelaez"/>
    <s v="Cédula de Ciudadanía"/>
    <n v="39382394"/>
    <s v="doraluzarbelaez@gmail.com"/>
    <n v="3113247283"/>
    <x v="14"/>
    <x v="14"/>
    <d v="2025-05-02T00:00:00"/>
    <s v="1:40PM"/>
    <n v="3"/>
    <n v="106666"/>
    <s v="SI"/>
    <s v="PLANEAR"/>
    <s v="2.5.1 Archivo o retención documental del Sistema de Gestión en Seguridad y Salud en el Trabajo SG-SST"/>
    <n v="2"/>
    <s v="se revisa tareas adelantadas la sesion anterior, y no se han ejecutado por aprte del responsable enlace sst, se explica como vamos a codificar la documentacion y la importancia de registrar los empleados y enviar la documentacion legal de la empresa lo antes posible"/>
    <d v="2025-05-30T00:00:00"/>
    <n v="28"/>
    <n v="11"/>
    <s v="ACTIVO"/>
  </r>
  <r>
    <d v="2025-05-09T00:00:00"/>
    <m/>
    <m/>
    <s v="VIERNES "/>
    <s v="TU EMPRESA SEGURA"/>
    <s v="Juan Diego "/>
    <s v="Dora Luz Arbelaez"/>
    <s v="Cédula de Ciudadanía"/>
    <n v="39382394"/>
    <s v="doraluzarbelaez@gmail.com"/>
    <n v="3113247283"/>
    <x v="14"/>
    <x v="14"/>
    <d v="2025-05-09T00:00:00"/>
    <s v="1:40PM"/>
    <n v="3"/>
    <n v="106666"/>
    <s v="SI"/>
    <s v="PLANEAR"/>
    <s v="2.5.1 Archivo o retención documental del Sistema de Gestión en Seguridad y Salud en el Trabajo SG-SST"/>
    <n v="2"/>
    <s v="se consulta como ha diso el acceso a plataforma, se adelanta codificacion del ciclo del planear, se sube perfil sociodemográfico y quedamos pendientes en la planilla de seg. actualizada de abril"/>
    <d v="2025-05-30T00:00:00"/>
    <n v="21"/>
    <n v="11"/>
    <s v="ACTIVO"/>
  </r>
  <r>
    <d v="2025-05-16T00:00:00"/>
    <m/>
    <m/>
    <s v="VIERNES "/>
    <s v="TU EMPRESA SEGURA"/>
    <s v="Juan Diego "/>
    <s v="Dora Luz Arbelaez"/>
    <s v="Cédula de Ciudadanía"/>
    <n v="39382394"/>
    <s v="doraluzarbelaez@gmail.com"/>
    <n v="3113247283"/>
    <x v="14"/>
    <x v="14"/>
    <d v="2025-05-16T00:00:00"/>
    <s v="1:40PM"/>
    <n v="3"/>
    <n v="106666"/>
    <s v="SI"/>
    <s v="PLANEAR"/>
    <s v="1.0.4 Acompañamiiento/Asesoría sobre SGSST"/>
    <n v="2"/>
    <s v="se realiza registro de personal en plataforma,quedamos pendientes en envio de dcumentacion y seg. social"/>
    <d v="2025-05-30T00:00:00"/>
    <n v="14"/>
    <n v="11"/>
    <s v="ACTIVO"/>
  </r>
  <r>
    <d v="2025-05-23T00:00:00"/>
    <m/>
    <m/>
    <s v="VIERNES "/>
    <s v="TU EMPRESA SEGURA"/>
    <s v="Juan Diego "/>
    <s v="Dora Luz Arbelaez"/>
    <s v="Cédula de Ciudadanía"/>
    <n v="39382394"/>
    <s v="doraluzarbelaez@gmail.com"/>
    <n v="3113247283"/>
    <x v="14"/>
    <x v="14"/>
    <d v="2025-05-23T00:00:00"/>
    <s v="1:40PM"/>
    <n v="3"/>
    <n v="106666"/>
    <s v="SI"/>
    <s v="PLANEAR"/>
    <s v="1.0.6 Diagnóstico del Sistema de Gestión de Seguridad y Salud en el Trabajo (SG-SST) 0312 DE 2019"/>
    <n v="2"/>
    <s v="se realiza registro de personal en plataforma, se recibe documento legales de la empresa y se hacen asignación delresponsable y asignación  de responsabilidades en la evaluacion inicial"/>
    <d v="2025-05-30T00:00:00"/>
    <n v="7"/>
    <n v="11"/>
    <s v="ACTIVO"/>
  </r>
  <r>
    <d v="2025-06-06T00:00:00"/>
    <m/>
    <m/>
    <s v="VIERNES "/>
    <s v="TU EMPRESA SEGURA"/>
    <s v="Juan Diego "/>
    <s v="Dora Luz Arbelaez"/>
    <s v="Cédula de Ciudadanía"/>
    <n v="39382394"/>
    <s v="doraluzarbelaez@gmail.com"/>
    <n v="3113247283"/>
    <x v="14"/>
    <x v="14"/>
    <d v="2025-06-06T00:00:00"/>
    <s v="1:40PM"/>
    <n v="3"/>
    <n v="106666"/>
    <s v="SI"/>
    <s v="PLANEAR"/>
    <s v="1.1.3 Asignación de recursos para el Sistema de Gestión en Seguridad y Salud en el Trabajo – SG-SST"/>
    <n v="0.5"/>
    <s v="se realiza Alimentacion de indicadores de mayo, registro de ausentismo de una persona incapacitadase se realiza asignacion de recursos"/>
    <d v="2025-05-30T00:00:00"/>
    <n v="7"/>
    <n v="11"/>
    <s v="ACTIVO"/>
  </r>
  <r>
    <d v="2025-03-21T00:00:00"/>
    <s v="MARZO"/>
    <n v="3"/>
    <s v="VIERNES "/>
    <s v="TU EMPRESA SEGURA"/>
    <s v="Cristhian"/>
    <s v="JUAN FELIPE LÓPEZ OROZCO"/>
    <s v="Cédula de Ciudadanía"/>
    <n v="15356506"/>
    <s v="felipelopezorozco2020@gmail.com ,lopetransvolq@gmail.com"/>
    <n v="3136468404"/>
    <x v="15"/>
    <x v="15"/>
    <d v="2025-03-21T00:00:00"/>
    <s v="7:00AM"/>
    <n v="1"/>
    <n v="106666"/>
    <s v="SI"/>
    <s v="PLANEAR"/>
    <s v="1.0.0 Bienvenida"/>
    <n v="1"/>
    <s v="Bienvenida al programa, se le explica detalladamente en que consiste y la duración estimada, se Indica cómo firmar los términos y condiciones, se agenda la reunión periódica, semanal, los Lunes de 7:15 a 8:00am"/>
    <d v="2025-05-30T00:00:00"/>
    <n v="70"/>
    <n v="5"/>
    <s v="ACTIVO"/>
  </r>
  <r>
    <d v="2025-03-31T00:00:00"/>
    <m/>
    <m/>
    <s v="LUNES"/>
    <s v="TU EMPRESA SEGURA"/>
    <s v="Cristhian"/>
    <s v="JUAN FELIPE LÓPEZ OROZCO"/>
    <s v="Cédula de Ciudadanía"/>
    <n v="15356506"/>
    <s v="felipelopezorozco2020@gmail.com ,lopetransvolq@gmail.com"/>
    <n v="3136468404"/>
    <x v="15"/>
    <x v="15"/>
    <d v="2025-03-31T00:00:00"/>
    <s v="7:00AM"/>
    <n v="1"/>
    <n v="106666"/>
    <s v="SI"/>
    <s v="PLANEAR"/>
    <s v="1.0.1 Firma de Términos y Condiciones"/>
    <n v="1"/>
    <s v="Se reviso la firma de aceptación de términos y condiciones y se realizo el diagnostico de madurez"/>
    <d v="2025-05-30T00:00:00"/>
    <n v="60"/>
    <n v="5"/>
    <s v="ACTIVO"/>
  </r>
  <r>
    <d v="2025-04-07T00:00:00"/>
    <m/>
    <m/>
    <s v="LUNES"/>
    <s v="TU EMPRESA SEGURA"/>
    <s v="Cristhian"/>
    <s v="JUAN FELIPE LÓPEZ OROZCO"/>
    <s v="Cédula de Ciudadanía"/>
    <n v="15356506"/>
    <s v="felipelopezorozco2020@gmail.com ,lopetransvolq@gmail.com"/>
    <n v="3136468404"/>
    <x v="15"/>
    <x v="15"/>
    <d v="2025-04-07T00:00:00"/>
    <s v="7:00AM"/>
    <n v="1"/>
    <n v="106666"/>
    <s v="SI"/>
    <s v="PLANEAR"/>
    <s v="1.0.6 Diagnóstico del Sistema de Gestión de Seguridad y Salud en el Trabajo (SG-SST) 0312 DE 2019"/>
    <n v="2"/>
    <s v="Se inició la evaluación inicial del SG-SST"/>
    <d v="2025-05-30T00:00:00"/>
    <n v="53"/>
    <n v="5"/>
    <s v="ACTIVO"/>
  </r>
  <r>
    <d v="2025-04-14T00:00:00"/>
    <m/>
    <m/>
    <s v="LUNES"/>
    <s v="TU EMPRESA SEGURA"/>
    <s v="Cristhian"/>
    <s v="JUAN FELIPE LÓPEZ OROZCO"/>
    <s v="Cédula de Ciudadanía"/>
    <n v="15356506"/>
    <s v="felipelopezorozco2020@gmail.com ,lopetransvolq@gmail.com"/>
    <n v="3136468404"/>
    <x v="15"/>
    <x v="15"/>
    <d v="2025-04-14T00:00:00"/>
    <s v="7:00AM"/>
    <n v="1"/>
    <n v="106666"/>
    <s v="SI"/>
    <s v="PLANEAR"/>
    <s v="1.0.6 Diagnóstico del Sistema de Gestión de Seguridad y Salud en el Trabajo (SG-SST) 0312 DE 2019"/>
    <n v="2"/>
    <s v="Se finaliza la evaluación inicial del SG-SST"/>
    <d v="2025-05-30T00:00:00"/>
    <n v="46"/>
    <n v="5"/>
    <s v="ACTIVO"/>
  </r>
  <r>
    <d v="2025-04-22T00:00:00"/>
    <m/>
    <m/>
    <s v="MARTES"/>
    <s v="TU EMPRESA SEGURA"/>
    <s v="LUZ"/>
    <s v="JUAN FELIPE LÓPEZ OROZCO"/>
    <s v="Cédula de Ciudadanía"/>
    <n v="15356506"/>
    <s v="felipelopezorozco2020@gmail.com ,lopetransvolq@gmail.com"/>
    <n v="3136468404"/>
    <x v="15"/>
    <x v="15"/>
    <d v="2025-04-22T00:00:00"/>
    <s v="7:00AM"/>
    <n v="1"/>
    <n v="106666"/>
    <s v="SI"/>
    <s v="PLANEAR"/>
    <s v="1.0.3 Navegando en  la plataforma y beneficios del programa"/>
    <n v="1"/>
    <s v="El dia 22 de abril se realiza reunion virtual a las 7:15 am,con la señora Ana Maria,manifiesta:  1.Entender la plataforma            2.Haber firmado el documento de terminos y condiciones                3.Pendiente el analista anterior enviarle la calificacion del sistema de gestion.               TAREAS POR PARTE DE LA EMPRESA SEGURA COMFAMA:Realizar el archivo documenttal del cliente y proseguir a diligenciar el documento de responsable del SG-SST.                                    TAREAS POR PARTE DE LOPETRANS :Anexar al item de planear numeral 1.1.4 los reportes de afiliaciones y en el item de hacer numeral 3.1.1 y me dirije al numeral 3.1.1.2 del perfilsociodemografico.Abril 29 la señora ana maria ingresa al programa afiliaciones y nos comparte documentos de la empresa,REAMILAZARA PARA EL PROXIMO ENCUENTRO archivo documental."/>
    <d v="2025-05-30T00:00:00"/>
    <n v="38"/>
    <n v="5"/>
    <s v="ACTIVO"/>
  </r>
  <r>
    <d v="2025-05-17T00:00:00"/>
    <m/>
    <m/>
    <s v="MARTES"/>
    <s v="TU EMPRESA SEGURA"/>
    <s v="LUZ"/>
    <s v="JUAN FELIPE LÓPEZ OROZCO"/>
    <s v="Cédula de Ciudadanía"/>
    <n v="15356506"/>
    <s v="felipelopezorozco2020@gmail.com ,lopetransvolq@gmail.com"/>
    <n v="3136468404"/>
    <x v="15"/>
    <x v="15"/>
    <d v="2025-05-17T00:00:00"/>
    <m/>
    <n v="1"/>
    <n v="106666"/>
    <s v="SI"/>
    <s v="PLANEAR"/>
    <s v="1.0.8 Savanna Campañas de Sencibilización"/>
    <n v="4"/>
    <m/>
    <d v="2025-05-30T00:00:00"/>
    <n v="13"/>
    <n v="5"/>
    <s v="ACTIVO"/>
  </r>
  <r>
    <d v="2025-04-29T00:00:00"/>
    <m/>
    <m/>
    <s v="MARTES"/>
    <s v="TU EMPRESA SEGURA"/>
    <s v="LUZ"/>
    <s v="JUAN FELIPE LÓPEZ OROZCO"/>
    <s v="Cédula de Ciudadanía"/>
    <n v="15356506"/>
    <s v="felipelopezorozco2020@gmail.com ,lopetransvolq@gmail.com"/>
    <n v="3136468404"/>
    <x v="15"/>
    <x v="15"/>
    <d v="2025-04-26T00:00:00"/>
    <m/>
    <n v="1"/>
    <n v="106666"/>
    <s v="SI"/>
    <s v="PLANEAR"/>
    <s v="1.0.9 Savanna Ruta de Bienestar "/>
    <n v="4"/>
    <m/>
    <d v="2025-05-30T00:00:00"/>
    <n v="31"/>
    <n v="5"/>
    <s v="ACTIVO"/>
  </r>
  <r>
    <d v="2025-04-29T00:00:00"/>
    <m/>
    <m/>
    <s v="MARTES"/>
    <s v="TU EMPRESA SEGURA"/>
    <s v="LUZ"/>
    <s v="JUAN FELIPE LÓPEZ OROZCO"/>
    <s v="Cédula de Ciudadanía"/>
    <n v="15356506"/>
    <s v="felipelopezorozco2020@gmail.com ,lopetransvolq@gmail.com"/>
    <n v="3136468404"/>
    <x v="15"/>
    <x v="15"/>
    <d v="2025-04-29T00:00:00"/>
    <s v="7:00AM"/>
    <n v="1"/>
    <n v="106666"/>
    <s v="SI"/>
    <s v="PLANEAR"/>
    <s v="1.1.1. Responsable del Sistema de Gestión de Seguridad y Salud en el Trabajo SG-SST"/>
    <n v="0.5"/>
    <s v="Se diligencia documento de  responsable del sistema de gestion y se le explica como comenzar con el numeral 2.5.4 archivo documental."/>
    <d v="2025-05-30T00:00:00"/>
    <n v="31"/>
    <n v="5"/>
    <s v="ACTIVO"/>
  </r>
  <r>
    <d v="2025-05-06T00:00:00"/>
    <m/>
    <m/>
    <s v="MARTES"/>
    <s v="TU EMPRESA SEGURA"/>
    <s v="LUZ"/>
    <s v="JUAN FELIPE LÓPEZ OROZCO"/>
    <s v="Cédula de Ciudadanía"/>
    <n v="15356506"/>
    <s v="felipelopezorozco2020@gmail.com ,lopetransvolq@gmail.com"/>
    <n v="3136468404"/>
    <x v="15"/>
    <x v="15"/>
    <d v="2025-05-06T00:00:00"/>
    <s v="7:00AM"/>
    <n v="1"/>
    <n v="106666"/>
    <s v="SI"/>
    <s v="PLANEAR"/>
    <s v="2.5.1 Archivo o retención documental del Sistema de Gestión en Seguridad y Salud en el Trabajo SG-SST"/>
    <n v="2"/>
    <s v="la señora ana refiere que no a podido adelantar el numera 2.5.1 y no le a sido posible completar documento de responsables del sg-sst,HOY se realiza 10 diligenciamientos de documentos del 2.5.1 .enviara documentos de RUT,CAMARA Y COMERCIO ,ARL Y LOGO. "/>
    <d v="2025-05-30T00:00:00"/>
    <n v="24"/>
    <n v="5"/>
    <s v="ACTIVO"/>
  </r>
  <r>
    <d v="2025-05-13T00:00:00"/>
    <m/>
    <m/>
    <s v="MARTES"/>
    <s v="TU EMPRESA SEGURA"/>
    <s v="LUZ"/>
    <s v="JUAN FELIPE LÓPEZ OROZCO"/>
    <s v="Cédula de Ciudadanía"/>
    <n v="15356506"/>
    <s v="felipelopezorozco2020@gmail.com ,lopetransvolq@gmail.com"/>
    <n v="3136468404"/>
    <x v="15"/>
    <x v="15"/>
    <d v="2025-05-13T00:00:00"/>
    <s v="7:00AM"/>
    <n v="1"/>
    <n v="106666"/>
    <s v="SI"/>
    <s v="PLANEAR"/>
    <s v="1.1.4 Afiliación al Sistema General de Riesgos Laborales"/>
    <n v="0.5"/>
    <s v="se revisa y diligencia numeral 2.5.4 archivo documental , se revisa numeral 1.4.1 ,pendiente para la proxima conexion evaluacion inicial del sistema de gestion.."/>
    <d v="2025-05-30T00:00:00"/>
    <n v="17"/>
    <n v="5"/>
    <s v="ACTIVO"/>
  </r>
  <r>
    <d v="2025-05-20T00:00:00"/>
    <m/>
    <m/>
    <s v="MARTES"/>
    <s v="TU EMPRESA SEGURA"/>
    <s v="LUZ"/>
    <s v="JUAN FELIPE LÓPEZ OROZCO"/>
    <s v="Cédula de Ciudadanía"/>
    <n v="15356506"/>
    <s v="felipelopezorozco2020@gmail.com ,lopetransvolq@gmail.com"/>
    <n v="3136468404"/>
    <x v="15"/>
    <x v="15"/>
    <d v="2025-05-20T00:00:00"/>
    <s v="7:00AM"/>
    <n v="1"/>
    <n v="106666"/>
    <s v="SI"/>
    <s v="PLANEAR"/>
    <s v="2.1.1 Política del Sistema de Gestión de Seguridad y Salud en el Trabajo SG-SST firmada, fechada y comunicada al COPASST"/>
    <n v="1"/>
    <s v="Se termina el numeral 2.5.1 del planear,se inicia el del hacer,ya cuenta con calificacion del sistema (Cristian Gomez lo realizo),Solicita Doña ana compartirle documento para socializar la politica ,ES DECIR LISTA DE ASISTENCIA.SOLICITA GRABACION DEL TEMA DE HOY."/>
    <d v="2025-05-30T00:00:00"/>
    <n v="10"/>
    <n v="5"/>
    <s v="ACTIVO"/>
  </r>
  <r>
    <d v="2025-05-27T00:00:00"/>
    <m/>
    <m/>
    <s v="MARTES"/>
    <s v="TU EMPRESA SEGURA"/>
    <s v="LUZ"/>
    <s v="JUAN FELIPE LÓPEZ OROZCO"/>
    <s v="Cédula de Ciudadanía"/>
    <n v="15356506"/>
    <s v="felipelopezorozco2020@gmail.com ,lopetransvolq@gmail.com"/>
    <n v="3136468404"/>
    <x v="15"/>
    <x v="15"/>
    <d v="2025-05-27T00:00:00"/>
    <s v="7:00AM"/>
    <n v="1"/>
    <n v="106666"/>
    <s v="SI"/>
    <s v="PLANEAR"/>
    <s v="2.5.1 Archivo o retención documental del Sistema de Gestión en Seguridad y Salud en el Trabajo SG-SST"/>
    <n v="2"/>
    <s v="Se realiza digitacion del 2.5.1  del numeral del hacer,se realizara cronograma en proxima conexion,y solicita enviar grabacion."/>
    <d v="2025-05-30T00:00:00"/>
    <n v="3"/>
    <n v="5"/>
    <s v="ACTIVO"/>
  </r>
  <r>
    <d v="2025-06-03T00:00:00"/>
    <m/>
    <m/>
    <s v="MARTES"/>
    <s v="TU EMPRESA SEGURA"/>
    <s v="LUZ"/>
    <s v="JUAN FELIPE LÓPEZ OROZCO"/>
    <s v="Cédula de Ciudadanía"/>
    <n v="15356506"/>
    <s v="felipelopezorozco2020@gmail.com ,lopetransvolq@gmail.com"/>
    <n v="3136468404"/>
    <x v="15"/>
    <x v="15"/>
    <d v="2025-06-03T00:00:00"/>
    <s v="7:00AM"/>
    <n v="1"/>
    <n v="106666"/>
    <s v="SI"/>
    <s v="PLANEAR"/>
    <s v="1.0.2 Socialización SGSST"/>
    <n v="2"/>
    <s v="Fue dificil para ana maria continuar con el numeral 2.5.1,se termina ,se reliza politicas para socializar,se verifica afiliacion,perfilsociodemografico y el oferente ."/>
    <d v="2025-05-30T00:00:00"/>
    <n v="4"/>
    <n v="5"/>
    <s v="ACTIVO"/>
  </r>
  <r>
    <d v="2025-03-19T00:00:00"/>
    <s v="MARZO"/>
    <n v="3"/>
    <s v="MERCOLES "/>
    <s v="TU EMPRESA SEGURA"/>
    <s v="CRISTIAN"/>
    <s v="BRANDON YESID VELASQUEZ LOPEZ"/>
    <s v="Cédula de Ciudadanía"/>
    <n v="1013654370"/>
    <s v="Maderas.sanrafael@hotmail.com"/>
    <n v="3105299313"/>
    <x v="16"/>
    <x v="16"/>
    <d v="2025-03-19T00:00:00"/>
    <s v="02:00p. m."/>
    <n v="4"/>
    <n v="213000"/>
    <s v="SI"/>
    <s v="PLANEAR"/>
    <s v="1.0.0 Bienvenida"/>
    <n v="1"/>
    <s v="Bienvenida al programa, se le explica detalladamente en que consiste y la duración estimada, se Indica cómo firmar los términos y condiciones, se agenda la reunión periódica, semanal"/>
    <d v="2025-05-30T00:00:00"/>
    <n v="72"/>
    <n v="4"/>
    <s v="ACTIVO"/>
  </r>
  <r>
    <d v="2025-03-26T00:00:00"/>
    <m/>
    <m/>
    <s v="MIERCOLES "/>
    <s v="TU EMPRESA SEGURA"/>
    <s v="CRISTIAN"/>
    <s v="BRANDON YESID VELASQUEZ LOPEZ"/>
    <s v="Cédula de Ciudadanía"/>
    <n v="1013654370"/>
    <s v="Maderas.sanrafael@hotmail.com"/>
    <n v="3105299313"/>
    <x v="16"/>
    <x v="16"/>
    <d v="2025-03-26T00:00:00"/>
    <s v="02:00p. m."/>
    <n v="4"/>
    <n v="213000"/>
    <s v="NO"/>
    <s v="PLANEAR"/>
    <s v="0. No conexión"/>
    <n v="0"/>
    <s v="No hubo conexión ,COMIENZA CON luz elena el 8 de abril del 2025."/>
    <d v="2025-05-30T00:00:00"/>
    <n v="65"/>
    <n v="4"/>
    <s v="ACTIVO"/>
  </r>
  <r>
    <d v="2025-04-08T00:00:00"/>
    <m/>
    <m/>
    <s v="MARTES  "/>
    <s v="TU EMPRESA SEGURA"/>
    <s v="LUZ"/>
    <s v="BRANDON YESID VELASQUEZ LOPEZ"/>
    <s v="Cédula de Ciudadanía"/>
    <n v="1013654370"/>
    <s v="Maderas.sanrafael@hotmail.com"/>
    <n v="3105299313"/>
    <x v="16"/>
    <x v="16"/>
    <d v="2025-04-08T00:00:00"/>
    <s v="02:25p. m."/>
    <n v="4"/>
    <n v="213000"/>
    <s v="SI"/>
    <s v="PLANEAR"/>
    <s v="1.0.2 Socialización SGSST"/>
    <n v="2"/>
    <s v="Abril 8,Natalia se conecta y se le brinda charla del numeral 1 PLANEAR,el computador de la empresa esta en reparacion,hasta el momento le ha parecido facil el programa,solo tiene duda en el numeral 1.1.1 si ella lo puede implementar sin ser del area SST._x000a_Se activa "/>
    <d v="2025-05-30T00:00:00"/>
    <n v="52"/>
    <n v="4"/>
    <s v="ACTIVO"/>
  </r>
  <r>
    <d v="2025-04-15T00:00:00"/>
    <m/>
    <m/>
    <s v="MARTES  "/>
    <s v="TU EMPRESA SEGURA"/>
    <s v="LUZ"/>
    <s v="BRANDON YESID VELASQUEZ LOPEZ"/>
    <s v="Cédula de Ciudadanía"/>
    <n v="1013654370"/>
    <s v="Maderas.sanrafael@hotmail.com"/>
    <n v="3105299313"/>
    <x v="16"/>
    <x v="16"/>
    <d v="2025-04-15T00:00:00"/>
    <s v="02:25p. m."/>
    <n v="4"/>
    <n v="213000"/>
    <s v="SI"/>
    <s v="PLANEAR"/>
    <s v="1.0.2 Socialización SGSST"/>
    <n v="2"/>
    <s v="se contacta la empresa por medio de correo electronico para confirmar fecha y hora de conexión indica que esta bien y que le esta  llendo bien con la plataforma "/>
    <d v="2025-05-30T00:00:00"/>
    <n v="45"/>
    <n v="4"/>
    <s v="ACTIVO"/>
  </r>
  <r>
    <d v="2025-04-22T00:00:00"/>
    <m/>
    <m/>
    <s v="MARTES  "/>
    <s v="TU EMPRESA SEGURA"/>
    <s v="LUZ"/>
    <s v="BRANDON YESID VELASQUEZ LOPEZ"/>
    <s v="Cédula de Ciudadanía"/>
    <n v="1013654370"/>
    <s v="Maderas.sanrafael@hotmail.com"/>
    <s v="o"/>
    <x v="16"/>
    <x v="16"/>
    <d v="2025-06-06T00:00:00"/>
    <s v="02:25p. m."/>
    <n v="4"/>
    <n v="213000"/>
    <s v="SI"/>
    <s v="PLANEAR"/>
    <s v="1.0.2 Socialización SGSST"/>
    <n v="2"/>
    <s v="Abril 8,Natalia se conecta y se le brinda charla del numeral 1 PLANEAR,el computador de la empresa esta en reparacion,hasta el momento le ha parecido facil el programa,solo tiene duda en el numeral 1.1.1 si ella lo puede implementar sin ser del area SST._x000a_abril 15 no se pudo conectar por fuertes lluvias y sin internet en la empresa."/>
    <d v="2025-05-30T00:00:00"/>
    <n v="38"/>
    <n v="4"/>
    <s v="ACTIVO"/>
  </r>
  <r>
    <d v="2025-04-29T00:00:00"/>
    <m/>
    <m/>
    <s v="MARTES  "/>
    <s v="TU EMPRESA SEGURA"/>
    <s v="LUZ"/>
    <s v="BRANDON YESID VELASQUEZ LOPEZ"/>
    <s v="Cédula de Ciudadanía"/>
    <n v="1013654370"/>
    <s v="Maderas.sanrafael@hotmail.com"/>
    <n v="3105299313"/>
    <x v="16"/>
    <x v="16"/>
    <d v="2025-04-22T00:00:00"/>
    <s v="02:25p. m."/>
    <n v="4"/>
    <n v="213000"/>
    <s v="SI"/>
    <s v="PLANEAR"/>
    <s v="1.0.6 Diagnóstico del Sistema de Gestión de Seguridad y Salud en el Trabajo (SG-SST) 0312 DE 2019"/>
    <n v="2"/>
    <s v="Se actualiza informacion de la empresa ,pendiente enviar documentacion de rut,camara y comercio,la evaluacion inicial del sistema de gestion solo se realiza numeral 2.5.1"/>
    <d v="2025-05-30T00:00:00"/>
    <n v="31"/>
    <n v="4"/>
    <s v="ACTIVO"/>
  </r>
  <r>
    <d v="2025-05-06T00:00:00"/>
    <m/>
    <m/>
    <s v="MARTES  "/>
    <s v="TU EMPRESA SEGURA"/>
    <s v="LUZ"/>
    <s v="BRANDON YESID VELASQUEZ LOPEZ"/>
    <s v="Cédula de Ciudadanía"/>
    <n v="1013654370"/>
    <s v="Maderas.sanrafael@hotmail.com"/>
    <n v="3105299313"/>
    <x v="16"/>
    <x v="16"/>
    <d v="2025-04-29T00:00:00"/>
    <s v="02:25p. m."/>
    <n v="4"/>
    <n v="213000"/>
    <s v="SI"/>
    <s v="PLANEAR"/>
    <s v="1.0.6 Diagnóstico del Sistema de Gestión de Seguridad y Salud en el Trabajo (SG-SST) 0312 DE 2019"/>
    <n v="2"/>
    <s v="Envia pdf a correo con terminos y condiciones firmada,se realiza evaluacion inicial de diagnostico,CRITICO,en la proxima reunion se debe realizar cronograma d e actividades."/>
    <d v="2025-05-30T00:00:00"/>
    <n v="24"/>
    <n v="4"/>
    <s v="ACTIVO"/>
  </r>
  <r>
    <d v="2025-05-13T00:00:00"/>
    <m/>
    <m/>
    <s v="MARTES  "/>
    <s v="TU EMPRESA SEGURA"/>
    <s v="LUZ"/>
    <s v="BRANDON YESID VELASQUEZ LOPEZ"/>
    <s v="Cédula de Ciudadanía"/>
    <n v="1013654370"/>
    <s v="Maderas.sanrafael@hotmail.com"/>
    <n v="3105299313"/>
    <x v="16"/>
    <x v="16"/>
    <d v="2025-05-06T00:00:00"/>
    <s v="02:25p. m."/>
    <n v="4"/>
    <n v="213000"/>
    <s v="SI"/>
    <s v="PLANEAR"/>
    <s v="1.0.4 Acompañamiiento/Asesoría sobre SGSST"/>
    <n v="2"/>
    <s v="Se diligencia el documento de responsable sst,se realiza documentacion del 2.5.1,se revisa afiliacion,queda pendiente perfilsociodemografico.en la proxima reunion se realiza cronograma,politicas y recursos financieron."/>
    <d v="2025-05-30T00:00:00"/>
    <n v="17"/>
    <n v="4"/>
    <s v="ACTIVO"/>
  </r>
  <r>
    <d v="2025-05-20T00:00:00"/>
    <m/>
    <m/>
    <s v="MARTES  "/>
    <s v="TU EMPRESA SEGURA"/>
    <s v="LUZ"/>
    <s v="BRANDON YESID VELASQUEZ LOPEZ"/>
    <s v="Cédula de Ciudadanía"/>
    <n v="1013654370"/>
    <s v="Maderas.sanrafael@hotmail.com"/>
    <n v="3105299313"/>
    <x v="16"/>
    <x v="16"/>
    <d v="2025-05-13T00:00:00"/>
    <s v="02:25p. m."/>
    <n v="4"/>
    <n v="213000"/>
    <s v="CONEXIÓN AUTÓNOMA DE ANALISTA"/>
    <s v="PLANEAR"/>
    <s v="0. No conexión"/>
    <n v="0"/>
    <s v="Envia al correo analista21 ,que no fue posible conectarse,por temas laborales."/>
    <d v="2025-05-30T00:00:00"/>
    <n v="10"/>
    <n v="4"/>
    <s v="ACTIVO"/>
  </r>
  <r>
    <d v="2025-05-27T00:00:00"/>
    <m/>
    <m/>
    <s v="MARTES"/>
    <s v="TU EMPRESA SEGURA"/>
    <s v="LUZ"/>
    <s v="BRANDON YESID VELASQUEZ LOPEZ"/>
    <s v="Cédula de Ciudadanía"/>
    <n v="1013654370"/>
    <s v="Maderas.sanrafael@hotmail.com"/>
    <n v="3105299313"/>
    <x v="16"/>
    <x v="16"/>
    <d v="2025-05-20T00:00:00"/>
    <s v="02:25p. m."/>
    <n v="4"/>
    <n v="213000"/>
    <s v="CONEXIÓN AUTÓNOMA DE ANALISTA"/>
    <s v="PLANEAR"/>
    <s v="0. No conexión"/>
    <n v="0"/>
    <s v="Olvido conectarce"/>
    <d v="2025-05-30T00:00:00"/>
    <n v="3"/>
    <n v="4"/>
    <s v="ACTIVO"/>
  </r>
  <r>
    <d v="2025-06-03T00:00:00"/>
    <m/>
    <m/>
    <s v="MARTES  "/>
    <s v="TU EMPRESA SEGURA"/>
    <s v="LUZ"/>
    <s v="BRANDON YESID VELASQUEZ LOPEZ"/>
    <s v="Cédula de Ciudadanía"/>
    <n v="1013654370"/>
    <s v="Maderas.sanrafael@hotmail.com"/>
    <n v="3105299313"/>
    <x v="16"/>
    <x v="16"/>
    <d v="2025-05-27T00:00:00"/>
    <s v="02:25p. m."/>
    <n v="4"/>
    <n v="213000"/>
    <s v="SI"/>
    <s v="PLANEAR"/>
    <s v="2.5.1 Archivo o retención documental del Sistema de Gestión en Seguridad y Salud en el Trabajo SG-SST"/>
    <n v="2"/>
    <s v="se Verifica adelanto del hacer Numeral 2.5.1 y se termina todo lo documenta."/>
    <d v="2025-05-30T00:00:00"/>
    <n v="4"/>
    <n v="4"/>
    <s v="ACTIVO"/>
  </r>
  <r>
    <d v="2025-03-01T00:00:00"/>
    <s v="MARZO"/>
    <n v="3"/>
    <s v="JUEVES"/>
    <s v="TU EMPRESA SEGURA"/>
    <s v="LUZ"/>
    <s v="OLGA LUCIA LOPEZ ALVAREZ"/>
    <s v="Cédula de Ciudadanía"/>
    <n v="43862379"/>
    <s v="Asesorias@encontac.com"/>
    <n v="3147571005"/>
    <x v="17"/>
    <x v="17"/>
    <d v="2025-05-08T00:00:00"/>
    <m/>
    <n v="1"/>
    <n v="106666"/>
    <s v="SI"/>
    <s v="PLANEAR"/>
    <s v="1.1.1. Responsable del Sistema de Gestión de Seguridad y Salud en el Trabajo SG-SST"/>
    <n v="0.5"/>
    <s v="se realiza digitacion y explicacion de archivo,se le explica el perfilsociodemografica y queda como tarea,se revisa afiliaciones y documento de responsable del sistema."/>
    <d v="2025-05-30T00:00:00"/>
    <n v="90"/>
    <n v="2"/>
    <s v="ACTIVO"/>
  </r>
  <r>
    <d v="2025-04-24T00:00:00"/>
    <m/>
    <m/>
    <s v="JUEVES"/>
    <s v="TU EMPRESA SEGURA"/>
    <s v="LUZ"/>
    <s v="OLGA LUCIA LOPEZ ALVAREZ"/>
    <s v="Cédula de Ciudadanía"/>
    <n v="43862379"/>
    <s v="Asesorias@encontac.com"/>
    <n v="3147571005"/>
    <x v="17"/>
    <x v="17"/>
    <d v="2025-04-29T00:00:00"/>
    <m/>
    <n v="1"/>
    <n v="106666"/>
    <s v="SI"/>
    <s v="PLANEAR"/>
    <s v="1.0.1 Firma de Términos y Condiciones"/>
    <n v="1"/>
    <s v="se firma terminos y condiciones y envia pdf a correo,se le explica formato de planear y cada codigo de documentacion ,enviara rut y camara y comercio a correo."/>
    <d v="2025-05-30T00:00:00"/>
    <n v="36"/>
    <n v="2"/>
    <s v="ACTIVO"/>
  </r>
  <r>
    <d v="2025-03-08T00:00:00"/>
    <m/>
    <m/>
    <s v="JUEVES"/>
    <s v="TU EMPRESA SEGURA"/>
    <s v="LUZ"/>
    <s v="OLGA LUCIA LOPEZ ALVAREZ"/>
    <s v="Cédula de Ciudadanía"/>
    <n v="43862379"/>
    <s v="Asesorias@encontac.com"/>
    <n v="3147571005"/>
    <x v="17"/>
    <x v="17"/>
    <d v="2025-05-15T00:00:00"/>
    <m/>
    <n v="1"/>
    <n v="106666"/>
    <s v="NO"/>
    <s v="PLANEAR"/>
    <s v="0. No conexión"/>
    <n v="0"/>
    <s v="Se llamo via telefonica a doña olga   y refiere que su hermana es la encargada de conectarse el dia de hoy,que la llamaria ,se le escribe al whatsapp y no hay respuesta de doña olga ."/>
    <d v="2025-05-30T00:00:00"/>
    <n v="83"/>
    <n v="2"/>
    <s v="ACTIVO"/>
  </r>
  <r>
    <d v="2025-03-15T00:00:00"/>
    <m/>
    <m/>
    <s v="JUEVES"/>
    <s v="TU EMPRESA SEGURA"/>
    <s v="LUZ"/>
    <s v="OLGA LUCIA LOPEZ ALVAREZ"/>
    <s v="Cédula de Ciudadanía"/>
    <n v="43862379"/>
    <s v="Asesorias@encontac.com"/>
    <n v="3147571005"/>
    <x v="17"/>
    <x v="17"/>
    <d v="2025-05-22T00:00:00"/>
    <m/>
    <n v="1"/>
    <n v="106666"/>
    <s v="SI"/>
    <s v="PLANEAR"/>
    <s v="1.0.6 Diagnóstico del Sistema de Gestión de Seguridad y Salud en el Trabajo (SG-SST) 0312 DE 2019"/>
    <n v="2"/>
    <s v="Se conecto a los 10 minutos luego de la hora asignada,se realiza diagnostico y se revisa temas de afiliacion y archivo documental,donde no se ha subido evidencias,estamos en cero porque no es muy claro para ellas la plataforma y se les dificulta."/>
    <d v="2025-05-30T00:00:00"/>
    <n v="76"/>
    <n v="2"/>
    <s v="ACTIVO"/>
  </r>
  <r>
    <d v="2025-03-22T00:00:00"/>
    <m/>
    <m/>
    <s v="JUEVES"/>
    <s v="TU EMPRESA SEGURA"/>
    <s v="LUZ"/>
    <s v="OLGA LUCIA LOPEZ ALVAREZ"/>
    <s v="Cédula de Ciudadanía"/>
    <n v="43862379"/>
    <s v="Asesorias@encontac.com"/>
    <n v="3147571005"/>
    <x v="17"/>
    <x v="17"/>
    <d v="2025-05-29T00:00:00"/>
    <m/>
    <n v="1"/>
    <n v="106666"/>
    <s v="NO"/>
    <s v="PLANEAR"/>
    <s v="0. No conexión"/>
    <n v="0"/>
    <s v="Enviara correo no puede conectarse ."/>
    <d v="2025-05-30T00:00:00"/>
    <n v="69"/>
    <n v="2"/>
    <s v="ACTIVO"/>
  </r>
  <r>
    <d v="2025-03-29T00:00:00"/>
    <m/>
    <m/>
    <s v="JUEVES"/>
    <s v="TU EMPRESA SEGURA"/>
    <s v="LUZ"/>
    <s v="OLGA LUCIA LOPEZ ALVAREZ"/>
    <s v="Cédula de Ciudadanía"/>
    <n v="43862379"/>
    <s v="Asesorias@encontac.com"/>
    <n v="3147571005"/>
    <x v="17"/>
    <x v="17"/>
    <d v="2025-06-05T00:00:00"/>
    <m/>
    <n v="1"/>
    <n v="106666"/>
    <s v="NO"/>
    <s v="PLANEAR"/>
    <s v="0. No conexión"/>
    <n v="0"/>
    <s v="Solicita reprogramar para julio cuando salga de auditorias de empresas que maneja."/>
    <d v="2025-05-30T00:00:00"/>
    <n v="62"/>
    <n v="2"/>
    <s v="ACTIVO"/>
  </r>
  <r>
    <d v="2025-04-04T00:00:00"/>
    <s v="ABRIL"/>
    <n v="2"/>
    <s v="VIERNES "/>
    <s v="TU EMPRESA SEGURA"/>
    <s v="Juan Diego "/>
    <s v="CARLOS ALBERTO BEJARANO CAMACHO"/>
    <s v="Cédula de Ciudadanía"/>
    <n v="79291337"/>
    <s v="carlos.bejarano@prosolar.com.co"/>
    <n v="3104387811"/>
    <x v="18"/>
    <x v="18"/>
    <d v="2025-04-04T00:00:00"/>
    <s v="9:00a. m."/>
    <n v="2"/>
    <n v="106666"/>
    <s v="SI"/>
    <s v="PLANEAR"/>
    <s v="1.0.0 Bienvenida"/>
    <n v="1"/>
    <s v="el dia viernes 21 de marzo se llamo a la empresa para validar la llegada del correo electronico con el usuario y la contraseña a lo cual indicaron que si les llego y que no han tenido ningun inconveniente "/>
    <d v="2025-05-30T00:00:00"/>
    <n v="56"/>
    <n v="6"/>
    <s v="ACTIVO"/>
  </r>
  <r>
    <d v="2025-04-11T00:00:00"/>
    <m/>
    <m/>
    <s v="VIERNES "/>
    <s v="TU EMPRESA SEGURA"/>
    <s v="Juan Diego "/>
    <s v="CARLOS ALBERTO BEJARANO CAMACHO"/>
    <s v="Cédula de Ciudadanía"/>
    <n v="79291337"/>
    <s v="carlos.bejarano@prosolar.com.co"/>
    <n v="3104387811"/>
    <x v="18"/>
    <x v="18"/>
    <d v="2025-04-11T00:00:00"/>
    <s v="9:00a. m."/>
    <n v="2"/>
    <n v="106666"/>
    <s v="SI"/>
    <s v="PLANEAR"/>
    <s v="0. No conexión"/>
    <n v="0"/>
    <s v="se adelanta procedimiento de gestion documental y codificacion de listado maestro de documentos"/>
    <d v="2025-05-30T00:00:00"/>
    <n v="49"/>
    <n v="6"/>
    <s v="ACTIVO"/>
  </r>
  <r>
    <d v="2025-04-18T00:00:00"/>
    <m/>
    <m/>
    <s v="VIERNES "/>
    <s v="TU EMPRESA SEGURA"/>
    <s v="Juan Diego "/>
    <s v="CARLOS ALBERTO BEJARANO CAMACHO"/>
    <s v="Cédula de Ciudadanía"/>
    <n v="79291337"/>
    <s v="carlos.bejarano@prosolar.com.co"/>
    <n v="3104387811"/>
    <x v="18"/>
    <x v="18"/>
    <d v="2025-04-18T00:00:00"/>
    <s v="9:00a. m."/>
    <n v="2"/>
    <n v="106666"/>
    <s v="NO"/>
    <s v="PLANEAR"/>
    <s v="2.5.1 Archivo o retención documental del Sistema de Gestión en Seguridad y Salud en el Trabajo SG-SST"/>
    <n v="2"/>
    <s v="se organiza plantilla de evaluacion inicial y se empieza con la codificacion del listado maestro de documentos"/>
    <s v=" "/>
    <e v="#VALUE!"/>
    <n v="6"/>
    <s v="ACTIVO"/>
  </r>
  <r>
    <d v="2025-05-09T00:00:00"/>
    <m/>
    <m/>
    <s v="VIERNES "/>
    <s v="TU EMPRESA SEGURA"/>
    <s v="Juan Diego "/>
    <s v="CARLOS ALBERTO BEJARANO CAMACHO"/>
    <s v="Cédula de Ciudadanía"/>
    <n v="79291337"/>
    <s v="carlos.bejarano@prosolar.com.co"/>
    <n v="3104387811"/>
    <x v="18"/>
    <x v="18"/>
    <d v="2025-05-09T00:00:00"/>
    <s v="9:00a. m."/>
    <n v="2"/>
    <n v="106666"/>
    <s v="SI"/>
    <s v="PLANEAR"/>
    <s v="2.5.1 Archivo o retención documental del Sistema de Gestión en Seguridad y Salud en el Trabajo SG-SST"/>
    <n v="2"/>
    <s v="se continua con la  codificacion del listado maestro de documentos"/>
    <d v="2025-05-30T00:00:00"/>
    <n v="21"/>
    <n v="6"/>
    <s v="ACTIVO"/>
  </r>
  <r>
    <d v="2025-05-16T00:00:00"/>
    <m/>
    <m/>
    <s v="VIERNES "/>
    <s v="TU EMPRESA SEGURA"/>
    <s v="Juan Diego "/>
    <s v="CARLOS ALBERTO BEJARANO CAMACHO"/>
    <s v="Cédula de Ciudadanía"/>
    <n v="79291337"/>
    <s v="carlos.bejarano@prosolar.com.co"/>
    <n v="3104387811"/>
    <x v="18"/>
    <x v="18"/>
    <d v="2025-05-16T00:00:00"/>
    <s v="9:00a. m."/>
    <n v="2"/>
    <n v="106666"/>
    <s v="SI"/>
    <s v="PLANEAR"/>
    <s v="1.0.2 Socialización SGSST"/>
    <n v="2"/>
    <s v="Se solicita documentacion y se explica como registrar usuarios administradores en plataforma"/>
    <d v="2025-05-30T00:00:00"/>
    <n v="14"/>
    <n v="6"/>
    <s v="ACTIVO"/>
  </r>
  <r>
    <d v="2025-05-23T00:00:00"/>
    <m/>
    <m/>
    <s v="VIERNES "/>
    <s v="TU EMPRESA SEGURA"/>
    <s v="Juan Diego "/>
    <s v="CARLOS ALBERTO BEJARANO CAMACHO"/>
    <s v="Cédula de Ciudadanía"/>
    <n v="79291337"/>
    <s v="carlos.bejarano@prosolar.com.co"/>
    <n v="3104387811"/>
    <x v="18"/>
    <x v="18"/>
    <d v="2025-05-23T00:00:00"/>
    <s v="9:00a. m."/>
    <n v="2"/>
    <n v="106666"/>
    <s v="NO"/>
    <s v="PLANEAR"/>
    <s v="0.1 Trabajo autónomo analista en plataforma"/>
    <n v="0.5"/>
    <s v="le contacto para iniciar la reunion y me dice textualmente: &quot; hoy no puedo conectarme, tengo otra reunion. disculpa&quot;de inicia con la asignacion del responsable,asignacion d eresponsabilidades y se continua con el item de gestion documental"/>
    <d v="2025-05-30T00:00:00"/>
    <n v="7"/>
    <n v="6"/>
    <s v="ACTIVO"/>
  </r>
  <r>
    <d v="2025-05-30T00:00:00"/>
    <m/>
    <m/>
    <s v="VIERNES "/>
    <s v="TU EMPRESA SEGURA"/>
    <s v="Juan Diego "/>
    <s v="CARLOS ALBERTO BEJARANO CAMACHO"/>
    <s v="Cédula de Ciudadanía"/>
    <n v="79291337"/>
    <s v="carlos.bejarano@prosolar.com.co"/>
    <n v="3104387811"/>
    <x v="18"/>
    <x v="18"/>
    <d v="2025-05-30T00:00:00"/>
    <s v="9:00a. m."/>
    <n v="2"/>
    <n v="106666"/>
    <s v="SI"/>
    <s v="PLANEAR"/>
    <s v="1.1.1. Responsable del Sistema de Gestión de Seguridad y Salud en el Trabajo SG-SST"/>
    <n v="0.5"/>
    <s v="Se revisa pago de seguridad social, y se empieza a ingresar registro d epersonas en plataforma, se revisa responsable del sistema y asignacion de repsonsabilidades"/>
    <d v="2025-05-30T00:00:00"/>
    <n v="0"/>
    <n v="6"/>
    <s v="ACTIVO"/>
  </r>
  <r>
    <d v="2025-06-06T00:00:00"/>
    <m/>
    <m/>
    <s v="VIERNES "/>
    <s v="TU EMPRESA SEGURA"/>
    <s v="Juan Diego "/>
    <s v="CARLOS ALBERTO BEJARANO CAMACHO"/>
    <s v="Cédula de Ciudadanía"/>
    <n v="79291337"/>
    <s v="carlos.bejarano@prosolar.com.co"/>
    <n v="3104387811"/>
    <x v="18"/>
    <x v="18"/>
    <d v="2025-06-06T00:00:00"/>
    <s v="9:00a. m."/>
    <n v="2"/>
    <n v="106666"/>
    <s v="NO"/>
    <s v="PLANEAR"/>
    <s v="1.1.1. Responsable del Sistema de Gestión de Seguridad y Salud en el Trabajo SG-SST"/>
    <n v="0.5"/>
    <s v="Usuaria dice qe no se puede conectar porque tiene un mantenimiento remoto del equipo; se adelanta revision de asignacion de responsabilidades"/>
    <d v="2025-05-30T00:00:00"/>
    <n v="7"/>
    <n v="6"/>
    <s v="ACTIVO"/>
  </r>
  <r>
    <d v="2025-03-17T00:00:00"/>
    <s v="MARZO"/>
    <n v="3"/>
    <s v="LUNES"/>
    <s v="TU EMPRESA SEGURA"/>
    <s v="Cristhian"/>
    <s v="SAUL GÓMEZ JARAMILLO "/>
    <s v="Cédula de Ciudadanía"/>
    <n v="15384344"/>
    <s v="saul.gomez@hotmai.es"/>
    <n v="3148500297"/>
    <x v="19"/>
    <x v="19"/>
    <d v="2025-03-17T00:00:00"/>
    <s v="02:00p. m."/>
    <n v="2"/>
    <n v="106666"/>
    <s v="SI"/>
    <s v="PLANEAR"/>
    <s v="1.0.0 Bienvenida"/>
    <n v="1"/>
    <m/>
    <d v="2025-05-30T00:00:00"/>
    <n v="74"/>
    <n v="8"/>
    <s v="ACTIVO"/>
  </r>
  <r>
    <d v="2025-04-04T00:00:00"/>
    <m/>
    <m/>
    <s v="VIERNES "/>
    <s v="TU EMPRESA SEGURA"/>
    <s v="Cristhian"/>
    <s v="SAUL GÓMEZ JARAMILLO "/>
    <s v="Cédula de Ciudadanía"/>
    <n v="15384344"/>
    <s v="saul.gomez@hotmai.es"/>
    <n v="3148500297"/>
    <x v="19"/>
    <x v="19"/>
    <d v="2025-04-04T00:00:00"/>
    <s v="02:00p. m."/>
    <n v="2"/>
    <n v="106666"/>
    <s v="SI"/>
    <s v="PLANEAR"/>
    <s v="1.0.5 Diagnóstico de Madurez"/>
    <n v="3"/>
    <s v="Se reviso la firma de aceptación de términos y condiciones y se realizo el diagnostico de madurez"/>
    <d v="2025-05-30T00:00:00"/>
    <n v="56"/>
    <n v="8"/>
    <s v="ACTIVO"/>
  </r>
  <r>
    <d v="2025-04-11T00:00:00"/>
    <m/>
    <m/>
    <s v="VIERNES "/>
    <s v="TU EMPRESA SEGURA"/>
    <s v="Cristhian"/>
    <s v="SAUL GÓMEZ JARAMILLO "/>
    <s v="Cédula de Ciudadanía"/>
    <n v="15384344"/>
    <s v="saul.gomez@hotmai.es"/>
    <n v="3148500297"/>
    <x v="19"/>
    <x v="19"/>
    <d v="2025-04-11T00:00:00"/>
    <s v="02:00p. m."/>
    <n v="2"/>
    <n v="106666"/>
    <s v="SI"/>
    <s v="PLANEAR"/>
    <s v="1.0.6 Diagnóstico del Sistema de Gestión de Seguridad y Salud en el Trabajo (SG-SST) 0312 DE 2019"/>
    <n v="2"/>
    <s v="Se realizó la evaluación inicial del SG-SST"/>
    <d v="2025-05-30T00:00:00"/>
    <n v="49"/>
    <n v="8"/>
    <s v="ACTIVO"/>
  </r>
  <r>
    <d v="2025-04-22T00:00:00"/>
    <m/>
    <m/>
    <s v="MARTES"/>
    <s v="TU EMPRESA SEGURA"/>
    <s v="LUZ"/>
    <s v="SAUL GÓMEZ JARAMILLO "/>
    <s v="Cédula de Ciudadanía"/>
    <n v="15384344"/>
    <s v="saul.gomez@hotmai.es"/>
    <n v="3148500297"/>
    <x v="19"/>
    <x v="19"/>
    <d v="2025-04-22T00:00:00"/>
    <s v="3:55 p.m"/>
    <n v="2"/>
    <n v="106666"/>
    <s v="NO"/>
    <s v="PLANEAR"/>
    <s v="0. No conexión"/>
    <n v="0"/>
    <s v="El dia 22 de abril no se conecto el señor saul,se le envia mensaje por el whatsapp no lo responde ,se le realiza  llamada por celular y se va a buzon de voz."/>
    <d v="2025-05-30T00:00:00"/>
    <n v="38"/>
    <n v="8"/>
    <s v="ACTIVO"/>
  </r>
  <r>
    <d v="2025-04-29T00:00:00"/>
    <m/>
    <m/>
    <s v="MARTES"/>
    <s v="TU EMPRESA SEGURA"/>
    <s v="LUZ"/>
    <s v="SAUL GÓMEZ JARAMILLO "/>
    <s v="Cédula de Ciudadanía"/>
    <n v="15384344"/>
    <s v="saul.gomez@hotmai.es"/>
    <n v="3148500297"/>
    <x v="19"/>
    <x v="19"/>
    <d v="2025-04-29T00:00:00"/>
    <s v="3:55 p.m"/>
    <n v="2"/>
    <n v="106666"/>
    <s v="SI"/>
    <s v="PLANEAR"/>
    <s v="1.0.1 Firma de Términos y Condiciones"/>
    <n v="1"/>
    <s v="Firma de terminos y condiciones ,enviara documentos para actualizacion de empresa rut,camara y comercio etc."/>
    <d v="2025-05-30T00:00:00"/>
    <n v="31"/>
    <n v="8"/>
    <s v="ACTIVO"/>
  </r>
  <r>
    <d v="2025-05-06T00:00:00"/>
    <m/>
    <m/>
    <s v="MARTES"/>
    <s v="TU EMPRESA SEGURA"/>
    <s v="LUZ"/>
    <s v="SAUL GÓMEZ JARAMILLO "/>
    <s v="Cédula de Ciudadanía"/>
    <n v="15384344"/>
    <s v="saul.gomez@hotmai.es"/>
    <n v="3148500297"/>
    <x v="19"/>
    <x v="19"/>
    <d v="2025-05-06T00:00:00"/>
    <s v="3:55 p.m"/>
    <n v="2"/>
    <n v="106666"/>
    <s v="SI"/>
    <s v="PLANEAR"/>
    <s v="1.1.1. Responsable del Sistema de Gestión de Seguridad y Salud en el Trabajo SG-SST"/>
    <n v="0.5"/>
    <s v="se realiza diligenciamiento de algunos numerales de  archivo documental,se le deja como tarea de perfilsociodemografico,se diligenciamiento de responsable del sst."/>
    <d v="2025-05-30T00:00:00"/>
    <n v="24"/>
    <n v="8"/>
    <s v="ACTIVO"/>
  </r>
  <r>
    <d v="2025-05-13T00:00:00"/>
    <m/>
    <m/>
    <s v="MARTES"/>
    <s v="TU EMPRESA SEGURA"/>
    <s v="LUZ"/>
    <s v="SAUL GÓMEZ JARAMILLO "/>
    <s v="Cédula de Ciudadanía"/>
    <n v="15384344"/>
    <s v="saul.gomez@hotmai.es"/>
    <n v="3148500297"/>
    <x v="19"/>
    <x v="19"/>
    <d v="2025-05-13T00:00:00"/>
    <s v="3:55 p.m"/>
    <n v="2"/>
    <n v="106666"/>
    <s v="SI"/>
    <s v="PLANEAR"/>
    <s v="1.1.1. Responsable del Sistema de Gestión de Seguridad y Salud en el Trabajo SG-SST"/>
    <n v="0.5"/>
    <s v="se realiza diligenciamiento de algunos numerales de  archivo documental,se le deja como tarea de perfilsociodemografico,se diligenciamiento de responsable del sst."/>
    <d v="2025-05-30T00:00:00"/>
    <n v="17"/>
    <n v="8"/>
    <s v="ACTIVO"/>
  </r>
  <r>
    <d v="2025-05-20T00:00:00"/>
    <m/>
    <m/>
    <s v="MARTES"/>
    <s v="TU EMPRESA SEGURA"/>
    <s v="LUZ"/>
    <s v="SAUL GÓMEZ JARAMILLO "/>
    <s v="Cédula de Ciudadanía"/>
    <n v="15384344"/>
    <s v="saul.gomez@hotmai.es"/>
    <n v="3148500297"/>
    <x v="19"/>
    <x v="19"/>
    <d v="2025-05-20T00:00:00"/>
    <s v="3:55 p.m"/>
    <n v="2"/>
    <n v="106666"/>
    <s v="SI"/>
    <s v="PLANEAR"/>
    <s v="1.0.4 Acompañamiiento/Asesoría sobre SGSST"/>
    <n v="2"/>
    <s v="se realiza diligenciamiento de algunos numerales de  archivo documental,la señora que esta encargada no sabe manejar bien los pc,no fue posible montar el perfilsociodemografico."/>
    <d v="2025-05-30T00:00:00"/>
    <n v="10"/>
    <n v="8"/>
    <s v="ACTIVO"/>
  </r>
  <r>
    <d v="2025-05-27T00:00:00"/>
    <m/>
    <m/>
    <s v="MARTES"/>
    <s v="TU EMPRESA SEGURA"/>
    <s v="LUZ"/>
    <s v="SAUL GÓMEZ JARAMILLO "/>
    <s v="Cédula de Ciudadanía"/>
    <n v="15384344"/>
    <s v="saul.gomez@hotmai.es"/>
    <n v="3148500297"/>
    <x v="19"/>
    <x v="19"/>
    <d v="2025-05-27T00:00:00"/>
    <s v="3:55 p.m"/>
    <n v="2"/>
    <n v="106666"/>
    <s v="SI"/>
    <s v="PLANEAR"/>
    <s v="2.5.1 Archivo o retención documental del Sistema de Gestión en Seguridad y Salud en el Trabajo SG-SST"/>
    <n v="2"/>
    <s v="se realiza diligenciamiento del numeral documental del hacer,la señora tiene poco conocimiento en computadores."/>
    <d v="2025-05-30T00:00:00"/>
    <n v="3"/>
    <n v="8"/>
    <s v="ACTIVO"/>
  </r>
  <r>
    <d v="2025-06-03T00:00:00"/>
    <m/>
    <m/>
    <s v="MARTES"/>
    <s v="TU EMPRESA SEGURA"/>
    <s v="LUZ"/>
    <s v="SAUL GÓMEZ JARAMILLO "/>
    <s v="Cédula de Ciudadanía"/>
    <n v="15384344"/>
    <s v="saul.gomez@hotmai.es"/>
    <n v="3148500297"/>
    <x v="19"/>
    <x v="19"/>
    <d v="2025-06-03T00:00:00"/>
    <s v="3:55 p.m"/>
    <n v="2"/>
    <n v="106666"/>
    <s v="SI"/>
    <s v="PLANEAR"/>
    <s v="2.1.1 Política del Sistema de Gestión de Seguridad y Salud en el Trabajo SG-SST firmada, fechada y comunicada al COPASST"/>
    <n v="1"/>
    <s v="se realiza creacion de usuarios,firma de los mismos,firma de numeral 1.1.1 , se realiza numeral de politica y lo socializara,le queda como tarea subir numeral 1.1.4 y socializar politica,el perfil ok,se adelanta cronograma ."/>
    <d v="2025-05-30T00:00:00"/>
    <n v="4"/>
    <n v="8"/>
    <s v="ACTIVO"/>
  </r>
  <r>
    <d v="2025-03-08T00:00:00"/>
    <s v="MARZO"/>
    <n v="3"/>
    <s v="JUEVES"/>
    <s v="TU EMPRESA SEGURA"/>
    <s v="LUZ"/>
    <s v="MANDIRELIS FLOREZ MARIN"/>
    <s v="Cédula de Ciudadanía"/>
    <n v="39453906"/>
    <s v="mandy.f.m@hotmail.com"/>
    <n v="3128523870"/>
    <x v="20"/>
    <x v="20"/>
    <d v="2025-04-29T00:00:00"/>
    <s v="9:00a, m."/>
    <n v="2"/>
    <n v="106666"/>
    <s v="SI"/>
    <s v="PLANEAR"/>
    <s v="1.0.1 Firma de Términos y Condiciones"/>
    <n v="1"/>
    <s v="Se actualiza perfilsociodemografico,firma de terminos y condiciones,presentacion del programa."/>
    <d v="2025-05-30T00:00:00"/>
    <n v="83"/>
    <n v="23"/>
    <s v="ACTIVO"/>
  </r>
  <r>
    <d v="2025-04-24T00:00:00"/>
    <m/>
    <m/>
    <s v="JUEVES"/>
    <s v="TU EMPRESA SEGURA"/>
    <s v="LUZ"/>
    <s v="MANDIRELIS FLOREZ MARIN"/>
    <s v="Cédula de Ciudadanía"/>
    <n v="39453906"/>
    <s v="mandy.f.m@hotmail.com"/>
    <n v="3128523870"/>
    <x v="20"/>
    <x v="20"/>
    <s v=" 24/04/2025"/>
    <s v="9:00a, m."/>
    <n v="2"/>
    <n v="106666"/>
    <s v="SI"/>
    <s v="PLANEAR"/>
    <s v="1.0.4 Acompañamiiento/Asesoría sobre SGSST"/>
    <n v="2"/>
    <s v="Se reprograma por fuertes lluvias no hay internet y se le dificulta conectarse.el dia 29 de abril se actualiza perfil de empresa,firma de terminos y condiciones,presentacion del programa se le solicita rut,camara y comercio,logo de la empresa y afiliaciones EPS YARL."/>
    <d v="2025-05-30T00:00:00"/>
    <n v="36"/>
    <n v="23"/>
    <s v="ACTIVO"/>
  </r>
  <r>
    <d v="2025-03-15T00:00:00"/>
    <m/>
    <m/>
    <s v="JUEVES"/>
    <s v="TU EMPRESA SEGURA"/>
    <s v="LUZ"/>
    <s v="MANDIRELIS FLOREZ MARIN"/>
    <s v="Cédula de Ciudadanía"/>
    <n v="39453906"/>
    <s v="mandy.f.m@hotmail.com"/>
    <n v="3128523870"/>
    <x v="20"/>
    <x v="20"/>
    <d v="2025-05-13T00:00:00"/>
    <s v="9:00a, m."/>
    <n v="2"/>
    <n v="106666"/>
    <s v="NO"/>
    <s v="PLANEAR"/>
    <s v="1.0.0 Bienvenida"/>
    <n v="1"/>
    <s v="Bienvenida, Revisión de fechas para agenda de espacios,  la agenda del CRM de analista aparece como cliente los martes a la 1:50pm,pero en agenda de correo no existe y en agenda CRM de agenda extendida las fechas no concuerdan con calendario 2025."/>
    <d v="2025-05-30T00:00:00"/>
    <n v="76"/>
    <n v="23"/>
    <s v="ACTIVO"/>
  </r>
  <r>
    <d v="2025-03-22T00:00:00"/>
    <m/>
    <m/>
    <s v="JUEVES"/>
    <s v="TU EMPRESA SEGURA"/>
    <s v="LUZ"/>
    <s v="MANDIRELIS FLOREZ MARIN"/>
    <s v="Cédula de Ciudadanía"/>
    <n v="39453906"/>
    <s v="mandy.f.m@hotmail.com"/>
    <n v="3128523870"/>
    <x v="20"/>
    <x v="20"/>
    <d v="2025-05-20T00:00:00"/>
    <s v="9:00a, m."/>
    <n v="2"/>
    <n v="106666"/>
    <s v="NO"/>
    <s v="PLANEAR"/>
    <s v="1.0.4 Acompañamiiento/Asesoría sobre SGSST"/>
    <n v="2"/>
    <s v="Solicita via whatsapp que se cancele el beneficio por desolucion de empresa "/>
    <d v="2025-05-30T00:00:00"/>
    <n v="69"/>
    <n v="23"/>
    <s v="ACTIVO"/>
  </r>
  <r>
    <d v="2025-03-15T00:00:00"/>
    <s v="MARZO"/>
    <n v="3"/>
    <s v="JUEVES"/>
    <s v="TU EMPRESA SEGURA"/>
    <s v="LUZ"/>
    <s v="JAVIER IGNACIO GARCIA GARCIA"/>
    <s v="Cédula de Ciudadanía"/>
    <n v="15380272"/>
    <s v="teccons@hotmail.com"/>
    <n v="3113177651"/>
    <x v="21"/>
    <x v="21"/>
    <d v="2025-05-15T00:00:00"/>
    <s v="3:55p. m."/>
    <n v="5"/>
    <n v="213000"/>
    <s v="SI"/>
    <s v="PLANEAR"/>
    <s v="1.1.4 Afiliación al Sistema General de Riesgos Laborales"/>
    <n v="0.5"/>
    <s v="Se realiza el perfilsociodemografico,se le enviara correo de verificacion para montar el numeral 1.1.4."/>
    <d v="2025-05-30T00:00:00"/>
    <n v="76"/>
    <n v="2"/>
    <s v="ACTIVO"/>
  </r>
  <r>
    <d v="2025-03-28T00:00:00"/>
    <m/>
    <m/>
    <s v="VIERNES "/>
    <s v="TU EMPRESA SEGURA"/>
    <s v="Cristhian"/>
    <s v="JAVIER IGNACIO GARCIA GARCIA"/>
    <s v="Cédula de Ciudadanía"/>
    <n v="15380272"/>
    <s v="teccons@hotmail.com"/>
    <n v="3113177651"/>
    <x v="21"/>
    <x v="21"/>
    <d v="2025-03-28T00:00:00"/>
    <s v="3:55p. m."/>
    <n v="5"/>
    <n v="213000"/>
    <s v="SI"/>
    <s v="PLANEAR"/>
    <s v="1.0.0 Bienvenida"/>
    <n v="1"/>
    <s v="Bienvenida, el dia viernes 21 de marzo se llamo a la empresa para validar la llegada del correo electronico con el usuario y la contraseña a lo cual indicaron que si les llego y que no han tenido ningun inconveniente "/>
    <d v="2025-05-30T00:00:00"/>
    <n v="63"/>
    <n v="2"/>
    <s v="ACTIVO"/>
  </r>
  <r>
    <d v="2025-04-04T00:00:00"/>
    <m/>
    <m/>
    <s v="VIERNES "/>
    <s v="TU EMPRESA SEGURA"/>
    <s v="Cristhian"/>
    <s v="JAVIER IGNACIO GARCIA GARCIA"/>
    <s v="Cédula de Ciudadanía"/>
    <n v="15380272"/>
    <s v="teccons@hotmail.com"/>
    <n v="3113177651"/>
    <x v="21"/>
    <x v="21"/>
    <d v="2025-04-04T00:00:00"/>
    <s v="3:55p. m."/>
    <n v="5"/>
    <n v="213000"/>
    <s v="SI"/>
    <s v="PLANEAR"/>
    <s v="0. No conexión"/>
    <n v="0"/>
    <m/>
    <d v="2025-05-30T00:00:00"/>
    <n v="56"/>
    <n v="2"/>
    <s v="ACTIVO"/>
  </r>
  <r>
    <d v="2025-04-11T00:00:00"/>
    <m/>
    <m/>
    <s v="VIERNES "/>
    <s v="TU EMPRESA SEGURA"/>
    <s v="Cristhian"/>
    <s v="JAVIER IGNACIO GARCIA GARCIA"/>
    <s v="Cédula de Ciudadanía"/>
    <n v="15380272"/>
    <s v="teccons@hotmail.com"/>
    <n v="3113177651"/>
    <x v="21"/>
    <x v="21"/>
    <d v="2025-04-11T00:00:00"/>
    <s v="3:55p. m."/>
    <n v="5"/>
    <n v="213000"/>
    <s v="SI"/>
    <s v="PLANEAR"/>
    <s v="0. No conexión"/>
    <n v="0"/>
    <m/>
    <d v="2025-05-30T00:00:00"/>
    <n v="49"/>
    <n v="2"/>
    <s v="ACTIVO"/>
  </r>
  <r>
    <d v="2025-04-18T00:00:00"/>
    <m/>
    <m/>
    <s v="VIERNES "/>
    <s v="TU EMPRESA SEGURA"/>
    <s v="LUZ"/>
    <s v="JAVIER IGNACIO GARCIA GARCIA"/>
    <s v="Cédula de Ciudadanía"/>
    <n v="15380272"/>
    <s v="teccons@hotmail.com"/>
    <n v="3113177651"/>
    <x v="21"/>
    <x v="21"/>
    <d v="2025-04-18T00:00:00"/>
    <s v="3:55p. m."/>
    <n v="5"/>
    <n v="213000"/>
    <s v="NO"/>
    <s v="PLANEAR"/>
    <s v="1.0.4 Acompañamiiento/Asesoría sobre SGSST"/>
    <n v="2"/>
    <s v="Empieza Ccon Luz estrada el 24 de abril del 2025,antes estaba con otro analista."/>
    <d v="2025-05-30T00:00:00"/>
    <n v="42"/>
    <n v="2"/>
    <s v="ACTIVO"/>
  </r>
  <r>
    <d v="2025-04-24T00:00:00"/>
    <m/>
    <m/>
    <s v="JUEVES"/>
    <s v="TU EMPRESA SEGURA"/>
    <s v="LUZ"/>
    <s v="JAVIER IGNACIO GARCIA GARCIA"/>
    <s v="Cédula de Ciudadanía"/>
    <n v="15380272"/>
    <s v="teccons@hotmail.com"/>
    <n v="3113177651"/>
    <x v="21"/>
    <x v="21"/>
    <s v=" 24/04/2025"/>
    <s v="3:55p. m."/>
    <n v="5"/>
    <n v="213000"/>
    <s v="SI"/>
    <s v="PLANEAR"/>
    <s v="1.0.1 Firma de Términos y Condiciones"/>
    <n v="1"/>
    <s v="Ya cuenta con terminos y condiciones firmado,cuenta con contraseñay usuario,PENDIENTE POR ENVIIAR :Rut camara y comercio,rut,afiliacion a EPS y ARL ,Logo de la empresa."/>
    <d v="2025-05-30T00:00:00"/>
    <n v="36"/>
    <n v="2"/>
    <s v="ACTIVO"/>
  </r>
  <r>
    <d v="2025-03-08T00:00:00"/>
    <m/>
    <m/>
    <s v="JUEVES"/>
    <s v="TU EMPRESA SEGURA"/>
    <s v="LUZ"/>
    <s v="JAVIER IGNACIO GARCIA GARCIA"/>
    <s v="Cédula de Ciudadanía"/>
    <n v="15380272"/>
    <s v="teccons@hotmail.com"/>
    <n v="3113177651"/>
    <x v="21"/>
    <x v="21"/>
    <d v="2025-05-08T00:00:00"/>
    <s v="3:55p. m."/>
    <n v="5"/>
    <n v="213000"/>
    <s v="SI"/>
    <s v="PLANEAR"/>
    <s v="1.1.4 Afiliación al Sistema General de Riesgos Laborales"/>
    <n v="0.5"/>
    <s v="Se realiza revision de terminos y condiciones,se explica tema de 1.4.1 ."/>
    <d v="2025-05-30T00:00:00"/>
    <n v="83"/>
    <n v="2"/>
    <s v="ACTIVO"/>
  </r>
  <r>
    <d v="2025-03-22T00:00:00"/>
    <m/>
    <m/>
    <s v="JUEVES"/>
    <s v="TU EMPRESA SEGURA"/>
    <s v="LUZ"/>
    <s v="JAVIER IGNACIO GARCIA GARCIA"/>
    <s v="Cédula de Ciudadanía"/>
    <n v="15380272"/>
    <s v="teccons@hotmail.com"/>
    <n v="3113177651"/>
    <x v="21"/>
    <x v="21"/>
    <d v="2025-05-22T00:00:00"/>
    <s v="3:55p. m."/>
    <n v="5"/>
    <n v="213000"/>
    <s v="NO"/>
    <s v="PLANEAR"/>
    <s v="0. No conexión"/>
    <n v="0"/>
    <s v="Esta indispuesto de igual forma la grabacion se llevo acabo y se sube el reporte de su mensaje por medio de Whatsapp."/>
    <d v="2025-05-30T00:00:00"/>
    <n v="69"/>
    <n v="2"/>
    <s v="ACTIVO"/>
  </r>
  <r>
    <d v="2025-03-29T00:00:00"/>
    <m/>
    <m/>
    <s v="JUEVES"/>
    <s v="TU EMPRESA SEGURA"/>
    <s v="LUZ"/>
    <s v="JAVIER IGNACIO GARCIA GARCIA"/>
    <s v="Cédula de Ciudadanía"/>
    <n v="15380272"/>
    <s v="teccons@hotmail.com"/>
    <n v="3113177651"/>
    <x v="21"/>
    <x v="21"/>
    <d v="2025-05-29T00:00:00"/>
    <s v="3:55p. m."/>
    <n v="5"/>
    <n v="213000"/>
    <s v="SI"/>
    <s v="PLANEAR"/>
    <s v="1.0.6 Diagnóstico del Sistema de Gestión de Seguridad y Salud en el Trabajo (SG-SST) 0312 DE 2019"/>
    <n v="2"/>
    <s v="Se realiza la evaluacion inicial CRITICO,se solicita documentos de rut,camara y comercio y terminos y condiciones en PDF."/>
    <d v="2025-05-30T00:00:00"/>
    <n v="62"/>
    <n v="2"/>
    <s v="ACTIVO"/>
  </r>
  <r>
    <d v="2025-05-06T00:00:00"/>
    <m/>
    <m/>
    <s v="JUEVES"/>
    <s v="TU EMPRESA SEGURA"/>
    <s v="LUZ"/>
    <s v="JAVIER IGNACIO GARCIA GARCIA"/>
    <s v="Cédula de Ciudadanía"/>
    <n v="15380272"/>
    <s v="teccons@hotmail.com"/>
    <n v="3113177651"/>
    <x v="21"/>
    <x v="21"/>
    <d v="2025-06-05T00:00:00"/>
    <s v="3:55p. m."/>
    <n v="5"/>
    <n v="213000"/>
    <s v="NO"/>
    <s v="PLANEAR"/>
    <s v="1.0.9 Savanna Ruta de Bienestar "/>
    <n v="4"/>
    <s v="refiere que tiene cita medica y no le daria para la conexion,enviara correo."/>
    <d v="2025-05-30T00:00:00"/>
    <n v="24"/>
    <n v="2"/>
    <s v="ACTIVO"/>
  </r>
  <r>
    <d v="2025-06-05T00:00:00"/>
    <m/>
    <m/>
    <s v="JUEVES"/>
    <s v="TU EMPRESA SEGURA"/>
    <s v="LUZ"/>
    <s v="JAVIER IGNACIO GARCIA GARCIA"/>
    <s v="Cédula de Ciudadanía"/>
    <n v="15380272"/>
    <s v="teccons@hotmail.com"/>
    <n v="3113177651"/>
    <x v="21"/>
    <x v="21"/>
    <d v="2025-06-05T00:00:00"/>
    <s v="3:55p. m."/>
    <n v="5"/>
    <n v="213000"/>
    <s v="CONEXIÓN AUTÓNOMA DE ANALISTA"/>
    <s v="PLANEAR"/>
    <s v="2.5.1 Archivo o retención documental del Sistema de Gestión en Seguridad y Salud en el Trabajo SG-SST"/>
    <n v="2"/>
    <s v="refiere que tiene cita medica y no le daria para la conexion,enviara correo."/>
    <d v="2025-05-30T00:00:00"/>
    <n v="6"/>
    <n v="2"/>
    <s v="ACTIVO"/>
  </r>
  <r>
    <d v="2025-03-01T00:00:00"/>
    <s v="MARZO"/>
    <n v="3"/>
    <s v="JUEVES"/>
    <s v="TU EMPRESA SEGURA"/>
    <s v="LUZ"/>
    <s v="YURANI ANDREA MADRID MORALES "/>
    <s v="Cédula de Ciudadanía"/>
    <n v="1039681747"/>
    <s v="Yurandra198720@gmail.com"/>
    <n v="3136884875"/>
    <x v="22"/>
    <x v="22"/>
    <d v="2025-05-08T00:00:00"/>
    <s v="7:15 a.m"/>
    <n v="3"/>
    <n v="106666"/>
    <s v="SI"/>
    <s v="PLANEAR"/>
    <s v="1.1.1. Responsable del Sistema de Gestión de Seguridad y Salud en el Trabajo SG-SST"/>
    <n v="0.5"/>
    <s v="Se diligencia responsabilidades,se adelanta tema de archivo documental,se envia correo de como montar evidencia de afiliacion,como realizar el perfilsociodemografico."/>
    <d v="2025-05-30T00:00:00"/>
    <n v="90"/>
    <n v="4"/>
    <s v="ACTIVO"/>
  </r>
  <r>
    <d v="2025-04-24T00:00:00"/>
    <m/>
    <m/>
    <s v="JUEVES"/>
    <s v="TU EMPRESA SEGURA"/>
    <s v="LUZ"/>
    <s v="YURANI ANDREA MADRID MORALES "/>
    <s v="Cédula de Ciudadanía"/>
    <n v="1039681747"/>
    <s v="Yurandra198720@gmail.com"/>
    <n v="3136884875"/>
    <x v="22"/>
    <x v="22"/>
    <s v=" 24/04/2025"/>
    <s v="7:15 a.m"/>
    <n v="3"/>
    <n v="106666"/>
    <s v="SI"/>
    <s v="PLANEAR"/>
    <s v="1.0.0 Bienvenida"/>
    <n v="1"/>
    <s v="se reprograma 24-04-2025 2.25pm,Este encuentro se trato de como funciona la plataforma desde mi usuario(luz)ella no contaba con contraseña,debe firmar terminos y condiciones y actualizar empresa."/>
    <d v="2025-05-30T00:00:00"/>
    <n v="36"/>
    <n v="4"/>
    <s v="ACTIVO"/>
  </r>
  <r>
    <d v="2025-03-08T00:00:00"/>
    <m/>
    <m/>
    <s v="JUEVES"/>
    <s v="TU EMPRESA SEGURA"/>
    <s v="LUZ"/>
    <s v="YURANI ANDREA MADRID MORALES "/>
    <s v="Cédula de Ciudadanía"/>
    <n v="1039681747"/>
    <s v="Yurandra198720@gmail.com"/>
    <n v="3136884875"/>
    <x v="22"/>
    <x v="22"/>
    <d v="2025-05-15T00:00:00"/>
    <s v="7:15 a.m"/>
    <n v="3"/>
    <n v="106666"/>
    <s v="SI"/>
    <s v="PLANEAR"/>
    <s v="2.5.1 Archivo o retención documental del Sistema de Gestión en Seguridad y Salud en el Trabajo SG-SST"/>
    <n v="2"/>
    <s v="La señora yurani refiere que es anciosa y por ende no entendio mucho el correo de subir evidencias y se adelanto tema archivo documental se termina todo el planear."/>
    <d v="2025-05-30T00:00:00"/>
    <n v="83"/>
    <n v="4"/>
    <s v="ACTIVO"/>
  </r>
  <r>
    <d v="2025-03-15T00:00:00"/>
    <m/>
    <m/>
    <s v="JUEVES"/>
    <s v="TU EMPRESA SEGURA"/>
    <s v="LUZ"/>
    <s v="YURANI ANDREA MADRID MORALES "/>
    <s v="Cédula de Ciudadanía"/>
    <n v="1039681747"/>
    <s v="Yurandra198720@gmail.com"/>
    <n v="3136884875"/>
    <x v="22"/>
    <x v="22"/>
    <d v="2025-05-22T00:00:00"/>
    <s v="7:15 a.m"/>
    <n v="3"/>
    <n v="106666"/>
    <s v="SI"/>
    <s v="PLANEAR"/>
    <s v="1.0.1 Firma de Términos y Condiciones"/>
    <n v="1"/>
    <s v="Se firman terminos y condiciones y nos envia PDF,se actualiza empresa y documentacion,se realiza evaluacion inicial(CRITICO)"/>
    <d v="2025-05-30T00:00:00"/>
    <n v="76"/>
    <n v="4"/>
    <s v="ACTIVO"/>
  </r>
  <r>
    <d v="2025-03-22T00:00:00"/>
    <m/>
    <m/>
    <s v="JUEVES"/>
    <s v="TU EMPRESA SEGURA"/>
    <s v="LUZ"/>
    <s v="YURANI ANDREA MADRID MORALES "/>
    <s v="Cédula de Ciudadanía"/>
    <n v="1039681747"/>
    <s v="Yurandra198720@gmail.com"/>
    <n v="3136884875"/>
    <x v="22"/>
    <x v="22"/>
    <d v="2025-05-29T00:00:00"/>
    <s v="7:15 a.m"/>
    <n v="3"/>
    <n v="106666"/>
    <s v="SI"/>
    <s v="PLANEAR"/>
    <s v="1.1.1. Responsable del Sistema de Gestión de Seguridad y Salud en el Trabajo SG-SST"/>
    <n v="0.5"/>
    <s v="Se reporgrama para EL 30 DE MAYO una exepcion por temas electricos del dia enterior en sistergra,se realiza 2.5.1 no es claro para ella documentar,compartir terminos y condiciones por correo,firma de responsable y funciones,firma de politica y porceder a divulgar,subir firma al sistema,actualizacion de datos."/>
    <d v="2025-05-30T00:00:00"/>
    <n v="69"/>
    <n v="4"/>
    <s v="ACTIVO"/>
  </r>
  <r>
    <d v="2025-03-22T00:00:00"/>
    <m/>
    <m/>
    <s v="JUEVES"/>
    <s v="TU EMPRESA SEGURA"/>
    <s v="LUZ"/>
    <s v="YURANI ANDREA MADRID MORALES "/>
    <s v="Cédula de Ciudadanía"/>
    <n v="1039681747"/>
    <s v="Yurandra198720@gmail.com"/>
    <n v="3136884875"/>
    <x v="22"/>
    <x v="22"/>
    <d v="2025-05-29T00:00:00"/>
    <s v="7:15 a.m"/>
    <n v="3"/>
    <n v="106666"/>
    <s v="SI"/>
    <s v="PLANEAR"/>
    <s v="2.1.1 Política del Sistema de Gestión de Seguridad y Salud en el Trabajo SG-SST firmada, fechada y comunicada al COPASST"/>
    <n v="1"/>
    <s v="Se reporgrama para EL 30 DE MAYO una exepcion por temas electricos del dia enterior en sistergra,se realiza 2.5.1 no es claro para ella documentar,compartir terminos y condiciones por correo,firma de responsable y funciones,firma de politica y porceder a divulgar,subir firma al sistema,actualizacion de datos."/>
    <d v="2025-05-30T00:00:00"/>
    <n v="69"/>
    <n v="4"/>
    <s v="ACTIVO"/>
  </r>
  <r>
    <d v="2025-03-29T00:00:00"/>
    <m/>
    <m/>
    <s v="JUEVES"/>
    <s v="TU EMPRESA SEGURA"/>
    <s v="LUZ"/>
    <s v="YURANI ANDREA MADRID MORALES "/>
    <s v="Cédula de Ciudadanía"/>
    <n v="1039681747"/>
    <s v="Yurandra198720@gmail.com"/>
    <n v="3136884875"/>
    <x v="22"/>
    <x v="22"/>
    <d v="2025-06-05T00:00:00"/>
    <s v="7:15 a.m"/>
    <n v="3"/>
    <n v="106666"/>
    <s v="SI"/>
    <s v="PLANEAR"/>
    <s v="2.5.1 Archivo o retención documental del Sistema de Gestión en Seguridad y Salud en el Trabajo SG-SST"/>
    <n v="2"/>
    <s v="le queda como tarea realizar el perfil,modificar el 2.5.1 del planear,socializar la politica y actualizar datos,se realiza socializacion del cronograma de trabajo segun la 0312."/>
    <d v="2025-05-30T00:00:00"/>
    <n v="62"/>
    <n v="4"/>
    <s v="ACTIVO"/>
  </r>
  <r>
    <d v="2025-03-26T00:00:00"/>
    <s v="MARZO"/>
    <n v="3"/>
    <s v="MIERCOLES"/>
    <s v="TU EMPRESA SEGURA"/>
    <s v="Cristhian"/>
    <s v="SANDRA MILENA ARANGO JARAMILLO"/>
    <s v="Cédula de Ciudadanía"/>
    <n v="39189386"/>
    <s v="sandra.arango@urantus.com"/>
    <n v="3022152280"/>
    <x v="23"/>
    <x v="23"/>
    <d v="2025-03-26T00:00:00"/>
    <s v="9:00AM"/>
    <n v="5"/>
    <n v="213000"/>
    <s v="SI"/>
    <s v="PLANEAR"/>
    <s v="1.0.0 Bienvenida"/>
    <n v="1"/>
    <s v="Bienvenida al programa, se le explica detalladamente en que consiste y la duración estimada, se Indica cómo firmar los términos y condiciones, se agenda la reunión periódica, semanal, los viernes de 10:40 a 11:25Am "/>
    <d v="2025-05-30T00:00:00"/>
    <n v="65"/>
    <n v="9"/>
    <s v="ACTIVO"/>
  </r>
  <r>
    <d v="2025-03-28T00:00:00"/>
    <m/>
    <m/>
    <s v="VIERNES "/>
    <s v="TU EMPRESA SEGURA"/>
    <s v="Cristhian"/>
    <s v="SANDRA MILENA ARANGO JARAMILLO"/>
    <s v="Cédula de Ciudadanía"/>
    <n v="39189386"/>
    <s v="sandra.arango@urantus.com"/>
    <n v="3022152280"/>
    <x v="23"/>
    <x v="23"/>
    <d v="2025-03-28T00:00:00"/>
    <d v="1899-12-30T10:40:00"/>
    <n v="5"/>
    <n v="213000"/>
    <s v="SI"/>
    <s v="PLANEAR"/>
    <s v="1.0.1 Firma de Términos y Condiciones"/>
    <n v="1"/>
    <s v="Se reviso la firma de aceptación de términos y condiciones y se inicia el diagnostico de madurez"/>
    <d v="2025-05-30T00:00:00"/>
    <n v="63"/>
    <n v="9"/>
    <s v="ACTIVO"/>
  </r>
  <r>
    <d v="2025-04-04T00:00:00"/>
    <m/>
    <m/>
    <s v="VIERNES "/>
    <s v="TU EMPRESA SEGURA"/>
    <s v="Cristhian"/>
    <s v="SANDRA MILENA ARANGO JARAMILLO"/>
    <s v="Cédula de Ciudadanía"/>
    <n v="39189386"/>
    <s v="sandra.arango@urantus.com"/>
    <n v="3022152280"/>
    <x v="23"/>
    <x v="23"/>
    <d v="2025-04-04T00:00:00"/>
    <d v="1899-12-30T10:40:00"/>
    <n v="5"/>
    <n v="213000"/>
    <s v="SI"/>
    <s v="PLANEAR"/>
    <s v="1.0.5 Diagnóstico de Madurez"/>
    <n v="3"/>
    <s v="Se aclaran dudas sobre el diagnostico de madurez, se avanza, se retrasa mucho el avance ya que la señora realiza preguntas sobre cada ITEM"/>
    <d v="2025-05-30T00:00:00"/>
    <n v="56"/>
    <n v="9"/>
    <s v="ACTIVO"/>
  </r>
  <r>
    <d v="2025-04-11T00:00:00"/>
    <m/>
    <m/>
    <s v="VIERNES "/>
    <s v="TU EMPRESA SEGURA"/>
    <s v="Cristhian"/>
    <s v="SANDRA MILENA ARANGO JARAMILLO"/>
    <s v="Cédula de Ciudadanía"/>
    <n v="39189386"/>
    <s v="sandra.arango@urantus.com"/>
    <n v="3022152280"/>
    <x v="23"/>
    <x v="23"/>
    <d v="2025-04-11T00:00:00"/>
    <d v="1899-12-30T10:40:00"/>
    <n v="5"/>
    <n v="213000"/>
    <s v="SI"/>
    <s v="PLANEAR"/>
    <s v="1.0.5 Diagnóstico de Madurez"/>
    <n v="3"/>
    <s v="Finalmente culmina el diagnostico ya que la señora presentaba inquietudes en cada uno de los items de la ultima encuesta del diagnostico"/>
    <d v="2025-05-30T00:00:00"/>
    <n v="49"/>
    <n v="9"/>
    <s v="ACTIVO"/>
  </r>
  <r>
    <d v="2025-04-24T00:00:00"/>
    <m/>
    <m/>
    <s v="JUEVES"/>
    <s v="TU EMPRESA SEGURA"/>
    <s v="LUZ"/>
    <s v="SANDRA MILENA ARANGO JARAMILLO"/>
    <s v="Cédula de Ciudadanía"/>
    <n v="39189386"/>
    <s v="sandra.arango@urantus.com"/>
    <n v="3022152280"/>
    <x v="23"/>
    <x v="23"/>
    <d v="2025-04-24T00:00:00"/>
    <s v="11:30 a.m"/>
    <n v="5"/>
    <n v="213000"/>
    <s v="SI"/>
    <s v="PLANEAR"/>
    <s v="2.5.1 Archivo o retención documental del Sistema de Gestión en Seguridad y Salud en el Trabajo SG-SST"/>
    <n v="2"/>
    <s v="La señora sandra informa que con el analista cristian,realizo firma en documento de terminos y condiciones y se le brindo la informacion del programa de TU EMPRESA SEGURA,Hoy 24 de abril se le realiza actualizacion de la empresa,se le solicita documentos de rut,camara y comercio ,logo,arl,eps,se le informa la importancia de la codificacion de documentos y el numeral 2.5.1.ELLA SOLICITA DOCUMENTOS FISICOS PORQUE NO ES DEL AREA DE SST,ENTONCES NO LE ES FACIL ENTENDER LOS PROCESOS."/>
    <d v="2025-05-30T00:00:00"/>
    <n v="36"/>
    <n v="9"/>
    <s v="ACTIVO"/>
  </r>
  <r>
    <d v="2025-04-28T00:00:00"/>
    <m/>
    <m/>
    <s v="JUEVES"/>
    <s v="TU EMPRESA SEGURA"/>
    <s v="LUZ"/>
    <s v="SANDRA MILENA ARANGO JARAMILLO"/>
    <s v="Cédula de Ciudadanía"/>
    <n v="39189386"/>
    <s v="sandra.arango@urantus.com"/>
    <n v="3022152280"/>
    <x v="23"/>
    <x v="23"/>
    <d v="2025-04-28T00:00:00"/>
    <m/>
    <n v="5"/>
    <n v="213000"/>
    <s v="NO"/>
    <s v="PLANEAR"/>
    <s v="0. No conexión Savanna"/>
    <n v="0"/>
    <s v="Festivo"/>
    <d v="2025-05-30T00:00:00"/>
    <n v="32"/>
    <n v="9"/>
    <s v="ACTIVO"/>
  </r>
  <r>
    <d v="2025-05-01T00:00:00"/>
    <m/>
    <m/>
    <s v="JUEVES"/>
    <s v="TU EMPRESA SEGURA"/>
    <s v="LUZ"/>
    <s v="SANDRA MILENA ARANGO JARAMILLO"/>
    <s v="Cédula de Ciudadanía"/>
    <n v="39189386"/>
    <s v="sandra.arango@urantus.com"/>
    <n v="3022152280"/>
    <x v="23"/>
    <x v="23"/>
    <d v="2025-05-01T00:00:00"/>
    <s v="11:30 a.m"/>
    <n v="5"/>
    <n v="213000"/>
    <s v="NO"/>
    <s v="PLANEAR"/>
    <s v="0. No conexión"/>
    <n v="0"/>
    <s v="Festivo"/>
    <d v="2025-05-30T00:00:00"/>
    <n v="29"/>
    <n v="9"/>
    <s v="ACTIVO"/>
  </r>
  <r>
    <d v="2025-05-08T00:00:00"/>
    <m/>
    <m/>
    <s v="JUEVES"/>
    <s v="TU EMPRESA SEGURA"/>
    <s v="LUZ"/>
    <s v="SANDRA MILENA ARANGO JARAMILLO"/>
    <s v="Cédula de Ciudadanía"/>
    <n v="39189386"/>
    <s v="sandra.arango@urantus.com"/>
    <n v="3022152280"/>
    <x v="23"/>
    <x v="23"/>
    <d v="2025-05-08T00:00:00"/>
    <s v="11:30 a.m"/>
    <n v="5"/>
    <n v="213000"/>
    <s v="SI"/>
    <s v="PLANEAR"/>
    <s v="1.1.1. Responsable del Sistema de Gestión de Seguridad y Salud en el Trabajo SG-SST"/>
    <n v="0.5"/>
    <s v="Se reprogramo para el dia 9 de mayo por temas de salud de la señora,se brinda asesoria de responsabilidades sg-sst,se diligencian algunos documentos de archivo documental,se deja como tarea el perfilsociodemografico. "/>
    <d v="2025-05-30T00:00:00"/>
    <n v="22"/>
    <n v="9"/>
    <s v="ACTIVO"/>
  </r>
  <r>
    <d v="2025-05-15T00:00:00"/>
    <m/>
    <m/>
    <s v="JUEVES"/>
    <s v="TU EMPRESA SEGURA"/>
    <s v="LUZ"/>
    <s v="SANDRA MILENA ARANGO JARAMILLO"/>
    <s v="Cédula de Ciudadanía"/>
    <n v="39189386"/>
    <s v="sandra.arango@urantus.com"/>
    <n v="3022152280"/>
    <x v="23"/>
    <x v="23"/>
    <d v="2025-05-15T00:00:00"/>
    <s v="11:30 a.m"/>
    <n v="5"/>
    <n v="213000"/>
    <s v="SI"/>
    <s v="PLANEAR"/>
    <s v="2.5.1 Archivo o retención documental del Sistema de Gestión en Seguridad y Salud en el Trabajo SG-SST"/>
    <n v="2"/>
    <s v="Se realiza numeral 2.5.1 ,solicita tutorial para realizar usuarios y firmas,ya realizo todos los documentos del copasst, pendiente evaluacion inicial."/>
    <d v="2025-05-30T00:00:00"/>
    <n v="15"/>
    <n v="9"/>
    <s v="ACTIVO"/>
  </r>
  <r>
    <d v="2025-05-22T00:00:00"/>
    <m/>
    <m/>
    <s v="JUEVES"/>
    <s v="TU EMPRESA SEGURA"/>
    <s v="LUZ"/>
    <s v="SANDRA MILENA ARANGO JARAMILLO"/>
    <s v="Cédula de Ciudadanía"/>
    <n v="39189386"/>
    <s v="sandra.arango@urantus.com"/>
    <n v="3022152280"/>
    <x v="23"/>
    <x v="23"/>
    <d v="2025-05-22T00:00:00"/>
    <s v="11:30 a.m"/>
    <n v="5"/>
    <n v="213000"/>
    <s v="SI"/>
    <s v="PLANEAR"/>
    <s v="1.0.4 Acompañamiiento/Asesoría sobre SGSST"/>
    <n v="2"/>
    <s v="La señora sandra me informa que ya termino el numeral 2.5.1 y que adelanto todo lo del numeral del copasst ,adicional esta en diligenciamiento de recomendaciones medicas.El sistema no le deja firmar documentos,ni subir firma digital.Se programa diagnostico para el 29 de mayo del 2025"/>
    <d v="2025-05-30T00:00:00"/>
    <n v="8"/>
    <n v="9"/>
    <s v="ACTIVO"/>
  </r>
  <r>
    <d v="2025-05-29T00:00:00"/>
    <m/>
    <m/>
    <s v="JUEVES"/>
    <s v="TU EMPRESA SEGURA"/>
    <s v="LUZ"/>
    <s v="SANDRA MILENA ARANGO JARAMILLO"/>
    <s v="Cédula de Ciudadanía"/>
    <n v="39189386"/>
    <s v="sandra.arango@urantus.com"/>
    <n v="3022152280"/>
    <x v="23"/>
    <x v="23"/>
    <d v="2025-05-29T00:00:00"/>
    <s v="11:30 a.m"/>
    <n v="5"/>
    <n v="213000"/>
    <s v="SI"/>
    <s v="PLANEAR"/>
    <s v="1.0.6 Diagnóstico del Sistema de Gestión de Seguridad y Salud en el Trabajo (SG-SST) 0312 DE 2019"/>
    <n v="2"/>
    <s v="se realiza el diagnostico inicial,"/>
    <d v="2025-05-30T00:00:00"/>
    <n v="1"/>
    <n v="9"/>
    <s v="ACTIVO"/>
  </r>
  <r>
    <d v="2025-06-05T00:00:00"/>
    <m/>
    <m/>
    <s v="JUEVES"/>
    <s v="TU EMPRESA SEGURA"/>
    <s v="LUZ"/>
    <s v="SANDRA MILENA ARANGO JARAMILLO"/>
    <s v="Cédula de Ciudadanía"/>
    <n v="39189386"/>
    <s v="sandra.arango@urantus.com"/>
    <n v="3022152280"/>
    <x v="23"/>
    <x v="23"/>
    <d v="2025-06-05T00:00:00"/>
    <s v="11:30 a.m"/>
    <n v="5"/>
    <n v="213000"/>
    <s v="SI"/>
    <s v="PLANEAR"/>
    <s v="1.0.4 Acompañamiiento/Asesoría sobre SGSST"/>
    <n v="2"/>
    <m/>
    <d v="2025-05-30T00:00:00"/>
    <n v="6"/>
    <n v="9"/>
    <s v="ACTIVO"/>
  </r>
  <r>
    <d v="2025-04-04T00:00:00"/>
    <s v="ABRIL"/>
    <n v="2"/>
    <s v="VIERNES "/>
    <s v="TU EMPRESA SEGURA"/>
    <s v="Cristhian"/>
    <s v="VANESSA VARGAS ALZATE "/>
    <s v="Cédula de Ciudadanía"/>
    <n v="1037649854"/>
    <s v="avelicafe@gmail.com"/>
    <n v="3114323737"/>
    <x v="24"/>
    <x v="24"/>
    <d v="2025-04-04T00:00:00"/>
    <s v="8:05a. m."/>
    <n v="2"/>
    <n v="106666"/>
    <s v="SI"/>
    <s v="PLANEAR"/>
    <s v="1.0.0 Bienvenida"/>
    <n v="1"/>
    <s v="el dia viernes 21 de marzo se llamo a la empresa para validar la llegada del correo electronico con el usuario y la contraseña a lo cual indicaron que si les llego y que no han tenido ningun inconveniente "/>
    <d v="2025-05-30T00:00:00"/>
    <n v="56"/>
    <n v="2"/>
    <s v="ACTIVO"/>
  </r>
  <r>
    <d v="2025-04-11T00:00:00"/>
    <m/>
    <m/>
    <s v="VIERNES "/>
    <s v="TU EMPRESA SEGURA"/>
    <s v="Juan Diego "/>
    <s v="VANESSA VARGAS ALZATE "/>
    <s v="Cédula de Ciudadanía"/>
    <n v="1037649854"/>
    <s v="avelicafe@gmail.com"/>
    <n v="3114323737"/>
    <x v="24"/>
    <x v="24"/>
    <d v="2025-04-11T00:00:00"/>
    <s v="8:05a. m."/>
    <n v="2"/>
    <n v="106666"/>
    <s v="SI"/>
    <s v="PLANEAR"/>
    <s v="1.0.6 Diagnóstico del Sistema de Gestión de Seguridad y Salud en el Trabajo (SG-SST) 0312 DE 2019"/>
    <n v="2"/>
    <s v="se empieza evaluacion inicial"/>
    <d v="2025-05-30T00:00:00"/>
    <n v="49"/>
    <n v="2"/>
    <s v="ACTIVO"/>
  </r>
  <r>
    <d v="2025-04-18T00:00:00"/>
    <m/>
    <m/>
    <s v="VIERNES "/>
    <s v="TU EMPRESA SEGURA"/>
    <s v="Juan Diego "/>
    <s v="VANESSA VARGAS ALZATE "/>
    <s v="Cédula de Ciudadanía"/>
    <n v="1037649854"/>
    <s v="avelicafe@gmail.com"/>
    <n v="3114323737"/>
    <x v="24"/>
    <x v="24"/>
    <d v="2025-04-18T00:00:00"/>
    <s v="8:05a. m."/>
    <n v="2"/>
    <n v="106666"/>
    <s v="SI"/>
    <s v="PLANEAR"/>
    <s v="0. No conexión"/>
    <n v="0"/>
    <s v="se informa por parte de la usuarioa que esta indispuesta, que no puede asiastir, le digo que si gusta la podemos reprogramar para el martes 13 de mayo en horas d ela tarde, acepta agradecida"/>
    <d v="2025-05-30T00:00:00"/>
    <n v="42"/>
    <n v="2"/>
    <s v="ACTIVO"/>
  </r>
  <r>
    <d v="2025-04-25T00:00:00"/>
    <m/>
    <m/>
    <s v="VIERNES "/>
    <s v="TU EMPRESA SEGURA"/>
    <s v="Juan Diego "/>
    <s v="VANESSA VARGAS ALZATE "/>
    <s v="Cédula de Ciudadanía"/>
    <n v="1037649854"/>
    <s v="avelicafe@gmail.com"/>
    <n v="3114323737"/>
    <x v="24"/>
    <x v="24"/>
    <d v="2025-04-25T00:00:00"/>
    <s v="8:05a. m."/>
    <n v="2"/>
    <n v="106666"/>
    <s v="SI"/>
    <s v="PLANEAR"/>
    <s v="1.0.5 Diagnóstico de Madurez"/>
    <n v="3"/>
    <s v="Se consulta dificultades de acceso a plataforma y no se reportan, se realiza diagnostico de madurez, y se solicitan documentos legales: RUT, camara de comercio, logotipo, planilla de seguridad social,certificado afiliacion ARL, examenes medicos (pendientes por realizar)"/>
    <d v="2025-05-30T00:00:00"/>
    <n v="35"/>
    <n v="2"/>
    <s v="ACTIVO"/>
  </r>
  <r>
    <d v="2025-05-02T00:00:00"/>
    <m/>
    <m/>
    <s v="VIERNES "/>
    <s v="TU EMPRESA SEGURA"/>
    <s v="Juan Diego "/>
    <s v="VANESSA VARGAS ALZATE "/>
    <s v="Cédula de Ciudadanía"/>
    <n v="1037649854"/>
    <s v="avelicafe@gmail.com"/>
    <n v="3114323737"/>
    <x v="24"/>
    <x v="24"/>
    <d v="2025-05-02T00:00:00"/>
    <s v="8:05a. m."/>
    <n v="2"/>
    <n v="106666"/>
    <s v="SI"/>
    <s v="PLANEAR"/>
    <s v="1.0.4 Acompañamiiento/Asesoría sobre SGSST"/>
    <n v="2"/>
    <s v="se revisa registro de usuarios y administradores"/>
    <d v="2025-05-30T00:00:00"/>
    <n v="28"/>
    <n v="2"/>
    <s v="ACTIVO"/>
  </r>
  <r>
    <d v="2025-05-09T00:00:00"/>
    <m/>
    <m/>
    <s v="VIERNES "/>
    <s v="TU EMPRESA SEGURA"/>
    <s v="Juan Diego "/>
    <s v="VANESSA VARGAS ALZATE "/>
    <s v="Cédula de Ciudadanía"/>
    <n v="1037649854"/>
    <s v="avelicafe@gmail.com"/>
    <n v="3114323737"/>
    <x v="24"/>
    <x v="24"/>
    <d v="2025-05-09T00:00:00"/>
    <s v="8:05a. m."/>
    <n v="2"/>
    <n v="106666"/>
    <s v="NO"/>
    <s v="PLANEAR"/>
    <s v="0. No conexión"/>
    <n v="0"/>
    <s v="dice que esta incapacitada, y se reprograma para el miercoles siguiente, en este dia dice que continua incapacitada, le sugiero enviar soporte a la lider del programa Comfama en Sistegra Laura Diaz, se continua con los documentos de asignacion de responsables y responsabilidades"/>
    <d v="2025-05-30T00:00:00"/>
    <n v="21"/>
    <n v="2"/>
    <s v="ACTIVO"/>
  </r>
  <r>
    <d v="2025-05-16T00:00:00"/>
    <m/>
    <m/>
    <s v="VIERNES "/>
    <s v="TU EMPRESA SEGURA"/>
    <s v="Juan Diego "/>
    <s v="VANESSA VARGAS ALZATE "/>
    <s v="Cédula de Ciudadanía"/>
    <n v="1037649854"/>
    <s v="avelicafe@gmail.com"/>
    <n v="3114323737"/>
    <x v="24"/>
    <x v="24"/>
    <d v="2025-05-16T00:00:00"/>
    <s v="8:05a. m."/>
    <n v="2"/>
    <n v="106666"/>
    <s v="NO"/>
    <s v="PLANEAR"/>
    <s v="0.1 Trabajo autónomo analista en plataforma"/>
    <n v="0.5"/>
    <s v="la usuaria dice que tiene incapacidad por enfermedad general, se realiza asignacion de responsable y se continua con la cofificacion del listado maestro, se asignan responsabilidades"/>
    <d v="2025-05-30T00:00:00"/>
    <n v="14"/>
    <n v="2"/>
    <s v="ACTIVO"/>
  </r>
  <r>
    <d v="2025-05-23T00:00:00"/>
    <m/>
    <m/>
    <s v="VIERNES "/>
    <s v="TU EMPRESA SEGURA"/>
    <s v="LUZ"/>
    <s v="VANESSA VARGAS ALZATE "/>
    <s v="Cédula de Ciudadanía"/>
    <n v="1037649854"/>
    <s v="avelicafe@gmail.com"/>
    <n v="3114323737"/>
    <x v="24"/>
    <x v="24"/>
    <d v="2025-05-22T00:00:00"/>
    <s v="2:25 P.M"/>
    <n v="2"/>
    <n v="106666"/>
    <s v="SI"/>
    <s v="PLANEAR"/>
    <s v="1.0.3 Navegando en  la plataforma y beneficios del programa"/>
    <n v="1"/>
    <s v="La Señora manifiesta que solo en las conexion le solicitaban resultados,pero no le explicaron por donde realizar dichos documentos,Hoy se le explicanuevamente la plata forma y se le solicita documentacion para actualizar,en el proximo encuentro sera la evaluacion inicial."/>
    <d v="2025-05-30T00:00:00"/>
    <n v="7"/>
    <n v="2"/>
    <s v="ACTIVO"/>
  </r>
  <r>
    <d v="2025-05-30T00:00:00"/>
    <m/>
    <m/>
    <s v="VIERNES "/>
    <s v="TU EMPRESA SEGURA"/>
    <s v="LUZ"/>
    <s v="VANESSA VARGAS ALZATE "/>
    <s v="Cédula de Ciudadanía"/>
    <n v="1037649854"/>
    <s v="avelicafe@gmail.com"/>
    <n v="3114323737"/>
    <x v="24"/>
    <x v="24"/>
    <d v="2025-05-29T00:00:00"/>
    <s v="2:25 P.M"/>
    <n v="2"/>
    <n v="106666"/>
    <s v="SI"/>
    <s v="PLANEAR"/>
    <s v="1.0.6 Diagnóstico del Sistema de Gestión de Seguridad y Salud en el Trabajo (SG-SST) 0312 DE 2019"/>
    <n v="2"/>
    <s v="Se realiza evaluacion inicial Critico-se firma terminos y condiciones y envia PDF a correo."/>
    <d v="2025-05-30T00:00:00"/>
    <n v="0"/>
    <n v="2"/>
    <s v="ACTIVO"/>
  </r>
  <r>
    <d v="2025-05-16T00:00:00"/>
    <m/>
    <m/>
    <s v="VIERNES "/>
    <s v="TU EMPRESA SEGURA"/>
    <s v="Juan Diego "/>
    <s v="VANESSA VARGAS ALZATE "/>
    <s v="Cédula de Ciudadanía"/>
    <n v="1037649854"/>
    <s v="avelicafe@gmail.com"/>
    <n v="3114323737"/>
    <x v="24"/>
    <x v="24"/>
    <d v="2025-05-16T00:00:00"/>
    <m/>
    <n v="2"/>
    <n v="106666"/>
    <s v="NO"/>
    <s v="PLANEAR"/>
    <s v="0.1 Trabajo autónomo analista en plataforma"/>
    <n v="0.5"/>
    <s v="se explica la importancia derealizar los examenes medicos y como gestionarlos en su municipio"/>
    <d v="2025-05-30T00:00:00"/>
    <n v="14"/>
    <n v="2"/>
    <s v="ACTIVO"/>
  </r>
  <r>
    <d v="2025-06-05T00:00:00"/>
    <m/>
    <m/>
    <s v="JUEVES"/>
    <s v="TU EMPRESA SEGURA"/>
    <s v="LUZ"/>
    <s v="VANNESA VANEGAS ALZATE"/>
    <m/>
    <n v="1037649854"/>
    <s v="avelicafe@gmail.com"/>
    <n v="3114323737"/>
    <x v="24"/>
    <x v="24"/>
    <d v="2025-06-05T00:00:00"/>
    <d v="1899-12-30T02:25:00"/>
    <n v="2"/>
    <n v="106.666"/>
    <s v="SI"/>
    <s v="PLANEAR"/>
    <s v="2.5.1 Archivo o retención documental del Sistema de Gestión en Seguridad y Salud en el Trabajo SG-SST"/>
    <n v="2"/>
    <s v="Se realiza cronograma,se revisa terminos y condiciones firmada y enviada al correo,se evidencia que la firma una vez montada no se deje visualizar en la plataforma,el listado maestro esta ok,tarea realizar el perfil y subir afiliaciones,"/>
    <d v="2025-05-30T00:00:00"/>
    <n v="6"/>
    <n v="2"/>
    <s v="ACTIVO"/>
  </r>
  <r>
    <m/>
    <m/>
    <m/>
    <m/>
    <m/>
    <m/>
    <m/>
    <m/>
    <m/>
    <m/>
    <m/>
    <x v="25"/>
    <x v="25"/>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9B8280-AD5F-4B18-B033-A3E7821CD9FA}" name="TablaDinámica2"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1:B38" firstHeaderRow="1" firstDataRow="1" firstDataCol="1"/>
  <pivotFields count="26">
    <pivotField numFmtId="14" showAll="0"/>
    <pivotField showAll="0"/>
    <pivotField showAll="0"/>
    <pivotField showAll="0"/>
    <pivotField showAll="0"/>
    <pivotField showAll="0"/>
    <pivotField showAll="0"/>
    <pivotField showAll="0"/>
    <pivotField showAll="0"/>
    <pivotField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axis="axisRow" dataField="1" showAll="0">
      <items count="7">
        <item x="0"/>
        <item x="2"/>
        <item x="3"/>
        <item x="1"/>
        <item x="5"/>
        <item x="4"/>
        <item t="default"/>
      </items>
    </pivotField>
    <pivotField showAll="0"/>
    <pivotField showAll="0"/>
    <pivotField showAll="0"/>
    <pivotField showAll="0"/>
    <pivotField showAll="0"/>
    <pivotField showAll="0"/>
    <pivotField numFmtId="14" showAll="0"/>
    <pivotField showAll="0"/>
    <pivotField showAll="0"/>
    <pivotField showAll="0"/>
  </pivotFields>
  <rowFields count="1">
    <field x="15"/>
  </rowFields>
  <rowItems count="7">
    <i>
      <x/>
    </i>
    <i>
      <x v="1"/>
    </i>
    <i>
      <x v="2"/>
    </i>
    <i>
      <x v="3"/>
    </i>
    <i>
      <x v="4"/>
    </i>
    <i>
      <x v="5"/>
    </i>
    <i t="grand">
      <x/>
    </i>
  </rowItems>
  <colItems count="1">
    <i/>
  </colItems>
  <dataFields count="1">
    <dataField name="Cuenta de NIVEL DE RIESGO " fld="15" subtotal="count" baseField="15" baseItem="0"/>
  </dataFields>
  <formats count="7">
    <format dxfId="106">
      <pivotArea type="all" dataOnly="0" outline="0" fieldPosition="0"/>
    </format>
    <format dxfId="107">
      <pivotArea outline="0" collapsedLevelsAreSubtotals="1" fieldPosition="0"/>
    </format>
    <format dxfId="108">
      <pivotArea field="15" type="button" dataOnly="0" labelOnly="1" outline="0" axis="axisRow" fieldPosition="0"/>
    </format>
    <format dxfId="109">
      <pivotArea dataOnly="0" labelOnly="1" fieldPosition="0">
        <references count="1">
          <reference field="15" count="0"/>
        </references>
      </pivotArea>
    </format>
    <format dxfId="110">
      <pivotArea dataOnly="0" labelOnly="1" grandRow="1" outline="0" fieldPosition="0"/>
    </format>
    <format dxfId="111">
      <pivotArea dataOnly="0" labelOnly="1" outline="0" axis="axisValues" fieldPosition="0"/>
    </format>
    <format dxfId="112">
      <pivotArea field="15" dataOnly="0" grandRow="1" axis="axisRow" fieldPosition="0">
        <references count="1">
          <reference field="15" count="1">
            <x v="5"/>
          </reference>
        </references>
      </pivotArea>
    </format>
  </formats>
  <chartFormats count="1">
    <chartFormat chart="0" format="5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C9C4CE-29B3-41B5-9FB8-54112835AE58}" name="TablaDinámica4" cacheId="0"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chartFormat="2">
  <location ref="A40:B66" firstHeaderRow="1" firstDataRow="1" firstDataCol="1"/>
  <pivotFields count="26">
    <pivotField numFmtId="14" showAll="0"/>
    <pivotField showAll="0"/>
    <pivotField showAll="0"/>
    <pivotField showAll="0"/>
    <pivotField showAll="0"/>
    <pivotField showAll="0"/>
    <pivotField showAll="0"/>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dataField="1" showAll="0"/>
    <pivotField showAll="0"/>
  </pivotFields>
  <rowFields count="1">
    <field x="1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uenta de NÚMERO DE EMPLEADOS" fld="24" subtotal="count" baseField="1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7D107E-61A8-40F9-9DE5-174C6DF745BE}" name="TablaDinámica3"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29:B156"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27">
        <item x="19"/>
        <item x="13"/>
        <item x="5"/>
        <item x="17"/>
        <item x="7"/>
        <item x="14"/>
        <item x="6"/>
        <item x="8"/>
        <item x="11"/>
        <item x="21"/>
        <item x="3"/>
        <item x="18"/>
        <item x="10"/>
        <item x="0"/>
        <item x="23"/>
        <item x="4"/>
        <item x="20"/>
        <item x="15"/>
        <item x="1"/>
        <item x="2"/>
        <item x="16"/>
        <item x="24"/>
        <item x="22"/>
        <item x="9"/>
        <item x="12"/>
        <item x="2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a de PORCENTAJ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F63136-537B-4026-AA1B-5AEB80237023}" name="TablaDiná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3:C29" firstHeaderRow="0" firstDataRow="1" firstDataCol="1" rowPageCount="1" colPageCount="1"/>
  <pivotFields count="26">
    <pivotField numFmtId="14" showAll="0"/>
    <pivotField showAll="0"/>
    <pivotField showAll="0"/>
    <pivotField showAll="0"/>
    <pivotField showAll="0"/>
    <pivotField showAll="0"/>
    <pivotField showAll="0"/>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showAll="0"/>
    <pivotField showAll="0"/>
    <pivotField showAll="0"/>
    <pivotField showAll="0"/>
    <pivotField showAll="0"/>
    <pivotField showAll="0"/>
    <pivotField dataField="1" showAll="0"/>
    <pivotField showAll="0"/>
    <pivotField numFmtId="14" showAll="0"/>
    <pivotField showAll="0"/>
    <pivotField showAll="0"/>
    <pivotField axis="axisPage" showAll="0">
      <items count="2">
        <item x="0"/>
        <item t="default"/>
      </items>
    </pivotField>
  </pivotFields>
  <rowFields count="1">
    <field x="1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pageFields count="1">
    <pageField fld="25" hier="-1"/>
  </pageFields>
  <dataFields count="2">
    <dataField name="Cuenta de Conexión" fld="13" subtotal="count" baseField="0" baseItem="0"/>
    <dataField name="Suma de PORCENTAJE" fld="20" baseField="0" baseItem="0"/>
  </dataFields>
  <formats count="11">
    <format dxfId="4">
      <pivotArea outline="0" collapsedLevelsAreSubtotals="1" fieldPosition="0"/>
    </format>
    <format dxfId="5">
      <pivotArea type="all" dataOnly="0" outline="0" fieldPosition="0"/>
    </format>
    <format dxfId="6">
      <pivotArea outline="0" collapsedLevelsAreSubtotals="1" fieldPosition="0"/>
    </format>
    <format dxfId="7">
      <pivotArea field="11" type="button" dataOnly="0" labelOnly="1" outline="0" axis="axisRow" fieldPosition="0"/>
    </format>
    <format dxfId="8">
      <pivotArea dataOnly="0" labelOnly="1" fieldPosition="0">
        <references count="1">
          <reference field="11" count="0"/>
        </references>
      </pivotArea>
    </format>
    <format dxfId="9">
      <pivotArea dataOnly="0" labelOnly="1" grandRow="1" outline="0" fieldPosition="0"/>
    </format>
    <format dxfId="10">
      <pivotArea dataOnly="0" labelOnly="1" outline="0" axis="axisValues" fieldPosition="0"/>
    </format>
    <format dxfId="11">
      <pivotArea grandRow="1" outline="0" collapsedLevelsAreSubtotals="1" fieldPosition="0"/>
    </format>
    <format dxfId="12">
      <pivotArea dataOnly="0" labelOnly="1" grandRow="1" outline="0" fieldPosition="0"/>
    </format>
    <format dxfId="13">
      <pivotArea field="11" type="button" dataOnly="0" labelOnly="1" outline="0" axis="axisRow" fieldPosition="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hyperlink" Target="mailto:Kerlyandreaortiz1407@gmail.com" TargetMode="External"/><Relationship Id="rId2" Type="http://schemas.openxmlformats.org/officeDocument/2006/relationships/hyperlink" Target="mailto:Kerlyandreaortiz1407@gmail.com" TargetMode="External"/><Relationship Id="rId1" Type="http://schemas.openxmlformats.org/officeDocument/2006/relationships/hyperlink" Target="mailto:Kerlyandreaortiz1407@gmail.com" TargetMode="External"/><Relationship Id="rId6" Type="http://schemas.openxmlformats.org/officeDocument/2006/relationships/hyperlink" Target="mailto:teccons@hotmail.com" TargetMode="External"/><Relationship Id="rId5" Type="http://schemas.openxmlformats.org/officeDocument/2006/relationships/hyperlink" Target="mailto:gerenciacakareos@gmail.com" TargetMode="External"/><Relationship Id="rId4" Type="http://schemas.openxmlformats.org/officeDocument/2006/relationships/hyperlink" Target="mailto:gerenciacakareos@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gerenciacakareos@gmail.com" TargetMode="External"/><Relationship Id="rId1" Type="http://schemas.openxmlformats.org/officeDocument/2006/relationships/hyperlink" Target="mailto:Kerlyandreaortiz1407@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F6534-3F7D-44EC-A00F-8715665AD02A}">
  <dimension ref="A1:AA163"/>
  <sheetViews>
    <sheetView topLeftCell="C42" zoomScale="81" zoomScaleNormal="81" workbookViewId="0">
      <selection activeCell="J18" sqref="J18"/>
    </sheetView>
  </sheetViews>
  <sheetFormatPr baseColWidth="10" defaultColWidth="10.81640625" defaultRowHeight="14.5" x14ac:dyDescent="0.35"/>
  <cols>
    <col min="1" max="1" width="17.26953125" style="31" bestFit="1" customWidth="1"/>
    <col min="2" max="2" width="24.6328125" style="26" bestFit="1" customWidth="1"/>
    <col min="3" max="3" width="18.453125" style="31" bestFit="1" customWidth="1"/>
    <col min="4" max="4" width="25.453125" style="31" bestFit="1" customWidth="1"/>
    <col min="5" max="5" width="26.36328125" style="31" bestFit="1" customWidth="1"/>
    <col min="6" max="6" width="18.7265625" style="31" bestFit="1" customWidth="1"/>
    <col min="7" max="7" width="20.1796875" style="31" bestFit="1" customWidth="1"/>
    <col min="8" max="8" width="29.08984375" style="31" bestFit="1" customWidth="1"/>
    <col min="9" max="9" width="17.1796875" style="31" bestFit="1" customWidth="1"/>
    <col min="10" max="10" width="33.6328125" style="31" bestFit="1" customWidth="1"/>
    <col min="11" max="11" width="14.26953125" style="31" bestFit="1" customWidth="1"/>
    <col min="12" max="12" width="21.453125" style="31" bestFit="1" customWidth="1"/>
    <col min="13" max="13" width="28.90625" style="31" bestFit="1" customWidth="1"/>
    <col min="14" max="14" width="20.26953125" style="31" bestFit="1" customWidth="1"/>
    <col min="15" max="15" width="22.54296875" style="31" bestFit="1" customWidth="1"/>
    <col min="16" max="16" width="42.08984375" style="31" bestFit="1" customWidth="1"/>
    <col min="17" max="17" width="15" style="31" bestFit="1" customWidth="1"/>
    <col min="18" max="18" width="20.1796875" style="31" bestFit="1" customWidth="1"/>
    <col min="19" max="19" width="11.7265625" style="31" bestFit="1" customWidth="1"/>
    <col min="20" max="20" width="15" style="31" bestFit="1" customWidth="1"/>
    <col min="21" max="21" width="12.1796875" style="31" bestFit="1" customWidth="1"/>
    <col min="22" max="22" width="53.1796875" style="31" bestFit="1" customWidth="1"/>
    <col min="23" max="23" width="14" style="31" bestFit="1" customWidth="1"/>
    <col min="24" max="24" width="13.36328125" style="31" bestFit="1" customWidth="1"/>
    <col min="25" max="25" width="27.54296875" style="31" bestFit="1" customWidth="1"/>
    <col min="26" max="26" width="22.90625" style="31" bestFit="1" customWidth="1"/>
    <col min="27" max="27" width="11.6328125" style="31" bestFit="1" customWidth="1"/>
    <col min="28" max="16384" width="10.81640625" style="31"/>
  </cols>
  <sheetData>
    <row r="1" spans="1:11" x14ac:dyDescent="0.35">
      <c r="A1" s="31" t="s">
        <v>55</v>
      </c>
      <c r="B1" s="31" t="s">
        <v>485</v>
      </c>
    </row>
    <row r="3" spans="1:11" x14ac:dyDescent="0.35">
      <c r="A3" s="60" t="s">
        <v>0</v>
      </c>
      <c r="B3" s="31" t="s">
        <v>1</v>
      </c>
      <c r="C3" s="31" t="s">
        <v>458</v>
      </c>
      <c r="D3"/>
    </row>
    <row r="4" spans="1:11" x14ac:dyDescent="0.35">
      <c r="A4" s="18" t="s">
        <v>2</v>
      </c>
      <c r="B4" s="108">
        <v>1</v>
      </c>
      <c r="C4" s="108">
        <v>2</v>
      </c>
      <c r="D4"/>
    </row>
    <row r="5" spans="1:11" x14ac:dyDescent="0.35">
      <c r="A5" s="18" t="s">
        <v>3</v>
      </c>
      <c r="B5" s="108">
        <v>8</v>
      </c>
      <c r="C5" s="108">
        <v>10</v>
      </c>
      <c r="D5"/>
    </row>
    <row r="6" spans="1:11" x14ac:dyDescent="0.35">
      <c r="A6" s="18" t="s">
        <v>4</v>
      </c>
      <c r="B6" s="108">
        <v>10</v>
      </c>
      <c r="C6" s="108">
        <v>17.5</v>
      </c>
      <c r="D6"/>
    </row>
    <row r="7" spans="1:11" x14ac:dyDescent="0.35">
      <c r="A7" s="18" t="s">
        <v>5</v>
      </c>
      <c r="B7" s="108">
        <v>13</v>
      </c>
      <c r="C7" s="108">
        <v>14.5</v>
      </c>
      <c r="D7"/>
    </row>
    <row r="8" spans="1:11" x14ac:dyDescent="0.35">
      <c r="A8" s="18" t="s">
        <v>6</v>
      </c>
      <c r="B8" s="108">
        <v>10</v>
      </c>
      <c r="C8" s="108">
        <v>5</v>
      </c>
      <c r="D8"/>
      <c r="J8" s="110"/>
      <c r="K8" s="110"/>
    </row>
    <row r="9" spans="1:11" x14ac:dyDescent="0.35">
      <c r="A9" s="18" t="s">
        <v>7</v>
      </c>
      <c r="B9" s="108">
        <v>5</v>
      </c>
      <c r="C9" s="108">
        <v>5</v>
      </c>
      <c r="D9"/>
      <c r="J9" s="110"/>
      <c r="K9" s="110" t="s">
        <v>482</v>
      </c>
    </row>
    <row r="10" spans="1:11" x14ac:dyDescent="0.35">
      <c r="A10" s="18" t="s">
        <v>8</v>
      </c>
      <c r="B10" s="108">
        <v>12</v>
      </c>
      <c r="C10" s="108">
        <v>17.5</v>
      </c>
      <c r="D10"/>
      <c r="J10" s="110"/>
      <c r="K10" s="110" t="s">
        <v>483</v>
      </c>
    </row>
    <row r="11" spans="1:11" x14ac:dyDescent="0.35">
      <c r="A11" s="18" t="s">
        <v>9</v>
      </c>
      <c r="B11" s="108">
        <v>12</v>
      </c>
      <c r="C11" s="108">
        <v>11</v>
      </c>
      <c r="D11"/>
      <c r="J11" s="110"/>
      <c r="K11" s="110"/>
    </row>
    <row r="12" spans="1:11" x14ac:dyDescent="0.35">
      <c r="A12" s="18" t="s">
        <v>10</v>
      </c>
      <c r="B12" s="108">
        <v>1</v>
      </c>
      <c r="C12" s="108">
        <v>1</v>
      </c>
      <c r="D12"/>
      <c r="J12" s="110"/>
      <c r="K12" s="110"/>
    </row>
    <row r="13" spans="1:11" x14ac:dyDescent="0.35">
      <c r="A13" s="18" t="s">
        <v>11</v>
      </c>
      <c r="B13" s="108">
        <v>3</v>
      </c>
      <c r="C13" s="108">
        <v>4</v>
      </c>
      <c r="D13"/>
      <c r="J13" s="110"/>
      <c r="K13" s="110"/>
    </row>
    <row r="14" spans="1:11" x14ac:dyDescent="0.35">
      <c r="A14" s="18" t="s">
        <v>12</v>
      </c>
      <c r="B14" s="108">
        <v>8</v>
      </c>
      <c r="C14" s="108">
        <v>5.5</v>
      </c>
      <c r="D14"/>
    </row>
    <row r="15" spans="1:11" x14ac:dyDescent="0.35">
      <c r="A15" s="18" t="s">
        <v>13</v>
      </c>
      <c r="B15" s="108">
        <v>9</v>
      </c>
      <c r="C15" s="108">
        <v>11</v>
      </c>
      <c r="D15"/>
    </row>
    <row r="16" spans="1:11" x14ac:dyDescent="0.35">
      <c r="A16" s="18" t="s">
        <v>14</v>
      </c>
      <c r="B16" s="108">
        <v>2</v>
      </c>
      <c r="C16" s="108">
        <v>0</v>
      </c>
      <c r="D16"/>
    </row>
    <row r="17" spans="1:27" x14ac:dyDescent="0.35">
      <c r="A17" s="18" t="s">
        <v>15</v>
      </c>
      <c r="B17" s="108">
        <v>8</v>
      </c>
      <c r="C17" s="108">
        <v>15</v>
      </c>
      <c r="D17"/>
    </row>
    <row r="18" spans="1:27" x14ac:dyDescent="0.35">
      <c r="A18" s="18" t="s">
        <v>16</v>
      </c>
      <c r="B18" s="108">
        <v>10</v>
      </c>
      <c r="C18" s="108">
        <v>18</v>
      </c>
      <c r="D18"/>
    </row>
    <row r="19" spans="1:27" x14ac:dyDescent="0.35">
      <c r="A19" s="18" t="s">
        <v>17</v>
      </c>
      <c r="B19" s="108">
        <v>13</v>
      </c>
      <c r="C19" s="108">
        <v>23</v>
      </c>
      <c r="D19"/>
    </row>
    <row r="20" spans="1:27" x14ac:dyDescent="0.35">
      <c r="A20" s="18" t="s">
        <v>18</v>
      </c>
      <c r="B20" s="108">
        <v>11</v>
      </c>
      <c r="C20" s="108">
        <v>15</v>
      </c>
      <c r="D20"/>
    </row>
    <row r="21" spans="1:27" x14ac:dyDescent="0.35">
      <c r="A21" s="18" t="s">
        <v>19</v>
      </c>
      <c r="B21" s="108">
        <v>6</v>
      </c>
      <c r="C21" s="108">
        <v>3.5</v>
      </c>
      <c r="D21"/>
    </row>
    <row r="22" spans="1:27" x14ac:dyDescent="0.35">
      <c r="A22" s="18" t="s">
        <v>20</v>
      </c>
      <c r="B22" s="108">
        <v>8</v>
      </c>
      <c r="C22" s="108">
        <v>8.5</v>
      </c>
      <c r="D22"/>
    </row>
    <row r="23" spans="1:27" x14ac:dyDescent="0.35">
      <c r="A23" s="18" t="s">
        <v>21</v>
      </c>
      <c r="B23" s="108">
        <v>10</v>
      </c>
      <c r="C23" s="108">
        <v>13</v>
      </c>
      <c r="D23"/>
    </row>
    <row r="24" spans="1:27" x14ac:dyDescent="0.35">
      <c r="A24" s="18" t="s">
        <v>22</v>
      </c>
      <c r="B24" s="108">
        <v>4</v>
      </c>
      <c r="C24" s="108">
        <v>6</v>
      </c>
      <c r="D24"/>
    </row>
    <row r="25" spans="1:27" x14ac:dyDescent="0.35">
      <c r="A25" s="18" t="s">
        <v>23</v>
      </c>
      <c r="B25" s="108">
        <v>11</v>
      </c>
      <c r="C25" s="108">
        <v>13</v>
      </c>
      <c r="D25"/>
    </row>
    <row r="26" spans="1:27" x14ac:dyDescent="0.35">
      <c r="A26" s="18" t="s">
        <v>24</v>
      </c>
      <c r="B26" s="108">
        <v>7</v>
      </c>
      <c r="C26" s="108">
        <v>8</v>
      </c>
      <c r="D26"/>
    </row>
    <row r="27" spans="1:27" x14ac:dyDescent="0.35">
      <c r="A27" s="18" t="s">
        <v>25</v>
      </c>
      <c r="B27" s="108">
        <v>12</v>
      </c>
      <c r="C27" s="108">
        <v>18.5</v>
      </c>
      <c r="D27"/>
    </row>
    <row r="28" spans="1:27" x14ac:dyDescent="0.35">
      <c r="A28" s="18" t="s">
        <v>26</v>
      </c>
      <c r="B28" s="108">
        <v>11</v>
      </c>
      <c r="C28" s="108">
        <v>14</v>
      </c>
      <c r="D28"/>
    </row>
    <row r="29" spans="1:27" x14ac:dyDescent="0.35">
      <c r="A29" s="60" t="s">
        <v>27</v>
      </c>
      <c r="B29" s="109">
        <v>205</v>
      </c>
      <c r="C29" s="109">
        <v>259.5</v>
      </c>
      <c r="D29"/>
    </row>
    <row r="30" spans="1:27" x14ac:dyDescent="0.35">
      <c r="B30" s="31"/>
    </row>
    <row r="31" spans="1:27" x14ac:dyDescent="0.35">
      <c r="A31" s="31" t="s">
        <v>0</v>
      </c>
      <c r="B31" s="31" t="s">
        <v>486</v>
      </c>
      <c r="C31"/>
      <c r="D31"/>
      <c r="E31"/>
      <c r="F31"/>
      <c r="G31"/>
      <c r="H31"/>
      <c r="I31"/>
      <c r="J31"/>
      <c r="K31"/>
      <c r="L31"/>
      <c r="M31"/>
      <c r="N31"/>
      <c r="O31"/>
      <c r="P31"/>
      <c r="Q31"/>
      <c r="R31"/>
      <c r="S31"/>
      <c r="T31"/>
      <c r="U31"/>
      <c r="V31"/>
      <c r="W31"/>
      <c r="X31"/>
      <c r="Y31"/>
      <c r="Z31"/>
      <c r="AA31"/>
    </row>
    <row r="32" spans="1:27" x14ac:dyDescent="0.35">
      <c r="A32" s="18">
        <v>1</v>
      </c>
      <c r="B32" s="116">
        <v>33</v>
      </c>
      <c r="C32"/>
      <c r="D32"/>
      <c r="E32"/>
      <c r="F32"/>
      <c r="G32"/>
      <c r="H32"/>
      <c r="I32"/>
      <c r="J32"/>
      <c r="K32"/>
      <c r="L32"/>
      <c r="M32"/>
      <c r="N32"/>
      <c r="O32"/>
      <c r="P32"/>
      <c r="Q32"/>
      <c r="R32"/>
      <c r="S32"/>
      <c r="T32"/>
      <c r="U32"/>
      <c r="V32"/>
      <c r="W32"/>
      <c r="X32"/>
      <c r="Y32"/>
      <c r="Z32"/>
      <c r="AA32"/>
    </row>
    <row r="33" spans="1:27" x14ac:dyDescent="0.35">
      <c r="A33" s="18">
        <v>2</v>
      </c>
      <c r="B33" s="116">
        <v>51</v>
      </c>
      <c r="C33"/>
      <c r="D33"/>
      <c r="E33"/>
      <c r="F33"/>
      <c r="G33"/>
      <c r="H33"/>
      <c r="I33"/>
      <c r="J33"/>
      <c r="K33"/>
      <c r="L33"/>
      <c r="M33"/>
      <c r="N33"/>
      <c r="O33"/>
      <c r="P33"/>
      <c r="Q33"/>
      <c r="R33"/>
      <c r="S33"/>
      <c r="T33"/>
      <c r="U33"/>
      <c r="V33"/>
      <c r="W33"/>
      <c r="X33"/>
      <c r="Y33"/>
      <c r="Z33"/>
      <c r="AA33"/>
    </row>
    <row r="34" spans="1:27" x14ac:dyDescent="0.35">
      <c r="A34" s="18">
        <v>3</v>
      </c>
      <c r="B34" s="116">
        <v>66</v>
      </c>
      <c r="C34"/>
      <c r="D34"/>
      <c r="E34"/>
      <c r="F34"/>
      <c r="G34"/>
      <c r="H34"/>
      <c r="I34"/>
      <c r="J34"/>
      <c r="K34"/>
      <c r="L34"/>
      <c r="M34"/>
      <c r="N34"/>
      <c r="O34"/>
      <c r="P34"/>
      <c r="Q34"/>
      <c r="R34"/>
      <c r="S34"/>
      <c r="T34"/>
      <c r="U34"/>
      <c r="V34"/>
      <c r="W34"/>
      <c r="X34"/>
      <c r="Y34"/>
      <c r="Z34"/>
      <c r="AA34"/>
    </row>
    <row r="35" spans="1:27" x14ac:dyDescent="0.35">
      <c r="A35" s="18">
        <v>4</v>
      </c>
      <c r="B35" s="116">
        <v>30</v>
      </c>
      <c r="C35"/>
      <c r="D35"/>
      <c r="E35"/>
      <c r="F35"/>
      <c r="G35"/>
      <c r="H35"/>
      <c r="I35"/>
      <c r="J35"/>
      <c r="K35"/>
      <c r="L35"/>
      <c r="M35"/>
      <c r="N35"/>
      <c r="O35"/>
      <c r="P35"/>
      <c r="Q35"/>
      <c r="R35"/>
      <c r="S35"/>
      <c r="T35"/>
      <c r="U35"/>
      <c r="V35"/>
      <c r="W35"/>
      <c r="X35"/>
      <c r="Y35"/>
      <c r="Z35"/>
      <c r="AA35"/>
    </row>
    <row r="36" spans="1:27" x14ac:dyDescent="0.35">
      <c r="A36" s="18">
        <v>5</v>
      </c>
      <c r="B36" s="116">
        <v>23</v>
      </c>
      <c r="C36"/>
      <c r="D36"/>
      <c r="E36"/>
      <c r="F36"/>
      <c r="G36"/>
      <c r="H36"/>
      <c r="I36"/>
      <c r="J36"/>
      <c r="K36"/>
      <c r="L36"/>
      <c r="M36"/>
      <c r="N36"/>
      <c r="O36"/>
      <c r="P36"/>
      <c r="Q36"/>
      <c r="R36"/>
      <c r="S36"/>
      <c r="T36"/>
      <c r="U36"/>
      <c r="V36"/>
      <c r="W36"/>
      <c r="X36"/>
      <c r="Y36"/>
      <c r="Z36"/>
      <c r="AA36"/>
    </row>
    <row r="37" spans="1:27" x14ac:dyDescent="0.35">
      <c r="A37" s="18" t="s">
        <v>28</v>
      </c>
      <c r="B37" s="116"/>
      <c r="C37"/>
      <c r="D37"/>
      <c r="E37"/>
      <c r="F37"/>
      <c r="G37"/>
      <c r="H37"/>
      <c r="I37"/>
      <c r="J37"/>
      <c r="K37"/>
      <c r="L37"/>
      <c r="M37"/>
      <c r="N37"/>
      <c r="O37"/>
      <c r="P37"/>
      <c r="Q37"/>
      <c r="R37"/>
      <c r="S37"/>
      <c r="T37"/>
      <c r="U37"/>
      <c r="V37"/>
      <c r="W37"/>
      <c r="X37"/>
      <c r="Y37"/>
      <c r="Z37"/>
      <c r="AA37"/>
    </row>
    <row r="38" spans="1:27" x14ac:dyDescent="0.35">
      <c r="A38" s="32" t="s">
        <v>27</v>
      </c>
      <c r="B38" s="117">
        <v>203</v>
      </c>
      <c r="C38"/>
      <c r="D38"/>
      <c r="E38"/>
      <c r="F38"/>
      <c r="G38"/>
      <c r="H38"/>
      <c r="I38"/>
      <c r="J38"/>
      <c r="K38"/>
      <c r="L38"/>
      <c r="M38"/>
      <c r="N38"/>
      <c r="O38"/>
      <c r="P38"/>
      <c r="Q38"/>
      <c r="R38"/>
      <c r="S38"/>
      <c r="T38"/>
      <c r="U38"/>
      <c r="V38"/>
      <c r="W38"/>
      <c r="X38"/>
      <c r="Y38"/>
      <c r="Z38"/>
      <c r="AA38"/>
    </row>
    <row r="39" spans="1:27" x14ac:dyDescent="0.35">
      <c r="A39"/>
      <c r="B39"/>
      <c r="C39"/>
      <c r="D39"/>
      <c r="E39"/>
      <c r="F39"/>
      <c r="G39"/>
      <c r="H39"/>
      <c r="I39"/>
      <c r="J39"/>
      <c r="K39"/>
      <c r="L39"/>
      <c r="M39"/>
      <c r="N39"/>
      <c r="O39"/>
      <c r="P39"/>
      <c r="Q39"/>
      <c r="R39"/>
      <c r="S39"/>
      <c r="T39"/>
      <c r="U39"/>
      <c r="V39"/>
      <c r="W39"/>
      <c r="X39"/>
      <c r="Y39"/>
      <c r="Z39"/>
      <c r="AA39"/>
    </row>
    <row r="40" spans="1:27" x14ac:dyDescent="0.35">
      <c r="A40" s="29" t="s">
        <v>0</v>
      </c>
      <c r="B40" t="s">
        <v>29</v>
      </c>
    </row>
    <row r="41" spans="1:27" x14ac:dyDescent="0.35">
      <c r="A41" s="3" t="s">
        <v>2</v>
      </c>
      <c r="B41">
        <v>1</v>
      </c>
    </row>
    <row r="42" spans="1:27" x14ac:dyDescent="0.35">
      <c r="A42" s="3" t="s">
        <v>3</v>
      </c>
      <c r="B42">
        <v>8</v>
      </c>
    </row>
    <row r="43" spans="1:27" x14ac:dyDescent="0.35">
      <c r="A43" s="3" t="s">
        <v>4</v>
      </c>
      <c r="B43">
        <v>10</v>
      </c>
    </row>
    <row r="44" spans="1:27" x14ac:dyDescent="0.35">
      <c r="A44" s="3" t="s">
        <v>5</v>
      </c>
      <c r="B44">
        <v>13</v>
      </c>
    </row>
    <row r="45" spans="1:27" x14ac:dyDescent="0.35">
      <c r="A45" s="3" t="s">
        <v>6</v>
      </c>
      <c r="B45">
        <v>10</v>
      </c>
    </row>
    <row r="46" spans="1:27" x14ac:dyDescent="0.35">
      <c r="A46" s="3" t="s">
        <v>7</v>
      </c>
      <c r="B46">
        <v>5</v>
      </c>
    </row>
    <row r="47" spans="1:27" x14ac:dyDescent="0.35">
      <c r="A47" s="3" t="s">
        <v>8</v>
      </c>
      <c r="B47">
        <v>12</v>
      </c>
    </row>
    <row r="48" spans="1:27" x14ac:dyDescent="0.35">
      <c r="A48" s="3" t="s">
        <v>9</v>
      </c>
      <c r="B48">
        <v>12</v>
      </c>
    </row>
    <row r="49" spans="1:2" x14ac:dyDescent="0.35">
      <c r="A49" s="3" t="s">
        <v>10</v>
      </c>
      <c r="B49">
        <v>1</v>
      </c>
    </row>
    <row r="50" spans="1:2" x14ac:dyDescent="0.35">
      <c r="A50" s="3" t="s">
        <v>11</v>
      </c>
      <c r="B50">
        <v>3</v>
      </c>
    </row>
    <row r="51" spans="1:2" x14ac:dyDescent="0.35">
      <c r="A51" s="3" t="s">
        <v>12</v>
      </c>
      <c r="B51">
        <v>8</v>
      </c>
    </row>
    <row r="52" spans="1:2" x14ac:dyDescent="0.35">
      <c r="A52" s="3" t="s">
        <v>13</v>
      </c>
      <c r="B52">
        <v>9</v>
      </c>
    </row>
    <row r="53" spans="1:2" x14ac:dyDescent="0.35">
      <c r="A53" s="3" t="s">
        <v>14</v>
      </c>
      <c r="B53">
        <v>2</v>
      </c>
    </row>
    <row r="54" spans="1:2" x14ac:dyDescent="0.35">
      <c r="A54" s="3" t="s">
        <v>15</v>
      </c>
      <c r="B54">
        <v>8</v>
      </c>
    </row>
    <row r="55" spans="1:2" x14ac:dyDescent="0.35">
      <c r="A55" s="3" t="s">
        <v>16</v>
      </c>
      <c r="B55">
        <v>10</v>
      </c>
    </row>
    <row r="56" spans="1:2" x14ac:dyDescent="0.35">
      <c r="A56" s="3" t="s">
        <v>17</v>
      </c>
      <c r="B56">
        <v>13</v>
      </c>
    </row>
    <row r="57" spans="1:2" x14ac:dyDescent="0.35">
      <c r="A57" s="3" t="s">
        <v>18</v>
      </c>
      <c r="B57">
        <v>11</v>
      </c>
    </row>
    <row r="58" spans="1:2" x14ac:dyDescent="0.35">
      <c r="A58" s="3" t="s">
        <v>19</v>
      </c>
      <c r="B58">
        <v>6</v>
      </c>
    </row>
    <row r="59" spans="1:2" x14ac:dyDescent="0.35">
      <c r="A59" s="3" t="s">
        <v>20</v>
      </c>
      <c r="B59">
        <v>8</v>
      </c>
    </row>
    <row r="60" spans="1:2" x14ac:dyDescent="0.35">
      <c r="A60" s="3" t="s">
        <v>21</v>
      </c>
      <c r="B60">
        <v>10</v>
      </c>
    </row>
    <row r="61" spans="1:2" x14ac:dyDescent="0.35">
      <c r="A61" s="3" t="s">
        <v>22</v>
      </c>
      <c r="B61">
        <v>4</v>
      </c>
    </row>
    <row r="62" spans="1:2" x14ac:dyDescent="0.35">
      <c r="A62" s="3" t="s">
        <v>23</v>
      </c>
      <c r="B62">
        <v>11</v>
      </c>
    </row>
    <row r="63" spans="1:2" x14ac:dyDescent="0.35">
      <c r="A63" s="3" t="s">
        <v>24</v>
      </c>
      <c r="B63">
        <v>7</v>
      </c>
    </row>
    <row r="64" spans="1:2" x14ac:dyDescent="0.35">
      <c r="A64" s="3" t="s">
        <v>25</v>
      </c>
      <c r="B64">
        <v>12</v>
      </c>
    </row>
    <row r="65" spans="1:2" x14ac:dyDescent="0.35">
      <c r="A65" s="3" t="s">
        <v>26</v>
      </c>
      <c r="B65">
        <v>1</v>
      </c>
    </row>
    <row r="66" spans="1:2" x14ac:dyDescent="0.35">
      <c r="A66" s="3" t="s">
        <v>27</v>
      </c>
      <c r="B66">
        <v>195</v>
      </c>
    </row>
    <row r="71" spans="1:2" x14ac:dyDescent="0.35">
      <c r="A71" s="9" t="s">
        <v>30</v>
      </c>
      <c r="B71" s="6" t="s">
        <v>31</v>
      </c>
    </row>
    <row r="72" spans="1:2" x14ac:dyDescent="0.35">
      <c r="A72" s="11" t="s">
        <v>7</v>
      </c>
      <c r="B72" s="11">
        <v>90</v>
      </c>
    </row>
    <row r="73" spans="1:2" x14ac:dyDescent="0.35">
      <c r="A73" s="11" t="s">
        <v>19</v>
      </c>
      <c r="B73" s="11">
        <v>90</v>
      </c>
    </row>
    <row r="74" spans="1:2" x14ac:dyDescent="0.35">
      <c r="A74" s="11" t="s">
        <v>24</v>
      </c>
      <c r="B74" s="11">
        <v>90</v>
      </c>
    </row>
    <row r="75" spans="1:2" x14ac:dyDescent="0.35">
      <c r="A75" s="11" t="s">
        <v>22</v>
      </c>
      <c r="B75" s="11">
        <v>83</v>
      </c>
    </row>
    <row r="76" spans="1:2" x14ac:dyDescent="0.35">
      <c r="A76" s="11" t="s">
        <v>23</v>
      </c>
      <c r="B76" s="11">
        <v>76</v>
      </c>
    </row>
    <row r="77" spans="1:2" x14ac:dyDescent="0.35">
      <c r="A77" s="11" t="s">
        <v>21</v>
      </c>
      <c r="B77" s="11">
        <v>74</v>
      </c>
    </row>
    <row r="78" spans="1:2" x14ac:dyDescent="0.35">
      <c r="A78" s="11" t="s">
        <v>18</v>
      </c>
      <c r="B78" s="11">
        <v>72</v>
      </c>
    </row>
    <row r="79" spans="1:2" x14ac:dyDescent="0.35">
      <c r="A79" s="11" t="s">
        <v>17</v>
      </c>
      <c r="B79" s="11">
        <v>70</v>
      </c>
    </row>
    <row r="80" spans="1:2" x14ac:dyDescent="0.35">
      <c r="A80" s="11" t="s">
        <v>13</v>
      </c>
      <c r="B80" s="11">
        <v>66</v>
      </c>
    </row>
    <row r="81" spans="1:2" x14ac:dyDescent="0.35">
      <c r="A81" s="11" t="s">
        <v>15</v>
      </c>
      <c r="B81" s="11">
        <v>66</v>
      </c>
    </row>
    <row r="82" spans="1:2" x14ac:dyDescent="0.35">
      <c r="A82" s="11" t="s">
        <v>25</v>
      </c>
      <c r="B82" s="11">
        <v>65</v>
      </c>
    </row>
    <row r="83" spans="1:2" x14ac:dyDescent="0.35">
      <c r="A83" s="11" t="s">
        <v>4</v>
      </c>
      <c r="B83" s="11">
        <v>63</v>
      </c>
    </row>
    <row r="84" spans="1:2" x14ac:dyDescent="0.35">
      <c r="A84" s="11" t="s">
        <v>16</v>
      </c>
      <c r="B84" s="11">
        <v>63</v>
      </c>
    </row>
    <row r="85" spans="1:2" x14ac:dyDescent="0.35">
      <c r="A85" s="11" t="s">
        <v>3</v>
      </c>
      <c r="B85" s="11">
        <v>56</v>
      </c>
    </row>
    <row r="86" spans="1:2" x14ac:dyDescent="0.35">
      <c r="A86" s="11" t="s">
        <v>5</v>
      </c>
      <c r="B86" s="11">
        <v>56</v>
      </c>
    </row>
    <row r="87" spans="1:2" x14ac:dyDescent="0.35">
      <c r="A87" s="11" t="s">
        <v>6</v>
      </c>
      <c r="B87" s="11">
        <v>56</v>
      </c>
    </row>
    <row r="88" spans="1:2" x14ac:dyDescent="0.35">
      <c r="A88" s="11" t="s">
        <v>8</v>
      </c>
      <c r="B88" s="11">
        <v>56</v>
      </c>
    </row>
    <row r="89" spans="1:2" x14ac:dyDescent="0.35">
      <c r="A89" s="11" t="s">
        <v>9</v>
      </c>
      <c r="B89" s="11">
        <v>56</v>
      </c>
    </row>
    <row r="90" spans="1:2" x14ac:dyDescent="0.35">
      <c r="A90" s="11" t="s">
        <v>20</v>
      </c>
      <c r="B90" s="11">
        <v>56</v>
      </c>
    </row>
    <row r="91" spans="1:2" x14ac:dyDescent="0.35">
      <c r="A91" s="11" t="s">
        <v>26</v>
      </c>
      <c r="B91" s="11">
        <v>56</v>
      </c>
    </row>
    <row r="92" spans="1:2" x14ac:dyDescent="0.35">
      <c r="A92" s="11" t="s">
        <v>12</v>
      </c>
      <c r="B92" s="11">
        <v>32</v>
      </c>
    </row>
    <row r="93" spans="1:2" x14ac:dyDescent="0.35">
      <c r="A93" s="11" t="s">
        <v>2</v>
      </c>
      <c r="B93" s="11">
        <v>10</v>
      </c>
    </row>
    <row r="94" spans="1:2" x14ac:dyDescent="0.35">
      <c r="A94" s="11" t="s">
        <v>10</v>
      </c>
      <c r="B94" s="11">
        <v>10</v>
      </c>
    </row>
    <row r="95" spans="1:2" x14ac:dyDescent="0.35">
      <c r="A95" s="11" t="s">
        <v>11</v>
      </c>
      <c r="B95" s="11">
        <v>10</v>
      </c>
    </row>
    <row r="96" spans="1:2" x14ac:dyDescent="0.35">
      <c r="A96" s="11" t="s">
        <v>14</v>
      </c>
      <c r="B96" s="11">
        <v>4</v>
      </c>
    </row>
    <row r="100" spans="1:3" x14ac:dyDescent="0.35">
      <c r="A100" s="91" t="s">
        <v>0</v>
      </c>
      <c r="B100" s="92" t="s">
        <v>458</v>
      </c>
    </row>
    <row r="101" spans="1:3" x14ac:dyDescent="0.35">
      <c r="A101" s="31" t="s">
        <v>17</v>
      </c>
      <c r="B101" s="26">
        <v>23</v>
      </c>
    </row>
    <row r="102" spans="1:3" x14ac:dyDescent="0.35">
      <c r="A102" s="31" t="s">
        <v>25</v>
      </c>
      <c r="B102" s="26">
        <v>18.5</v>
      </c>
    </row>
    <row r="103" spans="1:3" x14ac:dyDescent="0.35">
      <c r="A103" s="31" t="s">
        <v>16</v>
      </c>
      <c r="B103" s="26">
        <v>18</v>
      </c>
    </row>
    <row r="104" spans="1:3" x14ac:dyDescent="0.35">
      <c r="A104" s="31" t="s">
        <v>4</v>
      </c>
      <c r="B104" s="26">
        <v>17.5</v>
      </c>
    </row>
    <row r="105" spans="1:3" x14ac:dyDescent="0.35">
      <c r="A105" s="31" t="s">
        <v>8</v>
      </c>
      <c r="B105" s="26">
        <v>17.5</v>
      </c>
    </row>
    <row r="106" spans="1:3" x14ac:dyDescent="0.35">
      <c r="A106" s="31" t="s">
        <v>15</v>
      </c>
      <c r="B106" s="26">
        <v>15</v>
      </c>
    </row>
    <row r="107" spans="1:3" x14ac:dyDescent="0.35">
      <c r="A107" s="31" t="s">
        <v>18</v>
      </c>
      <c r="B107" s="26">
        <v>15</v>
      </c>
    </row>
    <row r="108" spans="1:3" x14ac:dyDescent="0.35">
      <c r="A108" s="31" t="s">
        <v>26</v>
      </c>
      <c r="B108" s="26">
        <v>14</v>
      </c>
    </row>
    <row r="109" spans="1:3" x14ac:dyDescent="0.35">
      <c r="A109" s="31" t="s">
        <v>21</v>
      </c>
      <c r="B109" s="26">
        <v>13</v>
      </c>
    </row>
    <row r="110" spans="1:3" x14ac:dyDescent="0.35">
      <c r="A110" s="31" t="s">
        <v>23</v>
      </c>
      <c r="B110" s="26">
        <v>13</v>
      </c>
      <c r="C110"/>
    </row>
    <row r="111" spans="1:3" x14ac:dyDescent="0.35">
      <c r="A111" s="31" t="s">
        <v>9</v>
      </c>
      <c r="B111" s="26">
        <v>11</v>
      </c>
      <c r="C111"/>
    </row>
    <row r="112" spans="1:3" x14ac:dyDescent="0.35">
      <c r="A112" s="31" t="s">
        <v>13</v>
      </c>
      <c r="B112" s="26">
        <v>11</v>
      </c>
      <c r="C112"/>
    </row>
    <row r="113" spans="1:3" x14ac:dyDescent="0.35">
      <c r="A113" s="31" t="s">
        <v>3</v>
      </c>
      <c r="B113" s="26">
        <v>10</v>
      </c>
      <c r="C113"/>
    </row>
    <row r="114" spans="1:3" x14ac:dyDescent="0.35">
      <c r="A114" s="31" t="s">
        <v>20</v>
      </c>
      <c r="B114" s="26">
        <v>8.5</v>
      </c>
      <c r="C114"/>
    </row>
    <row r="115" spans="1:3" x14ac:dyDescent="0.35">
      <c r="A115" s="31" t="s">
        <v>24</v>
      </c>
      <c r="B115" s="26">
        <v>8</v>
      </c>
      <c r="C115"/>
    </row>
    <row r="116" spans="1:3" x14ac:dyDescent="0.35">
      <c r="A116" s="31" t="s">
        <v>22</v>
      </c>
      <c r="B116" s="26">
        <v>6</v>
      </c>
      <c r="C116"/>
    </row>
    <row r="117" spans="1:3" x14ac:dyDescent="0.35">
      <c r="A117" s="31" t="s">
        <v>12</v>
      </c>
      <c r="B117" s="26">
        <v>5.5</v>
      </c>
      <c r="C117"/>
    </row>
    <row r="118" spans="1:3" x14ac:dyDescent="0.35">
      <c r="A118" s="31" t="s">
        <v>5</v>
      </c>
      <c r="B118" s="26">
        <v>5</v>
      </c>
      <c r="C118"/>
    </row>
    <row r="119" spans="1:3" x14ac:dyDescent="0.35">
      <c r="A119" s="31" t="s">
        <v>7</v>
      </c>
      <c r="B119" s="26">
        <v>5</v>
      </c>
      <c r="C119"/>
    </row>
    <row r="120" spans="1:3" x14ac:dyDescent="0.35">
      <c r="A120" s="31" t="s">
        <v>11</v>
      </c>
      <c r="B120" s="26">
        <v>4</v>
      </c>
      <c r="C120"/>
    </row>
    <row r="121" spans="1:3" x14ac:dyDescent="0.35">
      <c r="A121" s="31" t="s">
        <v>19</v>
      </c>
      <c r="B121" s="26">
        <v>3.5</v>
      </c>
      <c r="C121"/>
    </row>
    <row r="122" spans="1:3" x14ac:dyDescent="0.35">
      <c r="A122" s="31" t="s">
        <v>2</v>
      </c>
      <c r="B122" s="26">
        <v>2</v>
      </c>
      <c r="C122"/>
    </row>
    <row r="123" spans="1:3" x14ac:dyDescent="0.35">
      <c r="A123" s="31" t="s">
        <v>10</v>
      </c>
      <c r="B123" s="26">
        <v>1</v>
      </c>
      <c r="C123"/>
    </row>
    <row r="124" spans="1:3" x14ac:dyDescent="0.35">
      <c r="A124" s="31" t="s">
        <v>14</v>
      </c>
      <c r="B124" s="26">
        <v>0</v>
      </c>
      <c r="C124"/>
    </row>
    <row r="125" spans="1:3" x14ac:dyDescent="0.35">
      <c r="A125" s="31" t="s">
        <v>6</v>
      </c>
      <c r="C125"/>
    </row>
    <row r="126" spans="1:3" x14ac:dyDescent="0.35">
      <c r="C126"/>
    </row>
    <row r="127" spans="1:3" x14ac:dyDescent="0.35">
      <c r="C127"/>
    </row>
    <row r="129" spans="1:2" x14ac:dyDescent="0.35">
      <c r="A129" s="29" t="s">
        <v>0</v>
      </c>
      <c r="B129" t="s">
        <v>458</v>
      </c>
    </row>
    <row r="130" spans="1:2" x14ac:dyDescent="0.35">
      <c r="A130" s="3" t="s">
        <v>2</v>
      </c>
      <c r="B130">
        <v>2</v>
      </c>
    </row>
    <row r="131" spans="1:2" x14ac:dyDescent="0.35">
      <c r="A131" s="3" t="s">
        <v>3</v>
      </c>
      <c r="B131">
        <v>10</v>
      </c>
    </row>
    <row r="132" spans="1:2" x14ac:dyDescent="0.35">
      <c r="A132" s="3" t="s">
        <v>4</v>
      </c>
      <c r="B132">
        <v>17.5</v>
      </c>
    </row>
    <row r="133" spans="1:2" x14ac:dyDescent="0.35">
      <c r="A133" s="3" t="s">
        <v>5</v>
      </c>
      <c r="B133">
        <v>14.5</v>
      </c>
    </row>
    <row r="134" spans="1:2" x14ac:dyDescent="0.35">
      <c r="A134" s="3" t="s">
        <v>6</v>
      </c>
      <c r="B134">
        <v>5</v>
      </c>
    </row>
    <row r="135" spans="1:2" x14ac:dyDescent="0.35">
      <c r="A135" s="3" t="s">
        <v>7</v>
      </c>
      <c r="B135">
        <v>5</v>
      </c>
    </row>
    <row r="136" spans="1:2" x14ac:dyDescent="0.35">
      <c r="A136" s="3" t="s">
        <v>8</v>
      </c>
      <c r="B136">
        <v>17.5</v>
      </c>
    </row>
    <row r="137" spans="1:2" x14ac:dyDescent="0.35">
      <c r="A137" s="3" t="s">
        <v>9</v>
      </c>
      <c r="B137">
        <v>11</v>
      </c>
    </row>
    <row r="138" spans="1:2" x14ac:dyDescent="0.35">
      <c r="A138" s="3" t="s">
        <v>10</v>
      </c>
      <c r="B138">
        <v>1</v>
      </c>
    </row>
    <row r="139" spans="1:2" x14ac:dyDescent="0.35">
      <c r="A139" s="3" t="s">
        <v>11</v>
      </c>
      <c r="B139">
        <v>4</v>
      </c>
    </row>
    <row r="140" spans="1:2" x14ac:dyDescent="0.35">
      <c r="A140" s="3" t="s">
        <v>12</v>
      </c>
      <c r="B140">
        <v>5.5</v>
      </c>
    </row>
    <row r="141" spans="1:2" x14ac:dyDescent="0.35">
      <c r="A141" s="3" t="s">
        <v>13</v>
      </c>
      <c r="B141">
        <v>11</v>
      </c>
    </row>
    <row r="142" spans="1:2" x14ac:dyDescent="0.35">
      <c r="A142" s="3" t="s">
        <v>14</v>
      </c>
      <c r="B142">
        <v>0</v>
      </c>
    </row>
    <row r="143" spans="1:2" x14ac:dyDescent="0.35">
      <c r="A143" s="3" t="s">
        <v>15</v>
      </c>
      <c r="B143">
        <v>15</v>
      </c>
    </row>
    <row r="144" spans="1:2" x14ac:dyDescent="0.35">
      <c r="A144" s="3" t="s">
        <v>16</v>
      </c>
      <c r="B144">
        <v>18</v>
      </c>
    </row>
    <row r="145" spans="1:2" x14ac:dyDescent="0.35">
      <c r="A145" s="3" t="s">
        <v>17</v>
      </c>
      <c r="B145">
        <v>23</v>
      </c>
    </row>
    <row r="146" spans="1:2" x14ac:dyDescent="0.35">
      <c r="A146" s="3" t="s">
        <v>18</v>
      </c>
      <c r="B146">
        <v>15</v>
      </c>
    </row>
    <row r="147" spans="1:2" x14ac:dyDescent="0.35">
      <c r="A147" s="3" t="s">
        <v>19</v>
      </c>
      <c r="B147">
        <v>3.5</v>
      </c>
    </row>
    <row r="148" spans="1:2" x14ac:dyDescent="0.35">
      <c r="A148" s="3" t="s">
        <v>20</v>
      </c>
      <c r="B148">
        <v>8.5</v>
      </c>
    </row>
    <row r="149" spans="1:2" x14ac:dyDescent="0.35">
      <c r="A149" s="3" t="s">
        <v>21</v>
      </c>
      <c r="B149">
        <v>13</v>
      </c>
    </row>
    <row r="150" spans="1:2" x14ac:dyDescent="0.35">
      <c r="A150" s="3" t="s">
        <v>22</v>
      </c>
      <c r="B150">
        <v>6</v>
      </c>
    </row>
    <row r="151" spans="1:2" x14ac:dyDescent="0.35">
      <c r="A151" s="3" t="s">
        <v>23</v>
      </c>
      <c r="B151">
        <v>13</v>
      </c>
    </row>
    <row r="152" spans="1:2" x14ac:dyDescent="0.35">
      <c r="A152" s="3" t="s">
        <v>24</v>
      </c>
      <c r="B152">
        <v>8</v>
      </c>
    </row>
    <row r="153" spans="1:2" x14ac:dyDescent="0.35">
      <c r="A153" s="3" t="s">
        <v>25</v>
      </c>
      <c r="B153">
        <v>18.5</v>
      </c>
    </row>
    <row r="154" spans="1:2" x14ac:dyDescent="0.35">
      <c r="A154" s="3" t="s">
        <v>26</v>
      </c>
      <c r="B154">
        <v>14</v>
      </c>
    </row>
    <row r="155" spans="1:2" x14ac:dyDescent="0.35">
      <c r="A155" s="3" t="s">
        <v>28</v>
      </c>
      <c r="B155"/>
    </row>
    <row r="156" spans="1:2" x14ac:dyDescent="0.35">
      <c r="A156" s="3" t="s">
        <v>27</v>
      </c>
      <c r="B156">
        <v>259.5</v>
      </c>
    </row>
    <row r="157" spans="1:2" x14ac:dyDescent="0.35">
      <c r="A157"/>
    </row>
    <row r="158" spans="1:2" x14ac:dyDescent="0.35">
      <c r="A158"/>
    </row>
    <row r="159" spans="1:2" x14ac:dyDescent="0.35">
      <c r="A159"/>
    </row>
    <row r="160" spans="1:2" x14ac:dyDescent="0.35">
      <c r="A160"/>
    </row>
    <row r="161" spans="1:1" x14ac:dyDescent="0.35">
      <c r="A161"/>
    </row>
    <row r="162" spans="1:1" x14ac:dyDescent="0.35">
      <c r="A162"/>
    </row>
    <row r="163" spans="1:1" x14ac:dyDescent="0.35">
      <c r="A163"/>
    </row>
  </sheetData>
  <autoFilter ref="A100:B100" xr:uid="{E4BF6534-3F7D-44EC-A00F-8715665AD02A}">
    <sortState xmlns:xlrd2="http://schemas.microsoft.com/office/spreadsheetml/2017/richdata2" ref="A101:B125">
      <sortCondition descending="1" ref="B100"/>
    </sortState>
  </autoFilter>
  <sortState xmlns:xlrd2="http://schemas.microsoft.com/office/spreadsheetml/2017/richdata2" ref="A72:B96">
    <sortCondition descending="1" ref="B79:B96"/>
  </sortState>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735F5-C37F-4E9E-9EAC-85BA8687073E}">
  <sheetPr>
    <tabColor rgb="FF00B0F0"/>
  </sheetPr>
  <dimension ref="A1:BD209"/>
  <sheetViews>
    <sheetView tabSelected="1" topLeftCell="K1" zoomScaleNormal="100" workbookViewId="0">
      <selection activeCell="S8" sqref="S8"/>
    </sheetView>
  </sheetViews>
  <sheetFormatPr baseColWidth="10" defaultColWidth="11.453125" defaultRowHeight="15" customHeight="1" x14ac:dyDescent="0.35"/>
  <cols>
    <col min="1" max="1" width="28.453125" style="2" bestFit="1" customWidth="1"/>
    <col min="2" max="2" width="25.7265625" style="2" bestFit="1" customWidth="1"/>
    <col min="3" max="3" width="25.7265625" style="42" customWidth="1"/>
    <col min="4" max="4" width="10.7265625" style="3" bestFit="1" customWidth="1"/>
    <col min="5" max="5" width="18.26953125" style="3" bestFit="1" customWidth="1"/>
    <col min="6" max="6" width="11.1796875" style="3" bestFit="1" customWidth="1"/>
    <col min="7" max="7" width="33.81640625" style="3" bestFit="1" customWidth="1"/>
    <col min="8" max="8" width="18.453125" style="3" bestFit="1" customWidth="1"/>
    <col min="9" max="9" width="16.26953125" style="3" bestFit="1" customWidth="1"/>
    <col min="10" max="10" width="51.7265625" style="3" bestFit="1" customWidth="1"/>
    <col min="11" max="11" width="18.1796875" style="3" bestFit="1" customWidth="1"/>
    <col min="12" max="12" width="17.81640625" style="3" customWidth="1"/>
    <col min="13" max="13" width="11.7265625" style="3" bestFit="1" customWidth="1"/>
    <col min="14" max="14" width="10.7265625" style="2" bestFit="1" customWidth="1"/>
    <col min="15" max="15" width="17.453125" style="72" bestFit="1" customWidth="1"/>
    <col min="16" max="16" width="17.453125" style="3" bestFit="1" customWidth="1"/>
    <col min="17" max="17" width="9.1796875" style="3" bestFit="1" customWidth="1"/>
    <col min="18" max="18" width="9.1796875" style="28" customWidth="1"/>
    <col min="19" max="19" width="8.453125" style="3" bestFit="1" customWidth="1"/>
    <col min="20" max="20" width="38" style="3" customWidth="1"/>
    <col min="21" max="21" width="16.453125" style="8" bestFit="1" customWidth="1"/>
    <col min="22" max="22" width="49.453125" style="3" customWidth="1"/>
    <col min="23" max="23" width="19.453125" style="3" bestFit="1" customWidth="1"/>
    <col min="24" max="24" width="22" style="3" bestFit="1" customWidth="1"/>
    <col min="25" max="25" width="26.26953125" style="20" bestFit="1" customWidth="1"/>
    <col min="26" max="26" width="18" style="3" bestFit="1" customWidth="1"/>
    <col min="27" max="56" width="11.453125" style="18"/>
    <col min="57" max="16384" width="11.453125" style="3"/>
  </cols>
  <sheetData>
    <row r="1" spans="1:56" ht="14.5" x14ac:dyDescent="0.35">
      <c r="A1" s="5" t="s">
        <v>32</v>
      </c>
      <c r="B1" s="5" t="s">
        <v>33</v>
      </c>
      <c r="C1" s="41" t="s">
        <v>34</v>
      </c>
      <c r="D1" s="6" t="s">
        <v>35</v>
      </c>
      <c r="E1" s="6" t="s">
        <v>36</v>
      </c>
      <c r="F1" s="6" t="s">
        <v>37</v>
      </c>
      <c r="G1" s="6" t="s">
        <v>38</v>
      </c>
      <c r="H1" s="6" t="s">
        <v>39</v>
      </c>
      <c r="I1" s="6" t="s">
        <v>40</v>
      </c>
      <c r="J1" s="6" t="s">
        <v>41</v>
      </c>
      <c r="K1" s="6" t="s">
        <v>42</v>
      </c>
      <c r="L1" s="9" t="s">
        <v>30</v>
      </c>
      <c r="M1" s="6" t="s">
        <v>43</v>
      </c>
      <c r="N1" s="113" t="s">
        <v>44</v>
      </c>
      <c r="O1" s="70" t="s">
        <v>45</v>
      </c>
      <c r="P1" s="6" t="s">
        <v>46</v>
      </c>
      <c r="Q1" s="6" t="s">
        <v>47</v>
      </c>
      <c r="R1" s="63" t="s">
        <v>481</v>
      </c>
      <c r="S1" s="50" t="s">
        <v>49</v>
      </c>
      <c r="T1" s="50" t="s">
        <v>50</v>
      </c>
      <c r="U1" s="51" t="s">
        <v>472</v>
      </c>
      <c r="V1" s="50" t="s">
        <v>52</v>
      </c>
      <c r="W1" s="6" t="s">
        <v>53</v>
      </c>
      <c r="X1" s="6" t="s">
        <v>31</v>
      </c>
      <c r="Y1" s="7" t="s">
        <v>54</v>
      </c>
      <c r="Z1" s="6" t="s">
        <v>55</v>
      </c>
    </row>
    <row r="2" spans="1:56" s="11" customFormat="1" ht="14.5" x14ac:dyDescent="0.35">
      <c r="A2" s="10">
        <v>45797</v>
      </c>
      <c r="B2" s="10" t="s">
        <v>56</v>
      </c>
      <c r="C2" s="40">
        <v>1</v>
      </c>
      <c r="D2" s="11" t="s">
        <v>57</v>
      </c>
      <c r="E2" s="11" t="s">
        <v>58</v>
      </c>
      <c r="F2" s="11" t="s">
        <v>59</v>
      </c>
      <c r="G2" s="3" t="s">
        <v>60</v>
      </c>
      <c r="H2" s="3" t="s">
        <v>61</v>
      </c>
      <c r="I2" s="3">
        <v>1040325965</v>
      </c>
      <c r="J2" s="3" t="s">
        <v>62</v>
      </c>
      <c r="K2" s="11">
        <v>3132973915</v>
      </c>
      <c r="L2" s="11" t="s">
        <v>2</v>
      </c>
      <c r="M2" s="11">
        <v>901250630</v>
      </c>
      <c r="N2" s="10">
        <v>45797</v>
      </c>
      <c r="O2" s="71" t="s">
        <v>63</v>
      </c>
      <c r="P2" s="11">
        <v>1</v>
      </c>
      <c r="Q2" s="11">
        <f>IF(OR(P2=1,P2=2,P2=3),106666,IF(OR(P2=4,P2=5),213000,""))</f>
        <v>106666</v>
      </c>
      <c r="R2" s="20" t="s">
        <v>88</v>
      </c>
      <c r="S2" s="25" t="s">
        <v>65</v>
      </c>
      <c r="T2" s="25" t="s">
        <v>66</v>
      </c>
      <c r="U2" s="20">
        <f>IFERROR(VLOOKUP(T2,PHVA!$B$2:$C$74,2,0),0)</f>
        <v>2</v>
      </c>
      <c r="V2" s="11" t="s">
        <v>67</v>
      </c>
      <c r="W2" s="10">
        <v>45807</v>
      </c>
      <c r="X2" s="11">
        <f>ABS(A2-W2)</f>
        <v>10</v>
      </c>
      <c r="Y2" s="20">
        <f>VLOOKUP(M2,Hoja3!$L$2:$X$26,13,0)</f>
        <v>14</v>
      </c>
      <c r="Z2" s="27" t="s">
        <v>68</v>
      </c>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row>
    <row r="3" spans="1:56" ht="14.5" x14ac:dyDescent="0.35">
      <c r="A3" s="10">
        <v>45751</v>
      </c>
      <c r="B3" s="10" t="s">
        <v>69</v>
      </c>
      <c r="C3" s="40">
        <v>2</v>
      </c>
      <c r="D3" s="11" t="s">
        <v>70</v>
      </c>
      <c r="E3" s="11" t="s">
        <v>58</v>
      </c>
      <c r="F3" s="11" t="s">
        <v>71</v>
      </c>
      <c r="G3" s="11" t="s">
        <v>72</v>
      </c>
      <c r="H3" s="11" t="s">
        <v>61</v>
      </c>
      <c r="I3" s="11">
        <v>21481666</v>
      </c>
      <c r="J3" s="11" t="s">
        <v>73</v>
      </c>
      <c r="K3" s="11">
        <v>3053436587</v>
      </c>
      <c r="L3" s="11" t="s">
        <v>3</v>
      </c>
      <c r="M3" s="11">
        <v>901817841</v>
      </c>
      <c r="N3" s="10">
        <v>45751</v>
      </c>
      <c r="O3" s="71" t="s">
        <v>74</v>
      </c>
      <c r="P3" s="11">
        <v>4</v>
      </c>
      <c r="Q3" s="11">
        <f t="shared" ref="Q3:Q66" si="0">IF(OR(P3=1,P3=2,P3=3),106666,IF(OR(P3=4,P3=5),213000,""))</f>
        <v>213000</v>
      </c>
      <c r="R3" s="20" t="s">
        <v>88</v>
      </c>
      <c r="S3" s="25" t="s">
        <v>65</v>
      </c>
      <c r="T3" s="25" t="s">
        <v>76</v>
      </c>
      <c r="U3" s="20">
        <f>IFERROR(VLOOKUP(T3,PHVA!$B$2:$C$74,2,0),0)</f>
        <v>2</v>
      </c>
      <c r="V3" s="11" t="s">
        <v>77</v>
      </c>
      <c r="W3" s="10">
        <v>45807</v>
      </c>
      <c r="X3" s="11">
        <f>ABS(A3-W3)</f>
        <v>56</v>
      </c>
      <c r="Y3" s="20">
        <f>VLOOKUP(M3,Hoja3!$L$2:$X$26,13,0)</f>
        <v>2</v>
      </c>
      <c r="Z3" s="27" t="s">
        <v>68</v>
      </c>
    </row>
    <row r="4" spans="1:56" ht="14.5" x14ac:dyDescent="0.35">
      <c r="A4" s="2">
        <v>45758</v>
      </c>
      <c r="C4" s="2"/>
      <c r="D4" s="3" t="s">
        <v>70</v>
      </c>
      <c r="E4" s="3" t="s">
        <v>58</v>
      </c>
      <c r="F4" s="3" t="s">
        <v>71</v>
      </c>
      <c r="G4" s="3" t="s">
        <v>72</v>
      </c>
      <c r="H4" s="3" t="s">
        <v>61</v>
      </c>
      <c r="I4" s="3">
        <v>21481666</v>
      </c>
      <c r="J4" s="3" t="s">
        <v>73</v>
      </c>
      <c r="K4" s="3">
        <v>3053436587</v>
      </c>
      <c r="L4" s="3" t="s">
        <v>3</v>
      </c>
      <c r="M4" s="3">
        <v>901817841</v>
      </c>
      <c r="N4" s="2">
        <v>45758</v>
      </c>
      <c r="O4" s="72" t="s">
        <v>74</v>
      </c>
      <c r="P4" s="3">
        <v>4</v>
      </c>
      <c r="Q4" s="11">
        <f t="shared" si="0"/>
        <v>213000</v>
      </c>
      <c r="R4" s="20" t="s">
        <v>88</v>
      </c>
      <c r="S4" t="s">
        <v>65</v>
      </c>
      <c r="T4" t="s">
        <v>78</v>
      </c>
      <c r="U4" s="20">
        <f>IFERROR(VLOOKUP(T4,PHVA!$B$2:$C$74,2,0),0)</f>
        <v>0</v>
      </c>
      <c r="V4" s="3" t="s">
        <v>79</v>
      </c>
      <c r="W4" s="2">
        <v>45807</v>
      </c>
      <c r="X4" s="3">
        <f>ABS(A4-W4)</f>
        <v>49</v>
      </c>
      <c r="Y4" s="20">
        <f>VLOOKUP(M4,Hoja3!$L$2:$X$26,13,0)</f>
        <v>2</v>
      </c>
      <c r="Z4" s="27" t="s">
        <v>68</v>
      </c>
    </row>
    <row r="5" spans="1:56" ht="14.5" x14ac:dyDescent="0.35">
      <c r="A5" s="2">
        <v>45765</v>
      </c>
      <c r="C5" s="2"/>
      <c r="D5" s="3" t="s">
        <v>70</v>
      </c>
      <c r="E5" s="3" t="s">
        <v>58</v>
      </c>
      <c r="F5" s="3" t="s">
        <v>71</v>
      </c>
      <c r="G5" s="3" t="s">
        <v>72</v>
      </c>
      <c r="H5" s="3" t="s">
        <v>61</v>
      </c>
      <c r="I5" s="3">
        <v>21481666</v>
      </c>
      <c r="J5" s="3" t="s">
        <v>73</v>
      </c>
      <c r="K5" s="3">
        <v>3053436587</v>
      </c>
      <c r="L5" s="3" t="s">
        <v>3</v>
      </c>
      <c r="M5" s="3">
        <v>901817841</v>
      </c>
      <c r="N5" s="2">
        <v>45765</v>
      </c>
      <c r="O5" s="72" t="s">
        <v>74</v>
      </c>
      <c r="P5" s="3">
        <v>4</v>
      </c>
      <c r="Q5" s="11">
        <f t="shared" si="0"/>
        <v>213000</v>
      </c>
      <c r="R5" s="61" t="s">
        <v>455</v>
      </c>
      <c r="S5" t="s">
        <v>65</v>
      </c>
      <c r="T5" t="s">
        <v>80</v>
      </c>
      <c r="U5" s="20">
        <f>IFERROR(VLOOKUP(T5,PHVA!$B$2:$C$74,2,0),0)</f>
        <v>0.5</v>
      </c>
      <c r="V5" s="3" t="s">
        <v>81</v>
      </c>
      <c r="W5" s="2">
        <v>45807</v>
      </c>
      <c r="X5" s="3">
        <f>ABS(A5-W5)</f>
        <v>42</v>
      </c>
      <c r="Y5" s="20">
        <f>VLOOKUP(M5,Hoja3!$L$2:$X$26,13,0)</f>
        <v>2</v>
      </c>
      <c r="Z5" s="27" t="s">
        <v>68</v>
      </c>
    </row>
    <row r="6" spans="1:56" ht="14.5" x14ac:dyDescent="0.35">
      <c r="A6" s="2">
        <v>45786</v>
      </c>
      <c r="C6" s="2"/>
      <c r="D6" s="3" t="s">
        <v>70</v>
      </c>
      <c r="E6" s="3" t="s">
        <v>58</v>
      </c>
      <c r="F6" s="3" t="s">
        <v>71</v>
      </c>
      <c r="G6" s="3" t="s">
        <v>72</v>
      </c>
      <c r="H6" s="3" t="s">
        <v>61</v>
      </c>
      <c r="I6" s="3">
        <v>21481666</v>
      </c>
      <c r="J6" s="3" t="s">
        <v>73</v>
      </c>
      <c r="K6" s="3">
        <v>3053436587</v>
      </c>
      <c r="L6" s="3" t="s">
        <v>3</v>
      </c>
      <c r="M6" s="3">
        <v>901817841</v>
      </c>
      <c r="N6" s="2">
        <v>45786</v>
      </c>
      <c r="O6" s="72" t="s">
        <v>74</v>
      </c>
      <c r="P6" s="3">
        <v>4</v>
      </c>
      <c r="Q6" s="11">
        <f t="shared" si="0"/>
        <v>213000</v>
      </c>
      <c r="R6" s="20" t="s">
        <v>88</v>
      </c>
      <c r="S6" t="s">
        <v>65</v>
      </c>
      <c r="T6" t="s">
        <v>82</v>
      </c>
      <c r="U6" s="20">
        <f>IFERROR(VLOOKUP(T6,PHVA!$B$2:$C$74,2,0),0)</f>
        <v>0.5</v>
      </c>
      <c r="V6" s="3" t="s">
        <v>83</v>
      </c>
      <c r="W6" s="2">
        <v>45807</v>
      </c>
      <c r="X6" s="3">
        <f>ABS(A6-W6)</f>
        <v>21</v>
      </c>
      <c r="Y6" s="20">
        <f>VLOOKUP(M6,Hoja3!$L$2:$X$26,13,0)</f>
        <v>2</v>
      </c>
      <c r="Z6" s="27" t="s">
        <v>68</v>
      </c>
    </row>
    <row r="7" spans="1:56" ht="14.5" x14ac:dyDescent="0.35">
      <c r="A7" s="2">
        <v>45793</v>
      </c>
      <c r="C7" s="2"/>
      <c r="D7" s="3" t="s">
        <v>70</v>
      </c>
      <c r="E7" s="3" t="s">
        <v>58</v>
      </c>
      <c r="F7" s="3" t="s">
        <v>71</v>
      </c>
      <c r="G7" s="3" t="s">
        <v>72</v>
      </c>
      <c r="H7" s="3" t="s">
        <v>61</v>
      </c>
      <c r="I7" s="3">
        <v>21481666</v>
      </c>
      <c r="J7" s="3" t="s">
        <v>73</v>
      </c>
      <c r="K7" s="3">
        <v>3053436587</v>
      </c>
      <c r="L7" s="3" t="s">
        <v>3</v>
      </c>
      <c r="M7" s="3">
        <v>901817841</v>
      </c>
      <c r="N7" s="2">
        <v>45793</v>
      </c>
      <c r="O7" s="72" t="s">
        <v>74</v>
      </c>
      <c r="P7" s="3">
        <v>4</v>
      </c>
      <c r="Q7" s="11">
        <f t="shared" si="0"/>
        <v>213000</v>
      </c>
      <c r="R7" s="20" t="s">
        <v>88</v>
      </c>
      <c r="S7" t="s">
        <v>65</v>
      </c>
      <c r="T7" t="s">
        <v>84</v>
      </c>
      <c r="U7" s="20">
        <f>IFERROR(VLOOKUP(T7,PHVA!$B$2:$C$74,2,0),0)</f>
        <v>1</v>
      </c>
      <c r="V7" s="3" t="s">
        <v>85</v>
      </c>
      <c r="W7" s="2">
        <v>45807</v>
      </c>
      <c r="X7" s="3">
        <f>ABS(A7-W7)</f>
        <v>14</v>
      </c>
      <c r="Y7" s="20">
        <f>VLOOKUP(M7,Hoja3!$L$2:$X$26,13,0)</f>
        <v>2</v>
      </c>
      <c r="Z7" s="27" t="s">
        <v>68</v>
      </c>
    </row>
    <row r="8" spans="1:56" ht="14.5" x14ac:dyDescent="0.35">
      <c r="A8" s="2">
        <v>45807</v>
      </c>
      <c r="C8" s="2"/>
      <c r="D8" s="3" t="s">
        <v>70</v>
      </c>
      <c r="E8" s="3" t="s">
        <v>58</v>
      </c>
      <c r="F8" s="3" t="s">
        <v>71</v>
      </c>
      <c r="G8" s="3" t="s">
        <v>72</v>
      </c>
      <c r="H8" s="3" t="s">
        <v>61</v>
      </c>
      <c r="I8" s="3">
        <v>21481666</v>
      </c>
      <c r="J8" s="3" t="s">
        <v>73</v>
      </c>
      <c r="K8" s="3">
        <v>3053436587</v>
      </c>
      <c r="L8" s="3" t="s">
        <v>3</v>
      </c>
      <c r="M8" s="3">
        <v>901817841</v>
      </c>
      <c r="N8" s="2">
        <v>45807</v>
      </c>
      <c r="O8" s="72" t="s">
        <v>74</v>
      </c>
      <c r="P8" s="3">
        <v>4</v>
      </c>
      <c r="Q8" s="11">
        <f t="shared" si="0"/>
        <v>213000</v>
      </c>
      <c r="R8" s="20" t="s">
        <v>88</v>
      </c>
      <c r="S8" t="s">
        <v>65</v>
      </c>
      <c r="T8" t="s">
        <v>76</v>
      </c>
      <c r="U8" s="20">
        <f>IFERROR(VLOOKUP(T8,PHVA!$B$2:$C$74,2,0),0)</f>
        <v>2</v>
      </c>
      <c r="V8" s="3" t="s">
        <v>86</v>
      </c>
      <c r="W8" s="2">
        <v>45807</v>
      </c>
      <c r="X8" s="3">
        <f>ABS(A8-W8)</f>
        <v>0</v>
      </c>
      <c r="Y8" s="20">
        <f>VLOOKUP(M8,Hoja3!$L$2:$X$26,13,0)</f>
        <v>2</v>
      </c>
      <c r="Z8" s="27" t="s">
        <v>68</v>
      </c>
    </row>
    <row r="9" spans="1:56" ht="14.5" x14ac:dyDescent="0.35">
      <c r="A9" s="2">
        <v>45814</v>
      </c>
      <c r="C9" s="2"/>
      <c r="D9" s="3" t="s">
        <v>70</v>
      </c>
      <c r="E9" s="3" t="s">
        <v>58</v>
      </c>
      <c r="F9" s="3" t="s">
        <v>71</v>
      </c>
      <c r="G9" s="3" t="s">
        <v>72</v>
      </c>
      <c r="H9" s="3" t="s">
        <v>61</v>
      </c>
      <c r="I9" s="3">
        <v>21481666</v>
      </c>
      <c r="J9" s="3" t="s">
        <v>73</v>
      </c>
      <c r="K9" s="3">
        <v>3053436587</v>
      </c>
      <c r="L9" s="3" t="s">
        <v>3</v>
      </c>
      <c r="M9" s="3">
        <v>901817841</v>
      </c>
      <c r="N9" s="2">
        <v>45814</v>
      </c>
      <c r="O9" s="72" t="s">
        <v>74</v>
      </c>
      <c r="P9" s="3">
        <v>4</v>
      </c>
      <c r="Q9" s="11">
        <f t="shared" si="0"/>
        <v>213000</v>
      </c>
      <c r="R9" s="20" t="s">
        <v>88</v>
      </c>
      <c r="S9" t="s">
        <v>65</v>
      </c>
      <c r="T9" t="s">
        <v>76</v>
      </c>
      <c r="U9" s="20">
        <f>IFERROR(VLOOKUP(T9,PHVA!$B$2:$C$74,2,0),0)</f>
        <v>2</v>
      </c>
      <c r="V9" s="3" t="s">
        <v>87</v>
      </c>
      <c r="W9" s="2">
        <v>45807</v>
      </c>
      <c r="X9" s="3">
        <f>ABS(A9-W9)</f>
        <v>7</v>
      </c>
      <c r="Y9" s="20">
        <f>VLOOKUP(M9,Hoja3!$L$2:$X$26,13,0)</f>
        <v>2</v>
      </c>
      <c r="Z9" s="27" t="s">
        <v>68</v>
      </c>
    </row>
    <row r="10" spans="1:56" ht="14.5" x14ac:dyDescent="0.35">
      <c r="A10" s="2">
        <v>45793</v>
      </c>
      <c r="C10" s="2"/>
      <c r="D10" s="3" t="s">
        <v>70</v>
      </c>
      <c r="E10" s="3" t="s">
        <v>58</v>
      </c>
      <c r="F10" s="3" t="s">
        <v>71</v>
      </c>
      <c r="G10" s="3" t="s">
        <v>72</v>
      </c>
      <c r="H10" s="3" t="s">
        <v>61</v>
      </c>
      <c r="I10" s="3">
        <v>21481666</v>
      </c>
      <c r="J10" s="3" t="s">
        <v>73</v>
      </c>
      <c r="K10" s="3">
        <v>3053436587</v>
      </c>
      <c r="L10" s="3" t="s">
        <v>3</v>
      </c>
      <c r="M10" s="3">
        <v>901817841</v>
      </c>
      <c r="N10" s="2">
        <v>45793</v>
      </c>
      <c r="P10" s="3">
        <v>4</v>
      </c>
      <c r="Q10" s="11">
        <f t="shared" si="0"/>
        <v>213000</v>
      </c>
      <c r="R10" s="20" t="s">
        <v>88</v>
      </c>
      <c r="S10" t="s">
        <v>65</v>
      </c>
      <c r="T10" t="s">
        <v>76</v>
      </c>
      <c r="U10" s="20">
        <f>IFERROR(VLOOKUP(T10,PHVA!$B$2:$C$74,2,0),0)</f>
        <v>2</v>
      </c>
      <c r="V10" s="3" t="s">
        <v>89</v>
      </c>
      <c r="W10" s="2">
        <v>45807</v>
      </c>
      <c r="X10" s="3">
        <f>ABS(A10-W10)</f>
        <v>14</v>
      </c>
      <c r="Y10" s="20">
        <f>VLOOKUP(M10,Hoja3!$L$2:$X$26,13,0)</f>
        <v>2</v>
      </c>
      <c r="Z10" s="27" t="s">
        <v>68</v>
      </c>
    </row>
    <row r="11" spans="1:56" ht="14.5" x14ac:dyDescent="0.35">
      <c r="A11" s="10">
        <v>45744</v>
      </c>
      <c r="B11" s="16" t="s">
        <v>90</v>
      </c>
      <c r="C11" s="39">
        <v>3</v>
      </c>
      <c r="D11" s="11" t="s">
        <v>70</v>
      </c>
      <c r="E11" s="11" t="s">
        <v>58</v>
      </c>
      <c r="F11" s="11" t="s">
        <v>91</v>
      </c>
      <c r="G11" s="11" t="s">
        <v>92</v>
      </c>
      <c r="H11" s="11" t="s">
        <v>61</v>
      </c>
      <c r="I11" s="11">
        <v>1007445947</v>
      </c>
      <c r="J11" s="11" t="s">
        <v>93</v>
      </c>
      <c r="K11" s="11">
        <v>3217213077</v>
      </c>
      <c r="L11" s="11" t="s">
        <v>4</v>
      </c>
      <c r="M11" s="11">
        <v>1007445947</v>
      </c>
      <c r="N11" s="10">
        <v>45744</v>
      </c>
      <c r="O11" s="71" t="s">
        <v>74</v>
      </c>
      <c r="P11" s="11">
        <v>2</v>
      </c>
      <c r="Q11" s="11">
        <f t="shared" si="0"/>
        <v>106666</v>
      </c>
      <c r="R11" s="20" t="s">
        <v>88</v>
      </c>
      <c r="S11" s="25" t="s">
        <v>65</v>
      </c>
      <c r="T11" s="25" t="s">
        <v>94</v>
      </c>
      <c r="U11" s="20">
        <f>IFERROR(VLOOKUP(T11,PHVA!$B$2:$C$74,2,0),0)</f>
        <v>1</v>
      </c>
      <c r="V11" s="11" t="s">
        <v>95</v>
      </c>
      <c r="W11" s="10">
        <v>45807</v>
      </c>
      <c r="X11" s="11">
        <f>ABS(A11-W11)</f>
        <v>63</v>
      </c>
      <c r="Y11" s="20">
        <f>VLOOKUP(M11,Hoja3!$L$2:$X$26,13,0)</f>
        <v>2</v>
      </c>
      <c r="Z11" s="27" t="s">
        <v>68</v>
      </c>
    </row>
    <row r="12" spans="1:56" s="11" customFormat="1" ht="14.5" x14ac:dyDescent="0.35">
      <c r="A12" s="2">
        <v>45751</v>
      </c>
      <c r="B12" s="1"/>
      <c r="C12" s="1"/>
      <c r="D12" s="3" t="s">
        <v>70</v>
      </c>
      <c r="E12" s="3" t="s">
        <v>58</v>
      </c>
      <c r="F12" s="3" t="s">
        <v>91</v>
      </c>
      <c r="G12" s="3" t="s">
        <v>92</v>
      </c>
      <c r="H12" s="3" t="s">
        <v>61</v>
      </c>
      <c r="I12" s="3">
        <v>1007445947</v>
      </c>
      <c r="J12" s="3" t="s">
        <v>93</v>
      </c>
      <c r="K12" s="3">
        <v>3217213077</v>
      </c>
      <c r="L12" s="3" t="s">
        <v>4</v>
      </c>
      <c r="M12" s="3">
        <v>1007445947</v>
      </c>
      <c r="N12" s="2">
        <v>45751</v>
      </c>
      <c r="O12" s="72" t="s">
        <v>74</v>
      </c>
      <c r="P12" s="3">
        <v>2</v>
      </c>
      <c r="Q12" s="11">
        <f t="shared" si="0"/>
        <v>106666</v>
      </c>
      <c r="R12" s="20" t="s">
        <v>88</v>
      </c>
      <c r="S12" t="s">
        <v>65</v>
      </c>
      <c r="T12" t="s">
        <v>96</v>
      </c>
      <c r="U12" s="20">
        <f>IFERROR(VLOOKUP(T12,PHVA!$B$2:$C$74,2,0),0)</f>
        <v>3</v>
      </c>
      <c r="V12" s="3" t="s">
        <v>97</v>
      </c>
      <c r="W12" s="2">
        <v>45807</v>
      </c>
      <c r="X12" s="3" t="s">
        <v>98</v>
      </c>
      <c r="Y12" s="20">
        <f>VLOOKUP(M12,Hoja3!$L$2:$X$26,13,0)</f>
        <v>2</v>
      </c>
      <c r="Z12" s="27" t="s">
        <v>68</v>
      </c>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row>
    <row r="13" spans="1:56" ht="14.5" x14ac:dyDescent="0.35">
      <c r="A13" s="2">
        <v>45758</v>
      </c>
      <c r="B13" s="1"/>
      <c r="C13" s="1"/>
      <c r="D13" s="3" t="s">
        <v>70</v>
      </c>
      <c r="E13" s="3" t="s">
        <v>58</v>
      </c>
      <c r="F13" s="3" t="s">
        <v>91</v>
      </c>
      <c r="G13" s="3" t="s">
        <v>92</v>
      </c>
      <c r="H13" s="3" t="s">
        <v>61</v>
      </c>
      <c r="I13" s="3">
        <v>1007445947</v>
      </c>
      <c r="J13" s="3" t="s">
        <v>93</v>
      </c>
      <c r="K13" s="3">
        <v>3217213077</v>
      </c>
      <c r="L13" s="3" t="s">
        <v>4</v>
      </c>
      <c r="M13" s="3">
        <v>1007445947</v>
      </c>
      <c r="N13" s="2">
        <v>45758</v>
      </c>
      <c r="O13" s="72" t="s">
        <v>74</v>
      </c>
      <c r="P13" s="3">
        <v>2</v>
      </c>
      <c r="Q13" s="11">
        <f t="shared" si="0"/>
        <v>106666</v>
      </c>
      <c r="R13" s="20" t="s">
        <v>88</v>
      </c>
      <c r="S13" t="s">
        <v>65</v>
      </c>
      <c r="T13" t="s">
        <v>66</v>
      </c>
      <c r="U13" s="20">
        <f>IFERROR(VLOOKUP(T13,PHVA!$B$2:$C$74,2,0),0)</f>
        <v>2</v>
      </c>
      <c r="V13" s="3" t="s">
        <v>99</v>
      </c>
      <c r="W13" s="2">
        <v>45807</v>
      </c>
      <c r="X13" s="3">
        <f>ABS(A13-W13)</f>
        <v>49</v>
      </c>
      <c r="Y13" s="20">
        <f>VLOOKUP(M13,Hoja3!$L$2:$X$26,13,0)</f>
        <v>2</v>
      </c>
      <c r="Z13" s="27" t="s">
        <v>68</v>
      </c>
    </row>
    <row r="14" spans="1:56" ht="14.5" x14ac:dyDescent="0.35">
      <c r="A14" s="2">
        <v>45765</v>
      </c>
      <c r="B14" s="1"/>
      <c r="C14" s="1"/>
      <c r="D14" s="3" t="s">
        <v>70</v>
      </c>
      <c r="E14" s="3" t="s">
        <v>58</v>
      </c>
      <c r="F14" s="3" t="s">
        <v>59</v>
      </c>
      <c r="G14" s="3" t="s">
        <v>92</v>
      </c>
      <c r="H14" s="3" t="s">
        <v>61</v>
      </c>
      <c r="I14" s="3">
        <v>1007445947</v>
      </c>
      <c r="J14" s="3" t="s">
        <v>93</v>
      </c>
      <c r="K14" s="3">
        <v>3217213077</v>
      </c>
      <c r="L14" s="3" t="s">
        <v>4</v>
      </c>
      <c r="M14" s="3">
        <v>1007445947</v>
      </c>
      <c r="N14" s="2">
        <v>45765</v>
      </c>
      <c r="O14" s="72" t="s">
        <v>74</v>
      </c>
      <c r="P14" s="3">
        <v>2</v>
      </c>
      <c r="Q14" s="11">
        <f t="shared" si="0"/>
        <v>106666</v>
      </c>
      <c r="R14" s="8" t="s">
        <v>172</v>
      </c>
      <c r="S14" t="s">
        <v>65</v>
      </c>
      <c r="T14" t="s">
        <v>76</v>
      </c>
      <c r="U14" s="20">
        <f>IFERROR(VLOOKUP(T14,PHVA!$B$2:$C$74,2,0),0)</f>
        <v>2</v>
      </c>
      <c r="V14" s="3" t="s">
        <v>101</v>
      </c>
      <c r="W14" s="2">
        <v>45807</v>
      </c>
      <c r="X14" s="3">
        <f>ABS(A14-W14)</f>
        <v>42</v>
      </c>
      <c r="Y14" s="20">
        <f>VLOOKUP(M14,Hoja3!$L$2:$X$26,13,0)</f>
        <v>2</v>
      </c>
      <c r="Z14" s="27" t="s">
        <v>68</v>
      </c>
    </row>
    <row r="15" spans="1:56" ht="14.5" x14ac:dyDescent="0.35">
      <c r="A15" s="2">
        <v>45771</v>
      </c>
      <c r="B15" s="1"/>
      <c r="C15" s="1"/>
      <c r="D15" s="3" t="s">
        <v>102</v>
      </c>
      <c r="E15" s="3" t="s">
        <v>58</v>
      </c>
      <c r="F15" s="3" t="s">
        <v>59</v>
      </c>
      <c r="G15" s="3" t="s">
        <v>92</v>
      </c>
      <c r="H15" s="3" t="s">
        <v>61</v>
      </c>
      <c r="I15" s="3">
        <v>1007445947</v>
      </c>
      <c r="J15" s="3" t="s">
        <v>93</v>
      </c>
      <c r="K15" s="3">
        <v>3217213077</v>
      </c>
      <c r="L15" s="3" t="s">
        <v>4</v>
      </c>
      <c r="M15" s="3">
        <v>1007445947</v>
      </c>
      <c r="N15" s="2">
        <v>45772</v>
      </c>
      <c r="O15" s="72" t="s">
        <v>74</v>
      </c>
      <c r="P15" s="3">
        <v>2</v>
      </c>
      <c r="Q15" s="11">
        <f t="shared" si="0"/>
        <v>106666</v>
      </c>
      <c r="R15" s="20" t="s">
        <v>88</v>
      </c>
      <c r="S15" t="s">
        <v>65</v>
      </c>
      <c r="T15" t="s">
        <v>103</v>
      </c>
      <c r="U15" s="20">
        <f>IFERROR(VLOOKUP(T15,PHVA!$B$2:$C$74,2,0),0)</f>
        <v>1</v>
      </c>
      <c r="V15" s="3" t="s">
        <v>104</v>
      </c>
      <c r="W15" s="2">
        <v>45807</v>
      </c>
      <c r="X15" s="3">
        <f>ABS(A15-W15)</f>
        <v>36</v>
      </c>
      <c r="Y15" s="20">
        <f>VLOOKUP(M15,Hoja3!$L$2:$X$26,13,0)</f>
        <v>2</v>
      </c>
      <c r="Z15" s="27" t="s">
        <v>68</v>
      </c>
    </row>
    <row r="16" spans="1:56" ht="14.5" x14ac:dyDescent="0.35">
      <c r="A16" s="2">
        <v>45724</v>
      </c>
      <c r="B16" s="1"/>
      <c r="C16" s="1"/>
      <c r="D16" s="3" t="s">
        <v>102</v>
      </c>
      <c r="E16" s="3" t="s">
        <v>58</v>
      </c>
      <c r="F16" s="3" t="s">
        <v>59</v>
      </c>
      <c r="G16" s="3" t="s">
        <v>92</v>
      </c>
      <c r="H16" s="3" t="s">
        <v>61</v>
      </c>
      <c r="I16" s="3">
        <v>1007445947</v>
      </c>
      <c r="J16" s="3" t="s">
        <v>93</v>
      </c>
      <c r="K16" s="3">
        <v>3217213077</v>
      </c>
      <c r="L16" s="3" t="s">
        <v>4</v>
      </c>
      <c r="M16" s="3">
        <v>1007445947</v>
      </c>
      <c r="N16" s="2">
        <v>45785</v>
      </c>
      <c r="O16" s="72" t="s">
        <v>74</v>
      </c>
      <c r="P16" s="3">
        <v>2</v>
      </c>
      <c r="Q16" s="11">
        <f t="shared" si="0"/>
        <v>106666</v>
      </c>
      <c r="R16" s="20" t="s">
        <v>88</v>
      </c>
      <c r="S16" t="s">
        <v>65</v>
      </c>
      <c r="T16" t="s">
        <v>82</v>
      </c>
      <c r="U16" s="20">
        <f>IFERROR(VLOOKUP(T16,PHVA!$B$2:$C$74,2,0),0)</f>
        <v>0.5</v>
      </c>
      <c r="V16" s="3" t="s">
        <v>105</v>
      </c>
      <c r="W16" s="2">
        <v>45807</v>
      </c>
      <c r="X16" s="3">
        <f>ABS(A16-W16)</f>
        <v>83</v>
      </c>
      <c r="Y16" s="20">
        <f>VLOOKUP(M16,Hoja3!$L$2:$X$26,13,0)</f>
        <v>2</v>
      </c>
      <c r="Z16" s="27" t="s">
        <v>68</v>
      </c>
    </row>
    <row r="17" spans="1:56" ht="14.5" x14ac:dyDescent="0.35">
      <c r="A17" s="2">
        <v>45731</v>
      </c>
      <c r="B17" s="1"/>
      <c r="C17" s="1"/>
      <c r="D17" s="3" t="s">
        <v>102</v>
      </c>
      <c r="E17" s="3" t="s">
        <v>58</v>
      </c>
      <c r="F17" s="3" t="s">
        <v>59</v>
      </c>
      <c r="G17" s="3" t="s">
        <v>92</v>
      </c>
      <c r="H17" s="3" t="s">
        <v>61</v>
      </c>
      <c r="I17" s="3">
        <v>1007445947</v>
      </c>
      <c r="J17" s="3" t="s">
        <v>93</v>
      </c>
      <c r="K17" s="3">
        <v>3217213077</v>
      </c>
      <c r="L17" s="3" t="s">
        <v>4</v>
      </c>
      <c r="M17" s="3">
        <v>1007445947</v>
      </c>
      <c r="N17" s="2">
        <v>45792</v>
      </c>
      <c r="O17" s="72" t="s">
        <v>74</v>
      </c>
      <c r="P17" s="3">
        <v>2</v>
      </c>
      <c r="Q17" s="11">
        <f t="shared" si="0"/>
        <v>106666</v>
      </c>
      <c r="R17" s="8" t="s">
        <v>172</v>
      </c>
      <c r="S17" t="s">
        <v>65</v>
      </c>
      <c r="T17" t="s">
        <v>76</v>
      </c>
      <c r="U17" s="20">
        <f>IFERROR(VLOOKUP(T17,PHVA!$B$2:$C$74,2,0),0)</f>
        <v>2</v>
      </c>
      <c r="V17" s="3" t="s">
        <v>106</v>
      </c>
      <c r="W17" s="2">
        <v>45807</v>
      </c>
      <c r="X17" s="3">
        <f>ABS(A17-W17)</f>
        <v>76</v>
      </c>
      <c r="Y17" s="20">
        <f>VLOOKUP(M17,Hoja3!$L$2:$X$26,13,0)</f>
        <v>2</v>
      </c>
      <c r="Z17" s="27" t="s">
        <v>68</v>
      </c>
    </row>
    <row r="18" spans="1:56" ht="14.5" x14ac:dyDescent="0.35">
      <c r="A18" s="2">
        <v>45738</v>
      </c>
      <c r="B18" s="1"/>
      <c r="C18" s="1"/>
      <c r="D18" s="3" t="s">
        <v>102</v>
      </c>
      <c r="E18" s="3" t="s">
        <v>58</v>
      </c>
      <c r="F18" s="3" t="s">
        <v>59</v>
      </c>
      <c r="G18" s="3" t="s">
        <v>92</v>
      </c>
      <c r="H18" s="3" t="s">
        <v>61</v>
      </c>
      <c r="I18" s="3">
        <v>1007445947</v>
      </c>
      <c r="J18" s="3" t="s">
        <v>93</v>
      </c>
      <c r="K18" s="3">
        <v>3217213077</v>
      </c>
      <c r="L18" s="3" t="s">
        <v>4</v>
      </c>
      <c r="M18" s="3">
        <v>1007445947</v>
      </c>
      <c r="N18" s="2">
        <v>45799</v>
      </c>
      <c r="O18" s="72" t="s">
        <v>107</v>
      </c>
      <c r="P18" s="3">
        <v>2</v>
      </c>
      <c r="Q18" s="11">
        <f t="shared" si="0"/>
        <v>106666</v>
      </c>
      <c r="R18" s="20" t="s">
        <v>88</v>
      </c>
      <c r="S18" t="s">
        <v>65</v>
      </c>
      <c r="T18" t="s">
        <v>76</v>
      </c>
      <c r="U18" s="20">
        <f>IFERROR(VLOOKUP(T18,PHVA!$B$2:$C$74,2,0),0)</f>
        <v>2</v>
      </c>
      <c r="V18" s="3" t="s">
        <v>108</v>
      </c>
      <c r="W18" s="2">
        <v>45807</v>
      </c>
      <c r="X18" s="3">
        <f>ABS(A18-W18)</f>
        <v>69</v>
      </c>
      <c r="Y18" s="20">
        <f>VLOOKUP(M18,Hoja3!$L$2:$X$26,13,0)</f>
        <v>2</v>
      </c>
      <c r="Z18" s="27" t="s">
        <v>68</v>
      </c>
    </row>
    <row r="19" spans="1:56" ht="14.5" x14ac:dyDescent="0.35">
      <c r="A19" s="2">
        <v>45745</v>
      </c>
      <c r="B19" s="1"/>
      <c r="C19" s="1"/>
      <c r="D19" s="3" t="s">
        <v>102</v>
      </c>
      <c r="E19" s="3" t="s">
        <v>58</v>
      </c>
      <c r="F19" s="3" t="s">
        <v>59</v>
      </c>
      <c r="G19" s="3" t="s">
        <v>92</v>
      </c>
      <c r="H19" s="3" t="s">
        <v>61</v>
      </c>
      <c r="I19" s="3">
        <v>1007445947</v>
      </c>
      <c r="J19" s="3" t="s">
        <v>93</v>
      </c>
      <c r="K19" s="3">
        <v>3217213077</v>
      </c>
      <c r="L19" s="3" t="s">
        <v>4</v>
      </c>
      <c r="M19" s="3">
        <v>1007445947</v>
      </c>
      <c r="N19" s="2">
        <v>45806</v>
      </c>
      <c r="O19" s="72" t="s">
        <v>107</v>
      </c>
      <c r="P19" s="3">
        <v>2</v>
      </c>
      <c r="Q19" s="11">
        <f t="shared" si="0"/>
        <v>106666</v>
      </c>
      <c r="R19" s="8" t="s">
        <v>172</v>
      </c>
      <c r="S19" t="s">
        <v>65</v>
      </c>
      <c r="T19" t="s">
        <v>76</v>
      </c>
      <c r="U19" s="20">
        <f>IFERROR(VLOOKUP(T19,PHVA!$B$2:$C$74,2,0),0)</f>
        <v>2</v>
      </c>
      <c r="V19" s="3" t="s">
        <v>109</v>
      </c>
      <c r="W19" s="2">
        <v>45807</v>
      </c>
      <c r="X19" s="3">
        <f>ABS(A19-W19)</f>
        <v>62</v>
      </c>
      <c r="Y19" s="20">
        <f>VLOOKUP(M19,Hoja3!$L$2:$X$26,13,0)</f>
        <v>2</v>
      </c>
      <c r="Z19" s="27" t="s">
        <v>68</v>
      </c>
    </row>
    <row r="20" spans="1:56" ht="14.5" x14ac:dyDescent="0.35">
      <c r="A20" s="2">
        <v>45813</v>
      </c>
      <c r="B20" s="1"/>
      <c r="C20" s="1"/>
      <c r="D20" s="3" t="s">
        <v>102</v>
      </c>
      <c r="E20" s="3" t="s">
        <v>58</v>
      </c>
      <c r="F20" s="3" t="s">
        <v>59</v>
      </c>
      <c r="G20" s="3" t="s">
        <v>92</v>
      </c>
      <c r="H20" s="3" t="s">
        <v>61</v>
      </c>
      <c r="I20" s="3">
        <v>1007445947</v>
      </c>
      <c r="J20" s="3" t="s">
        <v>93</v>
      </c>
      <c r="K20" s="3">
        <v>3217213077</v>
      </c>
      <c r="L20" s="3" t="s">
        <v>4</v>
      </c>
      <c r="M20" s="3">
        <v>1007445947</v>
      </c>
      <c r="N20" s="2">
        <v>45813</v>
      </c>
      <c r="O20" s="72" t="s">
        <v>107</v>
      </c>
      <c r="P20" s="3">
        <v>2</v>
      </c>
      <c r="Q20" s="11">
        <f t="shared" si="0"/>
        <v>106666</v>
      </c>
      <c r="R20" s="20" t="s">
        <v>88</v>
      </c>
      <c r="S20" t="s">
        <v>65</v>
      </c>
      <c r="T20" t="s">
        <v>110</v>
      </c>
      <c r="U20" s="20">
        <f>IFERROR(VLOOKUP(T20,PHVA!$B$2:$C$74,2,0),0)</f>
        <v>2</v>
      </c>
      <c r="V20" s="3" t="s">
        <v>111</v>
      </c>
      <c r="W20" s="2">
        <v>45807</v>
      </c>
      <c r="X20" s="3">
        <f>ABS(A20-W20)</f>
        <v>6</v>
      </c>
      <c r="Y20" s="20">
        <f>VLOOKUP(M20,Hoja3!$L$2:$X$26,13,0)</f>
        <v>2</v>
      </c>
      <c r="Z20" s="27" t="s">
        <v>68</v>
      </c>
    </row>
    <row r="21" spans="1:56" ht="14.5" x14ac:dyDescent="0.35">
      <c r="A21" s="10">
        <v>45751</v>
      </c>
      <c r="B21" s="10" t="s">
        <v>69</v>
      </c>
      <c r="C21" s="40">
        <v>2</v>
      </c>
      <c r="D21" s="11" t="s">
        <v>70</v>
      </c>
      <c r="E21" s="11" t="s">
        <v>58</v>
      </c>
      <c r="F21" s="11" t="s">
        <v>112</v>
      </c>
      <c r="G21" s="11" t="s">
        <v>113</v>
      </c>
      <c r="H21" s="11" t="s">
        <v>61</v>
      </c>
      <c r="I21" s="11">
        <v>1040039119</v>
      </c>
      <c r="J21" s="11" t="s">
        <v>114</v>
      </c>
      <c r="K21" s="11">
        <v>3173882936</v>
      </c>
      <c r="L21" s="11" t="s">
        <v>5</v>
      </c>
      <c r="M21" s="11">
        <v>900841005</v>
      </c>
      <c r="N21" s="10">
        <v>45751</v>
      </c>
      <c r="O21" s="71" t="s">
        <v>115</v>
      </c>
      <c r="P21" s="11">
        <v>3</v>
      </c>
      <c r="Q21" s="11">
        <f t="shared" si="0"/>
        <v>106666</v>
      </c>
      <c r="R21" s="20" t="s">
        <v>88</v>
      </c>
      <c r="S21" s="25" t="s">
        <v>65</v>
      </c>
      <c r="T21" s="25" t="s">
        <v>103</v>
      </c>
      <c r="U21" s="20">
        <f>IFERROR(VLOOKUP(T21,PHVA!$B$2:$C$74,2,0),0)</f>
        <v>1</v>
      </c>
      <c r="V21" s="11" t="s">
        <v>116</v>
      </c>
      <c r="W21" s="10">
        <v>45807</v>
      </c>
      <c r="X21" s="11">
        <f>ABS(A21-W21)</f>
        <v>56</v>
      </c>
      <c r="Y21" s="20">
        <f>VLOOKUP(M21,Hoja3!$L$2:$X$26,13,0)</f>
        <v>55</v>
      </c>
      <c r="Z21" s="27" t="s">
        <v>68</v>
      </c>
    </row>
    <row r="22" spans="1:56" ht="14.5" x14ac:dyDescent="0.35">
      <c r="A22" s="2">
        <v>45758</v>
      </c>
      <c r="C22" s="2"/>
      <c r="D22" s="3" t="s">
        <v>70</v>
      </c>
      <c r="E22" s="3" t="s">
        <v>58</v>
      </c>
      <c r="F22" s="3" t="s">
        <v>112</v>
      </c>
      <c r="G22" s="3" t="s">
        <v>113</v>
      </c>
      <c r="H22" s="3" t="s">
        <v>61</v>
      </c>
      <c r="I22" s="3">
        <v>1040039119</v>
      </c>
      <c r="J22" s="3" t="s">
        <v>114</v>
      </c>
      <c r="K22" s="3">
        <v>3173882936</v>
      </c>
      <c r="L22" s="3" t="s">
        <v>5</v>
      </c>
      <c r="M22" s="3">
        <v>900841005</v>
      </c>
      <c r="N22" s="2">
        <v>45758</v>
      </c>
      <c r="O22" s="72" t="s">
        <v>115</v>
      </c>
      <c r="P22" s="3">
        <v>3</v>
      </c>
      <c r="Q22" s="11">
        <f t="shared" si="0"/>
        <v>106666</v>
      </c>
      <c r="R22" s="8" t="s">
        <v>172</v>
      </c>
      <c r="S22" t="s">
        <v>65</v>
      </c>
      <c r="T22" t="s">
        <v>117</v>
      </c>
      <c r="U22" s="20"/>
      <c r="V22" s="3" t="s">
        <v>118</v>
      </c>
      <c r="W22" s="2">
        <v>45807</v>
      </c>
      <c r="X22" s="3">
        <f>ABS(A22-W22)</f>
        <v>49</v>
      </c>
      <c r="Y22" s="20">
        <f>VLOOKUP(M22,Hoja3!$L$2:$X$26,13,0)</f>
        <v>55</v>
      </c>
      <c r="Z22" s="27" t="s">
        <v>68</v>
      </c>
    </row>
    <row r="23" spans="1:56" ht="14.5" x14ac:dyDescent="0.35">
      <c r="A23" s="2">
        <v>45765</v>
      </c>
      <c r="C23" s="2"/>
      <c r="D23" s="3" t="s">
        <v>70</v>
      </c>
      <c r="E23" s="3" t="s">
        <v>58</v>
      </c>
      <c r="F23" s="3" t="s">
        <v>112</v>
      </c>
      <c r="G23" s="3" t="s">
        <v>113</v>
      </c>
      <c r="H23" s="3" t="s">
        <v>61</v>
      </c>
      <c r="I23" s="3">
        <v>1040039119</v>
      </c>
      <c r="J23" s="3" t="s">
        <v>114</v>
      </c>
      <c r="K23" s="3">
        <v>3173882936</v>
      </c>
      <c r="L23" s="3" t="s">
        <v>5</v>
      </c>
      <c r="M23" s="3">
        <v>900841005</v>
      </c>
      <c r="N23" s="2">
        <v>45765</v>
      </c>
      <c r="O23" s="72" t="s">
        <v>115</v>
      </c>
      <c r="P23" s="3">
        <v>3</v>
      </c>
      <c r="Q23" s="11">
        <f t="shared" si="0"/>
        <v>106666</v>
      </c>
      <c r="R23" s="8" t="s">
        <v>172</v>
      </c>
      <c r="S23" t="s">
        <v>65</v>
      </c>
      <c r="T23" t="s">
        <v>117</v>
      </c>
      <c r="U23" s="20">
        <f>IFERROR(VLOOKUP(T23,PHVA!$B$2:$C$74,2,0),0)</f>
        <v>0</v>
      </c>
      <c r="V23" s="3" t="s">
        <v>119</v>
      </c>
      <c r="W23" s="2">
        <v>45807</v>
      </c>
      <c r="X23" s="3">
        <f>ABS(A23-W23)</f>
        <v>42</v>
      </c>
      <c r="Y23" s="20">
        <f>VLOOKUP(M23,Hoja3!$L$2:$X$26,13,0)</f>
        <v>55</v>
      </c>
      <c r="Z23" s="27" t="s">
        <v>68</v>
      </c>
    </row>
    <row r="24" spans="1:56" ht="14.5" x14ac:dyDescent="0.35">
      <c r="A24" s="2">
        <v>45779</v>
      </c>
      <c r="C24" s="2"/>
      <c r="D24" s="3" t="s">
        <v>70</v>
      </c>
      <c r="E24" s="3" t="s">
        <v>58</v>
      </c>
      <c r="F24" s="3" t="s">
        <v>112</v>
      </c>
      <c r="G24" s="3" t="s">
        <v>113</v>
      </c>
      <c r="H24" s="3" t="s">
        <v>61</v>
      </c>
      <c r="I24" s="3">
        <v>1040039119</v>
      </c>
      <c r="J24" s="3" t="s">
        <v>114</v>
      </c>
      <c r="K24" s="3">
        <v>3173882936</v>
      </c>
      <c r="L24" s="3" t="s">
        <v>5</v>
      </c>
      <c r="M24" s="3">
        <v>900841005</v>
      </c>
      <c r="N24" s="2">
        <v>45779</v>
      </c>
      <c r="O24" s="72" t="s">
        <v>115</v>
      </c>
      <c r="P24" s="3">
        <v>3</v>
      </c>
      <c r="Q24" s="11">
        <f t="shared" si="0"/>
        <v>106666</v>
      </c>
      <c r="R24" s="8" t="s">
        <v>172</v>
      </c>
      <c r="S24" t="s">
        <v>65</v>
      </c>
      <c r="T24" t="s">
        <v>117</v>
      </c>
      <c r="U24" s="20">
        <f>IFERROR(VLOOKUP(T24,PHVA!$B$2:$C$74,2,0),0)</f>
        <v>0</v>
      </c>
      <c r="V24" s="3" t="s">
        <v>120</v>
      </c>
      <c r="W24" s="2">
        <v>45807</v>
      </c>
      <c r="X24" s="3">
        <f>ABS(A24-W24)</f>
        <v>28</v>
      </c>
      <c r="Y24" s="20">
        <f>VLOOKUP(M24,Hoja3!$L$2:$X$26,13,0)</f>
        <v>55</v>
      </c>
      <c r="Z24" s="27" t="s">
        <v>68</v>
      </c>
    </row>
    <row r="25" spans="1:56" ht="14.5" x14ac:dyDescent="0.35">
      <c r="A25" s="2">
        <v>45786</v>
      </c>
      <c r="C25" s="2"/>
      <c r="D25" s="3" t="s">
        <v>70</v>
      </c>
      <c r="E25" s="3" t="s">
        <v>58</v>
      </c>
      <c r="F25" s="3" t="s">
        <v>112</v>
      </c>
      <c r="G25" s="3" t="s">
        <v>113</v>
      </c>
      <c r="H25" s="3" t="s">
        <v>61</v>
      </c>
      <c r="I25" s="3">
        <v>1040039119</v>
      </c>
      <c r="J25" s="3" t="s">
        <v>114</v>
      </c>
      <c r="K25" s="3">
        <v>3173882936</v>
      </c>
      <c r="L25" s="3" t="s">
        <v>5</v>
      </c>
      <c r="M25" s="3">
        <v>900841005</v>
      </c>
      <c r="N25" s="2">
        <v>45786</v>
      </c>
      <c r="O25" s="72" t="s">
        <v>115</v>
      </c>
      <c r="P25" s="3">
        <v>3</v>
      </c>
      <c r="Q25" s="11">
        <f t="shared" si="0"/>
        <v>106666</v>
      </c>
      <c r="R25" s="8" t="s">
        <v>172</v>
      </c>
      <c r="S25" t="s">
        <v>65</v>
      </c>
      <c r="T25" t="s">
        <v>117</v>
      </c>
      <c r="U25" s="20">
        <f>IFERROR(VLOOKUP(T25,PHVA!$B$2:$C$74,2,0),0)</f>
        <v>0</v>
      </c>
      <c r="V25" s="3" t="s">
        <v>121</v>
      </c>
      <c r="W25" s="2">
        <v>45807</v>
      </c>
      <c r="X25" s="3">
        <f>ABS(A25-W25)</f>
        <v>21</v>
      </c>
      <c r="Y25" s="20">
        <f>VLOOKUP(M25,Hoja3!$L$2:$X$26,13,0)</f>
        <v>55</v>
      </c>
      <c r="Z25" s="27" t="s">
        <v>68</v>
      </c>
    </row>
    <row r="26" spans="1:56" ht="14.5" x14ac:dyDescent="0.35">
      <c r="A26" s="2">
        <v>45793</v>
      </c>
      <c r="C26" s="2"/>
      <c r="D26" s="3" t="s">
        <v>70</v>
      </c>
      <c r="E26" s="3" t="s">
        <v>58</v>
      </c>
      <c r="F26" s="3" t="s">
        <v>59</v>
      </c>
      <c r="G26" s="3" t="s">
        <v>113</v>
      </c>
      <c r="H26" s="3" t="s">
        <v>61</v>
      </c>
      <c r="I26" s="3">
        <v>1040039119</v>
      </c>
      <c r="J26" s="3" t="s">
        <v>114</v>
      </c>
      <c r="K26" s="3">
        <v>3173882936</v>
      </c>
      <c r="L26" s="3" t="s">
        <v>5</v>
      </c>
      <c r="M26" s="3">
        <v>900841005</v>
      </c>
      <c r="N26" s="2">
        <v>45792</v>
      </c>
      <c r="O26" s="72" t="s">
        <v>122</v>
      </c>
      <c r="P26" s="3">
        <v>3</v>
      </c>
      <c r="Q26" s="11">
        <f t="shared" si="0"/>
        <v>106666</v>
      </c>
      <c r="R26" s="20" t="s">
        <v>88</v>
      </c>
      <c r="S26" t="s">
        <v>65</v>
      </c>
      <c r="T26" t="s">
        <v>123</v>
      </c>
      <c r="U26" s="20">
        <f>IFERROR(VLOOKUP(T26,PHVA!$B$2:$C$74,2,0),0)</f>
        <v>0.5</v>
      </c>
      <c r="V26" s="3" t="s">
        <v>124</v>
      </c>
      <c r="W26" s="2">
        <v>45807</v>
      </c>
      <c r="X26" s="3">
        <f>ABS(A26-W26)</f>
        <v>14</v>
      </c>
      <c r="Y26" s="20">
        <f>VLOOKUP(M26,Hoja3!$L$2:$X$26,13,0)</f>
        <v>55</v>
      </c>
      <c r="Z26" s="27" t="s">
        <v>68</v>
      </c>
    </row>
    <row r="27" spans="1:56" ht="14.5" x14ac:dyDescent="0.35">
      <c r="A27" s="2">
        <v>45800</v>
      </c>
      <c r="C27" s="2"/>
      <c r="D27" s="3" t="s">
        <v>70</v>
      </c>
      <c r="E27" s="3" t="s">
        <v>58</v>
      </c>
      <c r="F27" s="3" t="s">
        <v>59</v>
      </c>
      <c r="G27" s="3" t="s">
        <v>113</v>
      </c>
      <c r="H27" s="3" t="s">
        <v>61</v>
      </c>
      <c r="I27" s="3">
        <v>1040039119</v>
      </c>
      <c r="J27" s="3" t="s">
        <v>114</v>
      </c>
      <c r="K27" s="3">
        <v>3173882936</v>
      </c>
      <c r="L27" s="3" t="s">
        <v>5</v>
      </c>
      <c r="M27" s="3">
        <v>900841005</v>
      </c>
      <c r="N27" s="2">
        <v>45799</v>
      </c>
      <c r="O27" s="72" t="s">
        <v>122</v>
      </c>
      <c r="P27" s="3">
        <v>3</v>
      </c>
      <c r="Q27" s="11">
        <f t="shared" si="0"/>
        <v>106666</v>
      </c>
      <c r="R27" s="20" t="s">
        <v>88</v>
      </c>
      <c r="S27" t="s">
        <v>65</v>
      </c>
      <c r="T27" t="s">
        <v>66</v>
      </c>
      <c r="U27" s="20">
        <f>IFERROR(VLOOKUP(T27,PHVA!$B$2:$C$74,2,0),0)</f>
        <v>2</v>
      </c>
      <c r="V27" s="3" t="s">
        <v>125</v>
      </c>
      <c r="W27" s="2">
        <v>45807</v>
      </c>
      <c r="X27" s="3">
        <f>ABS(A27-W27)</f>
        <v>7</v>
      </c>
      <c r="Y27" s="20">
        <f>VLOOKUP(M27,Hoja3!$L$2:$X$26,13,0)</f>
        <v>55</v>
      </c>
      <c r="Z27" s="27" t="s">
        <v>68</v>
      </c>
    </row>
    <row r="28" spans="1:56" s="45" customFormat="1" ht="14.5" x14ac:dyDescent="0.35">
      <c r="A28" s="44">
        <v>45803</v>
      </c>
      <c r="B28" s="44"/>
      <c r="C28" s="44"/>
      <c r="D28" s="45" t="s">
        <v>70</v>
      </c>
      <c r="E28" s="45" t="s">
        <v>58</v>
      </c>
      <c r="F28" s="45" t="s">
        <v>59</v>
      </c>
      <c r="G28" s="45" t="s">
        <v>113</v>
      </c>
      <c r="H28" s="45" t="s">
        <v>61</v>
      </c>
      <c r="I28" s="45">
        <v>1040039119</v>
      </c>
      <c r="J28" s="45" t="s">
        <v>114</v>
      </c>
      <c r="K28" s="45">
        <v>3173882936</v>
      </c>
      <c r="L28" s="45" t="s">
        <v>5</v>
      </c>
      <c r="M28" s="45">
        <v>900841005</v>
      </c>
      <c r="N28" s="44">
        <v>45803</v>
      </c>
      <c r="O28" s="73" t="s">
        <v>122</v>
      </c>
      <c r="P28" s="45">
        <v>3</v>
      </c>
      <c r="Q28" s="11">
        <f t="shared" si="0"/>
        <v>106666</v>
      </c>
      <c r="R28" s="8" t="s">
        <v>172</v>
      </c>
      <c r="S28" s="46" t="s">
        <v>65</v>
      </c>
      <c r="T28" s="46" t="s">
        <v>126</v>
      </c>
      <c r="U28" s="47">
        <f>IFERROR(VLOOKUP(T28,PHVA!$B$2:$C$74,2,0),0)</f>
        <v>4</v>
      </c>
      <c r="V28" s="45" t="s">
        <v>127</v>
      </c>
      <c r="W28" s="44">
        <v>45807</v>
      </c>
      <c r="X28" s="45">
        <f>ABS(A28-W28)</f>
        <v>4</v>
      </c>
      <c r="Y28" s="20">
        <f>VLOOKUP(M28,Hoja3!$L$2:$X$26,13,0)</f>
        <v>55</v>
      </c>
      <c r="Z28" s="48" t="s">
        <v>68</v>
      </c>
      <c r="AA28" s="18"/>
    </row>
    <row r="29" spans="1:56" ht="14.5" x14ac:dyDescent="0.35">
      <c r="A29" s="2">
        <v>45807</v>
      </c>
      <c r="C29" s="2"/>
      <c r="D29" s="3" t="s">
        <v>70</v>
      </c>
      <c r="E29" s="3" t="s">
        <v>58</v>
      </c>
      <c r="F29" s="3" t="s">
        <v>59</v>
      </c>
      <c r="G29" s="3" t="s">
        <v>113</v>
      </c>
      <c r="H29" s="3" t="s">
        <v>61</v>
      </c>
      <c r="I29" s="3">
        <v>1040039119</v>
      </c>
      <c r="J29" s="3" t="s">
        <v>114</v>
      </c>
      <c r="K29" s="3">
        <v>3173882936</v>
      </c>
      <c r="L29" s="3" t="s">
        <v>5</v>
      </c>
      <c r="M29" s="3">
        <v>900841005</v>
      </c>
      <c r="N29" s="2">
        <v>45806</v>
      </c>
      <c r="O29" s="72" t="s">
        <v>122</v>
      </c>
      <c r="P29" s="3">
        <v>3</v>
      </c>
      <c r="Q29" s="11">
        <f t="shared" si="0"/>
        <v>106666</v>
      </c>
      <c r="R29" s="8" t="s">
        <v>172</v>
      </c>
      <c r="S29" t="s">
        <v>65</v>
      </c>
      <c r="T29" t="s">
        <v>117</v>
      </c>
      <c r="U29" s="20">
        <f>IFERROR(VLOOKUP(T29,PHVA!$B$2:$C$74,2,0),0)</f>
        <v>0</v>
      </c>
      <c r="V29" s="3" t="s">
        <v>127</v>
      </c>
      <c r="W29" s="2">
        <v>45807</v>
      </c>
      <c r="X29" s="3">
        <f>ABS(A29-W29)</f>
        <v>0</v>
      </c>
      <c r="Y29" s="20">
        <f>VLOOKUP(M29,Hoja3!$L$2:$X$26,13,0)</f>
        <v>55</v>
      </c>
      <c r="Z29" s="27" t="s">
        <v>68</v>
      </c>
    </row>
    <row r="30" spans="1:56" ht="14.5" x14ac:dyDescent="0.35">
      <c r="A30" s="2">
        <v>45814</v>
      </c>
      <c r="C30" s="2"/>
      <c r="D30" s="3" t="s">
        <v>70</v>
      </c>
      <c r="E30" s="3" t="s">
        <v>58</v>
      </c>
      <c r="F30" s="3" t="s">
        <v>59</v>
      </c>
      <c r="G30" s="3" t="s">
        <v>113</v>
      </c>
      <c r="H30" s="3" t="s">
        <v>61</v>
      </c>
      <c r="I30" s="3">
        <v>1040039119</v>
      </c>
      <c r="J30" s="3" t="s">
        <v>114</v>
      </c>
      <c r="K30" s="3">
        <v>3173882936</v>
      </c>
      <c r="L30" s="3" t="s">
        <v>5</v>
      </c>
      <c r="M30" s="3">
        <v>900841005</v>
      </c>
      <c r="N30" s="2">
        <v>45813</v>
      </c>
      <c r="O30" s="72" t="s">
        <v>122</v>
      </c>
      <c r="P30" s="3">
        <v>3</v>
      </c>
      <c r="Q30" s="11">
        <f t="shared" si="0"/>
        <v>106666</v>
      </c>
      <c r="R30" s="20" t="s">
        <v>88</v>
      </c>
      <c r="S30" t="s">
        <v>65</v>
      </c>
      <c r="T30" t="s">
        <v>128</v>
      </c>
      <c r="U30" s="20">
        <f>IFERROR(VLOOKUP(T30,PHVA!$B$2:$C$74,2,0),0)</f>
        <v>2</v>
      </c>
      <c r="V30" s="3" t="s">
        <v>129</v>
      </c>
      <c r="W30" s="2">
        <v>45807</v>
      </c>
      <c r="X30" s="3">
        <f>ABS(A30-W30)</f>
        <v>7</v>
      </c>
      <c r="Y30" s="20">
        <f>VLOOKUP(M30,Hoja3!$L$2:$X$26,13,0)</f>
        <v>55</v>
      </c>
      <c r="Z30" s="27" t="s">
        <v>68</v>
      </c>
    </row>
    <row r="31" spans="1:56" s="11" customFormat="1" ht="14.5" x14ac:dyDescent="0.35">
      <c r="A31" s="2">
        <v>45786</v>
      </c>
      <c r="B31" s="2"/>
      <c r="C31" s="2"/>
      <c r="D31" s="3" t="s">
        <v>70</v>
      </c>
      <c r="E31" s="3" t="s">
        <v>58</v>
      </c>
      <c r="F31" s="3" t="s">
        <v>59</v>
      </c>
      <c r="G31" s="3" t="s">
        <v>113</v>
      </c>
      <c r="H31" s="3" t="s">
        <v>61</v>
      </c>
      <c r="I31" s="3">
        <v>1040039119</v>
      </c>
      <c r="J31" s="3" t="s">
        <v>114</v>
      </c>
      <c r="K31" s="3">
        <v>3173882936</v>
      </c>
      <c r="L31" s="3" t="s">
        <v>5</v>
      </c>
      <c r="M31" s="3">
        <v>900841005</v>
      </c>
      <c r="N31" s="2">
        <v>45786</v>
      </c>
      <c r="O31" s="72" t="s">
        <v>115</v>
      </c>
      <c r="P31" s="3">
        <v>3</v>
      </c>
      <c r="Q31" s="11">
        <f t="shared" si="0"/>
        <v>106666</v>
      </c>
      <c r="R31" s="20" t="s">
        <v>88</v>
      </c>
      <c r="S31" t="s">
        <v>65</v>
      </c>
      <c r="T31" t="s">
        <v>130</v>
      </c>
      <c r="U31" s="20">
        <f>IFERROR(VLOOKUP(T31,PHVA!$B$2:$C$74,2,0),0)</f>
        <v>2</v>
      </c>
      <c r="V31" s="3" t="s">
        <v>131</v>
      </c>
      <c r="W31" s="2">
        <v>45807</v>
      </c>
      <c r="X31" s="3">
        <f>ABS(A31-W31)</f>
        <v>21</v>
      </c>
      <c r="Y31" s="20">
        <f>VLOOKUP(M31,Hoja3!$L$2:$X$26,13,0)</f>
        <v>55</v>
      </c>
      <c r="Z31" s="27" t="s">
        <v>68</v>
      </c>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row>
    <row r="32" spans="1:56" ht="14.5" x14ac:dyDescent="0.35">
      <c r="A32" s="2">
        <v>45789</v>
      </c>
      <c r="C32" s="2"/>
      <c r="D32" s="3" t="s">
        <v>132</v>
      </c>
      <c r="E32" s="3" t="s">
        <v>58</v>
      </c>
      <c r="F32" s="3" t="s">
        <v>59</v>
      </c>
      <c r="G32" s="3" t="s">
        <v>113</v>
      </c>
      <c r="H32" s="3" t="s">
        <v>61</v>
      </c>
      <c r="I32" s="3">
        <v>1040039119</v>
      </c>
      <c r="J32" s="3" t="s">
        <v>114</v>
      </c>
      <c r="K32" s="3">
        <v>3173882936</v>
      </c>
      <c r="L32" s="3" t="s">
        <v>5</v>
      </c>
      <c r="M32" s="3">
        <v>900841005</v>
      </c>
      <c r="N32" s="2">
        <v>45789</v>
      </c>
      <c r="P32" s="3">
        <v>3</v>
      </c>
      <c r="Q32" s="11">
        <f t="shared" si="0"/>
        <v>106666</v>
      </c>
      <c r="R32" s="20" t="s">
        <v>88</v>
      </c>
      <c r="S32" t="s">
        <v>65</v>
      </c>
      <c r="T32" t="s">
        <v>84</v>
      </c>
      <c r="U32" s="20">
        <f>IFERROR(VLOOKUP(T32,PHVA!$B$2:$C$74,2,0),0)</f>
        <v>1</v>
      </c>
      <c r="V32" s="3" t="s">
        <v>133</v>
      </c>
      <c r="W32" s="2">
        <v>45789</v>
      </c>
      <c r="X32" s="3">
        <f>ABS(A32-W32)</f>
        <v>0</v>
      </c>
      <c r="Y32" s="20">
        <f>VLOOKUP(M32,Hoja3!$L$2:$X$26,13,0)</f>
        <v>55</v>
      </c>
      <c r="Z32" s="27" t="s">
        <v>68</v>
      </c>
    </row>
    <row r="33" spans="1:56" ht="14.5" x14ac:dyDescent="0.35">
      <c r="A33" s="2">
        <v>45793</v>
      </c>
      <c r="C33" s="2"/>
      <c r="D33" s="3" t="s">
        <v>70</v>
      </c>
      <c r="E33" s="3" t="s">
        <v>58</v>
      </c>
      <c r="F33" s="3" t="s">
        <v>71</v>
      </c>
      <c r="G33" s="3" t="s">
        <v>113</v>
      </c>
      <c r="H33" s="3" t="s">
        <v>61</v>
      </c>
      <c r="I33" s="3">
        <v>1040039119</v>
      </c>
      <c r="J33" s="3" t="s">
        <v>114</v>
      </c>
      <c r="K33" s="3">
        <v>3173882936</v>
      </c>
      <c r="L33" s="3" t="s">
        <v>5</v>
      </c>
      <c r="M33" s="3">
        <v>900841005</v>
      </c>
      <c r="N33" s="2">
        <v>45786</v>
      </c>
      <c r="O33" s="72" t="s">
        <v>115</v>
      </c>
      <c r="P33" s="3">
        <v>3</v>
      </c>
      <c r="Q33" s="11">
        <f t="shared" si="0"/>
        <v>106666</v>
      </c>
      <c r="R33" s="20" t="s">
        <v>88</v>
      </c>
      <c r="S33" t="s">
        <v>65</v>
      </c>
      <c r="T33" t="s">
        <v>130</v>
      </c>
      <c r="U33" s="20">
        <f>IFERROR(VLOOKUP(T33,PHVA!$B$2:$C$74,2,0),0)</f>
        <v>2</v>
      </c>
      <c r="V33" s="3" t="s">
        <v>134</v>
      </c>
      <c r="W33" s="2">
        <v>45807</v>
      </c>
      <c r="X33" s="3">
        <f>ABS(A33-W33)</f>
        <v>14</v>
      </c>
      <c r="Y33" s="20">
        <f>VLOOKUP(M33,Hoja3!$L$2:$X$26,13,0)</f>
        <v>55</v>
      </c>
      <c r="Z33" s="27" t="s">
        <v>68</v>
      </c>
    </row>
    <row r="34" spans="1:56" ht="14.5" x14ac:dyDescent="0.35">
      <c r="A34" s="10">
        <v>45751</v>
      </c>
      <c r="B34" s="10" t="s">
        <v>69</v>
      </c>
      <c r="C34" s="40">
        <v>2</v>
      </c>
      <c r="D34" s="11" t="s">
        <v>70</v>
      </c>
      <c r="E34" s="11" t="s">
        <v>58</v>
      </c>
      <c r="F34" s="11" t="s">
        <v>71</v>
      </c>
      <c r="G34" s="11" t="s">
        <v>135</v>
      </c>
      <c r="H34" s="11" t="s">
        <v>61</v>
      </c>
      <c r="I34" s="11">
        <v>1070989191</v>
      </c>
      <c r="J34" s="11" t="s">
        <v>136</v>
      </c>
      <c r="K34" s="11">
        <v>3132973915</v>
      </c>
      <c r="L34" s="11" t="s">
        <v>6</v>
      </c>
      <c r="M34" s="11">
        <v>901546567</v>
      </c>
      <c r="N34" s="10">
        <v>45751</v>
      </c>
      <c r="O34" s="71" t="s">
        <v>137</v>
      </c>
      <c r="P34" s="11">
        <v>3</v>
      </c>
      <c r="Q34" s="11">
        <f t="shared" si="0"/>
        <v>106666</v>
      </c>
      <c r="R34" s="20" t="s">
        <v>88</v>
      </c>
      <c r="S34" s="25" t="s">
        <v>65</v>
      </c>
      <c r="T34" s="25" t="s">
        <v>94</v>
      </c>
      <c r="U34" s="20">
        <f>IFERROR(VLOOKUP(T34,PHVA!$B$2:$C$74,2,0),0)</f>
        <v>1</v>
      </c>
      <c r="V34" s="11" t="s">
        <v>116</v>
      </c>
      <c r="W34" s="10">
        <v>45807</v>
      </c>
      <c r="X34" s="11">
        <f>ABS(A34-W34)</f>
        <v>56</v>
      </c>
      <c r="Y34" s="20">
        <f>VLOOKUP(M34,Hoja3!$L$2:$X$26,13,0)</f>
        <v>30</v>
      </c>
      <c r="Z34" s="27" t="s">
        <v>68</v>
      </c>
    </row>
    <row r="35" spans="1:56" ht="14.5" x14ac:dyDescent="0.35">
      <c r="A35" s="2">
        <v>45758</v>
      </c>
      <c r="C35" s="2"/>
      <c r="D35" s="3" t="s">
        <v>70</v>
      </c>
      <c r="E35" s="3" t="s">
        <v>58</v>
      </c>
      <c r="F35" s="3" t="s">
        <v>71</v>
      </c>
      <c r="G35" s="3" t="s">
        <v>135</v>
      </c>
      <c r="H35" s="3" t="s">
        <v>61</v>
      </c>
      <c r="I35" s="3">
        <v>1070989191</v>
      </c>
      <c r="J35" s="3" t="s">
        <v>136</v>
      </c>
      <c r="K35" s="3">
        <v>3132973915</v>
      </c>
      <c r="L35" s="3" t="s">
        <v>6</v>
      </c>
      <c r="M35" s="3">
        <v>901546567</v>
      </c>
      <c r="N35" s="2">
        <v>45758</v>
      </c>
      <c r="O35" s="72" t="s">
        <v>137</v>
      </c>
      <c r="P35" s="3">
        <v>3</v>
      </c>
      <c r="Q35" s="11">
        <f t="shared" si="0"/>
        <v>106666</v>
      </c>
      <c r="R35" s="20" t="s">
        <v>88</v>
      </c>
      <c r="S35" t="s">
        <v>65</v>
      </c>
      <c r="T35" t="s">
        <v>117</v>
      </c>
      <c r="U35" s="20">
        <f>IFERROR(VLOOKUP(T35,PHVA!$B$2:$C$74,2,0),0)</f>
        <v>0</v>
      </c>
      <c r="V35" s="3" t="s">
        <v>138</v>
      </c>
      <c r="W35" s="2">
        <v>45807</v>
      </c>
      <c r="X35" s="3">
        <f>ABS(A35-W35)</f>
        <v>49</v>
      </c>
      <c r="Y35" s="20">
        <f>VLOOKUP(M35,Hoja3!$L$2:$X$26,13,0)</f>
        <v>30</v>
      </c>
      <c r="Z35" s="27" t="s">
        <v>68</v>
      </c>
    </row>
    <row r="36" spans="1:56" ht="14.5" x14ac:dyDescent="0.35">
      <c r="A36" s="2">
        <v>45765</v>
      </c>
      <c r="C36" s="2"/>
      <c r="D36" s="3" t="s">
        <v>70</v>
      </c>
      <c r="E36" s="3" t="s">
        <v>58</v>
      </c>
      <c r="F36" s="3" t="s">
        <v>71</v>
      </c>
      <c r="G36" s="3" t="s">
        <v>135</v>
      </c>
      <c r="H36" s="3" t="s">
        <v>61</v>
      </c>
      <c r="I36" s="3">
        <v>1070989191</v>
      </c>
      <c r="J36" s="3" t="s">
        <v>136</v>
      </c>
      <c r="K36" s="3">
        <v>3132973915</v>
      </c>
      <c r="L36" s="3" t="s">
        <v>6</v>
      </c>
      <c r="M36" s="3">
        <v>901546567</v>
      </c>
      <c r="N36" s="2">
        <v>45765</v>
      </c>
      <c r="O36" s="72" t="s">
        <v>137</v>
      </c>
      <c r="P36" s="3">
        <v>3</v>
      </c>
      <c r="Q36" s="11">
        <f t="shared" si="0"/>
        <v>106666</v>
      </c>
      <c r="R36" s="62" t="s">
        <v>459</v>
      </c>
      <c r="S36" t="s">
        <v>65</v>
      </c>
      <c r="T36" t="s">
        <v>80</v>
      </c>
      <c r="U36" s="20">
        <f>IFERROR(VLOOKUP(T36,PHVA!$B$2:$C$74,2,0),0)</f>
        <v>0.5</v>
      </c>
      <c r="V36" s="3" t="s">
        <v>139</v>
      </c>
      <c r="W36" s="2">
        <v>45807</v>
      </c>
      <c r="X36" s="3">
        <f>ABS(A36-W36)</f>
        <v>42</v>
      </c>
      <c r="Y36" s="20">
        <f>VLOOKUP(M36,Hoja3!$L$2:$X$26,13,0)</f>
        <v>30</v>
      </c>
      <c r="Z36" s="27" t="s">
        <v>68</v>
      </c>
    </row>
    <row r="37" spans="1:56" ht="14.5" x14ac:dyDescent="0.35">
      <c r="A37" s="2">
        <v>45786</v>
      </c>
      <c r="C37" s="2"/>
      <c r="D37" s="3" t="s">
        <v>70</v>
      </c>
      <c r="E37" s="3" t="s">
        <v>58</v>
      </c>
      <c r="F37" s="3" t="s">
        <v>71</v>
      </c>
      <c r="G37" s="3" t="s">
        <v>135</v>
      </c>
      <c r="H37" s="3" t="s">
        <v>61</v>
      </c>
      <c r="I37" s="3">
        <v>1070989191</v>
      </c>
      <c r="J37" s="3" t="s">
        <v>136</v>
      </c>
      <c r="K37" s="3">
        <v>3132973915</v>
      </c>
      <c r="L37" s="3" t="s">
        <v>6</v>
      </c>
      <c r="M37" s="3">
        <v>901546567</v>
      </c>
      <c r="N37" s="2">
        <v>45786</v>
      </c>
      <c r="O37" s="72" t="s">
        <v>137</v>
      </c>
      <c r="P37" s="3">
        <v>3</v>
      </c>
      <c r="Q37" s="11">
        <f t="shared" si="0"/>
        <v>106666</v>
      </c>
      <c r="R37" s="62" t="s">
        <v>459</v>
      </c>
      <c r="S37" t="s">
        <v>65</v>
      </c>
      <c r="T37" t="s">
        <v>80</v>
      </c>
      <c r="U37" s="20">
        <f>IFERROR(VLOOKUP(T37,PHVA!$B$2:$C$74,2,0),0)</f>
        <v>0.5</v>
      </c>
      <c r="V37" s="3" t="s">
        <v>140</v>
      </c>
      <c r="W37" s="2">
        <v>45807</v>
      </c>
      <c r="X37" s="3">
        <f>ABS(A37-W37)</f>
        <v>21</v>
      </c>
      <c r="Y37" s="20">
        <f>VLOOKUP(M37,Hoja3!$L$2:$X$26,13,0)</f>
        <v>30</v>
      </c>
      <c r="Z37" s="27" t="s">
        <v>68</v>
      </c>
    </row>
    <row r="38" spans="1:56" ht="14.5" x14ac:dyDescent="0.35">
      <c r="A38" s="2">
        <v>45793</v>
      </c>
      <c r="C38" s="2"/>
      <c r="D38" s="3" t="s">
        <v>70</v>
      </c>
      <c r="E38" s="3" t="s">
        <v>58</v>
      </c>
      <c r="F38" s="3" t="s">
        <v>71</v>
      </c>
      <c r="G38" s="3" t="s">
        <v>135</v>
      </c>
      <c r="H38" s="3" t="s">
        <v>61</v>
      </c>
      <c r="I38" s="3">
        <v>1070989191</v>
      </c>
      <c r="J38" s="3" t="s">
        <v>136</v>
      </c>
      <c r="K38" s="3">
        <v>3132973915</v>
      </c>
      <c r="L38" s="3" t="s">
        <v>6</v>
      </c>
      <c r="M38" s="3">
        <v>901546567</v>
      </c>
      <c r="N38" s="2">
        <v>45793</v>
      </c>
      <c r="O38" s="72" t="s">
        <v>137</v>
      </c>
      <c r="P38" s="3">
        <v>3</v>
      </c>
      <c r="Q38" s="11">
        <f t="shared" si="0"/>
        <v>106666</v>
      </c>
      <c r="R38" s="20" t="s">
        <v>88</v>
      </c>
      <c r="S38" t="s">
        <v>65</v>
      </c>
      <c r="T38" t="s">
        <v>84</v>
      </c>
      <c r="U38" s="20">
        <f>IFERROR(VLOOKUP(T38,PHVA!$B$2:$C$74,2,0),0)</f>
        <v>1</v>
      </c>
      <c r="V38" s="3" t="s">
        <v>141</v>
      </c>
      <c r="W38" s="2">
        <v>45807</v>
      </c>
      <c r="X38" s="3">
        <f>ABS(A38-W38)</f>
        <v>14</v>
      </c>
      <c r="Y38" s="20">
        <f>VLOOKUP(M38,Hoja3!$L$2:$X$26,13,0)</f>
        <v>30</v>
      </c>
      <c r="Z38" s="27" t="s">
        <v>68</v>
      </c>
    </row>
    <row r="39" spans="1:56" ht="14.5" x14ac:dyDescent="0.35">
      <c r="A39" s="2">
        <v>45800</v>
      </c>
      <c r="C39" s="2"/>
      <c r="D39" s="3" t="s">
        <v>70</v>
      </c>
      <c r="E39" s="3" t="s">
        <v>58</v>
      </c>
      <c r="F39" s="3" t="s">
        <v>71</v>
      </c>
      <c r="G39" s="3" t="s">
        <v>135</v>
      </c>
      <c r="H39" s="3" t="s">
        <v>61</v>
      </c>
      <c r="I39" s="3">
        <v>1070989191</v>
      </c>
      <c r="J39" s="3" t="s">
        <v>136</v>
      </c>
      <c r="K39" s="3">
        <v>3132973915</v>
      </c>
      <c r="L39" s="3" t="s">
        <v>6</v>
      </c>
      <c r="M39" s="3">
        <v>901546567</v>
      </c>
      <c r="N39" s="2">
        <v>45797</v>
      </c>
      <c r="O39" s="72" t="s">
        <v>137</v>
      </c>
      <c r="P39" s="3">
        <v>3</v>
      </c>
      <c r="Q39" s="11">
        <f t="shared" si="0"/>
        <v>106666</v>
      </c>
      <c r="R39" s="62" t="s">
        <v>459</v>
      </c>
      <c r="S39" t="s">
        <v>65</v>
      </c>
      <c r="T39" t="s">
        <v>80</v>
      </c>
      <c r="U39" s="20">
        <f>IFERROR(VLOOKUP(T39,PHVA!$B$2:$C$74,2,0),0)</f>
        <v>0.5</v>
      </c>
      <c r="V39" s="3" t="s">
        <v>142</v>
      </c>
      <c r="W39" s="2">
        <v>45807</v>
      </c>
      <c r="X39" s="3">
        <f>ABS(A39-W39)</f>
        <v>7</v>
      </c>
      <c r="Y39" s="20">
        <f>VLOOKUP(M39,Hoja3!$L$2:$X$26,13,0)</f>
        <v>30</v>
      </c>
      <c r="Z39" s="27" t="s">
        <v>68</v>
      </c>
    </row>
    <row r="40" spans="1:56" ht="14.5" x14ac:dyDescent="0.35">
      <c r="A40" s="2">
        <v>45797</v>
      </c>
      <c r="C40" s="2"/>
      <c r="D40" s="3" t="s">
        <v>57</v>
      </c>
      <c r="E40" s="3" t="s">
        <v>58</v>
      </c>
      <c r="F40" s="3" t="s">
        <v>59</v>
      </c>
      <c r="G40" s="3" t="s">
        <v>135</v>
      </c>
      <c r="H40" s="3" t="s">
        <v>61</v>
      </c>
      <c r="I40" s="3">
        <v>1070989191</v>
      </c>
      <c r="J40" s="3" t="s">
        <v>136</v>
      </c>
      <c r="K40" s="3">
        <v>3132973915</v>
      </c>
      <c r="L40" s="3" t="s">
        <v>6</v>
      </c>
      <c r="M40" s="3">
        <v>901546567</v>
      </c>
      <c r="N40" s="2">
        <v>45797</v>
      </c>
      <c r="O40" s="72" t="s">
        <v>137</v>
      </c>
      <c r="P40" s="3">
        <v>3</v>
      </c>
      <c r="Q40" s="11">
        <f t="shared" si="0"/>
        <v>106666</v>
      </c>
      <c r="R40" s="8" t="s">
        <v>172</v>
      </c>
      <c r="S40" t="s">
        <v>65</v>
      </c>
      <c r="T40" t="s">
        <v>143</v>
      </c>
      <c r="U40" s="20">
        <f>IFERROR(VLOOKUP(T40,PHVA!$B$2:$C$74,2,0),0)</f>
        <v>0</v>
      </c>
      <c r="V40" s="3" t="s">
        <v>144</v>
      </c>
      <c r="W40" s="2">
        <v>45807</v>
      </c>
      <c r="X40" s="3">
        <f>ABS(A40-W40)</f>
        <v>10</v>
      </c>
      <c r="Y40" s="20">
        <f>VLOOKUP(M40,Hoja3!$L$2:$X$26,13,0)</f>
        <v>30</v>
      </c>
      <c r="Z40" s="27" t="s">
        <v>68</v>
      </c>
    </row>
    <row r="41" spans="1:56" ht="14.5" x14ac:dyDescent="0.35">
      <c r="A41" s="2">
        <v>45814</v>
      </c>
      <c r="C41" s="2"/>
      <c r="D41" s="3" t="s">
        <v>70</v>
      </c>
      <c r="E41" s="3" t="s">
        <v>58</v>
      </c>
      <c r="F41" s="3" t="s">
        <v>71</v>
      </c>
      <c r="G41" s="3" t="s">
        <v>135</v>
      </c>
      <c r="H41" s="3" t="s">
        <v>61</v>
      </c>
      <c r="I41" s="3">
        <v>1070989191</v>
      </c>
      <c r="J41" s="3" t="s">
        <v>136</v>
      </c>
      <c r="K41" s="3">
        <v>3132973915</v>
      </c>
      <c r="L41" s="3" t="s">
        <v>6</v>
      </c>
      <c r="M41" s="3">
        <v>901546567</v>
      </c>
      <c r="N41" s="2">
        <v>45814</v>
      </c>
      <c r="O41" s="72" t="s">
        <v>137</v>
      </c>
      <c r="P41" s="3">
        <v>3</v>
      </c>
      <c r="Q41" s="11">
        <f t="shared" si="0"/>
        <v>106666</v>
      </c>
      <c r="R41" s="8" t="s">
        <v>172</v>
      </c>
      <c r="S41" t="s">
        <v>65</v>
      </c>
      <c r="T41" t="s">
        <v>82</v>
      </c>
      <c r="U41" s="20">
        <f>IFERROR(VLOOKUP(T41,PHVA!$B$2:$C$74,2,0),0)</f>
        <v>0.5</v>
      </c>
      <c r="V41" s="3" t="s">
        <v>145</v>
      </c>
      <c r="W41" s="2">
        <v>45807</v>
      </c>
      <c r="X41" s="3">
        <f>ABS(A41-W41)</f>
        <v>7</v>
      </c>
      <c r="Y41" s="20">
        <f>VLOOKUP(M41,Hoja3!$L$2:$X$26,13,0)</f>
        <v>30</v>
      </c>
      <c r="Z41" s="27" t="s">
        <v>68</v>
      </c>
    </row>
    <row r="42" spans="1:56" s="11" customFormat="1" ht="14.5" x14ac:dyDescent="0.35">
      <c r="A42" s="2">
        <v>45804</v>
      </c>
      <c r="B42" s="2"/>
      <c r="C42" s="2"/>
      <c r="D42" s="3" t="s">
        <v>57</v>
      </c>
      <c r="E42" s="3" t="s">
        <v>58</v>
      </c>
      <c r="F42" s="3" t="s">
        <v>59</v>
      </c>
      <c r="G42" s="3" t="s">
        <v>135</v>
      </c>
      <c r="H42" s="3" t="s">
        <v>61</v>
      </c>
      <c r="I42" s="3">
        <v>1070989191</v>
      </c>
      <c r="J42" s="3" t="s">
        <v>136</v>
      </c>
      <c r="K42" s="3">
        <v>3132973915</v>
      </c>
      <c r="L42" s="3" t="s">
        <v>6</v>
      </c>
      <c r="M42" s="3">
        <v>901546567</v>
      </c>
      <c r="N42" s="2">
        <v>45804</v>
      </c>
      <c r="O42" s="72" t="s">
        <v>137</v>
      </c>
      <c r="P42" s="3">
        <v>3</v>
      </c>
      <c r="Q42" s="11">
        <f t="shared" si="0"/>
        <v>106666</v>
      </c>
      <c r="R42" s="62" t="s">
        <v>459</v>
      </c>
      <c r="S42" t="s">
        <v>65</v>
      </c>
      <c r="T42" t="s">
        <v>80</v>
      </c>
      <c r="U42" s="20">
        <f>IFERROR(VLOOKUP(T42,PHVA!$B$2:$C$74,2,0),0)</f>
        <v>0.5</v>
      </c>
      <c r="V42" s="3" t="s">
        <v>146</v>
      </c>
      <c r="W42" s="2">
        <v>45807</v>
      </c>
      <c r="X42" s="3">
        <f>ABS(A42-W42)</f>
        <v>3</v>
      </c>
      <c r="Y42" s="20">
        <f>VLOOKUP(M42,Hoja3!$L$2:$X$26,13,0)</f>
        <v>30</v>
      </c>
      <c r="Z42" s="27" t="s">
        <v>68</v>
      </c>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row>
    <row r="43" spans="1:56" ht="14.5" x14ac:dyDescent="0.35">
      <c r="A43" s="2">
        <v>45666</v>
      </c>
      <c r="C43" s="2"/>
      <c r="D43" s="3" t="s">
        <v>70</v>
      </c>
      <c r="E43" s="3" t="s">
        <v>58</v>
      </c>
      <c r="F43" s="3" t="s">
        <v>59</v>
      </c>
      <c r="G43" s="3" t="s">
        <v>135</v>
      </c>
      <c r="H43" s="3" t="s">
        <v>61</v>
      </c>
      <c r="I43" s="3">
        <v>1070989191</v>
      </c>
      <c r="J43" s="3" t="s">
        <v>136</v>
      </c>
      <c r="K43" s="3">
        <v>3132973915</v>
      </c>
      <c r="L43" s="3" t="s">
        <v>6</v>
      </c>
      <c r="M43" s="3">
        <v>901546567</v>
      </c>
      <c r="N43" s="2">
        <v>45811</v>
      </c>
      <c r="O43" s="72" t="s">
        <v>147</v>
      </c>
      <c r="P43" s="3">
        <v>3</v>
      </c>
      <c r="Q43" s="11">
        <f t="shared" si="0"/>
        <v>106666</v>
      </c>
      <c r="R43" s="62" t="s">
        <v>459</v>
      </c>
      <c r="S43" t="s">
        <v>65</v>
      </c>
      <c r="T43" t="s">
        <v>80</v>
      </c>
      <c r="U43" s="20">
        <f>IFERROR(VLOOKUP(T43,PHVA!$B$2:$C$74,2,0),0)</f>
        <v>0.5</v>
      </c>
      <c r="V43" s="3" t="s">
        <v>148</v>
      </c>
      <c r="W43" s="2">
        <v>45807</v>
      </c>
      <c r="X43" s="3">
        <f>ABS(A43-W43)</f>
        <v>141</v>
      </c>
      <c r="Y43" s="20">
        <f>VLOOKUP(M43,Hoja3!$L$2:$X$26,13,0)</f>
        <v>30</v>
      </c>
      <c r="Z43" s="27" t="s">
        <v>68</v>
      </c>
    </row>
    <row r="44" spans="1:56" ht="14.5" x14ac:dyDescent="0.35">
      <c r="A44" s="10">
        <v>45717</v>
      </c>
      <c r="B44" s="16" t="s">
        <v>90</v>
      </c>
      <c r="C44" s="39">
        <v>3</v>
      </c>
      <c r="D44" s="11" t="s">
        <v>102</v>
      </c>
      <c r="E44" s="11" t="s">
        <v>58</v>
      </c>
      <c r="F44" s="11" t="s">
        <v>59</v>
      </c>
      <c r="G44" s="11" t="s">
        <v>149</v>
      </c>
      <c r="H44" s="11" t="s">
        <v>61</v>
      </c>
      <c r="I44" s="11">
        <v>1039685226</v>
      </c>
      <c r="J44" s="11" t="s">
        <v>150</v>
      </c>
      <c r="K44" s="11">
        <v>3206709930</v>
      </c>
      <c r="L44" s="11" t="s">
        <v>7</v>
      </c>
      <c r="M44" s="11">
        <v>43476587</v>
      </c>
      <c r="N44" s="10">
        <v>45792</v>
      </c>
      <c r="O44" s="71" t="s">
        <v>151</v>
      </c>
      <c r="P44" s="11">
        <v>3</v>
      </c>
      <c r="Q44" s="11">
        <f t="shared" si="0"/>
        <v>106666</v>
      </c>
      <c r="R44" s="8" t="s">
        <v>172</v>
      </c>
      <c r="S44" s="25" t="s">
        <v>65</v>
      </c>
      <c r="T44" s="25" t="s">
        <v>130</v>
      </c>
      <c r="U44" s="20">
        <f>IFERROR(VLOOKUP(T44,PHVA!$B$2:$C$74,2,0),0)</f>
        <v>2</v>
      </c>
      <c r="V44" s="11" t="s">
        <v>152</v>
      </c>
      <c r="W44" s="10">
        <v>45807</v>
      </c>
      <c r="X44" s="11">
        <f>ABS(A44-W44)</f>
        <v>90</v>
      </c>
      <c r="Y44" s="20">
        <f>VLOOKUP(M44,Hoja3!$L$2:$X$26,13,0)</f>
        <v>4</v>
      </c>
      <c r="Z44" s="27" t="s">
        <v>68</v>
      </c>
    </row>
    <row r="45" spans="1:56" ht="14.5" x14ac:dyDescent="0.35">
      <c r="A45" s="2">
        <v>45771</v>
      </c>
      <c r="C45" s="2"/>
      <c r="D45" s="3" t="s">
        <v>102</v>
      </c>
      <c r="E45" s="3" t="s">
        <v>58</v>
      </c>
      <c r="F45" s="3" t="s">
        <v>59</v>
      </c>
      <c r="G45" s="3" t="s">
        <v>149</v>
      </c>
      <c r="H45" s="3" t="s">
        <v>61</v>
      </c>
      <c r="I45" s="3">
        <v>1039685226</v>
      </c>
      <c r="J45" s="3" t="s">
        <v>150</v>
      </c>
      <c r="K45" s="3">
        <v>3206709930</v>
      </c>
      <c r="L45" s="3" t="s">
        <v>7</v>
      </c>
      <c r="M45" s="3">
        <v>43476587</v>
      </c>
      <c r="N45" s="2" t="s">
        <v>153</v>
      </c>
      <c r="O45" s="72" t="s">
        <v>151</v>
      </c>
      <c r="P45" s="3">
        <v>3</v>
      </c>
      <c r="Q45" s="11">
        <f t="shared" si="0"/>
        <v>106666</v>
      </c>
      <c r="R45" s="20" t="s">
        <v>88</v>
      </c>
      <c r="S45" t="s">
        <v>65</v>
      </c>
      <c r="T45" t="s">
        <v>103</v>
      </c>
      <c r="U45" s="20">
        <f>IFERROR(VLOOKUP(T45,PHVA!$B$2:$C$74,2,0),0)</f>
        <v>1</v>
      </c>
      <c r="V45" s="3" t="s">
        <v>154</v>
      </c>
      <c r="W45" s="2">
        <v>45807</v>
      </c>
      <c r="X45" s="3">
        <f>ABS(A45-W45)</f>
        <v>36</v>
      </c>
      <c r="Y45" s="20">
        <f>VLOOKUP(M45,Hoja3!$L$2:$X$26,13,0)</f>
        <v>4</v>
      </c>
      <c r="Z45" s="27" t="s">
        <v>68</v>
      </c>
    </row>
    <row r="46" spans="1:56" ht="14.5" x14ac:dyDescent="0.35">
      <c r="A46" s="2">
        <v>45724</v>
      </c>
      <c r="C46" s="2"/>
      <c r="D46" s="3" t="s">
        <v>102</v>
      </c>
      <c r="E46" s="3" t="s">
        <v>58</v>
      </c>
      <c r="F46" s="3" t="s">
        <v>59</v>
      </c>
      <c r="G46" s="3" t="s">
        <v>149</v>
      </c>
      <c r="H46" s="3" t="s">
        <v>61</v>
      </c>
      <c r="I46" s="3">
        <v>1039685226</v>
      </c>
      <c r="J46" s="3" t="s">
        <v>150</v>
      </c>
      <c r="K46" s="3">
        <v>3206709930</v>
      </c>
      <c r="L46" s="3" t="s">
        <v>7</v>
      </c>
      <c r="M46" s="3">
        <v>43476587</v>
      </c>
      <c r="N46" s="2">
        <v>45799</v>
      </c>
      <c r="O46" s="72" t="s">
        <v>151</v>
      </c>
      <c r="P46" s="3">
        <v>3</v>
      </c>
      <c r="Q46" s="11">
        <f t="shared" si="0"/>
        <v>106666</v>
      </c>
      <c r="R46" s="20" t="s">
        <v>455</v>
      </c>
      <c r="S46" t="s">
        <v>65</v>
      </c>
      <c r="T46" t="s">
        <v>143</v>
      </c>
      <c r="U46" s="20">
        <f>IFERROR(VLOOKUP(T46,PHVA!$B$2:$C$74,2,0),0)</f>
        <v>0</v>
      </c>
      <c r="V46" s="3" t="s">
        <v>155</v>
      </c>
      <c r="W46" s="2">
        <v>45807</v>
      </c>
      <c r="X46" s="3">
        <f>ABS(A46-W46)</f>
        <v>83</v>
      </c>
      <c r="Y46" s="20">
        <f>VLOOKUP(M46,Hoja3!$L$2:$X$26,13,0)</f>
        <v>4</v>
      </c>
      <c r="Z46" s="27" t="s">
        <v>68</v>
      </c>
    </row>
    <row r="47" spans="1:56" ht="14.5" x14ac:dyDescent="0.35">
      <c r="A47" s="2">
        <v>45731</v>
      </c>
      <c r="C47" s="2"/>
      <c r="D47" s="3" t="s">
        <v>102</v>
      </c>
      <c r="E47" s="3" t="s">
        <v>58</v>
      </c>
      <c r="F47" s="3" t="s">
        <v>59</v>
      </c>
      <c r="G47" s="3" t="s">
        <v>149</v>
      </c>
      <c r="H47" s="3" t="s">
        <v>61</v>
      </c>
      <c r="I47" s="3">
        <v>1039685226</v>
      </c>
      <c r="J47" s="3" t="s">
        <v>150</v>
      </c>
      <c r="K47" s="3">
        <v>3206709930</v>
      </c>
      <c r="L47" s="3" t="s">
        <v>7</v>
      </c>
      <c r="M47" s="3">
        <v>43476587</v>
      </c>
      <c r="N47" s="2">
        <v>45806</v>
      </c>
      <c r="O47" s="72" t="s">
        <v>151</v>
      </c>
      <c r="P47" s="3">
        <v>3</v>
      </c>
      <c r="Q47" s="11">
        <f t="shared" si="0"/>
        <v>106666</v>
      </c>
      <c r="R47" s="20" t="s">
        <v>88</v>
      </c>
      <c r="S47" t="s">
        <v>65</v>
      </c>
      <c r="T47" t="s">
        <v>66</v>
      </c>
      <c r="U47" s="20">
        <f>IFERROR(VLOOKUP(T47,PHVA!$B$2:$C$74,2,0),0)</f>
        <v>2</v>
      </c>
      <c r="V47" s="3" t="s">
        <v>156</v>
      </c>
      <c r="W47" s="2">
        <v>45807</v>
      </c>
      <c r="X47" s="3">
        <f>ABS(A47-W47)</f>
        <v>76</v>
      </c>
      <c r="Y47" s="20">
        <f>VLOOKUP(M47,Hoja3!$L$2:$X$26,13,0)</f>
        <v>4</v>
      </c>
      <c r="Z47" s="27" t="s">
        <v>68</v>
      </c>
    </row>
    <row r="48" spans="1:56" ht="14.5" x14ac:dyDescent="0.35">
      <c r="A48" s="2">
        <v>45738</v>
      </c>
      <c r="C48" s="2"/>
      <c r="D48" s="3" t="s">
        <v>102</v>
      </c>
      <c r="E48" s="3" t="s">
        <v>58</v>
      </c>
      <c r="F48" s="3" t="s">
        <v>59</v>
      </c>
      <c r="G48" s="3" t="s">
        <v>149</v>
      </c>
      <c r="H48" s="3" t="s">
        <v>61</v>
      </c>
      <c r="I48" s="3">
        <v>1039685226</v>
      </c>
      <c r="J48" s="3" t="s">
        <v>150</v>
      </c>
      <c r="K48" s="3">
        <v>3206709930</v>
      </c>
      <c r="L48" s="3" t="s">
        <v>7</v>
      </c>
      <c r="M48" s="3">
        <v>43476587</v>
      </c>
      <c r="N48" s="2">
        <v>45813</v>
      </c>
      <c r="O48" s="72" t="s">
        <v>151</v>
      </c>
      <c r="P48" s="3">
        <v>3</v>
      </c>
      <c r="Q48" s="11">
        <f t="shared" si="0"/>
        <v>106666</v>
      </c>
      <c r="R48" s="20" t="s">
        <v>455</v>
      </c>
      <c r="S48" t="s">
        <v>65</v>
      </c>
      <c r="T48" t="s">
        <v>143</v>
      </c>
      <c r="U48" s="20">
        <f>IFERROR(VLOOKUP(T48,PHVA!$B$2:$C$74,2,0),0)</f>
        <v>0</v>
      </c>
      <c r="V48" s="3" t="s">
        <v>157</v>
      </c>
      <c r="W48" s="2">
        <v>45807</v>
      </c>
      <c r="X48" s="3">
        <f>ABS(A48-W48)</f>
        <v>69</v>
      </c>
      <c r="Y48" s="20">
        <f>VLOOKUP(M48,Hoja3!$L$2:$X$26,13,0)</f>
        <v>4</v>
      </c>
      <c r="Z48" s="27" t="s">
        <v>68</v>
      </c>
    </row>
    <row r="49" spans="1:56" ht="14.5" x14ac:dyDescent="0.35">
      <c r="A49" s="10">
        <v>45751</v>
      </c>
      <c r="B49" s="10" t="s">
        <v>69</v>
      </c>
      <c r="C49" s="40">
        <v>2</v>
      </c>
      <c r="D49" s="11" t="s">
        <v>70</v>
      </c>
      <c r="E49" s="11" t="s">
        <v>58</v>
      </c>
      <c r="F49" s="11" t="s">
        <v>112</v>
      </c>
      <c r="G49" s="11" t="s">
        <v>158</v>
      </c>
      <c r="H49" s="11" t="s">
        <v>61</v>
      </c>
      <c r="I49" s="11">
        <v>1036780830</v>
      </c>
      <c r="J49" s="11" t="s">
        <v>159</v>
      </c>
      <c r="K49" s="11">
        <v>3147830285</v>
      </c>
      <c r="L49" s="11" t="s">
        <v>8</v>
      </c>
      <c r="M49" s="11">
        <v>900509996</v>
      </c>
      <c r="N49" s="10">
        <v>45751</v>
      </c>
      <c r="O49" s="71" t="s">
        <v>160</v>
      </c>
      <c r="P49" s="11">
        <v>3</v>
      </c>
      <c r="Q49" s="11">
        <f t="shared" si="0"/>
        <v>106666</v>
      </c>
      <c r="R49" s="20" t="s">
        <v>88</v>
      </c>
      <c r="S49" s="25" t="s">
        <v>65</v>
      </c>
      <c r="T49" s="25" t="s">
        <v>94</v>
      </c>
      <c r="U49" s="20">
        <f>IFERROR(VLOOKUP(T49,PHVA!$B$2:$C$74,2,0),0)</f>
        <v>1</v>
      </c>
      <c r="V49" s="11" t="s">
        <v>116</v>
      </c>
      <c r="W49" s="10">
        <v>45807</v>
      </c>
      <c r="X49" s="11">
        <f>ABS(A49-W49)</f>
        <v>56</v>
      </c>
      <c r="Y49" s="20">
        <f>VLOOKUP(M49,Hoja3!$L$2:$X$26,13,0)</f>
        <v>3</v>
      </c>
      <c r="Z49" s="27" t="s">
        <v>68</v>
      </c>
    </row>
    <row r="50" spans="1:56" ht="14.5" x14ac:dyDescent="0.35">
      <c r="A50" s="2">
        <v>45758</v>
      </c>
      <c r="C50" s="2"/>
      <c r="D50" s="3" t="s">
        <v>70</v>
      </c>
      <c r="E50" s="3" t="s">
        <v>58</v>
      </c>
      <c r="F50" s="3" t="s">
        <v>112</v>
      </c>
      <c r="G50" s="3" t="s">
        <v>158</v>
      </c>
      <c r="H50" s="3" t="s">
        <v>61</v>
      </c>
      <c r="I50" s="3">
        <v>1036780830</v>
      </c>
      <c r="J50" s="3" t="s">
        <v>159</v>
      </c>
      <c r="K50" s="3">
        <v>3147830285</v>
      </c>
      <c r="L50" s="3" t="s">
        <v>8</v>
      </c>
      <c r="M50" s="3">
        <v>900509996</v>
      </c>
      <c r="N50" s="2">
        <v>45758</v>
      </c>
      <c r="O50" s="72" t="s">
        <v>160</v>
      </c>
      <c r="P50" s="3">
        <v>3</v>
      </c>
      <c r="Q50" s="11">
        <f t="shared" si="0"/>
        <v>106666</v>
      </c>
      <c r="R50" s="20" t="s">
        <v>88</v>
      </c>
      <c r="S50" t="s">
        <v>65</v>
      </c>
      <c r="T50" t="s">
        <v>80</v>
      </c>
      <c r="U50" s="20">
        <f>IFERROR(VLOOKUP(T50,PHVA!$B$2:$C$74,2,0),0)</f>
        <v>0.5</v>
      </c>
      <c r="V50" s="3" t="s">
        <v>161</v>
      </c>
      <c r="W50" s="2">
        <v>45807</v>
      </c>
      <c r="X50" s="3">
        <f>ABS(A50-W50)</f>
        <v>49</v>
      </c>
      <c r="Y50" s="20">
        <f>VLOOKUP(M50,Hoja3!$L$2:$X$26,13,0)</f>
        <v>3</v>
      </c>
      <c r="Z50" s="27" t="s">
        <v>68</v>
      </c>
    </row>
    <row r="51" spans="1:56" ht="14.5" x14ac:dyDescent="0.35">
      <c r="A51" s="2">
        <v>45765</v>
      </c>
      <c r="C51" s="2"/>
      <c r="D51" s="3" t="s">
        <v>70</v>
      </c>
      <c r="E51" s="3" t="s">
        <v>58</v>
      </c>
      <c r="F51" s="3" t="s">
        <v>112</v>
      </c>
      <c r="G51" s="3" t="s">
        <v>158</v>
      </c>
      <c r="H51" s="3" t="s">
        <v>61</v>
      </c>
      <c r="I51" s="3">
        <v>1036780830</v>
      </c>
      <c r="J51" s="3" t="s">
        <v>159</v>
      </c>
      <c r="K51" s="3">
        <v>3147830285</v>
      </c>
      <c r="L51" s="3" t="s">
        <v>8</v>
      </c>
      <c r="M51" s="3">
        <v>900509996</v>
      </c>
      <c r="N51" s="2">
        <v>45765</v>
      </c>
      <c r="O51" s="72" t="s">
        <v>160</v>
      </c>
      <c r="P51" s="3">
        <v>3</v>
      </c>
      <c r="Q51" s="11">
        <f t="shared" si="0"/>
        <v>106666</v>
      </c>
      <c r="R51" s="62" t="s">
        <v>459</v>
      </c>
      <c r="S51" t="s">
        <v>65</v>
      </c>
      <c r="T51" t="s">
        <v>80</v>
      </c>
      <c r="U51" s="20">
        <f>IFERROR(VLOOKUP(T51,PHVA!$B$2:$C$74,2,0),0)</f>
        <v>0.5</v>
      </c>
      <c r="V51" s="3" t="s">
        <v>162</v>
      </c>
      <c r="W51" s="2">
        <v>45807</v>
      </c>
      <c r="X51" s="3">
        <f>ABS(A51-W51)</f>
        <v>42</v>
      </c>
      <c r="Y51" s="20">
        <f>VLOOKUP(M51,Hoja3!$L$2:$X$26,13,0)</f>
        <v>3</v>
      </c>
      <c r="Z51" s="27" t="s">
        <v>68</v>
      </c>
    </row>
    <row r="52" spans="1:56" ht="14.5" x14ac:dyDescent="0.35">
      <c r="A52" s="2">
        <v>45772</v>
      </c>
      <c r="C52" s="2"/>
      <c r="D52" s="3" t="s">
        <v>70</v>
      </c>
      <c r="E52" s="3" t="s">
        <v>58</v>
      </c>
      <c r="F52" s="3" t="s">
        <v>112</v>
      </c>
      <c r="G52" s="3" t="s">
        <v>158</v>
      </c>
      <c r="H52" s="3" t="s">
        <v>61</v>
      </c>
      <c r="I52" s="3">
        <v>1036780830</v>
      </c>
      <c r="J52" s="3" t="s">
        <v>159</v>
      </c>
      <c r="K52" s="3">
        <v>3147830285</v>
      </c>
      <c r="L52" s="3" t="s">
        <v>8</v>
      </c>
      <c r="M52" s="3">
        <v>900509996</v>
      </c>
      <c r="N52" s="2">
        <v>45772</v>
      </c>
      <c r="O52" s="72" t="s">
        <v>160</v>
      </c>
      <c r="P52" s="3">
        <v>3</v>
      </c>
      <c r="Q52" s="11">
        <f t="shared" si="0"/>
        <v>106666</v>
      </c>
      <c r="R52" s="20" t="s">
        <v>88</v>
      </c>
      <c r="S52" t="s">
        <v>65</v>
      </c>
      <c r="T52" t="s">
        <v>96</v>
      </c>
      <c r="U52" s="20">
        <f>IFERROR(VLOOKUP(T52,PHVA!$B$2:$C$74,2,0),0)</f>
        <v>3</v>
      </c>
      <c r="V52" s="3" t="s">
        <v>163</v>
      </c>
      <c r="W52" s="2">
        <v>45807</v>
      </c>
      <c r="X52" s="3">
        <f>ABS(A52-W52)</f>
        <v>35</v>
      </c>
      <c r="Y52" s="20">
        <f>VLOOKUP(M52,Hoja3!$L$2:$X$26,13,0)</f>
        <v>3</v>
      </c>
      <c r="Z52" s="27" t="s">
        <v>68</v>
      </c>
    </row>
    <row r="53" spans="1:56" s="45" customFormat="1" ht="14.5" x14ac:dyDescent="0.35">
      <c r="A53" s="44">
        <v>45783</v>
      </c>
      <c r="B53" s="44"/>
      <c r="C53" s="44"/>
      <c r="D53" s="45" t="s">
        <v>70</v>
      </c>
      <c r="E53" s="45" t="s">
        <v>58</v>
      </c>
      <c r="F53" s="45" t="s">
        <v>112</v>
      </c>
      <c r="G53" s="45" t="s">
        <v>158</v>
      </c>
      <c r="H53" s="45" t="s">
        <v>61</v>
      </c>
      <c r="I53" s="45">
        <v>1036780830</v>
      </c>
      <c r="J53" s="45" t="s">
        <v>159</v>
      </c>
      <c r="K53" s="45">
        <v>3147830285</v>
      </c>
      <c r="L53" s="45" t="s">
        <v>8</v>
      </c>
      <c r="M53" s="45">
        <v>900509996</v>
      </c>
      <c r="N53" s="44">
        <v>45783</v>
      </c>
      <c r="O53" s="73" t="s">
        <v>160</v>
      </c>
      <c r="P53" s="45">
        <v>3</v>
      </c>
      <c r="Q53" s="11">
        <f t="shared" si="0"/>
        <v>106666</v>
      </c>
      <c r="R53" s="8" t="s">
        <v>172</v>
      </c>
      <c r="S53" s="46" t="s">
        <v>65</v>
      </c>
      <c r="T53" s="46" t="s">
        <v>126</v>
      </c>
      <c r="U53" s="47">
        <f>IFERROR(VLOOKUP(T53,PHVA!$B$2:$C$74,2,0),0)</f>
        <v>4</v>
      </c>
      <c r="V53" s="45" t="s">
        <v>164</v>
      </c>
      <c r="W53" s="44">
        <v>45807</v>
      </c>
      <c r="X53" s="45">
        <f>ABS(A53-W53)</f>
        <v>24</v>
      </c>
      <c r="Y53" s="20">
        <f>VLOOKUP(M53,Hoja3!$L$2:$X$26,13,0)</f>
        <v>3</v>
      </c>
      <c r="Z53" s="48" t="s">
        <v>68</v>
      </c>
      <c r="AA53" s="18"/>
    </row>
    <row r="54" spans="1:56" ht="14.5" x14ac:dyDescent="0.35">
      <c r="A54" s="2">
        <v>45779</v>
      </c>
      <c r="C54" s="2"/>
      <c r="D54" s="3" t="s">
        <v>70</v>
      </c>
      <c r="E54" s="3" t="s">
        <v>58</v>
      </c>
      <c r="F54" s="3" t="s">
        <v>112</v>
      </c>
      <c r="G54" s="3" t="s">
        <v>158</v>
      </c>
      <c r="H54" s="3" t="s">
        <v>61</v>
      </c>
      <c r="I54" s="3">
        <v>1036780830</v>
      </c>
      <c r="J54" s="3" t="s">
        <v>159</v>
      </c>
      <c r="K54" s="3">
        <v>3147830285</v>
      </c>
      <c r="L54" s="3" t="s">
        <v>8</v>
      </c>
      <c r="M54" s="3">
        <v>900509996</v>
      </c>
      <c r="N54" s="2">
        <v>45779</v>
      </c>
      <c r="O54" s="72" t="s">
        <v>160</v>
      </c>
      <c r="P54" s="3">
        <v>3</v>
      </c>
      <c r="Q54" s="11">
        <f t="shared" si="0"/>
        <v>106666</v>
      </c>
      <c r="R54" s="8" t="s">
        <v>172</v>
      </c>
      <c r="S54" t="s">
        <v>65</v>
      </c>
      <c r="T54" t="s">
        <v>130</v>
      </c>
      <c r="U54" s="20">
        <f>IFERROR(VLOOKUP(T54,PHVA!$B$2:$C$74,2,0),0)</f>
        <v>2</v>
      </c>
      <c r="V54" s="3" t="s">
        <v>164</v>
      </c>
      <c r="W54" s="2">
        <v>45807</v>
      </c>
      <c r="X54" s="3">
        <f>ABS(A54-W54)</f>
        <v>28</v>
      </c>
      <c r="Y54" s="20">
        <f>VLOOKUP(M54,Hoja3!$L$2:$X$26,13,0)</f>
        <v>3</v>
      </c>
      <c r="Z54" s="27" t="s">
        <v>68</v>
      </c>
    </row>
    <row r="55" spans="1:56" ht="14.5" x14ac:dyDescent="0.35">
      <c r="A55" s="2">
        <v>45793</v>
      </c>
      <c r="C55" s="2"/>
      <c r="D55" s="3" t="s">
        <v>70</v>
      </c>
      <c r="E55" s="3" t="s">
        <v>58</v>
      </c>
      <c r="F55" s="3" t="s">
        <v>59</v>
      </c>
      <c r="G55" s="3" t="s">
        <v>158</v>
      </c>
      <c r="H55" s="3" t="s">
        <v>61</v>
      </c>
      <c r="I55" s="3">
        <v>1036780830</v>
      </c>
      <c r="J55" s="3" t="s">
        <v>159</v>
      </c>
      <c r="K55" s="3">
        <v>3147830285</v>
      </c>
      <c r="L55" s="3" t="s">
        <v>8</v>
      </c>
      <c r="M55" s="3">
        <v>900509996</v>
      </c>
      <c r="N55" s="2">
        <v>45790</v>
      </c>
      <c r="O55" s="72" t="s">
        <v>165</v>
      </c>
      <c r="P55" s="3">
        <v>3</v>
      </c>
      <c r="Q55" s="11">
        <f t="shared" si="0"/>
        <v>106666</v>
      </c>
      <c r="R55" s="20" t="s">
        <v>88</v>
      </c>
      <c r="S55" t="s">
        <v>65</v>
      </c>
      <c r="T55" t="s">
        <v>103</v>
      </c>
      <c r="U55" s="20">
        <f>IFERROR(VLOOKUP(T55,PHVA!$B$2:$C$74,2,0),0)</f>
        <v>1</v>
      </c>
      <c r="V55" s="3" t="s">
        <v>166</v>
      </c>
      <c r="W55" s="2">
        <v>45807</v>
      </c>
      <c r="X55" s="3">
        <f>ABS(A55-W55)</f>
        <v>14</v>
      </c>
      <c r="Y55" s="20">
        <f>VLOOKUP(M55,Hoja3!$L$2:$X$26,13,0)</f>
        <v>3</v>
      </c>
      <c r="Z55" s="27" t="s">
        <v>68</v>
      </c>
    </row>
    <row r="56" spans="1:56" ht="14.5" x14ac:dyDescent="0.35">
      <c r="A56" s="2">
        <v>45800</v>
      </c>
      <c r="C56" s="2"/>
      <c r="D56" s="3" t="s">
        <v>70</v>
      </c>
      <c r="E56" s="3" t="s">
        <v>58</v>
      </c>
      <c r="F56" s="3" t="s">
        <v>59</v>
      </c>
      <c r="G56" s="3" t="s">
        <v>158</v>
      </c>
      <c r="H56" s="3" t="s">
        <v>61</v>
      </c>
      <c r="I56" s="3">
        <v>1036780830</v>
      </c>
      <c r="J56" s="3" t="s">
        <v>159</v>
      </c>
      <c r="K56" s="3">
        <v>3147830285</v>
      </c>
      <c r="L56" s="3" t="s">
        <v>8</v>
      </c>
      <c r="M56" s="3">
        <v>900509996</v>
      </c>
      <c r="N56" s="2">
        <v>45797</v>
      </c>
      <c r="O56" s="72" t="s">
        <v>160</v>
      </c>
      <c r="P56" s="3">
        <v>3</v>
      </c>
      <c r="Q56" s="11">
        <f t="shared" si="0"/>
        <v>106666</v>
      </c>
      <c r="R56" s="20" t="s">
        <v>88</v>
      </c>
      <c r="S56" t="s">
        <v>65</v>
      </c>
      <c r="T56" t="s">
        <v>82</v>
      </c>
      <c r="U56" s="20">
        <f>IFERROR(VLOOKUP(T56,PHVA!$B$2:$C$74,2,0),0)</f>
        <v>0.5</v>
      </c>
      <c r="V56" s="3" t="s">
        <v>167</v>
      </c>
      <c r="W56" s="2">
        <v>45807</v>
      </c>
      <c r="X56" s="3">
        <f>ABS(A56-W56)</f>
        <v>7</v>
      </c>
      <c r="Y56" s="20">
        <f>VLOOKUP(M56,Hoja3!$L$2:$X$26,13,0)</f>
        <v>3</v>
      </c>
      <c r="Z56" s="27" t="s">
        <v>68</v>
      </c>
    </row>
    <row r="57" spans="1:56" ht="14.5" x14ac:dyDescent="0.35">
      <c r="A57" s="2">
        <v>45800</v>
      </c>
      <c r="C57" s="2"/>
      <c r="D57" s="3" t="s">
        <v>70</v>
      </c>
      <c r="E57" s="3" t="s">
        <v>58</v>
      </c>
      <c r="F57" s="3" t="s">
        <v>59</v>
      </c>
      <c r="G57" s="3" t="s">
        <v>158</v>
      </c>
      <c r="H57" s="3" t="s">
        <v>61</v>
      </c>
      <c r="I57" s="3">
        <v>1036780830</v>
      </c>
      <c r="J57" s="3" t="s">
        <v>159</v>
      </c>
      <c r="K57" s="3">
        <v>3147830285</v>
      </c>
      <c r="L57" s="3" t="s">
        <v>8</v>
      </c>
      <c r="M57" s="3">
        <v>900509996</v>
      </c>
      <c r="N57" s="2">
        <v>45797</v>
      </c>
      <c r="O57" s="72" t="s">
        <v>160</v>
      </c>
      <c r="P57" s="3">
        <v>3</v>
      </c>
      <c r="Q57" s="11">
        <f t="shared" si="0"/>
        <v>106666</v>
      </c>
      <c r="R57" s="20" t="s">
        <v>88</v>
      </c>
      <c r="S57" t="s">
        <v>65</v>
      </c>
      <c r="T57" t="s">
        <v>168</v>
      </c>
      <c r="U57" s="20">
        <f>IFERROR(VLOOKUP(T57,PHVA!$B$2:$C$74,2,0),0)</f>
        <v>0.5</v>
      </c>
      <c r="V57" s="3" t="s">
        <v>167</v>
      </c>
      <c r="W57" s="2">
        <v>45807</v>
      </c>
      <c r="X57" s="3">
        <f>ABS(A57-W57)</f>
        <v>7</v>
      </c>
      <c r="Y57" s="20">
        <f>VLOOKUP(M57,Hoja3!$L$2:$X$26,13,0)</f>
        <v>3</v>
      </c>
      <c r="Z57" s="27" t="s">
        <v>68</v>
      </c>
    </row>
    <row r="58" spans="1:56" s="11" customFormat="1" ht="14.5" x14ac:dyDescent="0.35">
      <c r="A58" s="2">
        <v>45807</v>
      </c>
      <c r="B58" s="2"/>
      <c r="C58" s="2"/>
      <c r="D58" s="3" t="s">
        <v>70</v>
      </c>
      <c r="E58" s="3" t="s">
        <v>58</v>
      </c>
      <c r="F58" s="3" t="s">
        <v>59</v>
      </c>
      <c r="G58" s="3" t="s">
        <v>158</v>
      </c>
      <c r="H58" s="3" t="s">
        <v>61</v>
      </c>
      <c r="I58" s="3">
        <v>1036780830</v>
      </c>
      <c r="J58" s="3" t="s">
        <v>159</v>
      </c>
      <c r="K58" s="3">
        <v>3147830285</v>
      </c>
      <c r="L58" s="3" t="s">
        <v>8</v>
      </c>
      <c r="M58" s="3">
        <v>900509996</v>
      </c>
      <c r="N58" s="2">
        <v>45804</v>
      </c>
      <c r="O58" s="72">
        <v>0.375</v>
      </c>
      <c r="P58" s="3">
        <v>3</v>
      </c>
      <c r="Q58" s="11">
        <f t="shared" si="0"/>
        <v>106666</v>
      </c>
      <c r="R58" s="20" t="s">
        <v>88</v>
      </c>
      <c r="S58" t="s">
        <v>65</v>
      </c>
      <c r="T58" t="s">
        <v>66</v>
      </c>
      <c r="U58" s="20">
        <f>IFERROR(VLOOKUP(T58,PHVA!$B$2:$C$74,2,0),0)</f>
        <v>2</v>
      </c>
      <c r="V58" s="3" t="s">
        <v>169</v>
      </c>
      <c r="W58" s="2">
        <v>45807</v>
      </c>
      <c r="X58" s="3">
        <f>ABS(A58-W58)</f>
        <v>0</v>
      </c>
      <c r="Y58" s="20">
        <f>VLOOKUP(M58,Hoja3!$L$2:$X$26,13,0)</f>
        <v>3</v>
      </c>
      <c r="Z58" s="27" t="s">
        <v>68</v>
      </c>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row>
    <row r="59" spans="1:56" ht="14.5" x14ac:dyDescent="0.35">
      <c r="A59" s="2">
        <v>45814</v>
      </c>
      <c r="C59" s="2"/>
      <c r="D59" s="3" t="s">
        <v>70</v>
      </c>
      <c r="E59" s="3" t="s">
        <v>58</v>
      </c>
      <c r="F59" s="3" t="s">
        <v>59</v>
      </c>
      <c r="G59" s="3" t="s">
        <v>158</v>
      </c>
      <c r="H59" s="3" t="s">
        <v>61</v>
      </c>
      <c r="I59" s="3">
        <v>1036780830</v>
      </c>
      <c r="J59" s="3" t="s">
        <v>159</v>
      </c>
      <c r="K59" s="3">
        <v>3147830285</v>
      </c>
      <c r="L59" s="3" t="s">
        <v>8</v>
      </c>
      <c r="M59" s="3">
        <v>900509996</v>
      </c>
      <c r="N59" s="2">
        <v>45811</v>
      </c>
      <c r="O59" s="72">
        <v>0.375</v>
      </c>
      <c r="P59" s="3">
        <v>3</v>
      </c>
      <c r="Q59" s="11">
        <f t="shared" si="0"/>
        <v>106666</v>
      </c>
      <c r="R59" s="20" t="s">
        <v>88</v>
      </c>
      <c r="S59" t="s">
        <v>65</v>
      </c>
      <c r="T59" t="s">
        <v>76</v>
      </c>
      <c r="U59" s="20">
        <f>IFERROR(VLOOKUP(T59,PHVA!$B$2:$C$74,2,0),0)</f>
        <v>2</v>
      </c>
      <c r="V59" s="3" t="s">
        <v>170</v>
      </c>
      <c r="W59" s="2">
        <v>45807</v>
      </c>
      <c r="X59" s="3">
        <f>ABS(A59-W59)</f>
        <v>7</v>
      </c>
      <c r="Y59" s="20">
        <f>VLOOKUP(M59,Hoja3!$L$2:$X$26,13,0)</f>
        <v>3</v>
      </c>
      <c r="Z59" s="27" t="s">
        <v>68</v>
      </c>
    </row>
    <row r="60" spans="1:56" ht="14.5" x14ac:dyDescent="0.35">
      <c r="A60" s="2">
        <v>45793</v>
      </c>
      <c r="C60" s="2"/>
      <c r="D60" s="3" t="s">
        <v>70</v>
      </c>
      <c r="E60" s="3" t="s">
        <v>58</v>
      </c>
      <c r="F60" s="3" t="s">
        <v>71</v>
      </c>
      <c r="G60" s="3" t="s">
        <v>158</v>
      </c>
      <c r="H60" s="3" t="s">
        <v>61</v>
      </c>
      <c r="I60" s="3">
        <v>1036780830</v>
      </c>
      <c r="J60" s="3" t="s">
        <v>159</v>
      </c>
      <c r="K60" s="3">
        <v>3147830285</v>
      </c>
      <c r="L60" s="3" t="s">
        <v>8</v>
      </c>
      <c r="M60" s="3">
        <v>900509996</v>
      </c>
      <c r="N60" s="2">
        <v>45793</v>
      </c>
      <c r="O60" s="72" t="s">
        <v>171</v>
      </c>
      <c r="P60" s="3">
        <v>3</v>
      </c>
      <c r="Q60" s="11">
        <f t="shared" si="0"/>
        <v>106666</v>
      </c>
      <c r="R60" s="62" t="s">
        <v>459</v>
      </c>
      <c r="S60" t="s">
        <v>65</v>
      </c>
      <c r="T60" t="s">
        <v>80</v>
      </c>
      <c r="U60" s="20">
        <f>IFERROR(VLOOKUP(T60,PHVA!$B$2:$C$74,2,0),0)</f>
        <v>0.5</v>
      </c>
      <c r="V60" s="3" t="s">
        <v>173</v>
      </c>
      <c r="W60" s="2">
        <v>45807</v>
      </c>
      <c r="X60" s="3">
        <f>ABS(A60-W60)</f>
        <v>14</v>
      </c>
      <c r="Y60" s="20">
        <f>VLOOKUP(M60,Hoja3!$L$2:$X$26,13,0)</f>
        <v>3</v>
      </c>
      <c r="Z60" s="27" t="s">
        <v>68</v>
      </c>
    </row>
    <row r="61" spans="1:56" ht="14.5" x14ac:dyDescent="0.35">
      <c r="A61" s="10">
        <v>45751</v>
      </c>
      <c r="B61" s="10" t="s">
        <v>69</v>
      </c>
      <c r="C61" s="40">
        <v>2</v>
      </c>
      <c r="D61" s="11" t="s">
        <v>70</v>
      </c>
      <c r="E61" s="11" t="s">
        <v>58</v>
      </c>
      <c r="F61" s="11" t="s">
        <v>91</v>
      </c>
      <c r="G61" s="11" t="s">
        <v>174</v>
      </c>
      <c r="H61" s="11" t="s">
        <v>61</v>
      </c>
      <c r="I61" s="11">
        <v>70952794</v>
      </c>
      <c r="J61" s="11" t="s">
        <v>175</v>
      </c>
      <c r="K61" s="11">
        <v>3216422617</v>
      </c>
      <c r="L61" s="11" t="s">
        <v>9</v>
      </c>
      <c r="M61" s="11">
        <v>900112921</v>
      </c>
      <c r="N61" s="10">
        <v>45751</v>
      </c>
      <c r="O61" s="71" t="s">
        <v>176</v>
      </c>
      <c r="P61" s="11">
        <v>4</v>
      </c>
      <c r="Q61" s="11">
        <f t="shared" si="0"/>
        <v>213000</v>
      </c>
      <c r="R61" s="20" t="s">
        <v>88</v>
      </c>
      <c r="S61" s="25" t="s">
        <v>65</v>
      </c>
      <c r="T61" s="25" t="s">
        <v>94</v>
      </c>
      <c r="U61" s="20">
        <f>IFERROR(VLOOKUP(T61,PHVA!$B$2:$C$74,2,0),0)</f>
        <v>1</v>
      </c>
      <c r="V61" s="11" t="s">
        <v>177</v>
      </c>
      <c r="W61" s="10">
        <v>45807</v>
      </c>
      <c r="X61" s="11">
        <f>ABS(A61-W61)</f>
        <v>56</v>
      </c>
      <c r="Y61" s="20">
        <f>VLOOKUP(M61,Hoja3!$L$2:$X$26,13,0)</f>
        <v>5</v>
      </c>
      <c r="Z61" s="27" t="s">
        <v>68</v>
      </c>
    </row>
    <row r="62" spans="1:56" ht="14.5" x14ac:dyDescent="0.35">
      <c r="A62" s="2">
        <v>45758</v>
      </c>
      <c r="C62" s="2"/>
      <c r="D62" s="3" t="s">
        <v>70</v>
      </c>
      <c r="E62" s="3" t="s">
        <v>58</v>
      </c>
      <c r="F62" s="3" t="s">
        <v>91</v>
      </c>
      <c r="G62" s="3" t="s">
        <v>174</v>
      </c>
      <c r="H62" s="3" t="s">
        <v>61</v>
      </c>
      <c r="I62" s="3">
        <v>70952794</v>
      </c>
      <c r="J62" s="3" t="s">
        <v>175</v>
      </c>
      <c r="K62" s="3">
        <v>3216422617</v>
      </c>
      <c r="L62" s="3" t="s">
        <v>9</v>
      </c>
      <c r="M62" s="3">
        <v>900112921</v>
      </c>
      <c r="N62" s="2">
        <v>45758</v>
      </c>
      <c r="O62" s="72" t="s">
        <v>176</v>
      </c>
      <c r="P62" s="3">
        <v>4</v>
      </c>
      <c r="Q62" s="11">
        <f t="shared" si="0"/>
        <v>213000</v>
      </c>
      <c r="R62" s="8" t="s">
        <v>172</v>
      </c>
      <c r="S62" t="s">
        <v>65</v>
      </c>
      <c r="T62" t="s">
        <v>117</v>
      </c>
      <c r="U62" s="20">
        <f>IFERROR(VLOOKUP(T62,PHVA!$B$2:$C$74,2,0),0)</f>
        <v>0</v>
      </c>
      <c r="V62" s="3" t="s">
        <v>178</v>
      </c>
      <c r="W62" s="2">
        <v>45807</v>
      </c>
      <c r="X62" s="3">
        <f>ABS(A62-W62)</f>
        <v>49</v>
      </c>
      <c r="Y62" s="20">
        <f>VLOOKUP(M62,Hoja3!$L$2:$X$26,13,0)</f>
        <v>5</v>
      </c>
      <c r="Z62" s="27" t="s">
        <v>68</v>
      </c>
    </row>
    <row r="63" spans="1:56" ht="14.5" x14ac:dyDescent="0.35">
      <c r="A63" s="2">
        <v>45765</v>
      </c>
      <c r="C63" s="2"/>
      <c r="D63" s="3" t="s">
        <v>70</v>
      </c>
      <c r="E63" s="3" t="s">
        <v>58</v>
      </c>
      <c r="F63" s="3" t="s">
        <v>71</v>
      </c>
      <c r="G63" s="3" t="s">
        <v>174</v>
      </c>
      <c r="H63" s="3" t="s">
        <v>61</v>
      </c>
      <c r="I63" s="3">
        <v>70952794</v>
      </c>
      <c r="J63" s="3" t="s">
        <v>175</v>
      </c>
      <c r="K63" s="3">
        <v>3216422617</v>
      </c>
      <c r="L63" s="3" t="s">
        <v>9</v>
      </c>
      <c r="M63" s="3">
        <v>900112921</v>
      </c>
      <c r="N63" s="2">
        <v>45765</v>
      </c>
      <c r="O63" s="72" t="s">
        <v>176</v>
      </c>
      <c r="P63" s="3">
        <v>4</v>
      </c>
      <c r="Q63" s="11">
        <f t="shared" si="0"/>
        <v>213000</v>
      </c>
      <c r="R63" s="8" t="s">
        <v>172</v>
      </c>
      <c r="S63" t="s">
        <v>65</v>
      </c>
      <c r="T63" t="s">
        <v>117</v>
      </c>
      <c r="U63" s="20">
        <f>IFERROR(VLOOKUP(T63,PHVA!$B$2:$C$74,2,0),0)</f>
        <v>0</v>
      </c>
      <c r="V63" s="3" t="s">
        <v>179</v>
      </c>
      <c r="W63" s="2">
        <v>45807</v>
      </c>
      <c r="X63" s="3">
        <f>ABS(A63-W63)</f>
        <v>42</v>
      </c>
      <c r="Y63" s="20">
        <f>VLOOKUP(M63,Hoja3!$L$2:$X$26,13,0)</f>
        <v>5</v>
      </c>
      <c r="Z63" s="27" t="s">
        <v>68</v>
      </c>
    </row>
    <row r="64" spans="1:56" s="45" customFormat="1" ht="14.5" x14ac:dyDescent="0.35">
      <c r="A64" s="44">
        <v>45776</v>
      </c>
      <c r="B64" s="44"/>
      <c r="C64" s="44"/>
      <c r="D64" s="45" t="s">
        <v>70</v>
      </c>
      <c r="E64" s="45" t="s">
        <v>58</v>
      </c>
      <c r="F64" s="45" t="s">
        <v>71</v>
      </c>
      <c r="G64" s="45" t="s">
        <v>174</v>
      </c>
      <c r="H64" s="45" t="s">
        <v>61</v>
      </c>
      <c r="I64" s="45">
        <v>70952794</v>
      </c>
      <c r="J64" s="45" t="s">
        <v>175</v>
      </c>
      <c r="K64" s="45">
        <v>3216422617</v>
      </c>
      <c r="L64" s="45" t="s">
        <v>9</v>
      </c>
      <c r="M64" s="45">
        <v>900112921</v>
      </c>
      <c r="N64" s="44">
        <v>45776</v>
      </c>
      <c r="O64" s="73" t="s">
        <v>176</v>
      </c>
      <c r="P64" s="45">
        <v>4</v>
      </c>
      <c r="Q64" s="11">
        <f t="shared" si="0"/>
        <v>213000</v>
      </c>
      <c r="R64" s="20" t="s">
        <v>88</v>
      </c>
      <c r="S64" s="46" t="s">
        <v>65</v>
      </c>
      <c r="T64" s="46" t="s">
        <v>126</v>
      </c>
      <c r="U64" s="47">
        <f>IFERROR(VLOOKUP(T64,PHVA!$B$2:$C$74,2,0),0)</f>
        <v>4</v>
      </c>
      <c r="W64" s="44">
        <v>45807</v>
      </c>
      <c r="X64" s="45">
        <f>ABS(A64-W64)</f>
        <v>31</v>
      </c>
      <c r="Y64" s="20">
        <f>VLOOKUP(M64,Hoja3!$L$2:$X$26,13,0)</f>
        <v>5</v>
      </c>
      <c r="Z64" s="48" t="s">
        <v>68</v>
      </c>
      <c r="AA64" s="18"/>
    </row>
    <row r="65" spans="1:56" ht="14.5" x14ac:dyDescent="0.35">
      <c r="A65" s="2">
        <v>45772</v>
      </c>
      <c r="C65" s="2"/>
      <c r="D65" s="3" t="s">
        <v>70</v>
      </c>
      <c r="E65" s="3" t="s">
        <v>58</v>
      </c>
      <c r="F65" s="3" t="s">
        <v>71</v>
      </c>
      <c r="G65" s="3" t="s">
        <v>174</v>
      </c>
      <c r="H65" s="3" t="s">
        <v>61</v>
      </c>
      <c r="I65" s="3">
        <v>70952794</v>
      </c>
      <c r="J65" s="3" t="s">
        <v>175</v>
      </c>
      <c r="K65" s="3">
        <v>3216422617</v>
      </c>
      <c r="L65" s="3" t="s">
        <v>9</v>
      </c>
      <c r="M65" s="3">
        <v>900112921</v>
      </c>
      <c r="N65" s="2">
        <v>45772</v>
      </c>
      <c r="O65" s="72" t="s">
        <v>176</v>
      </c>
      <c r="P65" s="3">
        <v>4</v>
      </c>
      <c r="Q65" s="11">
        <f t="shared" si="0"/>
        <v>213000</v>
      </c>
      <c r="R65" s="20" t="s">
        <v>88</v>
      </c>
      <c r="S65" t="s">
        <v>65</v>
      </c>
      <c r="T65" t="s">
        <v>66</v>
      </c>
      <c r="U65" s="20">
        <f>IFERROR(VLOOKUP(T65,PHVA!$B$2:$C$74,2,0),0)</f>
        <v>2</v>
      </c>
      <c r="V65" s="3" t="s">
        <v>180</v>
      </c>
      <c r="W65" s="2">
        <v>45807</v>
      </c>
      <c r="X65" s="3">
        <f>ABS(A65-W65)</f>
        <v>35</v>
      </c>
      <c r="Y65" s="20">
        <f>VLOOKUP(M65,Hoja3!$L$2:$X$26,13,0)</f>
        <v>5</v>
      </c>
      <c r="Z65" s="27" t="s">
        <v>68</v>
      </c>
    </row>
    <row r="66" spans="1:56" ht="14.5" x14ac:dyDescent="0.35">
      <c r="A66" s="2">
        <v>45779</v>
      </c>
      <c r="C66" s="2"/>
      <c r="D66" s="3" t="s">
        <v>70</v>
      </c>
      <c r="E66" s="3" t="s">
        <v>58</v>
      </c>
      <c r="F66" s="3" t="s">
        <v>71</v>
      </c>
      <c r="G66" s="3" t="s">
        <v>174</v>
      </c>
      <c r="H66" s="3" t="s">
        <v>61</v>
      </c>
      <c r="I66" s="3">
        <v>70952794</v>
      </c>
      <c r="J66" s="3" t="s">
        <v>175</v>
      </c>
      <c r="K66" s="3">
        <v>3216422617</v>
      </c>
      <c r="L66" s="3" t="s">
        <v>9</v>
      </c>
      <c r="M66" s="3">
        <v>900112921</v>
      </c>
      <c r="N66" s="2">
        <v>45779</v>
      </c>
      <c r="O66" s="72" t="s">
        <v>176</v>
      </c>
      <c r="P66" s="3">
        <v>4</v>
      </c>
      <c r="Q66" s="11">
        <f t="shared" si="0"/>
        <v>213000</v>
      </c>
      <c r="R66" s="8" t="s">
        <v>172</v>
      </c>
      <c r="S66" t="s">
        <v>65</v>
      </c>
      <c r="T66" t="s">
        <v>117</v>
      </c>
      <c r="U66" s="20">
        <f>IFERROR(VLOOKUP(T66,PHVA!$B$2:$C$74,2,0),0)</f>
        <v>0</v>
      </c>
      <c r="V66" s="3" t="s">
        <v>181</v>
      </c>
      <c r="W66" s="2">
        <v>45807</v>
      </c>
      <c r="X66" s="3">
        <f>ABS(A66-W66)</f>
        <v>28</v>
      </c>
      <c r="Y66" s="20">
        <f>VLOOKUP(M66,Hoja3!$L$2:$X$26,13,0)</f>
        <v>5</v>
      </c>
      <c r="Z66" s="27" t="s">
        <v>68</v>
      </c>
    </row>
    <row r="67" spans="1:56" ht="14.5" x14ac:dyDescent="0.35">
      <c r="A67" s="2">
        <v>45786</v>
      </c>
      <c r="C67" s="2"/>
      <c r="D67" s="3" t="s">
        <v>70</v>
      </c>
      <c r="E67" s="3" t="s">
        <v>58</v>
      </c>
      <c r="F67" s="3" t="s">
        <v>71</v>
      </c>
      <c r="G67" s="3" t="s">
        <v>174</v>
      </c>
      <c r="H67" s="3" t="s">
        <v>61</v>
      </c>
      <c r="I67" s="3">
        <v>70952794</v>
      </c>
      <c r="J67" s="3" t="s">
        <v>175</v>
      </c>
      <c r="K67" s="3">
        <v>3216422617</v>
      </c>
      <c r="L67" s="3" t="s">
        <v>9</v>
      </c>
      <c r="M67" s="3">
        <v>900112921</v>
      </c>
      <c r="N67" s="2">
        <v>45786</v>
      </c>
      <c r="O67" s="72" t="s">
        <v>176</v>
      </c>
      <c r="P67" s="3">
        <v>4</v>
      </c>
      <c r="Q67" s="11">
        <f t="shared" ref="Q67:Q130" si="1">IF(OR(P67=1,P67=2,P67=3),106666,IF(OR(P67=4,P67=5),213000,""))</f>
        <v>213000</v>
      </c>
      <c r="R67" s="20" t="s">
        <v>88</v>
      </c>
      <c r="S67" t="s">
        <v>65</v>
      </c>
      <c r="T67" t="s">
        <v>103</v>
      </c>
      <c r="U67" s="20">
        <f>IFERROR(VLOOKUP(T67,PHVA!$B$2:$C$74,2,0),0)</f>
        <v>1</v>
      </c>
      <c r="V67" s="3" t="s">
        <v>182</v>
      </c>
      <c r="W67" s="2">
        <v>45807</v>
      </c>
      <c r="X67" s="3">
        <f>ABS(A67-W67)</f>
        <v>21</v>
      </c>
      <c r="Y67" s="20">
        <f>VLOOKUP(M67,Hoja3!$L$2:$X$26,13,0)</f>
        <v>5</v>
      </c>
      <c r="Z67" s="27" t="s">
        <v>68</v>
      </c>
    </row>
    <row r="68" spans="1:56" ht="14.5" x14ac:dyDescent="0.35">
      <c r="A68" s="2">
        <v>45793</v>
      </c>
      <c r="C68" s="2"/>
      <c r="D68" s="3" t="s">
        <v>70</v>
      </c>
      <c r="E68" s="3" t="s">
        <v>58</v>
      </c>
      <c r="F68" s="3" t="s">
        <v>71</v>
      </c>
      <c r="G68" s="3" t="s">
        <v>174</v>
      </c>
      <c r="H68" s="3" t="s">
        <v>61</v>
      </c>
      <c r="I68" s="3">
        <v>70952794</v>
      </c>
      <c r="J68" s="3" t="s">
        <v>175</v>
      </c>
      <c r="K68" s="3">
        <v>3216422617</v>
      </c>
      <c r="L68" s="3" t="s">
        <v>9</v>
      </c>
      <c r="M68" s="3">
        <v>900112921</v>
      </c>
      <c r="N68" s="2">
        <v>45793</v>
      </c>
      <c r="O68" s="72" t="s">
        <v>176</v>
      </c>
      <c r="P68" s="3">
        <v>4</v>
      </c>
      <c r="Q68" s="11">
        <f t="shared" si="1"/>
        <v>213000</v>
      </c>
      <c r="R68" s="20" t="s">
        <v>88</v>
      </c>
      <c r="S68" t="s">
        <v>65</v>
      </c>
      <c r="T68" t="s">
        <v>84</v>
      </c>
      <c r="U68" s="20">
        <f>IFERROR(VLOOKUP(T68,PHVA!$B$2:$C$74,2,0),0)</f>
        <v>1</v>
      </c>
      <c r="V68" s="3" t="s">
        <v>183</v>
      </c>
      <c r="W68" s="2">
        <v>45807</v>
      </c>
      <c r="X68" s="3">
        <f>ABS(A68-W68)</f>
        <v>14</v>
      </c>
      <c r="Y68" s="20">
        <f>VLOOKUP(M68,Hoja3!$L$2:$X$26,13,0)</f>
        <v>5</v>
      </c>
      <c r="Z68" s="27" t="s">
        <v>68</v>
      </c>
    </row>
    <row r="69" spans="1:56" ht="14.5" x14ac:dyDescent="0.35">
      <c r="A69" s="2">
        <v>45800</v>
      </c>
      <c r="C69" s="2"/>
      <c r="D69" s="3" t="s">
        <v>70</v>
      </c>
      <c r="E69" s="3" t="s">
        <v>58</v>
      </c>
      <c r="F69" s="3" t="s">
        <v>71</v>
      </c>
      <c r="G69" s="3" t="s">
        <v>174</v>
      </c>
      <c r="H69" s="3" t="s">
        <v>61</v>
      </c>
      <c r="I69" s="3">
        <v>70952794</v>
      </c>
      <c r="J69" s="3" t="s">
        <v>175</v>
      </c>
      <c r="K69" s="3">
        <v>3216422617</v>
      </c>
      <c r="L69" s="3" t="s">
        <v>9</v>
      </c>
      <c r="M69" s="3">
        <v>900112921</v>
      </c>
      <c r="N69" s="2">
        <v>45800</v>
      </c>
      <c r="O69" s="72" t="s">
        <v>176</v>
      </c>
      <c r="P69" s="3">
        <v>4</v>
      </c>
      <c r="Q69" s="11">
        <f t="shared" si="1"/>
        <v>213000</v>
      </c>
      <c r="R69" s="20" t="s">
        <v>88</v>
      </c>
      <c r="S69" t="s">
        <v>65</v>
      </c>
      <c r="T69" t="s">
        <v>82</v>
      </c>
      <c r="U69" s="20">
        <f>IFERROR(VLOOKUP(T69,PHVA!$B$2:$C$74,2,0),0)</f>
        <v>0.5</v>
      </c>
      <c r="V69" s="3" t="s">
        <v>184</v>
      </c>
      <c r="W69" s="2">
        <v>45807</v>
      </c>
      <c r="X69" s="3">
        <f>ABS(A69-W69)</f>
        <v>7</v>
      </c>
      <c r="Y69" s="20">
        <f>VLOOKUP(M69,Hoja3!$L$2:$X$26,13,0)</f>
        <v>5</v>
      </c>
      <c r="Z69" s="27" t="s">
        <v>68</v>
      </c>
    </row>
    <row r="70" spans="1:56" s="11" customFormat="1" ht="14.5" x14ac:dyDescent="0.35">
      <c r="A70" s="2">
        <v>45807</v>
      </c>
      <c r="B70" s="2"/>
      <c r="C70" s="2"/>
      <c r="D70" s="3" t="s">
        <v>70</v>
      </c>
      <c r="E70" s="3" t="s">
        <v>58</v>
      </c>
      <c r="F70" s="3" t="s">
        <v>71</v>
      </c>
      <c r="G70" s="3" t="s">
        <v>174</v>
      </c>
      <c r="H70" s="3" t="s">
        <v>61</v>
      </c>
      <c r="I70" s="3">
        <v>70952794</v>
      </c>
      <c r="J70" s="3" t="s">
        <v>175</v>
      </c>
      <c r="K70" s="3">
        <v>3216422617</v>
      </c>
      <c r="L70" s="3" t="s">
        <v>9</v>
      </c>
      <c r="M70" s="3">
        <v>900112921</v>
      </c>
      <c r="N70" s="2">
        <v>45807</v>
      </c>
      <c r="O70" s="72" t="s">
        <v>176</v>
      </c>
      <c r="P70" s="3">
        <v>4</v>
      </c>
      <c r="Q70" s="11">
        <f t="shared" si="1"/>
        <v>213000</v>
      </c>
      <c r="R70" s="20" t="s">
        <v>88</v>
      </c>
      <c r="S70" t="s">
        <v>65</v>
      </c>
      <c r="T70" t="s">
        <v>123</v>
      </c>
      <c r="U70" s="20">
        <f>IFERROR(VLOOKUP(T70,PHVA!$B$2:$C$74,2,0),0)</f>
        <v>0.5</v>
      </c>
      <c r="V70" s="3" t="s">
        <v>185</v>
      </c>
      <c r="W70" s="2">
        <v>45807</v>
      </c>
      <c r="X70" s="3">
        <f>ABS(A70-W70)</f>
        <v>0</v>
      </c>
      <c r="Y70" s="20">
        <f>VLOOKUP(M70,Hoja3!$L$2:$X$26,13,0)</f>
        <v>5</v>
      </c>
      <c r="Z70" s="27" t="s">
        <v>68</v>
      </c>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row>
    <row r="71" spans="1:56" ht="14.5" x14ac:dyDescent="0.35">
      <c r="A71" s="2">
        <v>45814</v>
      </c>
      <c r="C71" s="2"/>
      <c r="D71" s="3" t="s">
        <v>70</v>
      </c>
      <c r="E71" s="3" t="s">
        <v>58</v>
      </c>
      <c r="F71" s="3" t="s">
        <v>71</v>
      </c>
      <c r="G71" s="3" t="s">
        <v>174</v>
      </c>
      <c r="H71" s="3" t="s">
        <v>61</v>
      </c>
      <c r="I71" s="3">
        <v>70952794</v>
      </c>
      <c r="J71" s="3" t="s">
        <v>175</v>
      </c>
      <c r="K71" s="3">
        <v>3216422617</v>
      </c>
      <c r="L71" s="3" t="s">
        <v>9</v>
      </c>
      <c r="M71" s="3">
        <v>900112921</v>
      </c>
      <c r="N71" s="2">
        <v>45814</v>
      </c>
      <c r="O71" s="72" t="s">
        <v>176</v>
      </c>
      <c r="P71" s="3">
        <v>4</v>
      </c>
      <c r="Q71" s="11">
        <f t="shared" si="1"/>
        <v>213000</v>
      </c>
      <c r="R71" s="20" t="s">
        <v>88</v>
      </c>
      <c r="S71" t="s">
        <v>65</v>
      </c>
      <c r="T71" t="s">
        <v>168</v>
      </c>
      <c r="U71" s="20">
        <f>IFERROR(VLOOKUP(T71,PHVA!$B$2:$C$74,2,0),0)</f>
        <v>0.5</v>
      </c>
      <c r="V71" s="3" t="s">
        <v>186</v>
      </c>
      <c r="W71" s="2">
        <v>45807</v>
      </c>
      <c r="X71" s="3">
        <f>ABS(A71-W71)</f>
        <v>7</v>
      </c>
      <c r="Y71" s="20">
        <f>VLOOKUP(M71,Hoja3!$L$2:$X$26,13,0)</f>
        <v>5</v>
      </c>
      <c r="Z71" s="27" t="s">
        <v>68</v>
      </c>
    </row>
    <row r="72" spans="1:56" ht="14.5" x14ac:dyDescent="0.35">
      <c r="A72" s="2">
        <v>45793</v>
      </c>
      <c r="C72" s="2"/>
      <c r="D72" s="3" t="s">
        <v>70</v>
      </c>
      <c r="E72" s="3" t="s">
        <v>58</v>
      </c>
      <c r="F72" s="3" t="s">
        <v>71</v>
      </c>
      <c r="G72" s="3" t="s">
        <v>174</v>
      </c>
      <c r="H72" s="3" t="s">
        <v>61</v>
      </c>
      <c r="I72" s="3">
        <v>70952794</v>
      </c>
      <c r="J72" s="3" t="s">
        <v>175</v>
      </c>
      <c r="K72" s="3">
        <v>3216422617</v>
      </c>
      <c r="L72" s="3" t="s">
        <v>9</v>
      </c>
      <c r="M72" s="3">
        <v>900112921</v>
      </c>
      <c r="N72" s="2">
        <v>45793</v>
      </c>
      <c r="Q72" s="11" t="str">
        <f t="shared" si="1"/>
        <v/>
      </c>
      <c r="R72" s="20" t="s">
        <v>88</v>
      </c>
      <c r="S72" t="s">
        <v>65</v>
      </c>
      <c r="T72" t="s">
        <v>80</v>
      </c>
      <c r="U72" s="20">
        <f>IFERROR(VLOOKUP(T72,PHVA!$B$2:$C$74,2,0),0)</f>
        <v>0.5</v>
      </c>
      <c r="V72" s="3" t="s">
        <v>187</v>
      </c>
      <c r="W72" s="2">
        <v>45807</v>
      </c>
      <c r="X72" s="3">
        <f>ABS(A72-W72)</f>
        <v>14</v>
      </c>
      <c r="Y72" s="20">
        <f>VLOOKUP(M72,Hoja3!$L$2:$X$26,13,0)</f>
        <v>5</v>
      </c>
      <c r="Z72" s="27" t="s">
        <v>68</v>
      </c>
    </row>
    <row r="73" spans="1:56" s="11" customFormat="1" ht="14.5" x14ac:dyDescent="0.35">
      <c r="A73" s="10">
        <v>45797</v>
      </c>
      <c r="B73" s="10" t="s">
        <v>56</v>
      </c>
      <c r="C73" s="40">
        <v>1</v>
      </c>
      <c r="D73" s="11" t="s">
        <v>57</v>
      </c>
      <c r="E73" s="11" t="s">
        <v>58</v>
      </c>
      <c r="F73" s="11" t="s">
        <v>59</v>
      </c>
      <c r="K73" s="11">
        <v>3104997696</v>
      </c>
      <c r="L73" s="11" t="s">
        <v>10</v>
      </c>
      <c r="M73" s="11">
        <v>900530803</v>
      </c>
      <c r="N73" s="10">
        <v>45797</v>
      </c>
      <c r="O73" s="71" t="s">
        <v>188</v>
      </c>
      <c r="P73" s="11">
        <v>3</v>
      </c>
      <c r="Q73" s="11">
        <f t="shared" si="1"/>
        <v>106666</v>
      </c>
      <c r="R73" s="20" t="s">
        <v>88</v>
      </c>
      <c r="S73" s="25" t="s">
        <v>65</v>
      </c>
      <c r="T73" s="25" t="s">
        <v>94</v>
      </c>
      <c r="U73" s="12">
        <f>IFERROR(VLOOKUP(T73,PHVA!$B$2:$C$74,2,0),0)</f>
        <v>1</v>
      </c>
      <c r="V73" s="11" t="s">
        <v>189</v>
      </c>
      <c r="W73" s="10">
        <v>45807</v>
      </c>
      <c r="X73" s="11">
        <f>ABS(A73-W73)</f>
        <v>10</v>
      </c>
      <c r="Y73" s="20" t="e">
        <f>VLOOKUP(M73,Hoja3!$L$2:$X$26,13,0)</f>
        <v>#N/A</v>
      </c>
      <c r="Z73" s="30" t="s">
        <v>68</v>
      </c>
      <c r="AA73" s="18"/>
    </row>
    <row r="74" spans="1:56" ht="14.5" x14ac:dyDescent="0.35">
      <c r="A74" s="10">
        <v>45797</v>
      </c>
      <c r="B74" s="10" t="s">
        <v>56</v>
      </c>
      <c r="C74" s="40">
        <v>1</v>
      </c>
      <c r="D74" s="11" t="s">
        <v>57</v>
      </c>
      <c r="E74" s="11" t="s">
        <v>58</v>
      </c>
      <c r="F74" s="11" t="s">
        <v>59</v>
      </c>
      <c r="G74" s="11" t="s">
        <v>190</v>
      </c>
      <c r="H74" s="11" t="s">
        <v>61</v>
      </c>
      <c r="I74" s="11">
        <v>1128395305</v>
      </c>
      <c r="J74" s="11" t="s">
        <v>191</v>
      </c>
      <c r="K74" s="11">
        <v>3128926799</v>
      </c>
      <c r="L74" s="11" t="s">
        <v>11</v>
      </c>
      <c r="M74" s="33">
        <v>1128395305</v>
      </c>
      <c r="N74" s="10">
        <v>45797</v>
      </c>
      <c r="O74" s="71" t="s">
        <v>192</v>
      </c>
      <c r="P74" s="11">
        <v>1</v>
      </c>
      <c r="Q74" s="11">
        <f t="shared" si="1"/>
        <v>106666</v>
      </c>
      <c r="R74" s="20" t="s">
        <v>88</v>
      </c>
      <c r="S74" s="25" t="s">
        <v>65</v>
      </c>
      <c r="T74" s="25" t="s">
        <v>94</v>
      </c>
      <c r="U74" s="20">
        <f>IFERROR(VLOOKUP(T74,PHVA!$B$2:$C$74,2,0),0)</f>
        <v>1</v>
      </c>
      <c r="V74" s="11" t="s">
        <v>193</v>
      </c>
      <c r="W74" s="10">
        <v>45807</v>
      </c>
      <c r="X74" s="11">
        <f>ABS(A74-W74)</f>
        <v>10</v>
      </c>
      <c r="Y74" s="20">
        <f>VLOOKUP(M74,Hoja3!$L$2:$X$26,13,0)</f>
        <v>3</v>
      </c>
      <c r="Z74" s="27" t="s">
        <v>68</v>
      </c>
    </row>
    <row r="75" spans="1:56" ht="14.5" x14ac:dyDescent="0.35">
      <c r="A75" s="2">
        <v>45804</v>
      </c>
      <c r="C75" s="2"/>
      <c r="D75" s="3" t="s">
        <v>57</v>
      </c>
      <c r="E75" s="3" t="s">
        <v>58</v>
      </c>
      <c r="F75" s="3" t="s">
        <v>59</v>
      </c>
      <c r="G75" s="3" t="s">
        <v>190</v>
      </c>
      <c r="H75" s="3" t="s">
        <v>61</v>
      </c>
      <c r="I75" s="3">
        <v>1128395305</v>
      </c>
      <c r="J75" s="3" t="s">
        <v>191</v>
      </c>
      <c r="K75" s="3">
        <v>3128926799</v>
      </c>
      <c r="L75" s="3" t="s">
        <v>11</v>
      </c>
      <c r="M75" s="3">
        <v>1128395305</v>
      </c>
      <c r="N75" s="2">
        <v>45804</v>
      </c>
      <c r="O75" s="72" t="s">
        <v>151</v>
      </c>
      <c r="P75" s="3">
        <v>1</v>
      </c>
      <c r="Q75" s="11">
        <f t="shared" si="1"/>
        <v>106666</v>
      </c>
      <c r="R75" s="20" t="s">
        <v>88</v>
      </c>
      <c r="S75" t="s">
        <v>65</v>
      </c>
      <c r="T75" t="s">
        <v>84</v>
      </c>
      <c r="U75" s="20">
        <f>IFERROR(VLOOKUP(T75,PHVA!$B$2:$C$74,2,0),0)</f>
        <v>1</v>
      </c>
      <c r="V75" s="3" t="s">
        <v>194</v>
      </c>
      <c r="W75" s="2">
        <v>45807</v>
      </c>
      <c r="X75" s="3">
        <f>ABS(A75-W75)</f>
        <v>3</v>
      </c>
      <c r="Y75" s="20">
        <f>VLOOKUP(M75,Hoja3!$L$2:$X$26,13,0)</f>
        <v>3</v>
      </c>
      <c r="Z75" s="27" t="s">
        <v>68</v>
      </c>
    </row>
    <row r="76" spans="1:56" ht="14.5" x14ac:dyDescent="0.35">
      <c r="A76" s="2">
        <v>45811</v>
      </c>
      <c r="C76" s="2"/>
      <c r="D76" s="3" t="s">
        <v>57</v>
      </c>
      <c r="E76" s="3" t="s">
        <v>58</v>
      </c>
      <c r="F76" s="3" t="s">
        <v>59</v>
      </c>
      <c r="G76" s="3" t="s">
        <v>190</v>
      </c>
      <c r="H76" s="3" t="s">
        <v>61</v>
      </c>
      <c r="I76" s="3">
        <v>1128395305</v>
      </c>
      <c r="J76" s="3" t="s">
        <v>191</v>
      </c>
      <c r="K76" s="3">
        <v>3128926799</v>
      </c>
      <c r="L76" s="3" t="s">
        <v>11</v>
      </c>
      <c r="M76" s="3">
        <v>1128395305</v>
      </c>
      <c r="N76" s="2">
        <v>45811</v>
      </c>
      <c r="O76" s="72" t="s">
        <v>151</v>
      </c>
      <c r="P76" s="3">
        <v>1</v>
      </c>
      <c r="Q76" s="11">
        <f t="shared" si="1"/>
        <v>106666</v>
      </c>
      <c r="R76" s="20" t="s">
        <v>88</v>
      </c>
      <c r="S76" t="s">
        <v>65</v>
      </c>
      <c r="T76" t="s">
        <v>110</v>
      </c>
      <c r="U76" s="20">
        <f>IFERROR(VLOOKUP(T76,PHVA!$B$2:$C$74,2,0),0)</f>
        <v>2</v>
      </c>
      <c r="V76" s="3" t="s">
        <v>195</v>
      </c>
      <c r="W76" s="2">
        <v>45807</v>
      </c>
      <c r="X76" s="3">
        <f>ABS(A76-W76)</f>
        <v>4</v>
      </c>
      <c r="Y76" s="20">
        <f>VLOOKUP(M76,Hoja3!$L$2:$X$26,13,0)</f>
        <v>3</v>
      </c>
      <c r="Z76" s="27" t="s">
        <v>68</v>
      </c>
    </row>
    <row r="77" spans="1:56" s="11" customFormat="1" ht="14.5" x14ac:dyDescent="0.35">
      <c r="A77" s="10">
        <v>45775</v>
      </c>
      <c r="B77" s="10" t="s">
        <v>69</v>
      </c>
      <c r="C77" s="40">
        <v>2</v>
      </c>
      <c r="D77" s="11" t="s">
        <v>70</v>
      </c>
      <c r="E77" s="11" t="s">
        <v>58</v>
      </c>
      <c r="F77" s="11" t="s">
        <v>91</v>
      </c>
      <c r="G77" s="11" t="s">
        <v>196</v>
      </c>
      <c r="H77" s="11" t="s">
        <v>61</v>
      </c>
      <c r="I77" s="11">
        <v>1036929374</v>
      </c>
      <c r="J77" s="11" t="s">
        <v>197</v>
      </c>
      <c r="K77" s="11">
        <v>3194892497</v>
      </c>
      <c r="L77" s="11" t="s">
        <v>12</v>
      </c>
      <c r="M77" s="11">
        <v>901166099</v>
      </c>
      <c r="N77" s="10">
        <v>46133</v>
      </c>
      <c r="O77" s="71" t="s">
        <v>198</v>
      </c>
      <c r="P77" s="11">
        <v>2</v>
      </c>
      <c r="Q77" s="11">
        <f t="shared" si="1"/>
        <v>106666</v>
      </c>
      <c r="R77" s="20" t="s">
        <v>88</v>
      </c>
      <c r="S77" s="25" t="s">
        <v>65</v>
      </c>
      <c r="T77" s="25" t="s">
        <v>94</v>
      </c>
      <c r="U77" s="12">
        <f>IFERROR(VLOOKUP(T77,PHVA!$B$2:$C$74,2,0),0)</f>
        <v>1</v>
      </c>
      <c r="V77" s="11" t="s">
        <v>199</v>
      </c>
      <c r="W77" s="10">
        <v>45807</v>
      </c>
      <c r="X77" s="11">
        <f>ABS(A77-W77)</f>
        <v>32</v>
      </c>
      <c r="Y77" s="20">
        <f>VLOOKUP(M77,Hoja3!$L$2:$X$26,13,0)</f>
        <v>7</v>
      </c>
      <c r="Z77" s="30" t="s">
        <v>68</v>
      </c>
      <c r="AA77" s="18"/>
    </row>
    <row r="78" spans="1:56" ht="14.5" x14ac:dyDescent="0.35">
      <c r="A78" s="2">
        <v>45782</v>
      </c>
      <c r="C78" s="2"/>
      <c r="D78" s="3" t="s">
        <v>70</v>
      </c>
      <c r="E78" s="3" t="s">
        <v>58</v>
      </c>
      <c r="F78" s="3" t="s">
        <v>91</v>
      </c>
      <c r="G78" s="3" t="s">
        <v>196</v>
      </c>
      <c r="H78" s="3" t="s">
        <v>61</v>
      </c>
      <c r="I78" s="3">
        <v>1036929374</v>
      </c>
      <c r="J78" s="3" t="s">
        <v>197</v>
      </c>
      <c r="K78" s="3">
        <v>3194892497</v>
      </c>
      <c r="L78" s="3" t="s">
        <v>12</v>
      </c>
      <c r="M78" s="3">
        <v>901166099</v>
      </c>
      <c r="N78" s="2">
        <v>46140</v>
      </c>
      <c r="O78" s="72" t="s">
        <v>200</v>
      </c>
      <c r="P78" s="3">
        <v>2</v>
      </c>
      <c r="Q78" s="11">
        <f t="shared" si="1"/>
        <v>106666</v>
      </c>
      <c r="R78" s="8" t="s">
        <v>172</v>
      </c>
      <c r="S78" t="s">
        <v>65</v>
      </c>
      <c r="T78" t="s">
        <v>143</v>
      </c>
      <c r="U78" s="20">
        <f>IFERROR(VLOOKUP(T78,PHVA!$B$2:$C$74,2,0),0)</f>
        <v>0</v>
      </c>
      <c r="V78" s="3" t="s">
        <v>201</v>
      </c>
      <c r="W78" s="2">
        <v>45807</v>
      </c>
      <c r="X78" s="3">
        <f>ABS(A78-W78)</f>
        <v>25</v>
      </c>
      <c r="Y78" s="20">
        <f>VLOOKUP(M78,Hoja3!$L$2:$X$26,13,0)</f>
        <v>7</v>
      </c>
      <c r="Z78" s="27" t="s">
        <v>68</v>
      </c>
    </row>
    <row r="79" spans="1:56" ht="14.5" x14ac:dyDescent="0.35">
      <c r="A79" s="2">
        <v>45789</v>
      </c>
      <c r="C79" s="2"/>
      <c r="D79" s="3" t="s">
        <v>70</v>
      </c>
      <c r="E79" s="3" t="s">
        <v>58</v>
      </c>
      <c r="F79" s="3" t="s">
        <v>91</v>
      </c>
      <c r="G79" s="3" t="s">
        <v>196</v>
      </c>
      <c r="H79" s="3" t="s">
        <v>61</v>
      </c>
      <c r="I79" s="3">
        <v>1036929374</v>
      </c>
      <c r="J79" s="3" t="s">
        <v>197</v>
      </c>
      <c r="K79" s="3">
        <v>3194892497</v>
      </c>
      <c r="L79" s="3" t="s">
        <v>12</v>
      </c>
      <c r="M79" s="3">
        <v>901166099</v>
      </c>
      <c r="N79" s="2">
        <v>45758</v>
      </c>
      <c r="O79" s="72" t="s">
        <v>200</v>
      </c>
      <c r="P79" s="3">
        <v>2</v>
      </c>
      <c r="Q79" s="11">
        <f t="shared" si="1"/>
        <v>106666</v>
      </c>
      <c r="R79" s="20" t="s">
        <v>455</v>
      </c>
      <c r="S79" t="s">
        <v>65</v>
      </c>
      <c r="T79" t="s">
        <v>143</v>
      </c>
      <c r="U79" s="20">
        <f>IFERROR(VLOOKUP(T79,PHVA!$B$2:$C$74,2,0),0)</f>
        <v>0</v>
      </c>
      <c r="W79" s="2">
        <v>45807</v>
      </c>
      <c r="X79" s="3">
        <f>ABS(A79-W79)</f>
        <v>18</v>
      </c>
      <c r="Y79" s="20">
        <f>VLOOKUP(M79,Hoja3!$L$2:$X$26,13,0)</f>
        <v>7</v>
      </c>
      <c r="Z79" s="27" t="s">
        <v>68</v>
      </c>
    </row>
    <row r="80" spans="1:56" ht="14.5" x14ac:dyDescent="0.35">
      <c r="A80" s="2">
        <v>45786</v>
      </c>
      <c r="C80" s="2"/>
      <c r="D80" s="3" t="s">
        <v>70</v>
      </c>
      <c r="E80" s="3" t="s">
        <v>58</v>
      </c>
      <c r="F80" s="3" t="s">
        <v>202</v>
      </c>
      <c r="G80" s="3" t="s">
        <v>196</v>
      </c>
      <c r="H80" s="3" t="s">
        <v>61</v>
      </c>
      <c r="I80" s="3">
        <v>1036929374</v>
      </c>
      <c r="J80" s="3" t="s">
        <v>197</v>
      </c>
      <c r="K80" s="3">
        <v>3194892497</v>
      </c>
      <c r="L80" s="3" t="s">
        <v>12</v>
      </c>
      <c r="M80" s="3">
        <v>901166099</v>
      </c>
      <c r="N80" s="2">
        <v>45765</v>
      </c>
      <c r="O80" s="72" t="s">
        <v>200</v>
      </c>
      <c r="P80" s="3">
        <v>2</v>
      </c>
      <c r="Q80" s="11">
        <f t="shared" si="1"/>
        <v>106666</v>
      </c>
      <c r="R80" s="20" t="s">
        <v>88</v>
      </c>
      <c r="S80" t="s">
        <v>65</v>
      </c>
      <c r="T80" t="s">
        <v>84</v>
      </c>
      <c r="U80" s="20">
        <f>IFERROR(VLOOKUP(T80,PHVA!$B$2:$C$74,2,0),0)</f>
        <v>1</v>
      </c>
      <c r="V80" s="3" t="s">
        <v>203</v>
      </c>
      <c r="W80" s="2">
        <v>45807</v>
      </c>
      <c r="X80" s="3">
        <f>ABS(A80-W80)</f>
        <v>21</v>
      </c>
      <c r="Y80" s="20">
        <f>VLOOKUP(M80,Hoja3!$L$2:$X$26,13,0)</f>
        <v>7</v>
      </c>
      <c r="Z80" s="27" t="s">
        <v>68</v>
      </c>
    </row>
    <row r="81" spans="1:56" ht="14.5" x14ac:dyDescent="0.35">
      <c r="A81" s="2">
        <v>45817</v>
      </c>
      <c r="C81" s="2"/>
      <c r="D81" s="3" t="s">
        <v>70</v>
      </c>
      <c r="E81" s="3" t="s">
        <v>58</v>
      </c>
      <c r="F81" s="3" t="s">
        <v>202</v>
      </c>
      <c r="G81" s="3" t="s">
        <v>196</v>
      </c>
      <c r="H81" s="3" t="s">
        <v>61</v>
      </c>
      <c r="I81" s="3">
        <v>1036929374</v>
      </c>
      <c r="J81" s="3" t="s">
        <v>197</v>
      </c>
      <c r="K81" s="3">
        <v>3194892497</v>
      </c>
      <c r="L81" s="3" t="s">
        <v>12</v>
      </c>
      <c r="M81" s="3">
        <v>901166099</v>
      </c>
      <c r="N81" s="2">
        <v>45786</v>
      </c>
      <c r="O81" s="72">
        <v>0.60069444444444442</v>
      </c>
      <c r="P81" s="3">
        <v>2</v>
      </c>
      <c r="Q81" s="11">
        <f t="shared" si="1"/>
        <v>106666</v>
      </c>
      <c r="R81" s="20" t="s">
        <v>88</v>
      </c>
      <c r="S81" t="s">
        <v>65</v>
      </c>
      <c r="T81" t="s">
        <v>84</v>
      </c>
      <c r="U81" s="20">
        <f>IFERROR(VLOOKUP(T81,PHVA!$B$2:$C$74,2,0),0)</f>
        <v>1</v>
      </c>
      <c r="V81" s="3" t="s">
        <v>204</v>
      </c>
      <c r="W81" s="2">
        <v>45807</v>
      </c>
      <c r="X81" s="3">
        <f>ABS(A81-W81)</f>
        <v>10</v>
      </c>
      <c r="Y81" s="20">
        <f>VLOOKUP(M81,Hoja3!$L$2:$X$26,13,0)</f>
        <v>7</v>
      </c>
      <c r="Z81" s="27" t="s">
        <v>68</v>
      </c>
    </row>
    <row r="82" spans="1:56" ht="14.5" x14ac:dyDescent="0.35">
      <c r="A82" s="2">
        <v>45824</v>
      </c>
      <c r="C82" s="2"/>
      <c r="D82" s="3" t="s">
        <v>70</v>
      </c>
      <c r="E82" s="3" t="s">
        <v>58</v>
      </c>
      <c r="F82" s="3" t="s">
        <v>202</v>
      </c>
      <c r="G82" s="3" t="s">
        <v>196</v>
      </c>
      <c r="H82" s="3" t="s">
        <v>61</v>
      </c>
      <c r="I82" s="3">
        <v>1036929374</v>
      </c>
      <c r="J82" s="3" t="s">
        <v>197</v>
      </c>
      <c r="K82" s="3">
        <v>3194892497</v>
      </c>
      <c r="L82" s="3" t="s">
        <v>12</v>
      </c>
      <c r="M82" s="3">
        <v>901166099</v>
      </c>
      <c r="N82" s="2">
        <v>45793</v>
      </c>
      <c r="O82" s="72">
        <v>0.60069444444444442</v>
      </c>
      <c r="P82" s="3">
        <v>2</v>
      </c>
      <c r="Q82" s="11">
        <f t="shared" si="1"/>
        <v>106666</v>
      </c>
      <c r="R82" s="20" t="s">
        <v>88</v>
      </c>
      <c r="S82" t="s">
        <v>65</v>
      </c>
      <c r="T82" t="s">
        <v>66</v>
      </c>
      <c r="U82" s="20">
        <f>IFERROR(VLOOKUP(T82,PHVA!$B$2:$C$74,2,0),0)</f>
        <v>2</v>
      </c>
      <c r="V82" s="3" t="s">
        <v>205</v>
      </c>
      <c r="W82" s="2">
        <v>45807</v>
      </c>
      <c r="X82" s="3">
        <f>ABS(A82-W82)</f>
        <v>17</v>
      </c>
      <c r="Y82" s="20">
        <f>VLOOKUP(M82,Hoja3!$L$2:$X$26,13,0)</f>
        <v>7</v>
      </c>
      <c r="Z82" s="27" t="s">
        <v>68</v>
      </c>
    </row>
    <row r="83" spans="1:56" ht="14.5" x14ac:dyDescent="0.35">
      <c r="A83" s="2">
        <v>45831</v>
      </c>
      <c r="C83" s="2"/>
      <c r="D83" s="3" t="s">
        <v>206</v>
      </c>
      <c r="E83" s="3" t="s">
        <v>58</v>
      </c>
      <c r="F83" s="3" t="s">
        <v>202</v>
      </c>
      <c r="G83" s="3" t="s">
        <v>196</v>
      </c>
      <c r="H83" s="3" t="s">
        <v>61</v>
      </c>
      <c r="I83" s="3">
        <v>1036929374</v>
      </c>
      <c r="J83" s="3" t="s">
        <v>197</v>
      </c>
      <c r="K83" s="3">
        <v>3194892497</v>
      </c>
      <c r="L83" s="3" t="s">
        <v>12</v>
      </c>
      <c r="M83" s="3">
        <v>901166099</v>
      </c>
      <c r="N83" s="2">
        <v>45800</v>
      </c>
      <c r="O83" s="72">
        <v>0.60069444444444442</v>
      </c>
      <c r="P83" s="3">
        <v>2</v>
      </c>
      <c r="Q83" s="11">
        <f t="shared" si="1"/>
        <v>106666</v>
      </c>
      <c r="R83" s="8" t="s">
        <v>172</v>
      </c>
      <c r="S83" t="s">
        <v>65</v>
      </c>
      <c r="T83" t="s">
        <v>143</v>
      </c>
      <c r="U83" s="20">
        <f>IFERROR(VLOOKUP(T83,PHVA!$B$2:$C$74,2,0),0)</f>
        <v>0</v>
      </c>
      <c r="V83" s="3" t="s">
        <v>207</v>
      </c>
      <c r="W83" s="2">
        <v>45807</v>
      </c>
      <c r="X83" s="3">
        <f>ABS(A83-W83)</f>
        <v>24</v>
      </c>
      <c r="Y83" s="20">
        <f>VLOOKUP(M83,Hoja3!$L$2:$X$26,13,0)</f>
        <v>7</v>
      </c>
      <c r="Z83" s="27" t="s">
        <v>68</v>
      </c>
    </row>
    <row r="84" spans="1:56" ht="14.5" x14ac:dyDescent="0.35">
      <c r="A84" s="2">
        <v>45800</v>
      </c>
      <c r="C84" s="2"/>
      <c r="D84" s="3" t="s">
        <v>206</v>
      </c>
      <c r="E84" s="3" t="s">
        <v>58</v>
      </c>
      <c r="F84" s="3" t="s">
        <v>202</v>
      </c>
      <c r="G84" s="3" t="s">
        <v>196</v>
      </c>
      <c r="H84" s="3" t="s">
        <v>61</v>
      </c>
      <c r="I84" s="3">
        <v>1036929374</v>
      </c>
      <c r="J84" s="3" t="s">
        <v>197</v>
      </c>
      <c r="K84" s="3">
        <v>3194892497</v>
      </c>
      <c r="L84" s="3" t="s">
        <v>12</v>
      </c>
      <c r="M84" s="3">
        <v>901166099</v>
      </c>
      <c r="N84" s="2">
        <v>45800</v>
      </c>
      <c r="O84" s="72" t="s">
        <v>151</v>
      </c>
      <c r="P84" s="3">
        <v>2</v>
      </c>
      <c r="Q84" s="11">
        <f t="shared" si="1"/>
        <v>106666</v>
      </c>
      <c r="R84" s="8" t="s">
        <v>172</v>
      </c>
      <c r="S84" t="s">
        <v>65</v>
      </c>
      <c r="T84" t="s">
        <v>82</v>
      </c>
      <c r="U84" s="20">
        <f>IFERROR(VLOOKUP(T84,PHVA!$B$2:$C$74,2,0),0)</f>
        <v>0.5</v>
      </c>
      <c r="V84" s="17" t="s">
        <v>208</v>
      </c>
      <c r="W84" s="2">
        <v>45807</v>
      </c>
      <c r="X84" s="3">
        <f>ABS(A84-W84)</f>
        <v>7</v>
      </c>
      <c r="Y84" s="20">
        <f>VLOOKUP(M84,Hoja3!$L$2:$X$26,13,0)</f>
        <v>7</v>
      </c>
      <c r="Z84" s="27" t="s">
        <v>68</v>
      </c>
    </row>
    <row r="85" spans="1:56" s="11" customFormat="1" ht="14.5" x14ac:dyDescent="0.35">
      <c r="A85" s="10">
        <v>45741</v>
      </c>
      <c r="B85" s="16" t="s">
        <v>90</v>
      </c>
      <c r="C85" s="39">
        <v>3</v>
      </c>
      <c r="D85" s="11" t="s">
        <v>209</v>
      </c>
      <c r="E85" s="11" t="s">
        <v>58</v>
      </c>
      <c r="F85" s="11" t="s">
        <v>59</v>
      </c>
      <c r="G85" s="11" t="s">
        <v>210</v>
      </c>
      <c r="H85" s="11" t="s">
        <v>61</v>
      </c>
      <c r="I85" s="11">
        <v>1036778480</v>
      </c>
      <c r="J85" s="11" t="s">
        <v>211</v>
      </c>
      <c r="K85" s="11">
        <v>3127198417</v>
      </c>
      <c r="L85" s="11" t="s">
        <v>13</v>
      </c>
      <c r="M85" s="11">
        <v>900655932</v>
      </c>
      <c r="N85" s="10">
        <v>45741</v>
      </c>
      <c r="O85" s="71">
        <v>0.45833333333333331</v>
      </c>
      <c r="P85" s="11">
        <v>3</v>
      </c>
      <c r="Q85" s="11">
        <f t="shared" si="1"/>
        <v>106666</v>
      </c>
      <c r="R85" s="20" t="s">
        <v>88</v>
      </c>
      <c r="S85" s="25" t="s">
        <v>65</v>
      </c>
      <c r="T85" s="25" t="s">
        <v>94</v>
      </c>
      <c r="U85" s="12">
        <f>IFERROR(VLOOKUP(T85,PHVA!$B$2:$C$74,2,0),0)</f>
        <v>1</v>
      </c>
      <c r="V85" s="11" t="s">
        <v>116</v>
      </c>
      <c r="W85" s="10">
        <v>45807</v>
      </c>
      <c r="X85" s="11">
        <f>ABS(A85-W85)</f>
        <v>66</v>
      </c>
      <c r="Y85" s="20">
        <f>VLOOKUP(M85,Hoja3!$L$2:$X$26,13,0)</f>
        <v>42</v>
      </c>
      <c r="Z85" s="30" t="s">
        <v>68</v>
      </c>
      <c r="AA85" s="18"/>
    </row>
    <row r="86" spans="1:56" s="11" customFormat="1" ht="14.5" x14ac:dyDescent="0.35">
      <c r="A86" s="2">
        <v>45762</v>
      </c>
      <c r="B86" s="2"/>
      <c r="C86" s="2"/>
      <c r="D86" s="3" t="s">
        <v>209</v>
      </c>
      <c r="E86" s="3" t="s">
        <v>58</v>
      </c>
      <c r="F86" s="3" t="s">
        <v>59</v>
      </c>
      <c r="G86" s="3" t="s">
        <v>210</v>
      </c>
      <c r="H86" s="3" t="s">
        <v>61</v>
      </c>
      <c r="I86" s="3">
        <v>1036778480</v>
      </c>
      <c r="J86" s="3" t="s">
        <v>211</v>
      </c>
      <c r="K86" s="3">
        <v>3127198417</v>
      </c>
      <c r="L86" s="3" t="s">
        <v>13</v>
      </c>
      <c r="M86" s="3">
        <v>900655932</v>
      </c>
      <c r="N86" s="2">
        <v>45762</v>
      </c>
      <c r="O86" s="72">
        <v>0.40972222222222221</v>
      </c>
      <c r="P86" s="3">
        <v>3</v>
      </c>
      <c r="Q86" s="11">
        <f t="shared" si="1"/>
        <v>106666</v>
      </c>
      <c r="R86" s="20" t="s">
        <v>88</v>
      </c>
      <c r="S86" t="s">
        <v>65</v>
      </c>
      <c r="T86" t="s">
        <v>66</v>
      </c>
      <c r="U86" s="20">
        <f>IFERROR(VLOOKUP(T86,PHVA!$B$2:$C$74,2,0),0)</f>
        <v>2</v>
      </c>
      <c r="V86" s="3" t="s">
        <v>213</v>
      </c>
      <c r="W86" s="2">
        <v>45807</v>
      </c>
      <c r="X86" s="3">
        <f>ABS(A86-W86)</f>
        <v>45</v>
      </c>
      <c r="Y86" s="20">
        <f>VLOOKUP(M86,Hoja3!$L$2:$X$26,13,0)</f>
        <v>42</v>
      </c>
      <c r="Z86" s="27" t="s">
        <v>68</v>
      </c>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row>
    <row r="87" spans="1:56" ht="14.5" x14ac:dyDescent="0.35">
      <c r="A87" s="2">
        <v>45769</v>
      </c>
      <c r="C87" s="2"/>
      <c r="D87" s="3" t="s">
        <v>209</v>
      </c>
      <c r="E87" s="3" t="s">
        <v>58</v>
      </c>
      <c r="F87" s="3" t="s">
        <v>59</v>
      </c>
      <c r="G87" s="3" t="s">
        <v>210</v>
      </c>
      <c r="H87" s="3" t="s">
        <v>61</v>
      </c>
      <c r="I87" s="3">
        <v>1036778480</v>
      </c>
      <c r="J87" s="3" t="s">
        <v>211</v>
      </c>
      <c r="K87" s="3">
        <v>3127198417</v>
      </c>
      <c r="L87" s="3" t="s">
        <v>13</v>
      </c>
      <c r="M87" s="3">
        <v>900655932</v>
      </c>
      <c r="N87" s="2">
        <v>45769</v>
      </c>
      <c r="O87" s="72">
        <v>0.40972222222222221</v>
      </c>
      <c r="P87" s="3">
        <v>3</v>
      </c>
      <c r="Q87" s="11">
        <f t="shared" si="1"/>
        <v>106666</v>
      </c>
      <c r="R87" s="20" t="s">
        <v>88</v>
      </c>
      <c r="S87" t="s">
        <v>65</v>
      </c>
      <c r="T87" t="s">
        <v>123</v>
      </c>
      <c r="U87" s="20">
        <f>IFERROR(VLOOKUP(T87,PHVA!$B$2:$C$74,2,0),0)</f>
        <v>0.5</v>
      </c>
      <c r="V87" s="3" t="s">
        <v>214</v>
      </c>
      <c r="W87" s="2">
        <v>45807</v>
      </c>
      <c r="X87" s="3">
        <f>ABS(A87-W87)</f>
        <v>38</v>
      </c>
      <c r="Y87" s="20">
        <f>VLOOKUP(M87,Hoja3!$L$2:$X$26,13,0)</f>
        <v>42</v>
      </c>
      <c r="Z87" s="27" t="s">
        <v>68</v>
      </c>
    </row>
    <row r="88" spans="1:56" ht="14.5" x14ac:dyDescent="0.35">
      <c r="A88" s="2">
        <v>45776</v>
      </c>
      <c r="C88" s="2"/>
      <c r="D88" s="3" t="s">
        <v>209</v>
      </c>
      <c r="E88" s="3" t="s">
        <v>58</v>
      </c>
      <c r="F88" s="3" t="s">
        <v>59</v>
      </c>
      <c r="G88" s="3" t="s">
        <v>210</v>
      </c>
      <c r="H88" s="3" t="s">
        <v>61</v>
      </c>
      <c r="I88" s="3">
        <v>1036778480</v>
      </c>
      <c r="J88" s="3" t="s">
        <v>211</v>
      </c>
      <c r="K88" s="3">
        <v>3127198417</v>
      </c>
      <c r="L88" s="3" t="s">
        <v>13</v>
      </c>
      <c r="M88" s="3">
        <v>900655932</v>
      </c>
      <c r="N88" s="2">
        <v>45776</v>
      </c>
      <c r="O88" s="72">
        <v>0.40972222222222221</v>
      </c>
      <c r="P88" s="3">
        <v>3</v>
      </c>
      <c r="Q88" s="11">
        <f t="shared" si="1"/>
        <v>106666</v>
      </c>
      <c r="R88" s="8" t="s">
        <v>172</v>
      </c>
      <c r="S88" t="s">
        <v>65</v>
      </c>
      <c r="T88" t="s">
        <v>143</v>
      </c>
      <c r="U88" s="20">
        <f>IFERROR(VLOOKUP(T88,PHVA!$B$2:$C$74,2,0),0)</f>
        <v>0</v>
      </c>
      <c r="V88" s="3" t="s">
        <v>215</v>
      </c>
      <c r="W88" s="2">
        <v>45807</v>
      </c>
      <c r="X88" s="3">
        <f>ABS(A88-W88)</f>
        <v>31</v>
      </c>
      <c r="Y88" s="20">
        <f>VLOOKUP(M88,Hoja3!$L$2:$X$26,13,0)</f>
        <v>42</v>
      </c>
      <c r="Z88" s="27" t="s">
        <v>68</v>
      </c>
    </row>
    <row r="89" spans="1:56" ht="14.5" x14ac:dyDescent="0.35">
      <c r="A89" s="2">
        <v>45783</v>
      </c>
      <c r="C89" s="2"/>
      <c r="D89" s="3" t="s">
        <v>209</v>
      </c>
      <c r="E89" s="3" t="s">
        <v>58</v>
      </c>
      <c r="F89" s="3" t="s">
        <v>59</v>
      </c>
      <c r="G89" s="3" t="s">
        <v>210</v>
      </c>
      <c r="H89" s="3" t="s">
        <v>61</v>
      </c>
      <c r="I89" s="3">
        <v>1036778480</v>
      </c>
      <c r="J89" s="3" t="s">
        <v>211</v>
      </c>
      <c r="K89" s="3">
        <v>3127198417</v>
      </c>
      <c r="L89" s="3" t="s">
        <v>13</v>
      </c>
      <c r="M89" s="3">
        <v>900655932</v>
      </c>
      <c r="N89" s="2">
        <v>45783</v>
      </c>
      <c r="O89" s="72">
        <v>0.40972222222222221</v>
      </c>
      <c r="P89" s="3">
        <v>3</v>
      </c>
      <c r="Q89" s="11">
        <f t="shared" si="1"/>
        <v>106666</v>
      </c>
      <c r="R89" s="20" t="s">
        <v>88</v>
      </c>
      <c r="S89" t="s">
        <v>65</v>
      </c>
      <c r="T89" t="s">
        <v>82</v>
      </c>
      <c r="U89" s="20">
        <f>IFERROR(VLOOKUP(T89,PHVA!$B$2:$C$74,2,0),0)</f>
        <v>0.5</v>
      </c>
      <c r="V89" s="3" t="s">
        <v>216</v>
      </c>
      <c r="W89" s="2">
        <v>45807</v>
      </c>
      <c r="X89" s="3">
        <f>ABS(A89-W89)</f>
        <v>24</v>
      </c>
      <c r="Y89" s="20">
        <f>VLOOKUP(M89,Hoja3!$L$2:$X$26,13,0)</f>
        <v>42</v>
      </c>
      <c r="Z89" s="27" t="s">
        <v>68</v>
      </c>
    </row>
    <row r="90" spans="1:56" s="11" customFormat="1" ht="14.5" x14ac:dyDescent="0.35">
      <c r="A90" s="2">
        <v>45790</v>
      </c>
      <c r="B90" s="2"/>
      <c r="C90" s="2"/>
      <c r="D90" s="3" t="s">
        <v>209</v>
      </c>
      <c r="E90" s="3" t="s">
        <v>58</v>
      </c>
      <c r="F90" s="3" t="s">
        <v>59</v>
      </c>
      <c r="G90" s="3" t="s">
        <v>210</v>
      </c>
      <c r="H90" s="3" t="s">
        <v>61</v>
      </c>
      <c r="I90" s="3">
        <v>1036778480</v>
      </c>
      <c r="J90" s="3" t="s">
        <v>211</v>
      </c>
      <c r="K90" s="3">
        <v>3127198417</v>
      </c>
      <c r="L90" s="3" t="s">
        <v>13</v>
      </c>
      <c r="M90" s="3">
        <v>900655932</v>
      </c>
      <c r="N90" s="2">
        <v>45790</v>
      </c>
      <c r="O90" s="72">
        <v>0.40972222222222221</v>
      </c>
      <c r="P90" s="3">
        <v>3</v>
      </c>
      <c r="Q90" s="11">
        <f t="shared" si="1"/>
        <v>106666</v>
      </c>
      <c r="R90" s="20" t="s">
        <v>88</v>
      </c>
      <c r="S90" t="s">
        <v>217</v>
      </c>
      <c r="T90" t="s">
        <v>218</v>
      </c>
      <c r="U90" s="20">
        <f>IFERROR(VLOOKUP(T90,PHVA!$B$2:$C$74,2,0),0)</f>
        <v>1</v>
      </c>
      <c r="V90" s="3" t="s">
        <v>219</v>
      </c>
      <c r="W90" s="2">
        <v>45807</v>
      </c>
      <c r="X90" s="3">
        <f>ABS(A90-W90)</f>
        <v>17</v>
      </c>
      <c r="Y90" s="20">
        <f>VLOOKUP(M90,Hoja3!$L$2:$X$26,13,0)</f>
        <v>42</v>
      </c>
      <c r="Z90" s="27" t="s">
        <v>68</v>
      </c>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row>
    <row r="91" spans="1:56" ht="14.5" x14ac:dyDescent="0.35">
      <c r="A91" s="2">
        <v>45797</v>
      </c>
      <c r="C91" s="2"/>
      <c r="D91" s="3" t="s">
        <v>209</v>
      </c>
      <c r="E91" s="3" t="s">
        <v>58</v>
      </c>
      <c r="F91" s="3" t="s">
        <v>59</v>
      </c>
      <c r="G91" s="3" t="s">
        <v>210</v>
      </c>
      <c r="H91" s="3" t="s">
        <v>61</v>
      </c>
      <c r="I91" s="3">
        <v>1036778480</v>
      </c>
      <c r="J91" s="3" t="s">
        <v>211</v>
      </c>
      <c r="K91" s="3">
        <v>3127198417</v>
      </c>
      <c r="L91" s="3" t="s">
        <v>13</v>
      </c>
      <c r="M91" s="3">
        <v>900655932</v>
      </c>
      <c r="N91" s="2">
        <v>45797</v>
      </c>
      <c r="O91" s="72">
        <v>0.40972222222222221</v>
      </c>
      <c r="P91" s="3">
        <v>3</v>
      </c>
      <c r="Q91" s="11">
        <f t="shared" si="1"/>
        <v>106666</v>
      </c>
      <c r="R91" s="20" t="s">
        <v>88</v>
      </c>
      <c r="S91" t="s">
        <v>65</v>
      </c>
      <c r="T91" t="s">
        <v>110</v>
      </c>
      <c r="U91" s="20">
        <f>IFERROR(VLOOKUP(T91,PHVA!$B$2:$C$74,2,0),0)</f>
        <v>2</v>
      </c>
      <c r="V91" s="3" t="s">
        <v>220</v>
      </c>
      <c r="W91" s="2">
        <v>45807</v>
      </c>
      <c r="X91" s="3">
        <f>ABS(A91-W91)</f>
        <v>10</v>
      </c>
      <c r="Y91" s="20">
        <f>VLOOKUP(M91,Hoja3!$L$2:$X$26,13,0)</f>
        <v>42</v>
      </c>
      <c r="Z91" s="27" t="s">
        <v>68</v>
      </c>
    </row>
    <row r="92" spans="1:56" ht="14.5" x14ac:dyDescent="0.35">
      <c r="C92" s="2"/>
      <c r="D92" s="3" t="s">
        <v>209</v>
      </c>
      <c r="E92" s="3" t="s">
        <v>58</v>
      </c>
      <c r="F92" s="3" t="s">
        <v>59</v>
      </c>
      <c r="G92" s="3" t="s">
        <v>210</v>
      </c>
      <c r="H92" s="3" t="s">
        <v>61</v>
      </c>
      <c r="I92" s="3">
        <v>1036778480</v>
      </c>
      <c r="J92" s="3" t="s">
        <v>211</v>
      </c>
      <c r="K92" s="3">
        <v>3127198417</v>
      </c>
      <c r="L92" s="3" t="s">
        <v>13</v>
      </c>
      <c r="M92" s="3">
        <v>900655932</v>
      </c>
      <c r="N92" s="2">
        <v>45777</v>
      </c>
      <c r="P92" s="3">
        <v>3</v>
      </c>
      <c r="Q92" s="11">
        <f t="shared" si="1"/>
        <v>106666</v>
      </c>
      <c r="R92" s="20" t="s">
        <v>88</v>
      </c>
      <c r="S92" t="s">
        <v>65</v>
      </c>
      <c r="T92" t="s">
        <v>76</v>
      </c>
      <c r="U92" s="20">
        <f>IFERROR(VLOOKUP(T92,PHVA!$B$2:$C$74,2,0),0)</f>
        <v>2</v>
      </c>
      <c r="V92" s="3" t="s">
        <v>220</v>
      </c>
      <c r="W92" s="2">
        <v>45807</v>
      </c>
      <c r="X92" s="3">
        <f>ABS(A92-W92)</f>
        <v>45807</v>
      </c>
      <c r="Y92" s="20">
        <f>VLOOKUP(M92,Hoja3!$L$2:$X$26,13,0)</f>
        <v>42</v>
      </c>
      <c r="Z92" s="27" t="s">
        <v>68</v>
      </c>
    </row>
    <row r="93" spans="1:56" ht="14.5" x14ac:dyDescent="0.35">
      <c r="A93" s="2">
        <v>45804</v>
      </c>
      <c r="C93" s="2"/>
      <c r="D93" s="3" t="s">
        <v>209</v>
      </c>
      <c r="E93" s="3" t="s">
        <v>58</v>
      </c>
      <c r="F93" s="3" t="s">
        <v>59</v>
      </c>
      <c r="G93" s="3" t="s">
        <v>210</v>
      </c>
      <c r="H93" s="3" t="s">
        <v>61</v>
      </c>
      <c r="I93" s="3">
        <v>1036778480</v>
      </c>
      <c r="J93" s="3" t="s">
        <v>211</v>
      </c>
      <c r="K93" s="3">
        <v>3127198417</v>
      </c>
      <c r="L93" s="3" t="s">
        <v>13</v>
      </c>
      <c r="M93" s="3">
        <v>900655932</v>
      </c>
      <c r="N93" s="2">
        <v>45804</v>
      </c>
      <c r="O93" s="72">
        <v>0.40972222222222221</v>
      </c>
      <c r="P93" s="3">
        <v>3</v>
      </c>
      <c r="Q93" s="11">
        <f t="shared" si="1"/>
        <v>106666</v>
      </c>
      <c r="R93" s="20" t="s">
        <v>88</v>
      </c>
      <c r="S93" t="s">
        <v>65</v>
      </c>
      <c r="T93" t="s">
        <v>66</v>
      </c>
      <c r="U93" s="20">
        <f>IFERROR(VLOOKUP(T93,PHVA!$B$2:$C$74,2,0),0)</f>
        <v>2</v>
      </c>
      <c r="V93" s="3" t="s">
        <v>222</v>
      </c>
      <c r="W93" s="2">
        <v>45807</v>
      </c>
      <c r="X93" s="3">
        <f>ABS(A93-W93)</f>
        <v>3</v>
      </c>
      <c r="Y93" s="20">
        <f>VLOOKUP(M93,Hoja3!$L$2:$X$26,13,0)</f>
        <v>42</v>
      </c>
      <c r="Z93" s="27" t="s">
        <v>68</v>
      </c>
    </row>
    <row r="94" spans="1:56" ht="14.5" x14ac:dyDescent="0.35">
      <c r="C94" s="2"/>
      <c r="F94" s="3" t="s">
        <v>59</v>
      </c>
      <c r="G94" s="3" t="s">
        <v>223</v>
      </c>
      <c r="H94" s="3" t="s">
        <v>61</v>
      </c>
      <c r="I94" s="3">
        <v>1128403927</v>
      </c>
      <c r="J94" s="3" t="s">
        <v>224</v>
      </c>
      <c r="K94" s="3">
        <v>3148312199</v>
      </c>
      <c r="L94" s="3" t="s">
        <v>14</v>
      </c>
      <c r="M94" s="3">
        <v>1128403927</v>
      </c>
      <c r="N94" s="2">
        <v>45811</v>
      </c>
      <c r="O94" s="72">
        <v>0.62847222222222221</v>
      </c>
      <c r="P94" s="3">
        <v>1</v>
      </c>
      <c r="Q94" s="11">
        <f t="shared" si="1"/>
        <v>106666</v>
      </c>
      <c r="R94" s="20" t="s">
        <v>88</v>
      </c>
      <c r="S94" t="s">
        <v>65</v>
      </c>
      <c r="T94" t="s">
        <v>143</v>
      </c>
      <c r="U94" s="8">
        <f>IFERROR(VLOOKUP(T94,PHVA!$B$2:$C$74,2,0),0)</f>
        <v>0</v>
      </c>
      <c r="V94" s="3" t="s">
        <v>225</v>
      </c>
      <c r="W94" s="2">
        <v>45807</v>
      </c>
      <c r="X94" s="3">
        <f>ABS(A94-W94)</f>
        <v>45807</v>
      </c>
      <c r="Y94" s="20">
        <f>VLOOKUP(M94,Hoja3!$L$2:$X$26,13,0)</f>
        <v>5</v>
      </c>
      <c r="Z94" s="43" t="s">
        <v>68</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4.5" x14ac:dyDescent="0.35">
      <c r="A95" s="2">
        <v>45804</v>
      </c>
      <c r="C95" s="2"/>
      <c r="D95" s="3" t="s">
        <v>57</v>
      </c>
      <c r="E95" s="3" t="s">
        <v>58</v>
      </c>
      <c r="F95" s="3" t="s">
        <v>59</v>
      </c>
      <c r="G95" s="3" t="s">
        <v>223</v>
      </c>
      <c r="H95" s="3" t="s">
        <v>61</v>
      </c>
      <c r="I95" s="3">
        <v>1128403927</v>
      </c>
      <c r="J95" s="3" t="s">
        <v>224</v>
      </c>
      <c r="K95" s="3">
        <v>3017402779</v>
      </c>
      <c r="L95" s="3" t="s">
        <v>14</v>
      </c>
      <c r="M95" s="3">
        <v>1128403927</v>
      </c>
      <c r="N95" s="2">
        <v>45804</v>
      </c>
      <c r="O95" s="72">
        <v>0.62847222222222221</v>
      </c>
      <c r="P95" s="3">
        <v>1</v>
      </c>
      <c r="Q95" s="11">
        <f t="shared" si="1"/>
        <v>106666</v>
      </c>
      <c r="R95" s="64" t="s">
        <v>459</v>
      </c>
      <c r="S95" t="s">
        <v>65</v>
      </c>
      <c r="T95" t="s">
        <v>143</v>
      </c>
      <c r="U95" s="20">
        <f>IFERROR(VLOOKUP(T95,PHVA!$B$2:$C$74,2,0),0)</f>
        <v>0</v>
      </c>
      <c r="V95" s="3" t="s">
        <v>226</v>
      </c>
      <c r="W95" s="2">
        <v>45807</v>
      </c>
      <c r="X95" s="3">
        <f>ABS(A95-W95)</f>
        <v>3</v>
      </c>
      <c r="Y95" s="20">
        <f>VLOOKUP(M95,Hoja3!$L$2:$X$26,13,0)</f>
        <v>5</v>
      </c>
      <c r="Z95" s="27" t="s">
        <v>68</v>
      </c>
    </row>
    <row r="96" spans="1:56" ht="14.5" x14ac:dyDescent="0.35">
      <c r="A96" s="10">
        <v>45741</v>
      </c>
      <c r="B96" s="16" t="s">
        <v>90</v>
      </c>
      <c r="C96" s="39">
        <v>3</v>
      </c>
      <c r="D96" s="11" t="s">
        <v>209</v>
      </c>
      <c r="E96" s="11" t="s">
        <v>58</v>
      </c>
      <c r="F96" s="11" t="s">
        <v>202</v>
      </c>
      <c r="G96" s="11" t="s">
        <v>227</v>
      </c>
      <c r="H96" s="11" t="s">
        <v>61</v>
      </c>
      <c r="I96" s="11">
        <v>1036937209</v>
      </c>
      <c r="J96" s="11" t="s">
        <v>228</v>
      </c>
      <c r="K96" s="11">
        <v>3128650034</v>
      </c>
      <c r="L96" s="11" t="s">
        <v>15</v>
      </c>
      <c r="M96" s="11">
        <v>15448886</v>
      </c>
      <c r="N96" s="10">
        <v>45741</v>
      </c>
      <c r="O96" s="71" t="s">
        <v>229</v>
      </c>
      <c r="P96" s="11">
        <v>1</v>
      </c>
      <c r="Q96" s="11">
        <f t="shared" si="1"/>
        <v>106666</v>
      </c>
      <c r="R96" s="20" t="s">
        <v>88</v>
      </c>
      <c r="S96" s="25" t="s">
        <v>65</v>
      </c>
      <c r="T96" s="25" t="s">
        <v>94</v>
      </c>
      <c r="U96" s="20">
        <f>IFERROR(VLOOKUP(T96,PHVA!$B$2:$C$74,2,0),0)</f>
        <v>1</v>
      </c>
      <c r="V96" s="11" t="s">
        <v>230</v>
      </c>
      <c r="W96" s="10">
        <v>45807</v>
      </c>
      <c r="X96" s="11">
        <f>ABS(A96-W96)</f>
        <v>66</v>
      </c>
      <c r="Y96" s="20">
        <f>VLOOKUP(M96,Hoja3!$L$2:$X$26,13,0)</f>
        <v>11</v>
      </c>
      <c r="Z96" s="27" t="s">
        <v>68</v>
      </c>
    </row>
    <row r="97" spans="1:26" ht="14.5" x14ac:dyDescent="0.35">
      <c r="A97" s="2">
        <v>45752</v>
      </c>
      <c r="C97" s="2"/>
      <c r="D97" s="3" t="s">
        <v>231</v>
      </c>
      <c r="E97" s="3" t="s">
        <v>58</v>
      </c>
      <c r="F97" s="3" t="s">
        <v>202</v>
      </c>
      <c r="G97" s="3" t="s">
        <v>227</v>
      </c>
      <c r="H97" s="3" t="s">
        <v>61</v>
      </c>
      <c r="I97" s="3">
        <v>1036937209</v>
      </c>
      <c r="J97" s="3" t="s">
        <v>228</v>
      </c>
      <c r="K97" s="3">
        <v>3128650034</v>
      </c>
      <c r="L97" s="3" t="s">
        <v>15</v>
      </c>
      <c r="M97" s="3">
        <v>15448886</v>
      </c>
      <c r="N97" s="2">
        <v>45752</v>
      </c>
      <c r="O97" s="72" t="s">
        <v>229</v>
      </c>
      <c r="P97" s="3">
        <v>1</v>
      </c>
      <c r="Q97" s="11">
        <f t="shared" si="1"/>
        <v>106666</v>
      </c>
      <c r="R97" s="20" t="s">
        <v>88</v>
      </c>
      <c r="S97" t="s">
        <v>65</v>
      </c>
      <c r="T97" t="s">
        <v>103</v>
      </c>
      <c r="U97" s="20">
        <f>IFERROR(VLOOKUP(T97,PHVA!$B$2:$C$74,2,0),0)</f>
        <v>1</v>
      </c>
      <c r="V97" s="3" t="s">
        <v>232</v>
      </c>
      <c r="W97" s="2">
        <v>45807</v>
      </c>
      <c r="X97" s="3">
        <f>ABS(A97-W97)</f>
        <v>55</v>
      </c>
      <c r="Y97" s="20">
        <f>VLOOKUP(M97,Hoja3!$L$2:$X$26,13,0)</f>
        <v>11</v>
      </c>
      <c r="Z97" s="27" t="s">
        <v>68</v>
      </c>
    </row>
    <row r="98" spans="1:26" ht="14.5" x14ac:dyDescent="0.35">
      <c r="A98" s="2">
        <v>45759</v>
      </c>
      <c r="C98" s="2"/>
      <c r="D98" s="3" t="s">
        <v>231</v>
      </c>
      <c r="E98" s="3" t="s">
        <v>58</v>
      </c>
      <c r="F98" s="3" t="s">
        <v>202</v>
      </c>
      <c r="G98" s="3" t="s">
        <v>227</v>
      </c>
      <c r="H98" s="3" t="s">
        <v>61</v>
      </c>
      <c r="I98" s="3">
        <v>1036937209</v>
      </c>
      <c r="J98" s="3" t="s">
        <v>228</v>
      </c>
      <c r="K98" s="3">
        <v>3128650034</v>
      </c>
      <c r="L98" s="3" t="s">
        <v>15</v>
      </c>
      <c r="M98" s="3">
        <v>15448886</v>
      </c>
      <c r="N98" s="2">
        <v>45759</v>
      </c>
      <c r="O98" s="72" t="s">
        <v>233</v>
      </c>
      <c r="P98" s="3">
        <v>1</v>
      </c>
      <c r="Q98" s="11">
        <f t="shared" si="1"/>
        <v>106666</v>
      </c>
      <c r="R98" s="20" t="s">
        <v>88</v>
      </c>
      <c r="S98" t="s">
        <v>65</v>
      </c>
      <c r="T98" t="s">
        <v>96</v>
      </c>
      <c r="U98" s="20">
        <f>IFERROR(VLOOKUP(T98,PHVA!$B$2:$C$74,2,0),0)</f>
        <v>3</v>
      </c>
      <c r="V98" s="3" t="s">
        <v>234</v>
      </c>
      <c r="W98" s="2">
        <v>45807</v>
      </c>
      <c r="X98" s="3">
        <f>ABS(A98-W98)</f>
        <v>48</v>
      </c>
      <c r="Y98" s="20">
        <f>VLOOKUP(M98,Hoja3!$L$2:$X$26,13,0)</f>
        <v>11</v>
      </c>
      <c r="Z98" s="27" t="s">
        <v>68</v>
      </c>
    </row>
    <row r="99" spans="1:26" ht="14.5" x14ac:dyDescent="0.35">
      <c r="A99" s="2">
        <v>45766</v>
      </c>
      <c r="C99" s="2"/>
      <c r="D99" s="3" t="s">
        <v>231</v>
      </c>
      <c r="E99" s="3" t="s">
        <v>58</v>
      </c>
      <c r="F99" s="3" t="s">
        <v>202</v>
      </c>
      <c r="G99" s="3" t="s">
        <v>227</v>
      </c>
      <c r="H99" s="3" t="s">
        <v>61</v>
      </c>
      <c r="I99" s="3">
        <v>1036937209</v>
      </c>
      <c r="J99" s="3" t="s">
        <v>228</v>
      </c>
      <c r="K99" s="3">
        <v>3128650034</v>
      </c>
      <c r="L99" s="3" t="s">
        <v>15</v>
      </c>
      <c r="M99" s="3">
        <v>15448886</v>
      </c>
      <c r="N99" s="2">
        <v>45766</v>
      </c>
      <c r="O99" s="72" t="s">
        <v>233</v>
      </c>
      <c r="P99" s="3">
        <v>1</v>
      </c>
      <c r="Q99" s="11">
        <f t="shared" si="1"/>
        <v>106666</v>
      </c>
      <c r="R99" s="20" t="s">
        <v>88</v>
      </c>
      <c r="S99" t="s">
        <v>65</v>
      </c>
      <c r="T99" t="s">
        <v>66</v>
      </c>
      <c r="U99" s="20">
        <f>IFERROR(VLOOKUP(T99,PHVA!$B$2:$C$74,2,0),0)</f>
        <v>2</v>
      </c>
      <c r="V99" s="3" t="s">
        <v>235</v>
      </c>
      <c r="W99" s="2">
        <v>45807</v>
      </c>
      <c r="X99" s="3">
        <f>ABS(A99-W99)</f>
        <v>41</v>
      </c>
      <c r="Y99" s="20">
        <f>VLOOKUP(M99,Hoja3!$L$2:$X$26,13,0)</f>
        <v>11</v>
      </c>
      <c r="Z99" s="27" t="s">
        <v>68</v>
      </c>
    </row>
    <row r="100" spans="1:26" ht="14.5" x14ac:dyDescent="0.35">
      <c r="A100" s="2">
        <v>45787</v>
      </c>
      <c r="C100" s="2"/>
      <c r="D100" s="3" t="s">
        <v>231</v>
      </c>
      <c r="E100" s="3" t="s">
        <v>58</v>
      </c>
      <c r="F100" s="3" t="s">
        <v>202</v>
      </c>
      <c r="G100" s="3" t="s">
        <v>227</v>
      </c>
      <c r="H100" s="3" t="s">
        <v>61</v>
      </c>
      <c r="I100" s="3">
        <v>1036937209</v>
      </c>
      <c r="J100" s="3" t="s">
        <v>228</v>
      </c>
      <c r="K100" s="3">
        <v>3128650034</v>
      </c>
      <c r="L100" s="3" t="s">
        <v>15</v>
      </c>
      <c r="M100" s="3">
        <v>15448886</v>
      </c>
      <c r="N100" s="2">
        <v>45787</v>
      </c>
      <c r="O100" s="72" t="s">
        <v>233</v>
      </c>
      <c r="P100" s="3">
        <v>1</v>
      </c>
      <c r="Q100" s="11">
        <f t="shared" si="1"/>
        <v>106666</v>
      </c>
      <c r="R100" s="20" t="s">
        <v>88</v>
      </c>
      <c r="S100" t="s">
        <v>65</v>
      </c>
      <c r="T100" t="s">
        <v>236</v>
      </c>
      <c r="U100" s="20">
        <f>IFERROR(VLOOKUP(T100,PHVA!$B$2:$C$74,2,0),0)</f>
        <v>0.5</v>
      </c>
      <c r="V100" s="3" t="s">
        <v>237</v>
      </c>
      <c r="W100" s="2">
        <v>45807</v>
      </c>
      <c r="X100" s="3">
        <f>ABS(A100-W100)</f>
        <v>20</v>
      </c>
      <c r="Y100" s="20">
        <f>VLOOKUP(M100,Hoja3!$L$2:$X$26,13,0)</f>
        <v>11</v>
      </c>
      <c r="Z100" s="27" t="s">
        <v>68</v>
      </c>
    </row>
    <row r="101" spans="1:26" ht="14.5" x14ac:dyDescent="0.35">
      <c r="A101" s="2">
        <v>45794</v>
      </c>
      <c r="C101" s="2"/>
      <c r="D101" s="3" t="s">
        <v>231</v>
      </c>
      <c r="E101" s="3" t="s">
        <v>58</v>
      </c>
      <c r="F101" s="3" t="s">
        <v>202</v>
      </c>
      <c r="G101" s="3" t="s">
        <v>227</v>
      </c>
      <c r="H101" s="3" t="s">
        <v>61</v>
      </c>
      <c r="I101" s="3">
        <v>1036937209</v>
      </c>
      <c r="J101" s="3" t="s">
        <v>228</v>
      </c>
      <c r="K101" s="3">
        <v>3128650034</v>
      </c>
      <c r="L101" s="3" t="s">
        <v>15</v>
      </c>
      <c r="M101" s="3">
        <v>15448886</v>
      </c>
      <c r="N101" s="2">
        <v>45794</v>
      </c>
      <c r="O101" s="72" t="s">
        <v>233</v>
      </c>
      <c r="P101" s="3">
        <v>1</v>
      </c>
      <c r="Q101" s="11">
        <f t="shared" si="1"/>
        <v>106666</v>
      </c>
      <c r="R101" s="20" t="s">
        <v>88</v>
      </c>
      <c r="S101" t="s">
        <v>65</v>
      </c>
      <c r="T101" t="s">
        <v>238</v>
      </c>
      <c r="U101" s="20">
        <f>IFERROR(VLOOKUP(T101,PHVA!$B$2:$C$74,2,0),0)</f>
        <v>0.5</v>
      </c>
      <c r="V101" s="3" t="s">
        <v>239</v>
      </c>
      <c r="W101" s="2">
        <v>45807</v>
      </c>
      <c r="X101" s="3">
        <f>ABS(A101-W101)</f>
        <v>13</v>
      </c>
      <c r="Y101" s="20">
        <f>VLOOKUP(M101,Hoja3!$L$2:$X$26,13,0)</f>
        <v>11</v>
      </c>
      <c r="Z101" s="27" t="s">
        <v>68</v>
      </c>
    </row>
    <row r="102" spans="1:26" ht="14.5" x14ac:dyDescent="0.35">
      <c r="A102" s="2">
        <v>45777</v>
      </c>
      <c r="C102" s="2"/>
      <c r="D102" s="3" t="s">
        <v>231</v>
      </c>
      <c r="E102" s="3" t="s">
        <v>58</v>
      </c>
      <c r="F102" s="3" t="s">
        <v>202</v>
      </c>
      <c r="G102" s="3" t="s">
        <v>227</v>
      </c>
      <c r="H102" s="3" t="s">
        <v>61</v>
      </c>
      <c r="I102" s="3">
        <v>1036937209</v>
      </c>
      <c r="J102" s="3" t="s">
        <v>228</v>
      </c>
      <c r="K102" s="3">
        <v>3128650034</v>
      </c>
      <c r="L102" s="3" t="s">
        <v>15</v>
      </c>
      <c r="M102" s="3">
        <v>15448886</v>
      </c>
      <c r="N102" s="2">
        <v>45777</v>
      </c>
      <c r="P102" s="3">
        <v>1</v>
      </c>
      <c r="Q102" s="11">
        <f t="shared" si="1"/>
        <v>106666</v>
      </c>
      <c r="R102" s="20" t="s">
        <v>88</v>
      </c>
      <c r="S102" t="s">
        <v>65</v>
      </c>
      <c r="T102" t="s">
        <v>126</v>
      </c>
      <c r="U102" s="20">
        <f>IFERROR(VLOOKUP(T102,PHVA!$B$2:$C$74,2,0),0)</f>
        <v>4</v>
      </c>
      <c r="V102" s="3" t="s">
        <v>239</v>
      </c>
      <c r="W102" s="2">
        <v>45807</v>
      </c>
      <c r="X102" s="3">
        <f>ABS(A102-W102)</f>
        <v>30</v>
      </c>
      <c r="Y102" s="20">
        <f>VLOOKUP(M102,Hoja3!$L$2:$X$26,13,0)</f>
        <v>11</v>
      </c>
      <c r="Z102" s="27" t="s">
        <v>68</v>
      </c>
    </row>
    <row r="103" spans="1:26" ht="14.5" x14ac:dyDescent="0.35">
      <c r="A103" s="2">
        <v>45808</v>
      </c>
      <c r="C103" s="2"/>
      <c r="D103" s="3" t="s">
        <v>231</v>
      </c>
      <c r="E103" s="3" t="s">
        <v>58</v>
      </c>
      <c r="F103" s="3" t="s">
        <v>202</v>
      </c>
      <c r="G103" s="3" t="s">
        <v>227</v>
      </c>
      <c r="H103" s="3" t="s">
        <v>61</v>
      </c>
      <c r="I103" s="3">
        <v>1036937209</v>
      </c>
      <c r="J103" s="3" t="s">
        <v>228</v>
      </c>
      <c r="K103" s="3">
        <v>3128650034</v>
      </c>
      <c r="L103" s="3" t="s">
        <v>15</v>
      </c>
      <c r="M103" s="3">
        <v>15448886</v>
      </c>
      <c r="N103" s="2">
        <v>45808</v>
      </c>
      <c r="O103" s="72" t="s">
        <v>233</v>
      </c>
      <c r="P103" s="3">
        <v>1</v>
      </c>
      <c r="Q103" s="11">
        <f t="shared" si="1"/>
        <v>106666</v>
      </c>
      <c r="R103" s="20" t="s">
        <v>88</v>
      </c>
      <c r="S103" t="s">
        <v>65</v>
      </c>
      <c r="T103" t="s">
        <v>240</v>
      </c>
      <c r="U103" s="20">
        <f>IFERROR(VLOOKUP(T103,PHVA!$B$2:$C$74,2,0),0)</f>
        <v>3</v>
      </c>
      <c r="V103" s="3" t="s">
        <v>241</v>
      </c>
      <c r="W103" s="2">
        <v>45807</v>
      </c>
      <c r="X103" s="3">
        <f>ABS(A103-W103)</f>
        <v>1</v>
      </c>
      <c r="Y103" s="20">
        <f>VLOOKUP(M103,Hoja3!$L$2:$X$26,13,0)</f>
        <v>11</v>
      </c>
      <c r="Z103" s="27" t="s">
        <v>68</v>
      </c>
    </row>
    <row r="104" spans="1:26" ht="14.5" x14ac:dyDescent="0.35">
      <c r="A104" s="10">
        <v>45744</v>
      </c>
      <c r="B104" s="16" t="s">
        <v>90</v>
      </c>
      <c r="C104" s="39">
        <v>3</v>
      </c>
      <c r="D104" s="11" t="s">
        <v>70</v>
      </c>
      <c r="E104" s="11" t="s">
        <v>58</v>
      </c>
      <c r="F104" s="11" t="s">
        <v>91</v>
      </c>
      <c r="G104" s="11" t="s">
        <v>242</v>
      </c>
      <c r="H104" s="11" t="s">
        <v>61</v>
      </c>
      <c r="I104" s="11">
        <v>39382394</v>
      </c>
      <c r="J104" s="11" t="s">
        <v>243</v>
      </c>
      <c r="K104" s="11">
        <v>3113247283</v>
      </c>
      <c r="L104" s="11" t="s">
        <v>16</v>
      </c>
      <c r="M104" s="11">
        <v>900167311</v>
      </c>
      <c r="N104" s="10">
        <v>46133</v>
      </c>
      <c r="O104" s="71" t="s">
        <v>244</v>
      </c>
      <c r="P104" s="11">
        <v>3</v>
      </c>
      <c r="Q104" s="11">
        <f t="shared" si="1"/>
        <v>106666</v>
      </c>
      <c r="R104" s="20" t="s">
        <v>88</v>
      </c>
      <c r="S104" s="25" t="s">
        <v>65</v>
      </c>
      <c r="T104" s="25" t="s">
        <v>94</v>
      </c>
      <c r="U104" s="20">
        <f>IFERROR(VLOOKUP(T104,PHVA!$B$2:$C$74,2,0),0)</f>
        <v>1</v>
      </c>
      <c r="V104" s="11" t="s">
        <v>245</v>
      </c>
      <c r="W104" s="10">
        <v>45807</v>
      </c>
      <c r="X104" s="11">
        <f>ABS(A104-W104)</f>
        <v>63</v>
      </c>
      <c r="Y104" s="20">
        <f>VLOOKUP(M104,Hoja3!$L$2:$X$26,13,0)</f>
        <v>11</v>
      </c>
      <c r="Z104" s="27" t="s">
        <v>68</v>
      </c>
    </row>
    <row r="105" spans="1:26" ht="14.5" x14ac:dyDescent="0.35">
      <c r="A105" s="2">
        <v>45751</v>
      </c>
      <c r="C105" s="2"/>
      <c r="D105" s="3" t="s">
        <v>70</v>
      </c>
      <c r="E105" s="3" t="s">
        <v>58</v>
      </c>
      <c r="F105" s="3" t="s">
        <v>91</v>
      </c>
      <c r="G105" s="3" t="s">
        <v>242</v>
      </c>
      <c r="H105" s="3" t="s">
        <v>61</v>
      </c>
      <c r="I105" s="3">
        <v>39382394</v>
      </c>
      <c r="J105" s="3" t="s">
        <v>243</v>
      </c>
      <c r="K105" s="3">
        <v>3113247283</v>
      </c>
      <c r="L105" s="3" t="s">
        <v>16</v>
      </c>
      <c r="M105" s="3">
        <v>900167311</v>
      </c>
      <c r="N105" s="2">
        <v>46140</v>
      </c>
      <c r="O105" s="72" t="s">
        <v>244</v>
      </c>
      <c r="P105" s="3">
        <v>3</v>
      </c>
      <c r="Q105" s="11">
        <f t="shared" si="1"/>
        <v>106666</v>
      </c>
      <c r="R105" s="20" t="s">
        <v>88</v>
      </c>
      <c r="S105" t="s">
        <v>65</v>
      </c>
      <c r="T105" t="s">
        <v>96</v>
      </c>
      <c r="U105" s="20">
        <f>IFERROR(VLOOKUP(T105,PHVA!$B$2:$C$74,2,0),0)</f>
        <v>3</v>
      </c>
      <c r="V105" s="3" t="s">
        <v>246</v>
      </c>
      <c r="W105" s="2">
        <v>45807</v>
      </c>
      <c r="X105" s="3">
        <f>ABS(A105-W105)</f>
        <v>56</v>
      </c>
      <c r="Y105" s="20">
        <f>VLOOKUP(M105,Hoja3!$L$2:$X$26,13,0)</f>
        <v>11</v>
      </c>
      <c r="Z105" s="27" t="s">
        <v>68</v>
      </c>
    </row>
    <row r="106" spans="1:26" ht="14.5" x14ac:dyDescent="0.35">
      <c r="A106" s="2">
        <v>45758</v>
      </c>
      <c r="C106" s="2"/>
      <c r="D106" s="3" t="s">
        <v>70</v>
      </c>
      <c r="E106" s="3" t="s">
        <v>58</v>
      </c>
      <c r="F106" s="3" t="s">
        <v>91</v>
      </c>
      <c r="G106" s="3" t="s">
        <v>242</v>
      </c>
      <c r="H106" s="3" t="s">
        <v>61</v>
      </c>
      <c r="I106" s="3">
        <v>39382394</v>
      </c>
      <c r="J106" s="3" t="s">
        <v>243</v>
      </c>
      <c r="K106" s="3">
        <v>3113247283</v>
      </c>
      <c r="L106" s="3" t="s">
        <v>16</v>
      </c>
      <c r="M106" s="3">
        <v>900167311</v>
      </c>
      <c r="N106" s="2">
        <v>45758</v>
      </c>
      <c r="O106" s="72" t="s">
        <v>244</v>
      </c>
      <c r="P106" s="3">
        <v>3</v>
      </c>
      <c r="Q106" s="11">
        <f t="shared" si="1"/>
        <v>106666</v>
      </c>
      <c r="R106" s="20" t="s">
        <v>88</v>
      </c>
      <c r="S106" t="s">
        <v>65</v>
      </c>
      <c r="T106" t="s">
        <v>96</v>
      </c>
      <c r="U106" s="20">
        <f>IFERROR(VLOOKUP(T106,PHVA!$B$2:$C$74,2,0),0)</f>
        <v>3</v>
      </c>
      <c r="V106" s="3" t="s">
        <v>247</v>
      </c>
      <c r="W106" s="2">
        <v>45807</v>
      </c>
      <c r="X106" s="3">
        <f>ABS(A106-W106)</f>
        <v>49</v>
      </c>
      <c r="Y106" s="20">
        <f>VLOOKUP(M106,Hoja3!$L$2:$X$26,13,0)</f>
        <v>11</v>
      </c>
      <c r="Z106" s="27" t="s">
        <v>68</v>
      </c>
    </row>
    <row r="107" spans="1:26" ht="14.5" x14ac:dyDescent="0.35">
      <c r="A107" s="2">
        <v>45765</v>
      </c>
      <c r="C107" s="2"/>
      <c r="D107" s="3" t="s">
        <v>70</v>
      </c>
      <c r="E107" s="3" t="s">
        <v>58</v>
      </c>
      <c r="F107" s="3" t="s">
        <v>202</v>
      </c>
      <c r="G107" s="3" t="s">
        <v>242</v>
      </c>
      <c r="H107" s="3" t="s">
        <v>61</v>
      </c>
      <c r="I107" s="3">
        <v>39382394</v>
      </c>
      <c r="J107" s="3" t="s">
        <v>243</v>
      </c>
      <c r="K107" s="3">
        <v>3113247283</v>
      </c>
      <c r="L107" s="3" t="s">
        <v>16</v>
      </c>
      <c r="M107" s="3">
        <v>900167311</v>
      </c>
      <c r="N107" s="2">
        <v>45765</v>
      </c>
      <c r="O107" s="72" t="s">
        <v>244</v>
      </c>
      <c r="P107" s="3">
        <v>3</v>
      </c>
      <c r="Q107" s="11">
        <f t="shared" si="1"/>
        <v>106666</v>
      </c>
      <c r="R107" s="8" t="s">
        <v>172</v>
      </c>
      <c r="S107" t="s">
        <v>65</v>
      </c>
      <c r="T107" t="s">
        <v>80</v>
      </c>
      <c r="U107" s="20">
        <f>IFERROR(VLOOKUP(T107,PHVA!$B$2:$C$74,2,0),0)</f>
        <v>0.5</v>
      </c>
      <c r="V107" s="3" t="s">
        <v>248</v>
      </c>
      <c r="W107" s="2">
        <v>45807</v>
      </c>
      <c r="X107" s="3">
        <f>ABS(A107-W107)</f>
        <v>42</v>
      </c>
      <c r="Y107" s="20">
        <f>VLOOKUP(M107,Hoja3!$L$2:$X$26,13,0)</f>
        <v>11</v>
      </c>
      <c r="Z107" s="27" t="s">
        <v>68</v>
      </c>
    </row>
    <row r="108" spans="1:26" ht="14.5" x14ac:dyDescent="0.35">
      <c r="A108" s="2">
        <v>45772</v>
      </c>
      <c r="C108" s="2"/>
      <c r="D108" s="3" t="s">
        <v>70</v>
      </c>
      <c r="E108" s="3" t="s">
        <v>58</v>
      </c>
      <c r="F108" s="3" t="s">
        <v>202</v>
      </c>
      <c r="G108" s="3" t="s">
        <v>242</v>
      </c>
      <c r="H108" s="3" t="s">
        <v>61</v>
      </c>
      <c r="I108" s="3">
        <v>39382394</v>
      </c>
      <c r="J108" s="3" t="s">
        <v>243</v>
      </c>
      <c r="K108" s="3">
        <v>3113247283</v>
      </c>
      <c r="L108" s="3" t="s">
        <v>16</v>
      </c>
      <c r="M108" s="3">
        <v>900167311</v>
      </c>
      <c r="N108" s="2">
        <v>45772</v>
      </c>
      <c r="O108" s="72" t="s">
        <v>244</v>
      </c>
      <c r="P108" s="3">
        <v>3</v>
      </c>
      <c r="Q108" s="11">
        <f t="shared" si="1"/>
        <v>106666</v>
      </c>
      <c r="R108" s="20" t="s">
        <v>88</v>
      </c>
      <c r="S108" t="s">
        <v>65</v>
      </c>
      <c r="T108" t="s">
        <v>66</v>
      </c>
      <c r="U108" s="20">
        <f>IFERROR(VLOOKUP(T108,PHVA!$B$2:$C$74,2,0),0)</f>
        <v>2</v>
      </c>
      <c r="V108" s="3" t="s">
        <v>249</v>
      </c>
      <c r="W108" s="2">
        <v>45807</v>
      </c>
      <c r="X108" s="3">
        <f>ABS(A108-W108)</f>
        <v>35</v>
      </c>
      <c r="Y108" s="20">
        <f>VLOOKUP(M108,Hoja3!$L$2:$X$26,13,0)</f>
        <v>11</v>
      </c>
      <c r="Z108" s="27" t="s">
        <v>68</v>
      </c>
    </row>
    <row r="109" spans="1:26" ht="14.5" x14ac:dyDescent="0.35">
      <c r="A109" s="2">
        <v>45779</v>
      </c>
      <c r="C109" s="2"/>
      <c r="D109" s="3" t="s">
        <v>70</v>
      </c>
      <c r="E109" s="3" t="s">
        <v>58</v>
      </c>
      <c r="F109" s="3" t="s">
        <v>202</v>
      </c>
      <c r="G109" s="3" t="s">
        <v>242</v>
      </c>
      <c r="H109" s="3" t="s">
        <v>61</v>
      </c>
      <c r="I109" s="3">
        <v>39382394</v>
      </c>
      <c r="J109" s="3" t="s">
        <v>243</v>
      </c>
      <c r="K109" s="3">
        <v>3113247283</v>
      </c>
      <c r="L109" s="3" t="s">
        <v>16</v>
      </c>
      <c r="M109" s="3">
        <v>900167311</v>
      </c>
      <c r="N109" s="2">
        <v>45779</v>
      </c>
      <c r="O109" s="72" t="s">
        <v>244</v>
      </c>
      <c r="P109" s="3">
        <v>3</v>
      </c>
      <c r="Q109" s="11">
        <f t="shared" si="1"/>
        <v>106666</v>
      </c>
      <c r="R109" s="20" t="s">
        <v>88</v>
      </c>
      <c r="S109" t="s">
        <v>65</v>
      </c>
      <c r="T109" t="s">
        <v>110</v>
      </c>
      <c r="U109" s="20">
        <f>IFERROR(VLOOKUP(T109,PHVA!$B$2:$C$74,2,0),0)</f>
        <v>2</v>
      </c>
      <c r="V109" s="3" t="s">
        <v>250</v>
      </c>
      <c r="W109" s="2">
        <v>45807</v>
      </c>
      <c r="X109" s="3">
        <f>ABS(A109-W109)</f>
        <v>28</v>
      </c>
      <c r="Y109" s="20">
        <f>VLOOKUP(M109,Hoja3!$L$2:$X$26,13,0)</f>
        <v>11</v>
      </c>
      <c r="Z109" s="27" t="s">
        <v>68</v>
      </c>
    </row>
    <row r="110" spans="1:26" ht="14.5" x14ac:dyDescent="0.35">
      <c r="A110" s="2">
        <v>45786</v>
      </c>
      <c r="C110" s="2"/>
      <c r="D110" s="3" t="s">
        <v>70</v>
      </c>
      <c r="E110" s="3" t="s">
        <v>58</v>
      </c>
      <c r="F110" s="3" t="s">
        <v>202</v>
      </c>
      <c r="G110" s="3" t="s">
        <v>242</v>
      </c>
      <c r="H110" s="3" t="s">
        <v>61</v>
      </c>
      <c r="I110" s="3">
        <v>39382394</v>
      </c>
      <c r="J110" s="3" t="s">
        <v>243</v>
      </c>
      <c r="K110" s="3">
        <v>3113247283</v>
      </c>
      <c r="L110" s="3" t="s">
        <v>16</v>
      </c>
      <c r="M110" s="3">
        <v>900167311</v>
      </c>
      <c r="N110" s="2">
        <v>45786</v>
      </c>
      <c r="O110" s="72" t="s">
        <v>244</v>
      </c>
      <c r="P110" s="3">
        <v>3</v>
      </c>
      <c r="Q110" s="11">
        <f t="shared" si="1"/>
        <v>106666</v>
      </c>
      <c r="R110" s="20" t="s">
        <v>88</v>
      </c>
      <c r="S110" t="s">
        <v>65</v>
      </c>
      <c r="T110" t="s">
        <v>110</v>
      </c>
      <c r="U110" s="20">
        <f>IFERROR(VLOOKUP(T110,PHVA!$B$2:$C$74,2,0),0)</f>
        <v>2</v>
      </c>
      <c r="V110" s="3" t="s">
        <v>251</v>
      </c>
      <c r="W110" s="2">
        <v>45807</v>
      </c>
      <c r="X110" s="3">
        <f>ABS(A110-W110)</f>
        <v>21</v>
      </c>
      <c r="Y110" s="20">
        <f>VLOOKUP(M110,Hoja3!$L$2:$X$26,13,0)</f>
        <v>11</v>
      </c>
      <c r="Z110" s="27" t="s">
        <v>68</v>
      </c>
    </row>
    <row r="111" spans="1:26" ht="14.5" x14ac:dyDescent="0.35">
      <c r="A111" s="2">
        <v>45793</v>
      </c>
      <c r="C111" s="2"/>
      <c r="D111" s="3" t="s">
        <v>70</v>
      </c>
      <c r="E111" s="3" t="s">
        <v>58</v>
      </c>
      <c r="F111" s="3" t="s">
        <v>202</v>
      </c>
      <c r="G111" s="3" t="s">
        <v>242</v>
      </c>
      <c r="H111" s="3" t="s">
        <v>61</v>
      </c>
      <c r="I111" s="3">
        <v>39382394</v>
      </c>
      <c r="J111" s="3" t="s">
        <v>243</v>
      </c>
      <c r="K111" s="3">
        <v>3113247283</v>
      </c>
      <c r="L111" s="3" t="s">
        <v>16</v>
      </c>
      <c r="M111" s="3">
        <v>900167311</v>
      </c>
      <c r="N111" s="2">
        <v>45793</v>
      </c>
      <c r="O111" s="72" t="s">
        <v>244</v>
      </c>
      <c r="P111" s="3">
        <v>3</v>
      </c>
      <c r="Q111" s="11">
        <f t="shared" si="1"/>
        <v>106666</v>
      </c>
      <c r="R111" s="20" t="s">
        <v>88</v>
      </c>
      <c r="S111" t="s">
        <v>65</v>
      </c>
      <c r="T111" t="s">
        <v>76</v>
      </c>
      <c r="U111" s="20">
        <f>IFERROR(VLOOKUP(T111,PHVA!$B$2:$C$74,2,0),0)</f>
        <v>2</v>
      </c>
      <c r="V111" s="3" t="s">
        <v>252</v>
      </c>
      <c r="W111" s="2">
        <v>45807</v>
      </c>
      <c r="X111" s="3">
        <f>ABS(A111-W111)</f>
        <v>14</v>
      </c>
      <c r="Y111" s="20">
        <f>VLOOKUP(M111,Hoja3!$L$2:$X$26,13,0)</f>
        <v>11</v>
      </c>
      <c r="Z111" s="27" t="s">
        <v>68</v>
      </c>
    </row>
    <row r="112" spans="1:26" ht="14.5" x14ac:dyDescent="0.35">
      <c r="A112" s="2">
        <v>45800</v>
      </c>
      <c r="C112" s="2"/>
      <c r="D112" s="3" t="s">
        <v>70</v>
      </c>
      <c r="E112" s="3" t="s">
        <v>58</v>
      </c>
      <c r="F112" s="3" t="s">
        <v>202</v>
      </c>
      <c r="G112" s="3" t="s">
        <v>242</v>
      </c>
      <c r="H112" s="3" t="s">
        <v>61</v>
      </c>
      <c r="I112" s="3">
        <v>39382394</v>
      </c>
      <c r="J112" s="3" t="s">
        <v>243</v>
      </c>
      <c r="K112" s="3">
        <v>3113247283</v>
      </c>
      <c r="L112" s="3" t="s">
        <v>16</v>
      </c>
      <c r="M112" s="3">
        <v>900167311</v>
      </c>
      <c r="N112" s="2">
        <v>45800</v>
      </c>
      <c r="O112" s="72" t="s">
        <v>244</v>
      </c>
      <c r="P112" s="3">
        <v>3</v>
      </c>
      <c r="Q112" s="11">
        <f t="shared" si="1"/>
        <v>106666</v>
      </c>
      <c r="R112" s="20" t="s">
        <v>88</v>
      </c>
      <c r="S112" t="s">
        <v>65</v>
      </c>
      <c r="T112" t="s">
        <v>66</v>
      </c>
      <c r="U112" s="20">
        <f>IFERROR(VLOOKUP(T112,PHVA!$B$2:$C$74,2,0),0)</f>
        <v>2</v>
      </c>
      <c r="V112" s="3" t="s">
        <v>253</v>
      </c>
      <c r="W112" s="2">
        <v>45807</v>
      </c>
      <c r="X112" s="3">
        <f>ABS(A112-W112)</f>
        <v>7</v>
      </c>
      <c r="Y112" s="20">
        <f>VLOOKUP(M112,Hoja3!$L$2:$X$26,13,0)</f>
        <v>11</v>
      </c>
      <c r="Z112" s="27" t="s">
        <v>68</v>
      </c>
    </row>
    <row r="113" spans="1:56" ht="14.5" x14ac:dyDescent="0.35">
      <c r="A113" s="2">
        <v>45814</v>
      </c>
      <c r="C113" s="2"/>
      <c r="D113" s="3" t="s">
        <v>70</v>
      </c>
      <c r="E113" s="3" t="s">
        <v>58</v>
      </c>
      <c r="F113" s="3" t="s">
        <v>202</v>
      </c>
      <c r="G113" s="3" t="s">
        <v>242</v>
      </c>
      <c r="H113" s="3" t="s">
        <v>61</v>
      </c>
      <c r="I113" s="3">
        <v>39382394</v>
      </c>
      <c r="J113" s="3" t="s">
        <v>243</v>
      </c>
      <c r="K113" s="3">
        <v>3113247283</v>
      </c>
      <c r="L113" s="3" t="s">
        <v>16</v>
      </c>
      <c r="M113" s="3">
        <v>900167311</v>
      </c>
      <c r="N113" s="2">
        <v>45814</v>
      </c>
      <c r="O113" s="72" t="s">
        <v>244</v>
      </c>
      <c r="P113" s="3">
        <v>3</v>
      </c>
      <c r="Q113" s="11">
        <f t="shared" si="1"/>
        <v>106666</v>
      </c>
      <c r="R113" s="20" t="s">
        <v>88</v>
      </c>
      <c r="S113" t="s">
        <v>65</v>
      </c>
      <c r="T113" t="s">
        <v>236</v>
      </c>
      <c r="U113" s="20">
        <f>IFERROR(VLOOKUP(T113,PHVA!$B$2:$C$74,2,0),0)</f>
        <v>0.5</v>
      </c>
      <c r="V113" s="3" t="s">
        <v>254</v>
      </c>
      <c r="W113" s="2">
        <v>45807</v>
      </c>
      <c r="X113" s="3">
        <f>ABS(A113-W113)</f>
        <v>7</v>
      </c>
      <c r="Y113" s="20">
        <f>VLOOKUP(M113,Hoja3!$L$2:$X$26,13,0)</f>
        <v>11</v>
      </c>
      <c r="Z113" s="27" t="s">
        <v>68</v>
      </c>
    </row>
    <row r="114" spans="1:56" ht="14.5" x14ac:dyDescent="0.35">
      <c r="A114" s="10">
        <v>45737</v>
      </c>
      <c r="B114" s="16" t="s">
        <v>90</v>
      </c>
      <c r="C114" s="39">
        <v>3</v>
      </c>
      <c r="D114" s="11" t="s">
        <v>70</v>
      </c>
      <c r="E114" s="11" t="s">
        <v>58</v>
      </c>
      <c r="F114" s="11" t="s">
        <v>91</v>
      </c>
      <c r="G114" s="11" t="s">
        <v>255</v>
      </c>
      <c r="H114" s="11" t="s">
        <v>61</v>
      </c>
      <c r="I114" s="11">
        <v>15356506</v>
      </c>
      <c r="J114" s="11" t="s">
        <v>256</v>
      </c>
      <c r="K114" s="11">
        <v>3136468404</v>
      </c>
      <c r="L114" s="11" t="s">
        <v>17</v>
      </c>
      <c r="M114" s="11">
        <v>901636833</v>
      </c>
      <c r="N114" s="10">
        <v>45737</v>
      </c>
      <c r="O114" s="71" t="s">
        <v>257</v>
      </c>
      <c r="P114" s="11">
        <v>1</v>
      </c>
      <c r="Q114" s="11">
        <f t="shared" si="1"/>
        <v>106666</v>
      </c>
      <c r="R114" s="20" t="s">
        <v>88</v>
      </c>
      <c r="S114" s="25" t="s">
        <v>65</v>
      </c>
      <c r="T114" s="25" t="s">
        <v>94</v>
      </c>
      <c r="U114" s="20">
        <f>IFERROR(VLOOKUP(T114,PHVA!$B$2:$C$74,2,0),0)</f>
        <v>1</v>
      </c>
      <c r="V114" s="11" t="s">
        <v>258</v>
      </c>
      <c r="W114" s="10">
        <v>45807</v>
      </c>
      <c r="X114" s="11">
        <f>ABS(A114-W114)</f>
        <v>70</v>
      </c>
      <c r="Y114" s="20">
        <f>VLOOKUP(M114,Hoja3!$L$2:$X$26,13,0)</f>
        <v>5</v>
      </c>
      <c r="Z114" s="27" t="s">
        <v>68</v>
      </c>
    </row>
    <row r="115" spans="1:56" ht="14.5" x14ac:dyDescent="0.35">
      <c r="A115" s="2">
        <v>45747</v>
      </c>
      <c r="C115" s="2"/>
      <c r="D115" s="3" t="s">
        <v>132</v>
      </c>
      <c r="E115" s="3" t="s">
        <v>58</v>
      </c>
      <c r="F115" s="3" t="s">
        <v>91</v>
      </c>
      <c r="G115" s="3" t="s">
        <v>255</v>
      </c>
      <c r="H115" s="3" t="s">
        <v>61</v>
      </c>
      <c r="I115" s="3">
        <v>15356506</v>
      </c>
      <c r="J115" s="3" t="s">
        <v>256</v>
      </c>
      <c r="K115" s="3">
        <v>3136468404</v>
      </c>
      <c r="L115" s="3" t="s">
        <v>17</v>
      </c>
      <c r="M115" s="3">
        <v>901636833</v>
      </c>
      <c r="N115" s="2">
        <v>45747</v>
      </c>
      <c r="O115" s="72" t="s">
        <v>257</v>
      </c>
      <c r="P115" s="3">
        <v>1</v>
      </c>
      <c r="Q115" s="11">
        <f t="shared" si="1"/>
        <v>106666</v>
      </c>
      <c r="R115" s="20" t="s">
        <v>88</v>
      </c>
      <c r="S115" t="s">
        <v>65</v>
      </c>
      <c r="T115" t="s">
        <v>103</v>
      </c>
      <c r="U115" s="20">
        <f>IFERROR(VLOOKUP(T115,PHVA!$B$2:$C$74,2,0),0)</f>
        <v>1</v>
      </c>
      <c r="V115" s="3" t="s">
        <v>259</v>
      </c>
      <c r="W115" s="2">
        <v>45807</v>
      </c>
      <c r="X115" s="3">
        <f>ABS(A115-W115)</f>
        <v>60</v>
      </c>
      <c r="Y115" s="20">
        <f>VLOOKUP(M115,Hoja3!$L$2:$X$26,13,0)</f>
        <v>5</v>
      </c>
      <c r="Z115" s="27" t="s">
        <v>68</v>
      </c>
    </row>
    <row r="116" spans="1:56" ht="14.5" x14ac:dyDescent="0.35">
      <c r="A116" s="2">
        <v>45754</v>
      </c>
      <c r="C116" s="2"/>
      <c r="D116" s="3" t="s">
        <v>132</v>
      </c>
      <c r="E116" s="3" t="s">
        <v>58</v>
      </c>
      <c r="F116" s="3" t="s">
        <v>91</v>
      </c>
      <c r="G116" s="3" t="s">
        <v>255</v>
      </c>
      <c r="H116" s="3" t="s">
        <v>61</v>
      </c>
      <c r="I116" s="3">
        <v>15356506</v>
      </c>
      <c r="J116" s="3" t="s">
        <v>256</v>
      </c>
      <c r="K116" s="3">
        <v>3136468404</v>
      </c>
      <c r="L116" s="3" t="s">
        <v>17</v>
      </c>
      <c r="M116" s="3">
        <v>901636833</v>
      </c>
      <c r="N116" s="2">
        <v>45754</v>
      </c>
      <c r="O116" s="72" t="s">
        <v>257</v>
      </c>
      <c r="P116" s="3">
        <v>1</v>
      </c>
      <c r="Q116" s="11">
        <f t="shared" si="1"/>
        <v>106666</v>
      </c>
      <c r="R116" s="20" t="s">
        <v>88</v>
      </c>
      <c r="S116" t="s">
        <v>65</v>
      </c>
      <c r="T116" t="s">
        <v>66</v>
      </c>
      <c r="U116" s="20">
        <f>IFERROR(VLOOKUP(T116,PHVA!$B$2:$C$74,2,0),0)</f>
        <v>2</v>
      </c>
      <c r="V116" s="3" t="s">
        <v>260</v>
      </c>
      <c r="W116" s="2">
        <v>45807</v>
      </c>
      <c r="X116" s="3">
        <f>ABS(A116-W116)</f>
        <v>53</v>
      </c>
      <c r="Y116" s="20">
        <f>VLOOKUP(M116,Hoja3!$L$2:$X$26,13,0)</f>
        <v>5</v>
      </c>
      <c r="Z116" s="27" t="s">
        <v>68</v>
      </c>
    </row>
    <row r="117" spans="1:56" ht="14.5" x14ac:dyDescent="0.35">
      <c r="A117" s="2">
        <v>45761</v>
      </c>
      <c r="C117" s="2"/>
      <c r="D117" s="3" t="s">
        <v>132</v>
      </c>
      <c r="E117" s="3" t="s">
        <v>58</v>
      </c>
      <c r="F117" s="3" t="s">
        <v>91</v>
      </c>
      <c r="G117" s="3" t="s">
        <v>255</v>
      </c>
      <c r="H117" s="3" t="s">
        <v>61</v>
      </c>
      <c r="I117" s="3">
        <v>15356506</v>
      </c>
      <c r="J117" s="3" t="s">
        <v>256</v>
      </c>
      <c r="K117" s="3">
        <v>3136468404</v>
      </c>
      <c r="L117" s="3" t="s">
        <v>17</v>
      </c>
      <c r="M117" s="3">
        <v>901636833</v>
      </c>
      <c r="N117" s="2">
        <v>45761</v>
      </c>
      <c r="O117" s="72" t="s">
        <v>257</v>
      </c>
      <c r="P117" s="3">
        <v>1</v>
      </c>
      <c r="Q117" s="11">
        <f t="shared" si="1"/>
        <v>106666</v>
      </c>
      <c r="R117" s="20" t="s">
        <v>88</v>
      </c>
      <c r="S117" t="s">
        <v>65</v>
      </c>
      <c r="T117" t="s">
        <v>66</v>
      </c>
      <c r="U117" s="20">
        <f>IFERROR(VLOOKUP(T117,PHVA!$B$2:$C$74,2,0),0)</f>
        <v>2</v>
      </c>
      <c r="V117" s="3" t="s">
        <v>261</v>
      </c>
      <c r="W117" s="2">
        <v>45807</v>
      </c>
      <c r="X117" s="3">
        <f>ABS(A117-W117)</f>
        <v>46</v>
      </c>
      <c r="Y117" s="20">
        <f>VLOOKUP(M117,Hoja3!$L$2:$X$26,13,0)</f>
        <v>5</v>
      </c>
      <c r="Z117" s="27" t="s">
        <v>68</v>
      </c>
    </row>
    <row r="118" spans="1:56" ht="14.5" x14ac:dyDescent="0.35">
      <c r="A118" s="2">
        <v>45769</v>
      </c>
      <c r="C118" s="2"/>
      <c r="D118" s="3" t="s">
        <v>57</v>
      </c>
      <c r="E118" s="3" t="s">
        <v>58</v>
      </c>
      <c r="F118" s="3" t="s">
        <v>59</v>
      </c>
      <c r="G118" s="3" t="s">
        <v>255</v>
      </c>
      <c r="H118" s="3" t="s">
        <v>61</v>
      </c>
      <c r="I118" s="3">
        <v>15356506</v>
      </c>
      <c r="J118" s="3" t="s">
        <v>256</v>
      </c>
      <c r="K118" s="3">
        <v>3136468404</v>
      </c>
      <c r="L118" s="3" t="s">
        <v>17</v>
      </c>
      <c r="M118" s="3">
        <v>901636833</v>
      </c>
      <c r="N118" s="2">
        <v>45769</v>
      </c>
      <c r="O118" s="72" t="s">
        <v>257</v>
      </c>
      <c r="P118" s="3">
        <v>1</v>
      </c>
      <c r="Q118" s="11">
        <f t="shared" si="1"/>
        <v>106666</v>
      </c>
      <c r="R118" s="20" t="s">
        <v>88</v>
      </c>
      <c r="S118" t="s">
        <v>65</v>
      </c>
      <c r="T118" t="s">
        <v>84</v>
      </c>
      <c r="U118" s="20">
        <f>IFERROR(VLOOKUP(T118,PHVA!$B$2:$C$74,2,0),0)</f>
        <v>1</v>
      </c>
      <c r="V118" s="3" t="s">
        <v>262</v>
      </c>
      <c r="W118" s="2">
        <v>45807</v>
      </c>
      <c r="X118" s="3">
        <f>ABS(A118-W118)</f>
        <v>38</v>
      </c>
      <c r="Y118" s="20">
        <f>VLOOKUP(M118,Hoja3!$L$2:$X$26,13,0)</f>
        <v>5</v>
      </c>
      <c r="Z118" s="27" t="s">
        <v>68</v>
      </c>
    </row>
    <row r="119" spans="1:56" s="45" customFormat="1" ht="14.5" x14ac:dyDescent="0.35">
      <c r="A119" s="44">
        <v>45794</v>
      </c>
      <c r="B119" s="44"/>
      <c r="C119" s="44"/>
      <c r="D119" s="45" t="s">
        <v>57</v>
      </c>
      <c r="E119" s="45" t="s">
        <v>58</v>
      </c>
      <c r="F119" s="45" t="s">
        <v>59</v>
      </c>
      <c r="G119" s="45" t="s">
        <v>255</v>
      </c>
      <c r="H119" s="45" t="s">
        <v>61</v>
      </c>
      <c r="I119" s="45">
        <v>15356506</v>
      </c>
      <c r="J119" s="45" t="s">
        <v>256</v>
      </c>
      <c r="K119" s="45">
        <v>3136468404</v>
      </c>
      <c r="L119" s="45" t="s">
        <v>17</v>
      </c>
      <c r="M119" s="45">
        <v>901636833</v>
      </c>
      <c r="N119" s="44">
        <v>45794</v>
      </c>
      <c r="O119" s="73"/>
      <c r="P119" s="45">
        <v>1</v>
      </c>
      <c r="Q119" s="11">
        <f t="shared" si="1"/>
        <v>106666</v>
      </c>
      <c r="R119" s="20" t="s">
        <v>88</v>
      </c>
      <c r="S119" s="46" t="s">
        <v>65</v>
      </c>
      <c r="T119" s="46" t="s">
        <v>263</v>
      </c>
      <c r="U119" s="47">
        <f>IFERROR(VLOOKUP(T119,PHVA!$B$2:$C$74,2,0),0)</f>
        <v>4</v>
      </c>
      <c r="W119" s="44">
        <v>45807</v>
      </c>
      <c r="X119" s="45">
        <f>ABS(A119-W119)</f>
        <v>13</v>
      </c>
      <c r="Y119" s="20">
        <f>VLOOKUP(M119,Hoja3!$L$2:$X$26,13,0)</f>
        <v>5</v>
      </c>
      <c r="Z119" s="48" t="s">
        <v>68</v>
      </c>
      <c r="AA119" s="18"/>
    </row>
    <row r="120" spans="1:56" s="45" customFormat="1" ht="14.5" x14ac:dyDescent="0.35">
      <c r="A120" s="44">
        <v>45776</v>
      </c>
      <c r="B120" s="44"/>
      <c r="C120" s="44"/>
      <c r="D120" s="45" t="s">
        <v>57</v>
      </c>
      <c r="E120" s="45" t="s">
        <v>58</v>
      </c>
      <c r="F120" s="45" t="s">
        <v>59</v>
      </c>
      <c r="G120" s="45" t="s">
        <v>255</v>
      </c>
      <c r="H120" s="45" t="s">
        <v>61</v>
      </c>
      <c r="I120" s="45">
        <v>15356506</v>
      </c>
      <c r="J120" s="45" t="s">
        <v>256</v>
      </c>
      <c r="K120" s="45">
        <v>3136468404</v>
      </c>
      <c r="L120" s="45" t="s">
        <v>17</v>
      </c>
      <c r="M120" s="45">
        <v>901636833</v>
      </c>
      <c r="N120" s="44">
        <v>45773</v>
      </c>
      <c r="O120" s="73"/>
      <c r="P120" s="45">
        <v>1</v>
      </c>
      <c r="Q120" s="11">
        <f t="shared" si="1"/>
        <v>106666</v>
      </c>
      <c r="R120" s="20" t="s">
        <v>88</v>
      </c>
      <c r="S120" s="46" t="s">
        <v>65</v>
      </c>
      <c r="T120" s="46" t="s">
        <v>126</v>
      </c>
      <c r="U120" s="47">
        <f>IFERROR(VLOOKUP(T120,PHVA!$B$2:$C$74,2,0),0)</f>
        <v>4</v>
      </c>
      <c r="W120" s="44">
        <v>45807</v>
      </c>
      <c r="X120" s="45">
        <f>ABS(A120-W120)</f>
        <v>31</v>
      </c>
      <c r="Y120" s="20">
        <f>VLOOKUP(M120,Hoja3!$L$2:$X$26,13,0)</f>
        <v>5</v>
      </c>
      <c r="Z120" s="48" t="s">
        <v>68</v>
      </c>
      <c r="AA120" s="18"/>
    </row>
    <row r="121" spans="1:56" ht="14.5" x14ac:dyDescent="0.35">
      <c r="A121" s="2">
        <v>45776</v>
      </c>
      <c r="C121" s="2"/>
      <c r="D121" s="3" t="s">
        <v>57</v>
      </c>
      <c r="E121" s="3" t="s">
        <v>58</v>
      </c>
      <c r="F121" s="3" t="s">
        <v>59</v>
      </c>
      <c r="G121" s="3" t="s">
        <v>255</v>
      </c>
      <c r="H121" s="3" t="s">
        <v>61</v>
      </c>
      <c r="I121" s="3">
        <v>15356506</v>
      </c>
      <c r="J121" s="3" t="s">
        <v>256</v>
      </c>
      <c r="K121" s="3">
        <v>3136468404</v>
      </c>
      <c r="L121" s="3" t="s">
        <v>17</v>
      </c>
      <c r="M121" s="3">
        <v>901636833</v>
      </c>
      <c r="N121" s="2">
        <v>45776</v>
      </c>
      <c r="O121" s="72" t="s">
        <v>257</v>
      </c>
      <c r="P121" s="3">
        <v>1</v>
      </c>
      <c r="Q121" s="11">
        <f t="shared" si="1"/>
        <v>106666</v>
      </c>
      <c r="R121" s="20" t="s">
        <v>88</v>
      </c>
      <c r="S121" t="s">
        <v>65</v>
      </c>
      <c r="T121" t="s">
        <v>82</v>
      </c>
      <c r="U121" s="20">
        <f>IFERROR(VLOOKUP(T121,PHVA!$B$2:$C$74,2,0),0)</f>
        <v>0.5</v>
      </c>
      <c r="V121" s="3" t="s">
        <v>264</v>
      </c>
      <c r="W121" s="2">
        <v>45807</v>
      </c>
      <c r="X121" s="3">
        <f>ABS(A121-W121)</f>
        <v>31</v>
      </c>
      <c r="Y121" s="20">
        <f>VLOOKUP(M121,Hoja3!$L$2:$X$26,13,0)</f>
        <v>5</v>
      </c>
      <c r="Z121" s="27" t="s">
        <v>68</v>
      </c>
    </row>
    <row r="122" spans="1:56" ht="14.5" x14ac:dyDescent="0.35">
      <c r="A122" s="2">
        <v>45783</v>
      </c>
      <c r="C122" s="2"/>
      <c r="D122" s="3" t="s">
        <v>57</v>
      </c>
      <c r="E122" s="3" t="s">
        <v>58</v>
      </c>
      <c r="F122" s="3" t="s">
        <v>59</v>
      </c>
      <c r="G122" s="3" t="s">
        <v>255</v>
      </c>
      <c r="H122" s="3" t="s">
        <v>61</v>
      </c>
      <c r="I122" s="3">
        <v>15356506</v>
      </c>
      <c r="J122" s="3" t="s">
        <v>256</v>
      </c>
      <c r="K122" s="3">
        <v>3136468404</v>
      </c>
      <c r="L122" s="3" t="s">
        <v>17</v>
      </c>
      <c r="M122" s="3">
        <v>901636833</v>
      </c>
      <c r="N122" s="2">
        <v>45783</v>
      </c>
      <c r="O122" s="72" t="s">
        <v>257</v>
      </c>
      <c r="P122" s="3">
        <v>1</v>
      </c>
      <c r="Q122" s="11">
        <f t="shared" si="1"/>
        <v>106666</v>
      </c>
      <c r="R122" s="20" t="s">
        <v>88</v>
      </c>
      <c r="S122" t="s">
        <v>65</v>
      </c>
      <c r="T122" t="s">
        <v>110</v>
      </c>
      <c r="U122" s="20">
        <f>IFERROR(VLOOKUP(T122,PHVA!$B$2:$C$74,2,0),0)</f>
        <v>2</v>
      </c>
      <c r="V122" s="3" t="s">
        <v>265</v>
      </c>
      <c r="W122" s="2">
        <v>45807</v>
      </c>
      <c r="X122" s="3">
        <f>ABS(A122-W122)</f>
        <v>24</v>
      </c>
      <c r="Y122" s="20">
        <f>VLOOKUP(M122,Hoja3!$L$2:$X$26,13,0)</f>
        <v>5</v>
      </c>
      <c r="Z122" s="27" t="s">
        <v>68</v>
      </c>
    </row>
    <row r="123" spans="1:56" s="11" customFormat="1" ht="14.5" x14ac:dyDescent="0.35">
      <c r="A123" s="2">
        <v>45790</v>
      </c>
      <c r="B123" s="2"/>
      <c r="C123" s="2"/>
      <c r="D123" s="3" t="s">
        <v>57</v>
      </c>
      <c r="E123" s="3" t="s">
        <v>58</v>
      </c>
      <c r="F123" s="3" t="s">
        <v>59</v>
      </c>
      <c r="G123" s="3" t="s">
        <v>255</v>
      </c>
      <c r="H123" s="3" t="s">
        <v>61</v>
      </c>
      <c r="I123" s="3">
        <v>15356506</v>
      </c>
      <c r="J123" s="3" t="s">
        <v>256</v>
      </c>
      <c r="K123" s="3">
        <v>3136468404</v>
      </c>
      <c r="L123" s="3" t="s">
        <v>17</v>
      </c>
      <c r="M123" s="3">
        <v>901636833</v>
      </c>
      <c r="N123" s="2">
        <v>45790</v>
      </c>
      <c r="O123" s="72" t="s">
        <v>257</v>
      </c>
      <c r="P123" s="3">
        <v>1</v>
      </c>
      <c r="Q123" s="11">
        <f t="shared" si="1"/>
        <v>106666</v>
      </c>
      <c r="R123" s="20" t="s">
        <v>88</v>
      </c>
      <c r="S123" t="s">
        <v>65</v>
      </c>
      <c r="T123" t="s">
        <v>123</v>
      </c>
      <c r="U123" s="20">
        <f>IFERROR(VLOOKUP(T123,PHVA!$B$2:$C$74,2,0),0)</f>
        <v>0.5</v>
      </c>
      <c r="V123" s="3" t="s">
        <v>266</v>
      </c>
      <c r="W123" s="2">
        <v>45807</v>
      </c>
      <c r="X123" s="3">
        <f>ABS(A123-W123)</f>
        <v>17</v>
      </c>
      <c r="Y123" s="20">
        <f>VLOOKUP(M123,Hoja3!$L$2:$X$26,13,0)</f>
        <v>5</v>
      </c>
      <c r="Z123" s="27" t="s">
        <v>68</v>
      </c>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row>
    <row r="124" spans="1:56" ht="14.5" x14ac:dyDescent="0.35">
      <c r="A124" s="2">
        <v>45797</v>
      </c>
      <c r="C124" s="2"/>
      <c r="D124" s="3" t="s">
        <v>57</v>
      </c>
      <c r="E124" s="3" t="s">
        <v>58</v>
      </c>
      <c r="F124" s="3" t="s">
        <v>59</v>
      </c>
      <c r="G124" s="3" t="s">
        <v>255</v>
      </c>
      <c r="H124" s="3" t="s">
        <v>61</v>
      </c>
      <c r="I124" s="3">
        <v>15356506</v>
      </c>
      <c r="J124" s="3" t="s">
        <v>256</v>
      </c>
      <c r="K124" s="3">
        <v>3136468404</v>
      </c>
      <c r="L124" s="3" t="s">
        <v>17</v>
      </c>
      <c r="M124" s="3">
        <v>901636833</v>
      </c>
      <c r="N124" s="2">
        <v>45797</v>
      </c>
      <c r="O124" s="72" t="s">
        <v>257</v>
      </c>
      <c r="P124" s="3">
        <v>1</v>
      </c>
      <c r="Q124" s="11">
        <f t="shared" si="1"/>
        <v>106666</v>
      </c>
      <c r="R124" s="20" t="s">
        <v>88</v>
      </c>
      <c r="S124" t="s">
        <v>65</v>
      </c>
      <c r="T124" t="s">
        <v>267</v>
      </c>
      <c r="U124" s="20">
        <f>IFERROR(VLOOKUP(T124,PHVA!$B$2:$C$74,2,0),0)</f>
        <v>1</v>
      </c>
      <c r="V124" s="3" t="s">
        <v>268</v>
      </c>
      <c r="W124" s="2">
        <v>45807</v>
      </c>
      <c r="X124" s="3">
        <f>ABS(A124-W124)</f>
        <v>10</v>
      </c>
      <c r="Y124" s="20">
        <f>VLOOKUP(M124,Hoja3!$L$2:$X$26,13,0)</f>
        <v>5</v>
      </c>
      <c r="Z124" s="27" t="s">
        <v>68</v>
      </c>
    </row>
    <row r="125" spans="1:56" ht="14.5" x14ac:dyDescent="0.35">
      <c r="A125" s="2">
        <v>45804</v>
      </c>
      <c r="C125" s="2"/>
      <c r="D125" s="3" t="s">
        <v>57</v>
      </c>
      <c r="E125" s="3" t="s">
        <v>58</v>
      </c>
      <c r="F125" s="3" t="s">
        <v>59</v>
      </c>
      <c r="G125" s="3" t="s">
        <v>255</v>
      </c>
      <c r="H125" s="3" t="s">
        <v>61</v>
      </c>
      <c r="I125" s="3">
        <v>15356506</v>
      </c>
      <c r="J125" s="3" t="s">
        <v>256</v>
      </c>
      <c r="K125" s="3">
        <v>3136468404</v>
      </c>
      <c r="L125" s="3" t="s">
        <v>17</v>
      </c>
      <c r="M125" s="3">
        <v>901636833</v>
      </c>
      <c r="N125" s="2">
        <v>45804</v>
      </c>
      <c r="O125" s="72" t="s">
        <v>257</v>
      </c>
      <c r="P125" s="3">
        <v>1</v>
      </c>
      <c r="Q125" s="11">
        <f t="shared" si="1"/>
        <v>106666</v>
      </c>
      <c r="R125" s="20" t="s">
        <v>88</v>
      </c>
      <c r="S125" t="s">
        <v>65</v>
      </c>
      <c r="T125" t="s">
        <v>110</v>
      </c>
      <c r="U125" s="20">
        <f>IFERROR(VLOOKUP(T125,PHVA!$B$2:$C$74,2,0),0)</f>
        <v>2</v>
      </c>
      <c r="V125" s="3" t="s">
        <v>269</v>
      </c>
      <c r="W125" s="2">
        <v>45807</v>
      </c>
      <c r="X125" s="3">
        <f>ABS(A125-W125)</f>
        <v>3</v>
      </c>
      <c r="Y125" s="20">
        <f>VLOOKUP(M125,Hoja3!$L$2:$X$26,13,0)</f>
        <v>5</v>
      </c>
      <c r="Z125" s="27" t="s">
        <v>68</v>
      </c>
    </row>
    <row r="126" spans="1:56" ht="14.5" x14ac:dyDescent="0.35">
      <c r="A126" s="2">
        <v>45811</v>
      </c>
      <c r="C126" s="2"/>
      <c r="D126" s="3" t="s">
        <v>57</v>
      </c>
      <c r="E126" s="3" t="s">
        <v>58</v>
      </c>
      <c r="F126" s="3" t="s">
        <v>59</v>
      </c>
      <c r="G126" s="3" t="s">
        <v>255</v>
      </c>
      <c r="H126" s="3" t="s">
        <v>61</v>
      </c>
      <c r="I126" s="3">
        <v>15356506</v>
      </c>
      <c r="J126" s="3" t="s">
        <v>256</v>
      </c>
      <c r="K126" s="3">
        <v>3136468404</v>
      </c>
      <c r="L126" s="3" t="s">
        <v>17</v>
      </c>
      <c r="M126" s="3">
        <v>901636833</v>
      </c>
      <c r="N126" s="2">
        <v>45811</v>
      </c>
      <c r="O126" s="72" t="s">
        <v>257</v>
      </c>
      <c r="P126" s="3">
        <v>1</v>
      </c>
      <c r="Q126" s="11">
        <f t="shared" si="1"/>
        <v>106666</v>
      </c>
      <c r="R126" s="20" t="s">
        <v>88</v>
      </c>
      <c r="S126" t="s">
        <v>65</v>
      </c>
      <c r="T126" t="s">
        <v>130</v>
      </c>
      <c r="U126" s="20">
        <f>IFERROR(VLOOKUP(T126,PHVA!$B$2:$C$74,2,0),0)</f>
        <v>2</v>
      </c>
      <c r="V126" s="3" t="s">
        <v>270</v>
      </c>
      <c r="W126" s="2">
        <v>45807</v>
      </c>
      <c r="X126" s="3">
        <f>ABS(A126-W126)</f>
        <v>4</v>
      </c>
      <c r="Y126" s="20">
        <f>VLOOKUP(M126,Hoja3!$L$2:$X$26,13,0)</f>
        <v>5</v>
      </c>
      <c r="Z126" s="27" t="s">
        <v>68</v>
      </c>
    </row>
    <row r="127" spans="1:56" ht="14.5" x14ac:dyDescent="0.35">
      <c r="A127" s="10">
        <v>45735</v>
      </c>
      <c r="B127" s="16" t="s">
        <v>90</v>
      </c>
      <c r="C127" s="39">
        <v>3</v>
      </c>
      <c r="D127" s="11" t="s">
        <v>271</v>
      </c>
      <c r="E127" s="11" t="s">
        <v>58</v>
      </c>
      <c r="F127" s="11" t="s">
        <v>272</v>
      </c>
      <c r="G127" s="11" t="s">
        <v>273</v>
      </c>
      <c r="H127" s="11" t="s">
        <v>61</v>
      </c>
      <c r="I127" s="11">
        <v>1013654370</v>
      </c>
      <c r="J127" s="11" t="s">
        <v>274</v>
      </c>
      <c r="K127" s="11">
        <v>3105299313</v>
      </c>
      <c r="L127" s="11" t="s">
        <v>18</v>
      </c>
      <c r="M127" s="11">
        <v>1013654370</v>
      </c>
      <c r="N127" s="10">
        <v>45735</v>
      </c>
      <c r="O127" s="71" t="s">
        <v>275</v>
      </c>
      <c r="P127" s="11">
        <v>4</v>
      </c>
      <c r="Q127" s="11">
        <f t="shared" si="1"/>
        <v>213000</v>
      </c>
      <c r="R127" s="20" t="s">
        <v>88</v>
      </c>
      <c r="S127" s="25" t="s">
        <v>65</v>
      </c>
      <c r="T127" s="25" t="s">
        <v>94</v>
      </c>
      <c r="U127" s="20">
        <f>IFERROR(VLOOKUP(T127,PHVA!$B$2:$C$74,2,0),0)</f>
        <v>1</v>
      </c>
      <c r="V127" s="11" t="s">
        <v>276</v>
      </c>
      <c r="W127" s="10">
        <v>45807</v>
      </c>
      <c r="X127" s="11">
        <f>ABS(A127-W127)</f>
        <v>72</v>
      </c>
      <c r="Y127" s="20">
        <f>VLOOKUP(M127,Hoja3!$L$2:$X$26,13,0)</f>
        <v>4</v>
      </c>
      <c r="Z127" s="27" t="s">
        <v>68</v>
      </c>
    </row>
    <row r="128" spans="1:56" ht="14.5" x14ac:dyDescent="0.35">
      <c r="A128" s="2">
        <v>45742</v>
      </c>
      <c r="C128" s="2"/>
      <c r="D128" s="3" t="s">
        <v>277</v>
      </c>
      <c r="E128" s="3" t="s">
        <v>58</v>
      </c>
      <c r="F128" s="3" t="s">
        <v>272</v>
      </c>
      <c r="G128" s="3" t="s">
        <v>273</v>
      </c>
      <c r="H128" s="3" t="s">
        <v>61</v>
      </c>
      <c r="I128" s="3">
        <v>1013654370</v>
      </c>
      <c r="J128" s="3" t="s">
        <v>274</v>
      </c>
      <c r="K128" s="3">
        <v>3105299313</v>
      </c>
      <c r="L128" s="3" t="s">
        <v>18</v>
      </c>
      <c r="M128" s="3">
        <v>1013654370</v>
      </c>
      <c r="N128" s="2">
        <v>45742</v>
      </c>
      <c r="O128" s="72" t="s">
        <v>275</v>
      </c>
      <c r="P128" s="3">
        <v>4</v>
      </c>
      <c r="Q128" s="11">
        <f t="shared" si="1"/>
        <v>213000</v>
      </c>
      <c r="R128" s="8" t="s">
        <v>172</v>
      </c>
      <c r="S128" t="s">
        <v>65</v>
      </c>
      <c r="T128" t="s">
        <v>143</v>
      </c>
      <c r="U128" s="20">
        <f>IFERROR(VLOOKUP(T128,PHVA!$B$2:$C$74,2,0),0)</f>
        <v>0</v>
      </c>
      <c r="V128" s="3" t="s">
        <v>278</v>
      </c>
      <c r="W128" s="2">
        <v>45807</v>
      </c>
      <c r="X128" s="3">
        <f>ABS(A128-W128)</f>
        <v>65</v>
      </c>
      <c r="Y128" s="20">
        <f>VLOOKUP(M128,Hoja3!$L$2:$X$26,13,0)</f>
        <v>4</v>
      </c>
      <c r="Z128" s="27" t="s">
        <v>68</v>
      </c>
    </row>
    <row r="129" spans="1:56" ht="14.5" x14ac:dyDescent="0.35">
      <c r="A129" s="2">
        <v>45755</v>
      </c>
      <c r="C129" s="2"/>
      <c r="D129" s="3" t="s">
        <v>209</v>
      </c>
      <c r="E129" s="3" t="s">
        <v>58</v>
      </c>
      <c r="F129" s="3" t="s">
        <v>59</v>
      </c>
      <c r="G129" s="3" t="s">
        <v>273</v>
      </c>
      <c r="H129" s="3" t="s">
        <v>61</v>
      </c>
      <c r="I129" s="3">
        <v>1013654370</v>
      </c>
      <c r="J129" s="3" t="s">
        <v>274</v>
      </c>
      <c r="K129" s="3">
        <v>3105299313</v>
      </c>
      <c r="L129" s="3" t="s">
        <v>18</v>
      </c>
      <c r="M129" s="3">
        <v>1013654370</v>
      </c>
      <c r="N129" s="2">
        <v>45755</v>
      </c>
      <c r="O129" s="72" t="s">
        <v>279</v>
      </c>
      <c r="P129" s="3">
        <v>4</v>
      </c>
      <c r="Q129" s="11">
        <f t="shared" si="1"/>
        <v>213000</v>
      </c>
      <c r="R129" s="20" t="s">
        <v>88</v>
      </c>
      <c r="S129" t="s">
        <v>65</v>
      </c>
      <c r="T129" t="s">
        <v>130</v>
      </c>
      <c r="U129" s="20">
        <f>IFERROR(VLOOKUP(T129,PHVA!$B$2:$C$74,2,0),0)</f>
        <v>2</v>
      </c>
      <c r="V129" s="3" t="s">
        <v>280</v>
      </c>
      <c r="W129" s="2">
        <v>45807</v>
      </c>
      <c r="X129" s="3">
        <f>ABS(A129-W129)</f>
        <v>52</v>
      </c>
      <c r="Y129" s="20">
        <f>VLOOKUP(M129,Hoja3!$L$2:$X$26,13,0)</f>
        <v>4</v>
      </c>
      <c r="Z129" s="27" t="s">
        <v>68</v>
      </c>
    </row>
    <row r="130" spans="1:56" ht="14.5" x14ac:dyDescent="0.35">
      <c r="A130" s="2">
        <v>45762</v>
      </c>
      <c r="C130" s="2"/>
      <c r="D130" s="3" t="s">
        <v>209</v>
      </c>
      <c r="E130" s="3" t="s">
        <v>58</v>
      </c>
      <c r="F130" s="3" t="s">
        <v>59</v>
      </c>
      <c r="G130" s="3" t="s">
        <v>273</v>
      </c>
      <c r="H130" s="3" t="s">
        <v>61</v>
      </c>
      <c r="I130" s="3">
        <v>1013654370</v>
      </c>
      <c r="J130" s="3" t="s">
        <v>274</v>
      </c>
      <c r="K130" s="3">
        <v>3105299313</v>
      </c>
      <c r="L130" s="3" t="s">
        <v>18</v>
      </c>
      <c r="M130" s="3">
        <v>1013654370</v>
      </c>
      <c r="N130" s="2">
        <v>45762</v>
      </c>
      <c r="O130" s="72" t="s">
        <v>279</v>
      </c>
      <c r="P130" s="3">
        <v>4</v>
      </c>
      <c r="Q130" s="11">
        <f t="shared" si="1"/>
        <v>213000</v>
      </c>
      <c r="R130" s="20" t="s">
        <v>88</v>
      </c>
      <c r="S130" t="s">
        <v>65</v>
      </c>
      <c r="T130" t="s">
        <v>130</v>
      </c>
      <c r="U130" s="20">
        <f>IFERROR(VLOOKUP(T130,PHVA!$B$2:$C$74,2,0),0)</f>
        <v>2</v>
      </c>
      <c r="V130" s="3" t="s">
        <v>281</v>
      </c>
      <c r="W130" s="2">
        <v>45807</v>
      </c>
      <c r="X130" s="3">
        <f>ABS(A130-W130)</f>
        <v>45</v>
      </c>
      <c r="Y130" s="20">
        <f>VLOOKUP(M130,Hoja3!$L$2:$X$26,13,0)</f>
        <v>4</v>
      </c>
      <c r="Z130" s="27" t="s">
        <v>68</v>
      </c>
    </row>
    <row r="131" spans="1:56" ht="14.5" x14ac:dyDescent="0.35">
      <c r="A131" s="2">
        <v>45769</v>
      </c>
      <c r="C131" s="2"/>
      <c r="D131" s="3" t="s">
        <v>209</v>
      </c>
      <c r="E131" s="3" t="s">
        <v>58</v>
      </c>
      <c r="F131" s="3" t="s">
        <v>59</v>
      </c>
      <c r="G131" s="3" t="s">
        <v>273</v>
      </c>
      <c r="H131" s="3" t="s">
        <v>61</v>
      </c>
      <c r="I131" s="3">
        <v>1013654370</v>
      </c>
      <c r="J131" s="3" t="s">
        <v>274</v>
      </c>
      <c r="K131" s="3" t="s">
        <v>282</v>
      </c>
      <c r="L131" s="3" t="s">
        <v>18</v>
      </c>
      <c r="M131" s="3">
        <v>1013654370</v>
      </c>
      <c r="N131" s="2">
        <v>45814</v>
      </c>
      <c r="O131" s="72" t="s">
        <v>279</v>
      </c>
      <c r="P131" s="3">
        <v>4</v>
      </c>
      <c r="Q131" s="11">
        <f t="shared" ref="Q131:Q194" si="2">IF(OR(P131=1,P131=2,P131=3),106666,IF(OR(P131=4,P131=5),213000,""))</f>
        <v>213000</v>
      </c>
      <c r="R131" s="20" t="s">
        <v>88</v>
      </c>
      <c r="S131" t="s">
        <v>65</v>
      </c>
      <c r="T131" t="s">
        <v>130</v>
      </c>
      <c r="U131" s="20">
        <f>IFERROR(VLOOKUP(T131,PHVA!$B$2:$C$74,2,0),0)</f>
        <v>2</v>
      </c>
      <c r="V131" s="3" t="s">
        <v>283</v>
      </c>
      <c r="W131" s="2">
        <v>45807</v>
      </c>
      <c r="X131" s="3">
        <f>ABS(A131-W131)</f>
        <v>38</v>
      </c>
      <c r="Y131" s="20">
        <f>VLOOKUP(M131,Hoja3!$L$2:$X$26,13,0)</f>
        <v>4</v>
      </c>
      <c r="Z131" s="27" t="s">
        <v>68</v>
      </c>
    </row>
    <row r="132" spans="1:56" ht="14.5" x14ac:dyDescent="0.35">
      <c r="A132" s="2">
        <v>45776</v>
      </c>
      <c r="C132" s="2"/>
      <c r="D132" s="3" t="s">
        <v>209</v>
      </c>
      <c r="E132" s="3" t="s">
        <v>58</v>
      </c>
      <c r="F132" s="3" t="s">
        <v>59</v>
      </c>
      <c r="G132" s="3" t="s">
        <v>273</v>
      </c>
      <c r="H132" s="3" t="s">
        <v>61</v>
      </c>
      <c r="I132" s="3">
        <v>1013654370</v>
      </c>
      <c r="J132" s="3" t="s">
        <v>274</v>
      </c>
      <c r="K132" s="3">
        <v>3105299313</v>
      </c>
      <c r="L132" s="3" t="s">
        <v>18</v>
      </c>
      <c r="M132" s="3">
        <v>1013654370</v>
      </c>
      <c r="N132" s="2">
        <v>45769</v>
      </c>
      <c r="O132" s="72" t="s">
        <v>279</v>
      </c>
      <c r="P132" s="3">
        <v>4</v>
      </c>
      <c r="Q132" s="11">
        <f t="shared" si="2"/>
        <v>213000</v>
      </c>
      <c r="R132" s="20" t="s">
        <v>88</v>
      </c>
      <c r="S132" t="s">
        <v>65</v>
      </c>
      <c r="T132" t="s">
        <v>66</v>
      </c>
      <c r="U132" s="20">
        <f>IFERROR(VLOOKUP(T132,PHVA!$B$2:$C$74,2,0),0)</f>
        <v>2</v>
      </c>
      <c r="V132" s="3" t="s">
        <v>284</v>
      </c>
      <c r="W132" s="2">
        <v>45807</v>
      </c>
      <c r="X132" s="3">
        <f>ABS(A132-W132)</f>
        <v>31</v>
      </c>
      <c r="Y132" s="20">
        <f>VLOOKUP(M132,Hoja3!$L$2:$X$26,13,0)</f>
        <v>4</v>
      </c>
      <c r="Z132" s="27" t="s">
        <v>68</v>
      </c>
    </row>
    <row r="133" spans="1:56" ht="14.5" x14ac:dyDescent="0.35">
      <c r="A133" s="2">
        <v>45783</v>
      </c>
      <c r="C133" s="2"/>
      <c r="D133" s="3" t="s">
        <v>209</v>
      </c>
      <c r="E133" s="3" t="s">
        <v>58</v>
      </c>
      <c r="F133" s="3" t="s">
        <v>59</v>
      </c>
      <c r="G133" s="3" t="s">
        <v>273</v>
      </c>
      <c r="H133" s="3" t="s">
        <v>61</v>
      </c>
      <c r="I133" s="3">
        <v>1013654370</v>
      </c>
      <c r="J133" s="3" t="s">
        <v>274</v>
      </c>
      <c r="K133" s="3">
        <v>3105299313</v>
      </c>
      <c r="L133" s="3" t="s">
        <v>18</v>
      </c>
      <c r="M133" s="3">
        <v>1013654370</v>
      </c>
      <c r="N133" s="2">
        <v>45776</v>
      </c>
      <c r="O133" s="72" t="s">
        <v>279</v>
      </c>
      <c r="P133" s="3">
        <v>4</v>
      </c>
      <c r="Q133" s="11">
        <f t="shared" si="2"/>
        <v>213000</v>
      </c>
      <c r="R133" s="20" t="s">
        <v>88</v>
      </c>
      <c r="S133" t="s">
        <v>65</v>
      </c>
      <c r="T133" t="s">
        <v>66</v>
      </c>
      <c r="U133" s="20">
        <f>IFERROR(VLOOKUP(T133,PHVA!$B$2:$C$74,2,0),0)</f>
        <v>2</v>
      </c>
      <c r="V133" s="3" t="s">
        <v>285</v>
      </c>
      <c r="W133" s="2">
        <v>45807</v>
      </c>
      <c r="X133" s="3">
        <f>ABS(A133-W133)</f>
        <v>24</v>
      </c>
      <c r="Y133" s="20">
        <f>VLOOKUP(M133,Hoja3!$L$2:$X$26,13,0)</f>
        <v>4</v>
      </c>
      <c r="Z133" s="27" t="s">
        <v>68</v>
      </c>
    </row>
    <row r="134" spans="1:56" ht="14.5" x14ac:dyDescent="0.35">
      <c r="A134" s="2">
        <v>45790</v>
      </c>
      <c r="C134" s="2"/>
      <c r="D134" s="3" t="s">
        <v>209</v>
      </c>
      <c r="E134" s="3" t="s">
        <v>58</v>
      </c>
      <c r="F134" s="3" t="s">
        <v>59</v>
      </c>
      <c r="G134" s="3" t="s">
        <v>273</v>
      </c>
      <c r="H134" s="3" t="s">
        <v>61</v>
      </c>
      <c r="I134" s="3">
        <v>1013654370</v>
      </c>
      <c r="J134" s="3" t="s">
        <v>274</v>
      </c>
      <c r="K134" s="3">
        <v>3105299313</v>
      </c>
      <c r="L134" s="3" t="s">
        <v>18</v>
      </c>
      <c r="M134" s="3">
        <v>1013654370</v>
      </c>
      <c r="N134" s="2">
        <v>45783</v>
      </c>
      <c r="O134" s="72" t="s">
        <v>279</v>
      </c>
      <c r="P134" s="3">
        <v>4</v>
      </c>
      <c r="Q134" s="11">
        <f t="shared" si="2"/>
        <v>213000</v>
      </c>
      <c r="R134" s="20" t="s">
        <v>88</v>
      </c>
      <c r="S134" t="s">
        <v>65</v>
      </c>
      <c r="T134" t="s">
        <v>76</v>
      </c>
      <c r="U134" s="20">
        <f>IFERROR(VLOOKUP(T134,PHVA!$B$2:$C$74,2,0),0)</f>
        <v>2</v>
      </c>
      <c r="V134" s="3" t="s">
        <v>286</v>
      </c>
      <c r="W134" s="2">
        <v>45807</v>
      </c>
      <c r="X134" s="3">
        <f>ABS(A134-W134)</f>
        <v>17</v>
      </c>
      <c r="Y134" s="20">
        <f>VLOOKUP(M134,Hoja3!$L$2:$X$26,13,0)</f>
        <v>4</v>
      </c>
      <c r="Z134" s="27" t="s">
        <v>68</v>
      </c>
    </row>
    <row r="135" spans="1:56" ht="14.5" x14ac:dyDescent="0.35">
      <c r="A135" s="2">
        <v>45797</v>
      </c>
      <c r="C135" s="2"/>
      <c r="D135" s="3" t="s">
        <v>209</v>
      </c>
      <c r="E135" s="3" t="s">
        <v>58</v>
      </c>
      <c r="F135" s="3" t="s">
        <v>59</v>
      </c>
      <c r="G135" s="3" t="s">
        <v>273</v>
      </c>
      <c r="H135" s="3" t="s">
        <v>61</v>
      </c>
      <c r="I135" s="3">
        <v>1013654370</v>
      </c>
      <c r="J135" s="3" t="s">
        <v>274</v>
      </c>
      <c r="K135" s="3">
        <v>3105299313</v>
      </c>
      <c r="L135" s="3" t="s">
        <v>18</v>
      </c>
      <c r="M135" s="3">
        <v>1013654370</v>
      </c>
      <c r="N135" s="2">
        <v>45790</v>
      </c>
      <c r="O135" s="72" t="s">
        <v>279</v>
      </c>
      <c r="P135" s="3">
        <v>4</v>
      </c>
      <c r="Q135" s="11">
        <f t="shared" si="2"/>
        <v>213000</v>
      </c>
      <c r="R135" s="8" t="s">
        <v>459</v>
      </c>
      <c r="S135" t="s">
        <v>65</v>
      </c>
      <c r="T135" t="s">
        <v>143</v>
      </c>
      <c r="U135" s="20">
        <f>IFERROR(VLOOKUP(T135,PHVA!$B$2:$C$74,2,0),0)</f>
        <v>0</v>
      </c>
      <c r="V135" s="3" t="s">
        <v>287</v>
      </c>
      <c r="W135" s="2">
        <v>45807</v>
      </c>
      <c r="X135" s="3">
        <f>ABS(A135-W135)</f>
        <v>10</v>
      </c>
      <c r="Y135" s="20">
        <f>VLOOKUP(M135,Hoja3!$L$2:$X$26,13,0)</f>
        <v>4</v>
      </c>
      <c r="Z135" s="27" t="s">
        <v>68</v>
      </c>
    </row>
    <row r="136" spans="1:56" ht="14.5" x14ac:dyDescent="0.35">
      <c r="A136" s="2">
        <v>45804</v>
      </c>
      <c r="C136" s="2"/>
      <c r="D136" s="3" t="s">
        <v>57</v>
      </c>
      <c r="E136" s="3" t="s">
        <v>58</v>
      </c>
      <c r="F136" s="3" t="s">
        <v>59</v>
      </c>
      <c r="G136" s="3" t="s">
        <v>273</v>
      </c>
      <c r="H136" s="3" t="s">
        <v>61</v>
      </c>
      <c r="I136" s="3">
        <v>1013654370</v>
      </c>
      <c r="J136" s="3" t="s">
        <v>274</v>
      </c>
      <c r="K136" s="3">
        <v>3105299313</v>
      </c>
      <c r="L136" s="3" t="s">
        <v>18</v>
      </c>
      <c r="M136" s="3">
        <v>1013654370</v>
      </c>
      <c r="N136" s="2">
        <v>45797</v>
      </c>
      <c r="O136" s="72" t="s">
        <v>279</v>
      </c>
      <c r="P136" s="3">
        <v>4</v>
      </c>
      <c r="Q136" s="11">
        <f t="shared" si="2"/>
        <v>213000</v>
      </c>
      <c r="R136" s="8" t="s">
        <v>459</v>
      </c>
      <c r="S136" t="s">
        <v>65</v>
      </c>
      <c r="T136" t="s">
        <v>143</v>
      </c>
      <c r="U136" s="20">
        <f>IFERROR(VLOOKUP(T136,PHVA!$B$2:$C$74,2,0),0)</f>
        <v>0</v>
      </c>
      <c r="V136" s="3" t="s">
        <v>288</v>
      </c>
      <c r="W136" s="2">
        <v>45807</v>
      </c>
      <c r="X136" s="3">
        <f>ABS(A136-W136)</f>
        <v>3</v>
      </c>
      <c r="Y136" s="20">
        <f>VLOOKUP(M136,Hoja3!$L$2:$X$26,13,0)</f>
        <v>4</v>
      </c>
      <c r="Z136" s="27" t="s">
        <v>68</v>
      </c>
    </row>
    <row r="137" spans="1:56" ht="14.5" x14ac:dyDescent="0.35">
      <c r="A137" s="2">
        <v>45811</v>
      </c>
      <c r="C137" s="2"/>
      <c r="D137" s="3" t="s">
        <v>209</v>
      </c>
      <c r="E137" s="3" t="s">
        <v>58</v>
      </c>
      <c r="F137" s="3" t="s">
        <v>59</v>
      </c>
      <c r="G137" s="3" t="s">
        <v>273</v>
      </c>
      <c r="H137" s="3" t="s">
        <v>61</v>
      </c>
      <c r="I137" s="3">
        <v>1013654370</v>
      </c>
      <c r="J137" s="3" t="s">
        <v>274</v>
      </c>
      <c r="K137" s="3">
        <v>3105299313</v>
      </c>
      <c r="L137" s="3" t="s">
        <v>18</v>
      </c>
      <c r="M137" s="3">
        <v>1013654370</v>
      </c>
      <c r="N137" s="2">
        <v>45804</v>
      </c>
      <c r="O137" s="72" t="s">
        <v>279</v>
      </c>
      <c r="P137" s="3">
        <v>4</v>
      </c>
      <c r="Q137" s="11">
        <f t="shared" si="2"/>
        <v>213000</v>
      </c>
      <c r="R137" s="20" t="s">
        <v>88</v>
      </c>
      <c r="S137" t="s">
        <v>65</v>
      </c>
      <c r="T137" t="s">
        <v>110</v>
      </c>
      <c r="U137" s="20">
        <f>IFERROR(VLOOKUP(T137,PHVA!$B$2:$C$74,2,0),0)</f>
        <v>2</v>
      </c>
      <c r="V137" s="3" t="s">
        <v>289</v>
      </c>
      <c r="W137" s="2">
        <v>45807</v>
      </c>
      <c r="X137" s="3">
        <f>ABS(A137-W137)</f>
        <v>4</v>
      </c>
      <c r="Y137" s="20">
        <f>VLOOKUP(M137,Hoja3!$L$2:$X$26,13,0)</f>
        <v>4</v>
      </c>
      <c r="Z137" s="27" t="s">
        <v>68</v>
      </c>
    </row>
    <row r="138" spans="1:56" ht="14.5" x14ac:dyDescent="0.35">
      <c r="A138" s="10">
        <v>45717</v>
      </c>
      <c r="B138" s="16" t="s">
        <v>90</v>
      </c>
      <c r="C138" s="39">
        <v>3</v>
      </c>
      <c r="D138" s="11" t="s">
        <v>102</v>
      </c>
      <c r="E138" s="11" t="s">
        <v>58</v>
      </c>
      <c r="F138" s="11" t="s">
        <v>59</v>
      </c>
      <c r="G138" s="11" t="s">
        <v>290</v>
      </c>
      <c r="H138" s="11" t="s">
        <v>61</v>
      </c>
      <c r="I138" s="11">
        <v>43862379</v>
      </c>
      <c r="J138" s="11" t="s">
        <v>291</v>
      </c>
      <c r="K138" s="11">
        <v>3147571005</v>
      </c>
      <c r="L138" s="11" t="s">
        <v>19</v>
      </c>
      <c r="M138" s="11">
        <v>43862379</v>
      </c>
      <c r="N138" s="10">
        <v>45785</v>
      </c>
      <c r="O138" s="71"/>
      <c r="P138" s="11">
        <v>1</v>
      </c>
      <c r="Q138" s="11">
        <f t="shared" si="2"/>
        <v>106666</v>
      </c>
      <c r="R138" s="20" t="s">
        <v>88</v>
      </c>
      <c r="S138" s="25" t="s">
        <v>65</v>
      </c>
      <c r="T138" s="25" t="s">
        <v>82</v>
      </c>
      <c r="U138" s="20">
        <f>IFERROR(VLOOKUP(T138,PHVA!$B$2:$C$74,2,0),0)</f>
        <v>0.5</v>
      </c>
      <c r="V138" s="11" t="s">
        <v>292</v>
      </c>
      <c r="W138" s="10">
        <v>45807</v>
      </c>
      <c r="X138" s="11">
        <f>ABS(A138-W138)</f>
        <v>90</v>
      </c>
      <c r="Y138" s="20">
        <f>VLOOKUP(M138,Hoja3!$L$2:$X$26,13,0)</f>
        <v>2</v>
      </c>
      <c r="Z138" s="27" t="s">
        <v>68</v>
      </c>
    </row>
    <row r="139" spans="1:56" ht="14.5" x14ac:dyDescent="0.35">
      <c r="A139" s="2">
        <v>45771</v>
      </c>
      <c r="C139" s="2"/>
      <c r="D139" s="3" t="s">
        <v>102</v>
      </c>
      <c r="E139" s="3" t="s">
        <v>58</v>
      </c>
      <c r="F139" s="3" t="s">
        <v>59</v>
      </c>
      <c r="G139" s="3" t="s">
        <v>290</v>
      </c>
      <c r="H139" s="3" t="s">
        <v>61</v>
      </c>
      <c r="I139" s="3">
        <v>43862379</v>
      </c>
      <c r="J139" s="3" t="s">
        <v>291</v>
      </c>
      <c r="K139" s="3">
        <v>3147571005</v>
      </c>
      <c r="L139" s="3" t="s">
        <v>19</v>
      </c>
      <c r="M139" s="3">
        <v>43862379</v>
      </c>
      <c r="N139" s="2">
        <v>45776</v>
      </c>
      <c r="P139" s="3">
        <v>1</v>
      </c>
      <c r="Q139" s="11">
        <f t="shared" si="2"/>
        <v>106666</v>
      </c>
      <c r="R139" s="20" t="s">
        <v>88</v>
      </c>
      <c r="S139" t="s">
        <v>65</v>
      </c>
      <c r="T139" t="s">
        <v>103</v>
      </c>
      <c r="U139" s="20">
        <f>IFERROR(VLOOKUP(T139,PHVA!$B$2:$C$74,2,0),0)</f>
        <v>1</v>
      </c>
      <c r="V139" s="3" t="s">
        <v>293</v>
      </c>
      <c r="W139" s="2">
        <v>45807</v>
      </c>
      <c r="X139" s="3">
        <f>ABS(A139-W139)</f>
        <v>36</v>
      </c>
      <c r="Y139" s="20">
        <f>VLOOKUP(M139,Hoja3!$L$2:$X$26,13,0)</f>
        <v>2</v>
      </c>
      <c r="Z139" s="27" t="s">
        <v>68</v>
      </c>
    </row>
    <row r="140" spans="1:56" ht="14.5" x14ac:dyDescent="0.35">
      <c r="A140" s="2">
        <v>45724</v>
      </c>
      <c r="C140" s="2"/>
      <c r="D140" s="3" t="s">
        <v>102</v>
      </c>
      <c r="E140" s="3" t="s">
        <v>58</v>
      </c>
      <c r="F140" s="3" t="s">
        <v>59</v>
      </c>
      <c r="G140" s="3" t="s">
        <v>290</v>
      </c>
      <c r="H140" s="3" t="s">
        <v>61</v>
      </c>
      <c r="I140" s="3">
        <v>43862379</v>
      </c>
      <c r="J140" s="3" t="s">
        <v>291</v>
      </c>
      <c r="K140" s="3">
        <v>3147571005</v>
      </c>
      <c r="L140" s="3" t="s">
        <v>19</v>
      </c>
      <c r="M140" s="3">
        <v>43862379</v>
      </c>
      <c r="N140" s="2">
        <v>45792</v>
      </c>
      <c r="P140" s="3">
        <v>1</v>
      </c>
      <c r="Q140" s="11">
        <f t="shared" si="2"/>
        <v>106666</v>
      </c>
      <c r="R140" s="8" t="s">
        <v>172</v>
      </c>
      <c r="S140" t="s">
        <v>65</v>
      </c>
      <c r="T140" t="s">
        <v>143</v>
      </c>
      <c r="U140" s="20">
        <f>IFERROR(VLOOKUP(T140,PHVA!$B$2:$C$74,2,0),0)</f>
        <v>0</v>
      </c>
      <c r="V140" s="3" t="s">
        <v>294</v>
      </c>
      <c r="W140" s="2">
        <v>45807</v>
      </c>
      <c r="X140" s="3">
        <f>ABS(A140-W140)</f>
        <v>83</v>
      </c>
      <c r="Y140" s="20">
        <f>VLOOKUP(M140,Hoja3!$L$2:$X$26,13,0)</f>
        <v>2</v>
      </c>
      <c r="Z140" s="27" t="s">
        <v>68</v>
      </c>
    </row>
    <row r="141" spans="1:56" ht="14.5" x14ac:dyDescent="0.35">
      <c r="A141" s="2">
        <v>45731</v>
      </c>
      <c r="C141" s="2"/>
      <c r="D141" s="3" t="s">
        <v>102</v>
      </c>
      <c r="E141" s="3" t="s">
        <v>58</v>
      </c>
      <c r="F141" s="3" t="s">
        <v>59</v>
      </c>
      <c r="G141" s="3" t="s">
        <v>290</v>
      </c>
      <c r="H141" s="3" t="s">
        <v>61</v>
      </c>
      <c r="I141" s="3">
        <v>43862379</v>
      </c>
      <c r="J141" s="3" t="s">
        <v>291</v>
      </c>
      <c r="K141" s="3">
        <v>3147571005</v>
      </c>
      <c r="L141" s="3" t="s">
        <v>19</v>
      </c>
      <c r="M141" s="3">
        <v>43862379</v>
      </c>
      <c r="N141" s="2">
        <v>45799</v>
      </c>
      <c r="P141" s="3">
        <v>1</v>
      </c>
      <c r="Q141" s="11">
        <f t="shared" si="2"/>
        <v>106666</v>
      </c>
      <c r="R141" s="20" t="s">
        <v>88</v>
      </c>
      <c r="S141" t="s">
        <v>65</v>
      </c>
      <c r="T141" t="s">
        <v>66</v>
      </c>
      <c r="U141" s="20">
        <f>IFERROR(VLOOKUP(T141,PHVA!$B$2:$C$74,2,0),0)</f>
        <v>2</v>
      </c>
      <c r="V141" s="3" t="s">
        <v>295</v>
      </c>
      <c r="W141" s="2">
        <v>45807</v>
      </c>
      <c r="X141" s="3">
        <f>ABS(A141-W141)</f>
        <v>76</v>
      </c>
      <c r="Y141" s="20">
        <f>VLOOKUP(M141,Hoja3!$L$2:$X$26,13,0)</f>
        <v>2</v>
      </c>
      <c r="Z141" s="27" t="s">
        <v>68</v>
      </c>
    </row>
    <row r="142" spans="1:56" ht="14.5" x14ac:dyDescent="0.35">
      <c r="A142" s="2">
        <v>45738</v>
      </c>
      <c r="C142" s="2"/>
      <c r="D142" s="3" t="s">
        <v>102</v>
      </c>
      <c r="E142" s="3" t="s">
        <v>58</v>
      </c>
      <c r="F142" s="3" t="s">
        <v>59</v>
      </c>
      <c r="G142" s="3" t="s">
        <v>290</v>
      </c>
      <c r="H142" s="3" t="s">
        <v>61</v>
      </c>
      <c r="I142" s="3">
        <v>43862379</v>
      </c>
      <c r="J142" s="3" t="s">
        <v>291</v>
      </c>
      <c r="K142" s="3">
        <v>3147571005</v>
      </c>
      <c r="L142" s="3" t="s">
        <v>19</v>
      </c>
      <c r="M142" s="3">
        <v>43862379</v>
      </c>
      <c r="N142" s="2">
        <v>45806</v>
      </c>
      <c r="P142" s="3">
        <v>1</v>
      </c>
      <c r="Q142" s="11">
        <f t="shared" si="2"/>
        <v>106666</v>
      </c>
      <c r="R142" s="8" t="s">
        <v>172</v>
      </c>
      <c r="S142" t="s">
        <v>65</v>
      </c>
      <c r="T142" t="s">
        <v>143</v>
      </c>
      <c r="U142" s="20">
        <f>IFERROR(VLOOKUP(T142,PHVA!$B$2:$C$74,2,0),0)</f>
        <v>0</v>
      </c>
      <c r="V142" s="3" t="s">
        <v>296</v>
      </c>
      <c r="W142" s="2">
        <v>45807</v>
      </c>
      <c r="X142" s="3">
        <f>ABS(A142-W142)</f>
        <v>69</v>
      </c>
      <c r="Y142" s="20">
        <f>VLOOKUP(M142,Hoja3!$L$2:$X$26,13,0)</f>
        <v>2</v>
      </c>
      <c r="Z142" s="27" t="s">
        <v>68</v>
      </c>
    </row>
    <row r="143" spans="1:56" s="11" customFormat="1" ht="14.5" x14ac:dyDescent="0.35">
      <c r="A143" s="2">
        <v>45745</v>
      </c>
      <c r="B143" s="2"/>
      <c r="C143" s="2"/>
      <c r="D143" s="3" t="s">
        <v>102</v>
      </c>
      <c r="E143" s="3" t="s">
        <v>58</v>
      </c>
      <c r="F143" s="3" t="s">
        <v>59</v>
      </c>
      <c r="G143" s="3" t="s">
        <v>290</v>
      </c>
      <c r="H143" s="3" t="s">
        <v>61</v>
      </c>
      <c r="I143" s="3">
        <v>43862379</v>
      </c>
      <c r="J143" s="3" t="s">
        <v>291</v>
      </c>
      <c r="K143" s="3">
        <v>3147571005</v>
      </c>
      <c r="L143" s="3" t="s">
        <v>19</v>
      </c>
      <c r="M143" s="3">
        <v>43862379</v>
      </c>
      <c r="N143" s="2">
        <v>45813</v>
      </c>
      <c r="O143" s="72"/>
      <c r="P143" s="3">
        <v>1</v>
      </c>
      <c r="Q143" s="11">
        <f t="shared" si="2"/>
        <v>106666</v>
      </c>
      <c r="R143" s="8" t="s">
        <v>172</v>
      </c>
      <c r="S143" t="s">
        <v>65</v>
      </c>
      <c r="T143" t="s">
        <v>143</v>
      </c>
      <c r="U143" s="20">
        <f>IFERROR(VLOOKUP(T143,PHVA!$B$2:$C$74,2,0),0)</f>
        <v>0</v>
      </c>
      <c r="V143" s="3" t="s">
        <v>297</v>
      </c>
      <c r="W143" s="2">
        <v>45807</v>
      </c>
      <c r="X143" s="3">
        <f>ABS(A143-W143)</f>
        <v>62</v>
      </c>
      <c r="Y143" s="20">
        <f>VLOOKUP(M143,Hoja3!$L$2:$X$26,13,0)</f>
        <v>2</v>
      </c>
      <c r="Z143" s="27" t="s">
        <v>68</v>
      </c>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row>
    <row r="144" spans="1:56" ht="14.5" x14ac:dyDescent="0.35">
      <c r="A144" s="10">
        <v>45751</v>
      </c>
      <c r="B144" s="10" t="s">
        <v>69</v>
      </c>
      <c r="C144" s="40">
        <v>2</v>
      </c>
      <c r="D144" s="11" t="s">
        <v>70</v>
      </c>
      <c r="E144" s="11" t="s">
        <v>58</v>
      </c>
      <c r="F144" s="11" t="s">
        <v>71</v>
      </c>
      <c r="G144" s="11" t="s">
        <v>298</v>
      </c>
      <c r="H144" s="11" t="s">
        <v>61</v>
      </c>
      <c r="I144" s="11">
        <v>79291337</v>
      </c>
      <c r="J144" s="11" t="s">
        <v>299</v>
      </c>
      <c r="K144" s="11">
        <v>3104387811</v>
      </c>
      <c r="L144" s="11" t="s">
        <v>20</v>
      </c>
      <c r="M144" s="11">
        <v>901039724</v>
      </c>
      <c r="N144" s="10">
        <v>45751</v>
      </c>
      <c r="O144" s="71" t="s">
        <v>300</v>
      </c>
      <c r="P144" s="11">
        <v>2</v>
      </c>
      <c r="Q144" s="11">
        <f t="shared" si="2"/>
        <v>106666</v>
      </c>
      <c r="R144" s="20" t="s">
        <v>88</v>
      </c>
      <c r="S144" s="25" t="s">
        <v>65</v>
      </c>
      <c r="T144" s="25" t="s">
        <v>94</v>
      </c>
      <c r="U144" s="20">
        <f>IFERROR(VLOOKUP(T144,PHVA!$B$2:$C$74,2,0),0)</f>
        <v>1</v>
      </c>
      <c r="V144" s="11" t="s">
        <v>116</v>
      </c>
      <c r="W144" s="10">
        <v>45807</v>
      </c>
      <c r="X144" s="11">
        <f>ABS(A144-W144)</f>
        <v>56</v>
      </c>
      <c r="Y144" s="20">
        <f>VLOOKUP(M144,Hoja3!$L$2:$X$26,13,0)</f>
        <v>6</v>
      </c>
      <c r="Z144" s="27" t="s">
        <v>68</v>
      </c>
    </row>
    <row r="145" spans="1:56" ht="14.5" x14ac:dyDescent="0.35">
      <c r="A145" s="2">
        <v>45758</v>
      </c>
      <c r="C145" s="2"/>
      <c r="D145" s="3" t="s">
        <v>70</v>
      </c>
      <c r="E145" s="3" t="s">
        <v>58</v>
      </c>
      <c r="F145" s="3" t="s">
        <v>71</v>
      </c>
      <c r="G145" s="3" t="s">
        <v>298</v>
      </c>
      <c r="H145" s="3" t="s">
        <v>61</v>
      </c>
      <c r="I145" s="3">
        <v>79291337</v>
      </c>
      <c r="J145" s="3" t="s">
        <v>299</v>
      </c>
      <c r="K145" s="3">
        <v>3104387811</v>
      </c>
      <c r="L145" s="3" t="s">
        <v>20</v>
      </c>
      <c r="M145" s="3">
        <v>901039724</v>
      </c>
      <c r="N145" s="2">
        <v>45758</v>
      </c>
      <c r="O145" s="72" t="s">
        <v>300</v>
      </c>
      <c r="P145" s="3">
        <v>2</v>
      </c>
      <c r="Q145" s="11">
        <f t="shared" si="2"/>
        <v>106666</v>
      </c>
      <c r="R145" s="20" t="s">
        <v>88</v>
      </c>
      <c r="S145" t="s">
        <v>65</v>
      </c>
      <c r="T145" t="s">
        <v>143</v>
      </c>
      <c r="U145" s="20">
        <f>IFERROR(VLOOKUP(T145,PHVA!$B$2:$C$74,2,0),0)</f>
        <v>0</v>
      </c>
      <c r="V145" s="3" t="s">
        <v>301</v>
      </c>
      <c r="W145" s="2">
        <v>45807</v>
      </c>
      <c r="X145" s="3">
        <f>ABS(A145-W145)</f>
        <v>49</v>
      </c>
      <c r="Y145" s="20">
        <f>VLOOKUP(M145,Hoja3!$L$2:$X$26,13,0)</f>
        <v>6</v>
      </c>
      <c r="Z145" s="27" t="s">
        <v>68</v>
      </c>
    </row>
    <row r="146" spans="1:56" ht="14.5" x14ac:dyDescent="0.35">
      <c r="A146" s="2">
        <v>45765</v>
      </c>
      <c r="C146" s="2"/>
      <c r="D146" s="3" t="s">
        <v>70</v>
      </c>
      <c r="E146" s="3" t="s">
        <v>58</v>
      </c>
      <c r="F146" s="3" t="s">
        <v>71</v>
      </c>
      <c r="G146" s="3" t="s">
        <v>298</v>
      </c>
      <c r="H146" s="3" t="s">
        <v>61</v>
      </c>
      <c r="I146" s="3">
        <v>79291337</v>
      </c>
      <c r="J146" s="3" t="s">
        <v>299</v>
      </c>
      <c r="K146" s="3">
        <v>3104387811</v>
      </c>
      <c r="L146" s="3" t="s">
        <v>20</v>
      </c>
      <c r="M146" s="3">
        <v>901039724</v>
      </c>
      <c r="N146" s="2">
        <v>45765</v>
      </c>
      <c r="O146" s="72" t="s">
        <v>300</v>
      </c>
      <c r="P146" s="3">
        <v>2</v>
      </c>
      <c r="Q146" s="11">
        <f t="shared" si="2"/>
        <v>106666</v>
      </c>
      <c r="R146" s="8" t="s">
        <v>172</v>
      </c>
      <c r="S146" t="s">
        <v>65</v>
      </c>
      <c r="T146" t="s">
        <v>110</v>
      </c>
      <c r="U146" s="20">
        <f>IFERROR(VLOOKUP(T146,PHVA!$B$2:$C$74,2,0),0)</f>
        <v>2</v>
      </c>
      <c r="V146" s="3" t="s">
        <v>302</v>
      </c>
      <c r="W146" s="2" t="s">
        <v>98</v>
      </c>
      <c r="X146" s="3" t="e">
        <f>ABS(A146-W146)</f>
        <v>#VALUE!</v>
      </c>
      <c r="Y146" s="20">
        <f>VLOOKUP(M146,Hoja3!$L$2:$X$26,13,0)</f>
        <v>6</v>
      </c>
      <c r="Z146" s="27" t="s">
        <v>68</v>
      </c>
    </row>
    <row r="147" spans="1:56" ht="14.5" x14ac:dyDescent="0.35">
      <c r="A147" s="2">
        <v>45786</v>
      </c>
      <c r="C147" s="2"/>
      <c r="D147" s="3" t="s">
        <v>70</v>
      </c>
      <c r="E147" s="3" t="s">
        <v>58</v>
      </c>
      <c r="F147" s="3" t="s">
        <v>71</v>
      </c>
      <c r="G147" s="3" t="s">
        <v>298</v>
      </c>
      <c r="H147" s="3" t="s">
        <v>61</v>
      </c>
      <c r="I147" s="3">
        <v>79291337</v>
      </c>
      <c r="J147" s="3" t="s">
        <v>299</v>
      </c>
      <c r="K147" s="3">
        <v>3104387811</v>
      </c>
      <c r="L147" s="3" t="s">
        <v>20</v>
      </c>
      <c r="M147" s="3">
        <v>901039724</v>
      </c>
      <c r="N147" s="2">
        <v>45786</v>
      </c>
      <c r="O147" s="72" t="s">
        <v>300</v>
      </c>
      <c r="P147" s="3">
        <v>2</v>
      </c>
      <c r="Q147" s="11">
        <f t="shared" si="2"/>
        <v>106666</v>
      </c>
      <c r="R147" s="20" t="s">
        <v>88</v>
      </c>
      <c r="S147" t="s">
        <v>65</v>
      </c>
      <c r="T147" t="s">
        <v>110</v>
      </c>
      <c r="U147" s="20">
        <f>IFERROR(VLOOKUP(T147,PHVA!$B$2:$C$74,2,0),0)</f>
        <v>2</v>
      </c>
      <c r="V147" s="3" t="s">
        <v>303</v>
      </c>
      <c r="W147" s="2">
        <v>45807</v>
      </c>
      <c r="X147" s="3">
        <f>ABS(A147-W147)</f>
        <v>21</v>
      </c>
      <c r="Y147" s="20">
        <f>VLOOKUP(M147,Hoja3!$L$2:$X$26,13,0)</f>
        <v>6</v>
      </c>
      <c r="Z147" s="27" t="s">
        <v>68</v>
      </c>
    </row>
    <row r="148" spans="1:56" ht="14.5" x14ac:dyDescent="0.35">
      <c r="A148" s="2">
        <v>45793</v>
      </c>
      <c r="C148" s="2"/>
      <c r="D148" s="3" t="s">
        <v>70</v>
      </c>
      <c r="E148" s="3" t="s">
        <v>58</v>
      </c>
      <c r="F148" s="3" t="s">
        <v>71</v>
      </c>
      <c r="G148" s="3" t="s">
        <v>298</v>
      </c>
      <c r="H148" s="3" t="s">
        <v>61</v>
      </c>
      <c r="I148" s="3">
        <v>79291337</v>
      </c>
      <c r="J148" s="3" t="s">
        <v>299</v>
      </c>
      <c r="K148" s="3">
        <v>3104387811</v>
      </c>
      <c r="L148" s="3" t="s">
        <v>20</v>
      </c>
      <c r="M148" s="3">
        <v>901039724</v>
      </c>
      <c r="N148" s="2">
        <v>45793</v>
      </c>
      <c r="O148" s="72" t="s">
        <v>300</v>
      </c>
      <c r="P148" s="3">
        <v>2</v>
      </c>
      <c r="Q148" s="11">
        <f t="shared" si="2"/>
        <v>106666</v>
      </c>
      <c r="R148" s="20" t="s">
        <v>88</v>
      </c>
      <c r="S148" t="s">
        <v>65</v>
      </c>
      <c r="T148" t="s">
        <v>130</v>
      </c>
      <c r="U148" s="20">
        <f>IFERROR(VLOOKUP(T148,PHVA!$B$2:$C$74,2,0),0)</f>
        <v>2</v>
      </c>
      <c r="V148" s="3" t="s">
        <v>304</v>
      </c>
      <c r="W148" s="2">
        <v>45807</v>
      </c>
      <c r="X148" s="3">
        <f>ABS(A148-W148)</f>
        <v>14</v>
      </c>
      <c r="Y148" s="20">
        <f>VLOOKUP(M148,Hoja3!$L$2:$X$26,13,0)</f>
        <v>6</v>
      </c>
      <c r="Z148" s="27" t="s">
        <v>68</v>
      </c>
    </row>
    <row r="149" spans="1:56" ht="14.5" x14ac:dyDescent="0.35">
      <c r="A149" s="2">
        <v>45800</v>
      </c>
      <c r="C149" s="2"/>
      <c r="D149" s="3" t="s">
        <v>70</v>
      </c>
      <c r="E149" s="3" t="s">
        <v>58</v>
      </c>
      <c r="F149" s="3" t="s">
        <v>71</v>
      </c>
      <c r="G149" s="3" t="s">
        <v>298</v>
      </c>
      <c r="H149" s="3" t="s">
        <v>61</v>
      </c>
      <c r="I149" s="3">
        <v>79291337</v>
      </c>
      <c r="J149" s="3" t="s">
        <v>299</v>
      </c>
      <c r="K149" s="3">
        <v>3104387811</v>
      </c>
      <c r="L149" s="3" t="s">
        <v>20</v>
      </c>
      <c r="M149" s="3">
        <v>901039724</v>
      </c>
      <c r="N149" s="2">
        <v>45800</v>
      </c>
      <c r="O149" s="72" t="s">
        <v>300</v>
      </c>
      <c r="P149" s="3">
        <v>2</v>
      </c>
      <c r="Q149" s="11">
        <f t="shared" si="2"/>
        <v>106666</v>
      </c>
      <c r="R149" s="8" t="s">
        <v>172</v>
      </c>
      <c r="S149" t="s">
        <v>65</v>
      </c>
      <c r="T149" t="s">
        <v>80</v>
      </c>
      <c r="U149" s="20">
        <f>IFERROR(VLOOKUP(T149,PHVA!$B$2:$C$74,2,0),0)</f>
        <v>0.5</v>
      </c>
      <c r="V149" s="3" t="s">
        <v>305</v>
      </c>
      <c r="W149" s="2">
        <v>45807</v>
      </c>
      <c r="X149" s="3">
        <f>ABS(A149-W149)</f>
        <v>7</v>
      </c>
      <c r="Y149" s="20">
        <f>VLOOKUP(M149,Hoja3!$L$2:$X$26,13,0)</f>
        <v>6</v>
      </c>
      <c r="Z149" s="27" t="s">
        <v>68</v>
      </c>
    </row>
    <row r="150" spans="1:56" ht="14.5" x14ac:dyDescent="0.35">
      <c r="A150" s="2">
        <v>45807</v>
      </c>
      <c r="C150" s="2"/>
      <c r="D150" s="3" t="s">
        <v>70</v>
      </c>
      <c r="E150" s="3" t="s">
        <v>58</v>
      </c>
      <c r="F150" s="3" t="s">
        <v>71</v>
      </c>
      <c r="G150" s="3" t="s">
        <v>298</v>
      </c>
      <c r="H150" s="3" t="s">
        <v>61</v>
      </c>
      <c r="I150" s="3">
        <v>79291337</v>
      </c>
      <c r="J150" s="3" t="s">
        <v>299</v>
      </c>
      <c r="K150" s="3">
        <v>3104387811</v>
      </c>
      <c r="L150" s="3" t="s">
        <v>20</v>
      </c>
      <c r="M150" s="3">
        <v>901039724</v>
      </c>
      <c r="N150" s="2">
        <v>45807</v>
      </c>
      <c r="O150" s="72" t="s">
        <v>300</v>
      </c>
      <c r="P150" s="3">
        <v>2</v>
      </c>
      <c r="Q150" s="11">
        <f t="shared" si="2"/>
        <v>106666</v>
      </c>
      <c r="R150" s="20" t="s">
        <v>88</v>
      </c>
      <c r="S150" t="s">
        <v>65</v>
      </c>
      <c r="T150" t="s">
        <v>82</v>
      </c>
      <c r="U150" s="20">
        <f>IFERROR(VLOOKUP(T150,PHVA!$B$2:$C$74,2,0),0)</f>
        <v>0.5</v>
      </c>
      <c r="V150" s="3" t="s">
        <v>306</v>
      </c>
      <c r="W150" s="2">
        <v>45807</v>
      </c>
      <c r="X150" s="3">
        <f>ABS(A150-W150)</f>
        <v>0</v>
      </c>
      <c r="Y150" s="20">
        <f>VLOOKUP(M150,Hoja3!$L$2:$X$26,13,0)</f>
        <v>6</v>
      </c>
      <c r="Z150" s="27" t="s">
        <v>68</v>
      </c>
    </row>
    <row r="151" spans="1:56" ht="14.5" x14ac:dyDescent="0.35">
      <c r="A151" s="2">
        <v>45814</v>
      </c>
      <c r="C151" s="2"/>
      <c r="D151" s="3" t="s">
        <v>70</v>
      </c>
      <c r="E151" s="3" t="s">
        <v>58</v>
      </c>
      <c r="F151" s="3" t="s">
        <v>71</v>
      </c>
      <c r="G151" s="3" t="s">
        <v>298</v>
      </c>
      <c r="H151" s="3" t="s">
        <v>61</v>
      </c>
      <c r="I151" s="3">
        <v>79291337</v>
      </c>
      <c r="J151" s="3" t="s">
        <v>299</v>
      </c>
      <c r="K151" s="3">
        <v>3104387811</v>
      </c>
      <c r="L151" s="3" t="s">
        <v>20</v>
      </c>
      <c r="M151" s="3">
        <v>901039724</v>
      </c>
      <c r="N151" s="2">
        <v>45814</v>
      </c>
      <c r="O151" s="72" t="s">
        <v>300</v>
      </c>
      <c r="P151" s="3">
        <v>2</v>
      </c>
      <c r="Q151" s="11">
        <f t="shared" si="2"/>
        <v>106666</v>
      </c>
      <c r="R151" s="8" t="s">
        <v>172</v>
      </c>
      <c r="S151" t="s">
        <v>65</v>
      </c>
      <c r="T151" t="s">
        <v>82</v>
      </c>
      <c r="U151" s="20">
        <f>IFERROR(VLOOKUP(T151,PHVA!$B$2:$C$74,2,0),0)</f>
        <v>0.5</v>
      </c>
      <c r="V151" s="3" t="s">
        <v>307</v>
      </c>
      <c r="W151" s="2">
        <v>45807</v>
      </c>
      <c r="X151" s="3">
        <f>ABS(A151-W151)</f>
        <v>7</v>
      </c>
      <c r="Y151" s="20">
        <f>VLOOKUP(M151,Hoja3!$L$2:$X$26,13,0)</f>
        <v>6</v>
      </c>
      <c r="Z151" s="27" t="s">
        <v>68</v>
      </c>
    </row>
    <row r="152" spans="1:56" s="11" customFormat="1" ht="14.5" x14ac:dyDescent="0.35">
      <c r="A152" s="10">
        <v>45733</v>
      </c>
      <c r="B152" s="16" t="s">
        <v>90</v>
      </c>
      <c r="C152" s="39">
        <v>3</v>
      </c>
      <c r="D152" s="11" t="s">
        <v>132</v>
      </c>
      <c r="E152" s="11" t="s">
        <v>58</v>
      </c>
      <c r="F152" s="11" t="s">
        <v>91</v>
      </c>
      <c r="G152" s="11" t="s">
        <v>308</v>
      </c>
      <c r="H152" s="11" t="s">
        <v>61</v>
      </c>
      <c r="I152" s="11">
        <v>15384344</v>
      </c>
      <c r="J152" s="11" t="s">
        <v>309</v>
      </c>
      <c r="K152" s="11">
        <v>3148500297</v>
      </c>
      <c r="L152" s="11" t="s">
        <v>21</v>
      </c>
      <c r="M152" s="11">
        <v>15384344</v>
      </c>
      <c r="N152" s="10">
        <v>45733</v>
      </c>
      <c r="O152" s="71" t="s">
        <v>275</v>
      </c>
      <c r="P152" s="11">
        <v>2</v>
      </c>
      <c r="Q152" s="11">
        <f t="shared" si="2"/>
        <v>106666</v>
      </c>
      <c r="R152" s="20" t="s">
        <v>88</v>
      </c>
      <c r="S152" s="25" t="s">
        <v>65</v>
      </c>
      <c r="T152" s="25" t="s">
        <v>94</v>
      </c>
      <c r="U152" s="20">
        <f>IFERROR(VLOOKUP(T152,PHVA!$B$2:$C$74,2,0),0)</f>
        <v>1</v>
      </c>
      <c r="W152" s="10">
        <v>45807</v>
      </c>
      <c r="X152" s="11">
        <f>ABS(A152-W152)</f>
        <v>74</v>
      </c>
      <c r="Y152" s="20">
        <f>VLOOKUP(M152,Hoja3!$L$2:$X$26,13,0)</f>
        <v>8</v>
      </c>
      <c r="Z152" s="27" t="s">
        <v>68</v>
      </c>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row>
    <row r="153" spans="1:56" ht="14.5" x14ac:dyDescent="0.35">
      <c r="A153" s="2">
        <v>45751</v>
      </c>
      <c r="C153" s="2"/>
      <c r="D153" s="3" t="s">
        <v>70</v>
      </c>
      <c r="E153" s="3" t="s">
        <v>58</v>
      </c>
      <c r="F153" s="3" t="s">
        <v>91</v>
      </c>
      <c r="G153" s="3" t="s">
        <v>308</v>
      </c>
      <c r="H153" s="3" t="s">
        <v>61</v>
      </c>
      <c r="I153" s="3">
        <v>15384344</v>
      </c>
      <c r="J153" s="3" t="s">
        <v>309</v>
      </c>
      <c r="K153" s="3">
        <v>3148500297</v>
      </c>
      <c r="L153" s="18" t="s">
        <v>21</v>
      </c>
      <c r="M153" s="3">
        <v>15384344</v>
      </c>
      <c r="N153" s="2">
        <v>45751</v>
      </c>
      <c r="O153" s="72" t="s">
        <v>275</v>
      </c>
      <c r="P153" s="3">
        <v>2</v>
      </c>
      <c r="Q153" s="11">
        <f t="shared" si="2"/>
        <v>106666</v>
      </c>
      <c r="R153" s="20" t="s">
        <v>88</v>
      </c>
      <c r="S153" t="s">
        <v>65</v>
      </c>
      <c r="T153" t="s">
        <v>96</v>
      </c>
      <c r="U153" s="20">
        <f>IFERROR(VLOOKUP(T153,PHVA!$B$2:$C$74,2,0),0)</f>
        <v>3</v>
      </c>
      <c r="V153" s="3" t="s">
        <v>259</v>
      </c>
      <c r="W153" s="2">
        <v>45807</v>
      </c>
      <c r="X153" s="3">
        <f>ABS(A153-W153)</f>
        <v>56</v>
      </c>
      <c r="Y153" s="20">
        <f>VLOOKUP(M153,Hoja3!$L$2:$X$26,13,0)</f>
        <v>8</v>
      </c>
      <c r="Z153" s="27" t="s">
        <v>68</v>
      </c>
    </row>
    <row r="154" spans="1:56" ht="14.5" x14ac:dyDescent="0.35">
      <c r="A154" s="2">
        <v>45758</v>
      </c>
      <c r="C154" s="2"/>
      <c r="D154" s="3" t="s">
        <v>70</v>
      </c>
      <c r="E154" s="3" t="s">
        <v>58</v>
      </c>
      <c r="F154" s="3" t="s">
        <v>91</v>
      </c>
      <c r="G154" s="3" t="s">
        <v>308</v>
      </c>
      <c r="H154" s="3" t="s">
        <v>61</v>
      </c>
      <c r="I154" s="3">
        <v>15384344</v>
      </c>
      <c r="J154" s="3" t="s">
        <v>309</v>
      </c>
      <c r="K154" s="3">
        <v>3148500297</v>
      </c>
      <c r="L154" s="18" t="s">
        <v>21</v>
      </c>
      <c r="M154" s="3">
        <v>15384344</v>
      </c>
      <c r="N154" s="2">
        <v>45758</v>
      </c>
      <c r="O154" s="72" t="s">
        <v>275</v>
      </c>
      <c r="P154" s="3">
        <v>2</v>
      </c>
      <c r="Q154" s="11">
        <f t="shared" si="2"/>
        <v>106666</v>
      </c>
      <c r="R154" s="20" t="s">
        <v>88</v>
      </c>
      <c r="S154" t="s">
        <v>65</v>
      </c>
      <c r="T154" t="s">
        <v>66</v>
      </c>
      <c r="U154" s="20">
        <f>IFERROR(VLOOKUP(T154,PHVA!$B$2:$C$74,2,0),0)</f>
        <v>2</v>
      </c>
      <c r="V154" s="3" t="s">
        <v>310</v>
      </c>
      <c r="W154" s="2">
        <v>45807</v>
      </c>
      <c r="X154" s="3">
        <f>ABS(A154-W154)</f>
        <v>49</v>
      </c>
      <c r="Y154" s="20">
        <f>VLOOKUP(M154,Hoja3!$L$2:$X$26,13,0)</f>
        <v>8</v>
      </c>
      <c r="Z154" s="27" t="s">
        <v>68</v>
      </c>
    </row>
    <row r="155" spans="1:56" ht="14.5" x14ac:dyDescent="0.35">
      <c r="A155" s="2">
        <v>45769</v>
      </c>
      <c r="C155" s="2"/>
      <c r="D155" s="3" t="s">
        <v>57</v>
      </c>
      <c r="E155" s="3" t="s">
        <v>58</v>
      </c>
      <c r="F155" s="3" t="s">
        <v>59</v>
      </c>
      <c r="G155" s="3" t="s">
        <v>308</v>
      </c>
      <c r="H155" s="3" t="s">
        <v>61</v>
      </c>
      <c r="I155" s="3">
        <v>15384344</v>
      </c>
      <c r="J155" s="3" t="s">
        <v>309</v>
      </c>
      <c r="K155" s="3">
        <v>3148500297</v>
      </c>
      <c r="L155" s="18" t="s">
        <v>21</v>
      </c>
      <c r="M155" s="3">
        <v>15384344</v>
      </c>
      <c r="N155" s="2">
        <v>45769</v>
      </c>
      <c r="O155" s="72" t="s">
        <v>311</v>
      </c>
      <c r="P155" s="3">
        <v>2</v>
      </c>
      <c r="Q155" s="11">
        <f t="shared" si="2"/>
        <v>106666</v>
      </c>
      <c r="R155" s="8" t="s">
        <v>172</v>
      </c>
      <c r="S155" t="s">
        <v>65</v>
      </c>
      <c r="T155" t="s">
        <v>143</v>
      </c>
      <c r="U155" s="20">
        <f>IFERROR(VLOOKUP(T155,PHVA!$B$2:$C$74,2,0),0)</f>
        <v>0</v>
      </c>
      <c r="V155" s="3" t="s">
        <v>312</v>
      </c>
      <c r="W155" s="2">
        <v>45807</v>
      </c>
      <c r="X155" s="3">
        <f>ABS(A155-W155)</f>
        <v>38</v>
      </c>
      <c r="Y155" s="20">
        <f>VLOOKUP(M155,Hoja3!$L$2:$X$26,13,0)</f>
        <v>8</v>
      </c>
      <c r="Z155" s="27" t="s">
        <v>68</v>
      </c>
    </row>
    <row r="156" spans="1:56" ht="14.5" x14ac:dyDescent="0.35">
      <c r="A156" s="2">
        <v>45776</v>
      </c>
      <c r="C156" s="2"/>
      <c r="D156" s="3" t="s">
        <v>57</v>
      </c>
      <c r="E156" s="3" t="s">
        <v>58</v>
      </c>
      <c r="F156" s="3" t="s">
        <v>59</v>
      </c>
      <c r="G156" s="3" t="s">
        <v>308</v>
      </c>
      <c r="H156" s="3" t="s">
        <v>61</v>
      </c>
      <c r="I156" s="3">
        <v>15384344</v>
      </c>
      <c r="J156" s="3" t="s">
        <v>309</v>
      </c>
      <c r="K156" s="3">
        <v>3148500297</v>
      </c>
      <c r="L156" s="18" t="s">
        <v>21</v>
      </c>
      <c r="M156" s="3">
        <v>15384344</v>
      </c>
      <c r="N156" s="2">
        <v>45776</v>
      </c>
      <c r="O156" s="72" t="s">
        <v>311</v>
      </c>
      <c r="P156" s="3">
        <v>2</v>
      </c>
      <c r="Q156" s="11">
        <f t="shared" si="2"/>
        <v>106666</v>
      </c>
      <c r="R156" s="20" t="s">
        <v>88</v>
      </c>
      <c r="S156" t="s">
        <v>65</v>
      </c>
      <c r="T156" t="s">
        <v>103</v>
      </c>
      <c r="U156" s="20">
        <f>IFERROR(VLOOKUP(T156,PHVA!$B$2:$C$74,2,0),0)</f>
        <v>1</v>
      </c>
      <c r="V156" s="3" t="s">
        <v>313</v>
      </c>
      <c r="W156" s="2">
        <v>45807</v>
      </c>
      <c r="X156" s="3">
        <f>ABS(A156-W156)</f>
        <v>31</v>
      </c>
      <c r="Y156" s="20">
        <f>VLOOKUP(M156,Hoja3!$L$2:$X$26,13,0)</f>
        <v>8</v>
      </c>
      <c r="Z156" s="27" t="s">
        <v>68</v>
      </c>
    </row>
    <row r="157" spans="1:56" ht="14.5" x14ac:dyDescent="0.35">
      <c r="A157" s="2">
        <v>45783</v>
      </c>
      <c r="C157" s="2"/>
      <c r="D157" s="3" t="s">
        <v>57</v>
      </c>
      <c r="E157" s="3" t="s">
        <v>58</v>
      </c>
      <c r="F157" s="3" t="s">
        <v>59</v>
      </c>
      <c r="G157" s="3" t="s">
        <v>308</v>
      </c>
      <c r="H157" s="3" t="s">
        <v>61</v>
      </c>
      <c r="I157" s="3">
        <v>15384344</v>
      </c>
      <c r="J157" s="3" t="s">
        <v>309</v>
      </c>
      <c r="K157" s="3">
        <v>3148500297</v>
      </c>
      <c r="L157" s="18" t="s">
        <v>21</v>
      </c>
      <c r="M157" s="3">
        <v>15384344</v>
      </c>
      <c r="N157" s="2">
        <v>45783</v>
      </c>
      <c r="O157" s="72" t="s">
        <v>311</v>
      </c>
      <c r="P157" s="3">
        <v>2</v>
      </c>
      <c r="Q157" s="11">
        <f t="shared" si="2"/>
        <v>106666</v>
      </c>
      <c r="R157" s="20" t="s">
        <v>88</v>
      </c>
      <c r="S157" t="s">
        <v>65</v>
      </c>
      <c r="T157" t="s">
        <v>82</v>
      </c>
      <c r="U157" s="20">
        <f>IFERROR(VLOOKUP(T157,PHVA!$B$2:$C$74,2,0),0)</f>
        <v>0.5</v>
      </c>
      <c r="V157" s="3" t="s">
        <v>314</v>
      </c>
      <c r="W157" s="2">
        <v>45807</v>
      </c>
      <c r="X157" s="3">
        <f>ABS(A157-W157)</f>
        <v>24</v>
      </c>
      <c r="Y157" s="20">
        <f>VLOOKUP(M157,Hoja3!$L$2:$X$26,13,0)</f>
        <v>8</v>
      </c>
      <c r="Z157" s="27" t="s">
        <v>68</v>
      </c>
    </row>
    <row r="158" spans="1:56" ht="14.5" x14ac:dyDescent="0.35">
      <c r="A158" s="2">
        <v>45790</v>
      </c>
      <c r="C158" s="2"/>
      <c r="D158" s="3" t="s">
        <v>57</v>
      </c>
      <c r="E158" s="3" t="s">
        <v>58</v>
      </c>
      <c r="F158" s="3" t="s">
        <v>59</v>
      </c>
      <c r="G158" s="3" t="s">
        <v>308</v>
      </c>
      <c r="H158" s="3" t="s">
        <v>61</v>
      </c>
      <c r="I158" s="3">
        <v>15384344</v>
      </c>
      <c r="J158" s="3" t="s">
        <v>309</v>
      </c>
      <c r="K158" s="3">
        <v>3148500297</v>
      </c>
      <c r="L158" s="18" t="s">
        <v>21</v>
      </c>
      <c r="M158" s="3">
        <v>15384344</v>
      </c>
      <c r="N158" s="2">
        <v>45790</v>
      </c>
      <c r="O158" s="72" t="s">
        <v>311</v>
      </c>
      <c r="P158" s="3">
        <v>2</v>
      </c>
      <c r="Q158" s="11">
        <f t="shared" si="2"/>
        <v>106666</v>
      </c>
      <c r="R158" s="20" t="s">
        <v>88</v>
      </c>
      <c r="S158" t="s">
        <v>65</v>
      </c>
      <c r="T158" t="s">
        <v>82</v>
      </c>
      <c r="U158" s="20">
        <f>IFERROR(VLOOKUP(T158,PHVA!$B$2:$C$74,2,0),0)</f>
        <v>0.5</v>
      </c>
      <c r="V158" s="3" t="s">
        <v>314</v>
      </c>
      <c r="W158" s="2">
        <v>45807</v>
      </c>
      <c r="X158" s="3">
        <f>ABS(A158-W158)</f>
        <v>17</v>
      </c>
      <c r="Y158" s="20">
        <f>VLOOKUP(M158,Hoja3!$L$2:$X$26,13,0)</f>
        <v>8</v>
      </c>
      <c r="Z158" s="27" t="s">
        <v>68</v>
      </c>
    </row>
    <row r="159" spans="1:56" ht="14.5" x14ac:dyDescent="0.35">
      <c r="A159" s="2">
        <v>45797</v>
      </c>
      <c r="C159" s="2"/>
      <c r="D159" s="3" t="s">
        <v>57</v>
      </c>
      <c r="E159" s="3" t="s">
        <v>58</v>
      </c>
      <c r="F159" s="3" t="s">
        <v>59</v>
      </c>
      <c r="G159" s="3" t="s">
        <v>308</v>
      </c>
      <c r="H159" s="3" t="s">
        <v>61</v>
      </c>
      <c r="I159" s="3">
        <v>15384344</v>
      </c>
      <c r="J159" s="3" t="s">
        <v>309</v>
      </c>
      <c r="K159" s="3">
        <v>3148500297</v>
      </c>
      <c r="L159" s="18" t="s">
        <v>21</v>
      </c>
      <c r="M159" s="3">
        <v>15384344</v>
      </c>
      <c r="N159" s="2">
        <v>45797</v>
      </c>
      <c r="O159" s="72" t="s">
        <v>311</v>
      </c>
      <c r="P159" s="3">
        <v>2</v>
      </c>
      <c r="Q159" s="11">
        <f t="shared" si="2"/>
        <v>106666</v>
      </c>
      <c r="R159" s="20" t="s">
        <v>88</v>
      </c>
      <c r="S159" t="s">
        <v>65</v>
      </c>
      <c r="T159" t="s">
        <v>76</v>
      </c>
      <c r="U159" s="20">
        <f>IFERROR(VLOOKUP(T159,PHVA!$B$2:$C$74,2,0),0)</f>
        <v>2</v>
      </c>
      <c r="V159" s="3" t="s">
        <v>315</v>
      </c>
      <c r="W159" s="2">
        <v>45807</v>
      </c>
      <c r="X159" s="3">
        <f>ABS(A159-W159)</f>
        <v>10</v>
      </c>
      <c r="Y159" s="20">
        <f>VLOOKUP(M159,Hoja3!$L$2:$X$26,13,0)</f>
        <v>8</v>
      </c>
      <c r="Z159" s="27" t="s">
        <v>68</v>
      </c>
    </row>
    <row r="160" spans="1:56" s="11" customFormat="1" ht="14.5" x14ac:dyDescent="0.35">
      <c r="A160" s="2">
        <v>45804</v>
      </c>
      <c r="B160" s="2"/>
      <c r="C160" s="2"/>
      <c r="D160" s="3" t="s">
        <v>57</v>
      </c>
      <c r="E160" s="3" t="s">
        <v>58</v>
      </c>
      <c r="F160" s="3" t="s">
        <v>59</v>
      </c>
      <c r="G160" s="3" t="s">
        <v>308</v>
      </c>
      <c r="H160" s="3" t="s">
        <v>61</v>
      </c>
      <c r="I160" s="3">
        <v>15384344</v>
      </c>
      <c r="J160" s="3" t="s">
        <v>309</v>
      </c>
      <c r="K160" s="3">
        <v>3148500297</v>
      </c>
      <c r="L160" s="18" t="s">
        <v>21</v>
      </c>
      <c r="M160" s="3">
        <v>15384344</v>
      </c>
      <c r="N160" s="2">
        <v>45804</v>
      </c>
      <c r="O160" s="72" t="s">
        <v>311</v>
      </c>
      <c r="P160" s="3">
        <v>2</v>
      </c>
      <c r="Q160" s="11">
        <f t="shared" si="2"/>
        <v>106666</v>
      </c>
      <c r="R160" s="20" t="s">
        <v>88</v>
      </c>
      <c r="S160" t="s">
        <v>65</v>
      </c>
      <c r="T160" t="s">
        <v>110</v>
      </c>
      <c r="U160" s="20">
        <f>IFERROR(VLOOKUP(T160,PHVA!$B$2:$C$74,2,0),0)</f>
        <v>2</v>
      </c>
      <c r="V160" s="3" t="s">
        <v>316</v>
      </c>
      <c r="W160" s="2">
        <v>45807</v>
      </c>
      <c r="X160" s="3">
        <f>ABS(A160-W160)</f>
        <v>3</v>
      </c>
      <c r="Y160" s="20">
        <f>VLOOKUP(M160,Hoja3!$L$2:$X$26,13,0)</f>
        <v>8</v>
      </c>
      <c r="Z160" s="27" t="s">
        <v>68</v>
      </c>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row>
    <row r="161" spans="1:56" ht="14.5" x14ac:dyDescent="0.35">
      <c r="A161" s="2">
        <v>45811</v>
      </c>
      <c r="C161" s="2"/>
      <c r="D161" s="3" t="s">
        <v>57</v>
      </c>
      <c r="E161" s="3" t="s">
        <v>58</v>
      </c>
      <c r="F161" s="3" t="s">
        <v>59</v>
      </c>
      <c r="G161" s="3" t="s">
        <v>308</v>
      </c>
      <c r="H161" s="3" t="s">
        <v>61</v>
      </c>
      <c r="I161" s="3">
        <v>15384344</v>
      </c>
      <c r="J161" s="3" t="s">
        <v>309</v>
      </c>
      <c r="K161" s="3">
        <v>3148500297</v>
      </c>
      <c r="L161" s="18" t="s">
        <v>21</v>
      </c>
      <c r="M161" s="3">
        <v>15384344</v>
      </c>
      <c r="N161" s="2">
        <v>45811</v>
      </c>
      <c r="O161" s="72" t="s">
        <v>311</v>
      </c>
      <c r="P161" s="3">
        <v>2</v>
      </c>
      <c r="Q161" s="11">
        <f t="shared" si="2"/>
        <v>106666</v>
      </c>
      <c r="R161" s="20" t="s">
        <v>88</v>
      </c>
      <c r="S161" t="s">
        <v>65</v>
      </c>
      <c r="T161" t="s">
        <v>267</v>
      </c>
      <c r="U161" s="20">
        <f>IFERROR(VLOOKUP(T161,PHVA!$B$2:$C$74,2,0),0)</f>
        <v>1</v>
      </c>
      <c r="V161" s="3" t="s">
        <v>317</v>
      </c>
      <c r="W161" s="2">
        <v>45807</v>
      </c>
      <c r="X161" s="3">
        <f>ABS(A161-W161)</f>
        <v>4</v>
      </c>
      <c r="Y161" s="20">
        <f>VLOOKUP(M161,Hoja3!$L$2:$X$26,13,0)</f>
        <v>8</v>
      </c>
      <c r="Z161" s="27" t="s">
        <v>68</v>
      </c>
    </row>
    <row r="162" spans="1:56" ht="14.5" x14ac:dyDescent="0.35">
      <c r="A162" s="10">
        <v>45724</v>
      </c>
      <c r="B162" s="16" t="s">
        <v>90</v>
      </c>
      <c r="C162" s="39">
        <v>3</v>
      </c>
      <c r="D162" s="11" t="s">
        <v>102</v>
      </c>
      <c r="E162" s="11" t="s">
        <v>58</v>
      </c>
      <c r="F162" s="11" t="s">
        <v>59</v>
      </c>
      <c r="G162" s="11" t="s">
        <v>318</v>
      </c>
      <c r="H162" s="11" t="s">
        <v>61</v>
      </c>
      <c r="I162" s="11">
        <v>39453906</v>
      </c>
      <c r="J162" s="11" t="s">
        <v>319</v>
      </c>
      <c r="K162" s="11">
        <v>3128523870</v>
      </c>
      <c r="L162" s="11" t="s">
        <v>22</v>
      </c>
      <c r="M162" s="11">
        <v>901590411</v>
      </c>
      <c r="N162" s="10">
        <v>45776</v>
      </c>
      <c r="O162" s="71" t="s">
        <v>320</v>
      </c>
      <c r="P162" s="11">
        <v>2</v>
      </c>
      <c r="Q162" s="11">
        <f t="shared" si="2"/>
        <v>106666</v>
      </c>
      <c r="R162" s="20" t="s">
        <v>88</v>
      </c>
      <c r="S162" s="25" t="s">
        <v>65</v>
      </c>
      <c r="T162" s="25" t="s">
        <v>103</v>
      </c>
      <c r="U162" s="20">
        <f>IFERROR(VLOOKUP(T162,PHVA!$B$2:$C$74,2,0),0)</f>
        <v>1</v>
      </c>
      <c r="V162" s="3" t="s">
        <v>321</v>
      </c>
      <c r="W162" s="10">
        <v>45807</v>
      </c>
      <c r="X162" s="11">
        <f>ABS(A162-W162)</f>
        <v>83</v>
      </c>
      <c r="Y162" s="20">
        <f>VLOOKUP(M162,Hoja3!$L$2:$X$26,13,0)</f>
        <v>23</v>
      </c>
      <c r="Z162" s="27" t="s">
        <v>68</v>
      </c>
    </row>
    <row r="163" spans="1:56" ht="14.5" x14ac:dyDescent="0.35">
      <c r="A163" s="2">
        <v>45771</v>
      </c>
      <c r="C163" s="2"/>
      <c r="D163" s="3" t="s">
        <v>102</v>
      </c>
      <c r="E163" s="3" t="s">
        <v>58</v>
      </c>
      <c r="F163" s="3" t="s">
        <v>59</v>
      </c>
      <c r="G163" s="3" t="s">
        <v>318</v>
      </c>
      <c r="H163" s="3" t="s">
        <v>61</v>
      </c>
      <c r="I163" s="3">
        <v>39453906</v>
      </c>
      <c r="J163" s="3" t="s">
        <v>319</v>
      </c>
      <c r="K163" s="3">
        <v>3128523870</v>
      </c>
      <c r="L163" s="3" t="s">
        <v>22</v>
      </c>
      <c r="M163" s="3">
        <v>901590411</v>
      </c>
      <c r="N163" s="2" t="s">
        <v>153</v>
      </c>
      <c r="O163" s="72" t="s">
        <v>320</v>
      </c>
      <c r="P163" s="3">
        <v>2</v>
      </c>
      <c r="Q163" s="11">
        <f t="shared" si="2"/>
        <v>106666</v>
      </c>
      <c r="R163" s="20" t="s">
        <v>88</v>
      </c>
      <c r="S163" t="s">
        <v>65</v>
      </c>
      <c r="T163" t="s">
        <v>76</v>
      </c>
      <c r="U163" s="20">
        <f>IFERROR(VLOOKUP(T163,PHVA!$B$2:$C$74,2,0),0)</f>
        <v>2</v>
      </c>
      <c r="V163" s="3" t="s">
        <v>322</v>
      </c>
      <c r="W163" s="2">
        <v>45807</v>
      </c>
      <c r="X163" s="18">
        <f>ABS(A163-W163)</f>
        <v>36</v>
      </c>
      <c r="Y163" s="20">
        <f>VLOOKUP(M163,Hoja3!$L$2:$X$26,13,0)</f>
        <v>23</v>
      </c>
      <c r="Z163" s="27" t="s">
        <v>68</v>
      </c>
    </row>
    <row r="164" spans="1:56" ht="14.5" x14ac:dyDescent="0.35">
      <c r="A164" s="2">
        <v>45731</v>
      </c>
      <c r="C164" s="2"/>
      <c r="D164" s="3" t="s">
        <v>102</v>
      </c>
      <c r="E164" s="3" t="s">
        <v>58</v>
      </c>
      <c r="F164" s="3" t="s">
        <v>59</v>
      </c>
      <c r="G164" s="3" t="s">
        <v>318</v>
      </c>
      <c r="H164" s="3" t="s">
        <v>61</v>
      </c>
      <c r="I164" s="3">
        <v>39453906</v>
      </c>
      <c r="J164" s="3" t="s">
        <v>319</v>
      </c>
      <c r="K164" s="3">
        <v>3128523870</v>
      </c>
      <c r="L164" s="3" t="s">
        <v>22</v>
      </c>
      <c r="M164" s="3">
        <v>901590411</v>
      </c>
      <c r="N164" s="2">
        <v>45790</v>
      </c>
      <c r="O164" s="72" t="s">
        <v>320</v>
      </c>
      <c r="P164" s="3">
        <v>2</v>
      </c>
      <c r="Q164" s="11">
        <f t="shared" si="2"/>
        <v>106666</v>
      </c>
      <c r="R164" s="8" t="s">
        <v>172</v>
      </c>
      <c r="S164" t="s">
        <v>65</v>
      </c>
      <c r="T164" t="s">
        <v>94</v>
      </c>
      <c r="U164" s="20">
        <f>IFERROR(VLOOKUP(T164,PHVA!$B$2:$C$74,2,0),0)</f>
        <v>1</v>
      </c>
      <c r="V164" s="3" t="s">
        <v>323</v>
      </c>
      <c r="W164" s="2">
        <v>45807</v>
      </c>
      <c r="X164" s="3">
        <f>ABS(A164-W164)</f>
        <v>76</v>
      </c>
      <c r="Y164" s="20">
        <f>VLOOKUP(M164,Hoja3!$L$2:$X$26,13,0)</f>
        <v>23</v>
      </c>
      <c r="Z164" s="27" t="s">
        <v>68</v>
      </c>
    </row>
    <row r="165" spans="1:56" ht="14.5" x14ac:dyDescent="0.35">
      <c r="A165" s="2">
        <v>45738</v>
      </c>
      <c r="C165" s="2"/>
      <c r="D165" s="3" t="s">
        <v>102</v>
      </c>
      <c r="E165" s="3" t="s">
        <v>58</v>
      </c>
      <c r="F165" s="3" t="s">
        <v>59</v>
      </c>
      <c r="G165" s="3" t="s">
        <v>318</v>
      </c>
      <c r="H165" s="3" t="s">
        <v>61</v>
      </c>
      <c r="I165" s="3">
        <v>39453906</v>
      </c>
      <c r="J165" s="3" t="s">
        <v>319</v>
      </c>
      <c r="K165" s="3">
        <v>3128523870</v>
      </c>
      <c r="L165" s="3" t="s">
        <v>22</v>
      </c>
      <c r="M165" s="3">
        <v>901590411</v>
      </c>
      <c r="N165" s="2">
        <v>45797</v>
      </c>
      <c r="O165" s="72" t="s">
        <v>320</v>
      </c>
      <c r="P165" s="3">
        <v>2</v>
      </c>
      <c r="Q165" s="11">
        <f t="shared" si="2"/>
        <v>106666</v>
      </c>
      <c r="R165" s="8" t="s">
        <v>172</v>
      </c>
      <c r="S165" t="s">
        <v>65</v>
      </c>
      <c r="T165" t="s">
        <v>76</v>
      </c>
      <c r="U165" s="20">
        <f>IFERROR(VLOOKUP(T165,PHVA!$B$2:$C$74,2,0),0)</f>
        <v>2</v>
      </c>
      <c r="V165" s="3" t="s">
        <v>324</v>
      </c>
      <c r="W165" s="2">
        <v>45807</v>
      </c>
      <c r="X165" s="3">
        <f>ABS(A165-W165)</f>
        <v>69</v>
      </c>
      <c r="Y165" s="20">
        <f>VLOOKUP(M165,Hoja3!$L$2:$X$26,13,0)</f>
        <v>23</v>
      </c>
      <c r="Z165" s="27" t="s">
        <v>68</v>
      </c>
    </row>
    <row r="166" spans="1:56" ht="14.5" x14ac:dyDescent="0.35">
      <c r="A166" s="10">
        <v>45731</v>
      </c>
      <c r="B166" s="16" t="s">
        <v>90</v>
      </c>
      <c r="C166" s="39">
        <v>3</v>
      </c>
      <c r="D166" s="11" t="s">
        <v>102</v>
      </c>
      <c r="E166" s="11" t="s">
        <v>58</v>
      </c>
      <c r="F166" s="11" t="s">
        <v>59</v>
      </c>
      <c r="G166" s="11" t="s">
        <v>325</v>
      </c>
      <c r="H166" s="11" t="s">
        <v>61</v>
      </c>
      <c r="I166" s="11">
        <v>15380272</v>
      </c>
      <c r="J166" s="11" t="s">
        <v>326</v>
      </c>
      <c r="K166" s="11">
        <v>3113177651</v>
      </c>
      <c r="L166" s="11" t="s">
        <v>23</v>
      </c>
      <c r="M166" s="11">
        <v>900709843</v>
      </c>
      <c r="N166" s="10">
        <v>45792</v>
      </c>
      <c r="O166" s="71" t="s">
        <v>137</v>
      </c>
      <c r="P166" s="11">
        <v>5</v>
      </c>
      <c r="Q166" s="11">
        <f t="shared" si="2"/>
        <v>213000</v>
      </c>
      <c r="R166" s="20" t="s">
        <v>88</v>
      </c>
      <c r="S166" s="25" t="s">
        <v>65</v>
      </c>
      <c r="T166" s="25" t="s">
        <v>123</v>
      </c>
      <c r="U166" s="20">
        <f>IFERROR(VLOOKUP(T166,PHVA!$B$2:$C$74,2,0),0)</f>
        <v>0.5</v>
      </c>
      <c r="V166" s="11" t="s">
        <v>327</v>
      </c>
      <c r="W166" s="10">
        <v>45807</v>
      </c>
      <c r="X166" s="11">
        <f>ABS(A166-W166)</f>
        <v>76</v>
      </c>
      <c r="Y166" s="20">
        <f>VLOOKUP(M166,Hoja3!$L$2:$X$26,13,0)</f>
        <v>2</v>
      </c>
      <c r="Z166" s="27" t="s">
        <v>68</v>
      </c>
    </row>
    <row r="167" spans="1:56" ht="14.5" x14ac:dyDescent="0.35">
      <c r="A167" s="2">
        <v>45744</v>
      </c>
      <c r="C167" s="2"/>
      <c r="D167" s="3" t="s">
        <v>70</v>
      </c>
      <c r="E167" s="3" t="s">
        <v>58</v>
      </c>
      <c r="F167" s="3" t="s">
        <v>91</v>
      </c>
      <c r="G167" s="3" t="s">
        <v>325</v>
      </c>
      <c r="H167" s="3" t="s">
        <v>61</v>
      </c>
      <c r="I167" s="3">
        <v>15380272</v>
      </c>
      <c r="J167" s="3" t="s">
        <v>326</v>
      </c>
      <c r="K167" s="3">
        <v>3113177651</v>
      </c>
      <c r="L167" s="3" t="s">
        <v>23</v>
      </c>
      <c r="M167" s="3">
        <v>900709843</v>
      </c>
      <c r="N167" s="2">
        <v>45744</v>
      </c>
      <c r="O167" s="72" t="s">
        <v>137</v>
      </c>
      <c r="P167" s="3">
        <v>5</v>
      </c>
      <c r="Q167" s="11">
        <f t="shared" si="2"/>
        <v>213000</v>
      </c>
      <c r="R167" s="20" t="s">
        <v>88</v>
      </c>
      <c r="S167" t="s">
        <v>65</v>
      </c>
      <c r="T167" t="s">
        <v>94</v>
      </c>
      <c r="U167" s="20">
        <f>IFERROR(VLOOKUP(T167,PHVA!$B$2:$C$74,2,0),0)</f>
        <v>1</v>
      </c>
      <c r="V167" s="3" t="s">
        <v>328</v>
      </c>
      <c r="W167" s="2">
        <v>45807</v>
      </c>
      <c r="X167" s="3">
        <f>ABS(A167-W167)</f>
        <v>63</v>
      </c>
      <c r="Y167" s="20">
        <f>VLOOKUP(M167,Hoja3!$L$2:$X$26,13,0)</f>
        <v>2</v>
      </c>
      <c r="Z167" s="27" t="s">
        <v>68</v>
      </c>
    </row>
    <row r="168" spans="1:56" s="11" customFormat="1" ht="14.5" x14ac:dyDescent="0.35">
      <c r="A168" s="2">
        <v>45751</v>
      </c>
      <c r="B168" s="2"/>
      <c r="C168" s="2"/>
      <c r="D168" s="3" t="s">
        <v>70</v>
      </c>
      <c r="E168" s="3" t="s">
        <v>58</v>
      </c>
      <c r="F168" s="3" t="s">
        <v>91</v>
      </c>
      <c r="G168" s="3" t="s">
        <v>325</v>
      </c>
      <c r="H168" s="3" t="s">
        <v>61</v>
      </c>
      <c r="I168" s="3">
        <v>15380272</v>
      </c>
      <c r="J168" s="19" t="s">
        <v>326</v>
      </c>
      <c r="K168" s="3">
        <v>3113177651</v>
      </c>
      <c r="L168" s="3" t="s">
        <v>23</v>
      </c>
      <c r="M168" s="3">
        <v>900709843</v>
      </c>
      <c r="N168" s="2">
        <v>45751</v>
      </c>
      <c r="O168" s="72" t="s">
        <v>137</v>
      </c>
      <c r="P168" s="3">
        <v>5</v>
      </c>
      <c r="Q168" s="11">
        <f t="shared" si="2"/>
        <v>213000</v>
      </c>
      <c r="R168" s="20" t="s">
        <v>88</v>
      </c>
      <c r="S168" t="s">
        <v>65</v>
      </c>
      <c r="T168" t="s">
        <v>143</v>
      </c>
      <c r="U168" s="20">
        <f>IFERROR(VLOOKUP(T168,PHVA!$B$2:$C$74,2,0),0)</f>
        <v>0</v>
      </c>
      <c r="V168" s="3"/>
      <c r="W168" s="2">
        <v>45807</v>
      </c>
      <c r="X168" s="3">
        <f>ABS(A168-W168)</f>
        <v>56</v>
      </c>
      <c r="Y168" s="20">
        <f>VLOOKUP(M168,Hoja3!$L$2:$X$26,13,0)</f>
        <v>2</v>
      </c>
      <c r="Z168" s="27" t="s">
        <v>68</v>
      </c>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row>
    <row r="169" spans="1:56" ht="14.5" x14ac:dyDescent="0.35">
      <c r="A169" s="2">
        <v>45758</v>
      </c>
      <c r="C169" s="2"/>
      <c r="D169" s="3" t="s">
        <v>70</v>
      </c>
      <c r="E169" s="3" t="s">
        <v>58</v>
      </c>
      <c r="F169" s="3" t="s">
        <v>91</v>
      </c>
      <c r="G169" s="3" t="s">
        <v>325</v>
      </c>
      <c r="H169" s="3" t="s">
        <v>61</v>
      </c>
      <c r="I169" s="3">
        <v>15380272</v>
      </c>
      <c r="J169" s="3" t="s">
        <v>326</v>
      </c>
      <c r="K169" s="3">
        <v>3113177651</v>
      </c>
      <c r="L169" s="3" t="s">
        <v>23</v>
      </c>
      <c r="M169" s="3">
        <v>900709843</v>
      </c>
      <c r="N169" s="2">
        <v>45758</v>
      </c>
      <c r="O169" s="72" t="s">
        <v>137</v>
      </c>
      <c r="P169" s="3">
        <v>5</v>
      </c>
      <c r="Q169" s="11">
        <f t="shared" si="2"/>
        <v>213000</v>
      </c>
      <c r="R169" s="20" t="s">
        <v>88</v>
      </c>
      <c r="S169" t="s">
        <v>65</v>
      </c>
      <c r="T169" t="s">
        <v>143</v>
      </c>
      <c r="U169" s="20">
        <f>IFERROR(VLOOKUP(T169,PHVA!$B$2:$C$74,2,0),0)</f>
        <v>0</v>
      </c>
      <c r="W169" s="2">
        <v>45807</v>
      </c>
      <c r="X169" s="3">
        <f>ABS(A169-W169)</f>
        <v>49</v>
      </c>
      <c r="Y169" s="20">
        <f>VLOOKUP(M169,Hoja3!$L$2:$X$26,13,0)</f>
        <v>2</v>
      </c>
      <c r="Z169" s="27" t="s">
        <v>68</v>
      </c>
    </row>
    <row r="170" spans="1:56" ht="14.5" x14ac:dyDescent="0.35">
      <c r="A170" s="2">
        <v>45765</v>
      </c>
      <c r="C170" s="2"/>
      <c r="D170" s="3" t="s">
        <v>70</v>
      </c>
      <c r="E170" s="3" t="s">
        <v>58</v>
      </c>
      <c r="F170" s="3" t="s">
        <v>59</v>
      </c>
      <c r="G170" s="3" t="s">
        <v>325</v>
      </c>
      <c r="H170" s="3" t="s">
        <v>61</v>
      </c>
      <c r="I170" s="3">
        <v>15380272</v>
      </c>
      <c r="J170" s="3" t="s">
        <v>326</v>
      </c>
      <c r="K170" s="3">
        <v>3113177651</v>
      </c>
      <c r="L170" s="3" t="s">
        <v>23</v>
      </c>
      <c r="M170" s="3">
        <v>900709843</v>
      </c>
      <c r="N170" s="2">
        <v>45765</v>
      </c>
      <c r="O170" s="72" t="s">
        <v>137</v>
      </c>
      <c r="P170" s="3">
        <v>5</v>
      </c>
      <c r="Q170" s="11">
        <f t="shared" si="2"/>
        <v>213000</v>
      </c>
      <c r="R170" s="8" t="s">
        <v>172</v>
      </c>
      <c r="S170" t="s">
        <v>65</v>
      </c>
      <c r="T170" t="s">
        <v>76</v>
      </c>
      <c r="U170" s="20">
        <f>IFERROR(VLOOKUP(T170,PHVA!$B$2:$C$74,2,0),0)</f>
        <v>2</v>
      </c>
      <c r="V170" s="3" t="s">
        <v>329</v>
      </c>
      <c r="W170" s="2">
        <v>45807</v>
      </c>
      <c r="X170" s="3">
        <f>ABS(A170-W170)</f>
        <v>42</v>
      </c>
      <c r="Y170" s="20">
        <f>VLOOKUP(M170,Hoja3!$L$2:$X$26,13,0)</f>
        <v>2</v>
      </c>
      <c r="Z170" s="27" t="s">
        <v>68</v>
      </c>
    </row>
    <row r="171" spans="1:56" ht="14.5" x14ac:dyDescent="0.35">
      <c r="A171" s="2">
        <v>45771</v>
      </c>
      <c r="C171" s="2"/>
      <c r="D171" s="3" t="s">
        <v>102</v>
      </c>
      <c r="E171" s="3" t="s">
        <v>58</v>
      </c>
      <c r="F171" s="3" t="s">
        <v>59</v>
      </c>
      <c r="G171" s="3" t="s">
        <v>325</v>
      </c>
      <c r="H171" s="3" t="s">
        <v>61</v>
      </c>
      <c r="I171" s="3">
        <v>15380272</v>
      </c>
      <c r="J171" s="3" t="s">
        <v>326</v>
      </c>
      <c r="K171" s="3">
        <v>3113177651</v>
      </c>
      <c r="L171" s="3" t="s">
        <v>23</v>
      </c>
      <c r="M171" s="3">
        <v>900709843</v>
      </c>
      <c r="N171" s="2" t="s">
        <v>153</v>
      </c>
      <c r="O171" s="72" t="s">
        <v>137</v>
      </c>
      <c r="P171" s="3">
        <v>5</v>
      </c>
      <c r="Q171" s="11">
        <f t="shared" si="2"/>
        <v>213000</v>
      </c>
      <c r="R171" s="20" t="s">
        <v>88</v>
      </c>
      <c r="S171" t="s">
        <v>65</v>
      </c>
      <c r="T171" t="s">
        <v>103</v>
      </c>
      <c r="U171" s="20">
        <f>IFERROR(VLOOKUP(T171,PHVA!$B$2:$C$74,2,0),0)</f>
        <v>1</v>
      </c>
      <c r="V171" s="3" t="s">
        <v>330</v>
      </c>
      <c r="W171" s="2">
        <v>45807</v>
      </c>
      <c r="X171" s="3">
        <f>ABS(A171-W171)</f>
        <v>36</v>
      </c>
      <c r="Y171" s="20">
        <f>VLOOKUP(M171,Hoja3!$L$2:$X$26,13,0)</f>
        <v>2</v>
      </c>
      <c r="Z171" s="27" t="s">
        <v>68</v>
      </c>
    </row>
    <row r="172" spans="1:56" s="11" customFormat="1" ht="14.5" x14ac:dyDescent="0.35">
      <c r="A172" s="2">
        <v>45724</v>
      </c>
      <c r="B172" s="2"/>
      <c r="C172" s="2"/>
      <c r="D172" s="3" t="s">
        <v>102</v>
      </c>
      <c r="E172" s="3" t="s">
        <v>58</v>
      </c>
      <c r="F172" s="3" t="s">
        <v>59</v>
      </c>
      <c r="G172" s="3" t="s">
        <v>325</v>
      </c>
      <c r="H172" s="3" t="s">
        <v>61</v>
      </c>
      <c r="I172" s="3">
        <v>15380272</v>
      </c>
      <c r="J172" s="3" t="s">
        <v>326</v>
      </c>
      <c r="K172" s="3">
        <v>3113177651</v>
      </c>
      <c r="L172" s="3" t="s">
        <v>23</v>
      </c>
      <c r="M172" s="3">
        <v>900709843</v>
      </c>
      <c r="N172" s="2">
        <v>45785</v>
      </c>
      <c r="O172" s="72" t="s">
        <v>137</v>
      </c>
      <c r="P172" s="3">
        <v>5</v>
      </c>
      <c r="Q172" s="11">
        <f t="shared" si="2"/>
        <v>213000</v>
      </c>
      <c r="R172" s="20" t="s">
        <v>88</v>
      </c>
      <c r="S172" t="s">
        <v>65</v>
      </c>
      <c r="T172" t="s">
        <v>123</v>
      </c>
      <c r="U172" s="20">
        <f>IFERROR(VLOOKUP(T172,PHVA!$B$2:$C$74,2,0),0)</f>
        <v>0.5</v>
      </c>
      <c r="V172" s="3" t="s">
        <v>331</v>
      </c>
      <c r="W172" s="2">
        <v>45807</v>
      </c>
      <c r="X172" s="3">
        <f>ABS(A172-W172)</f>
        <v>83</v>
      </c>
      <c r="Y172" s="20">
        <f>VLOOKUP(M172,Hoja3!$L$2:$X$26,13,0)</f>
        <v>2</v>
      </c>
      <c r="Z172" s="27" t="s">
        <v>68</v>
      </c>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row>
    <row r="173" spans="1:56" ht="14.5" x14ac:dyDescent="0.35">
      <c r="A173" s="2">
        <v>45738</v>
      </c>
      <c r="C173" s="2"/>
      <c r="D173" s="3" t="s">
        <v>102</v>
      </c>
      <c r="E173" s="3" t="s">
        <v>58</v>
      </c>
      <c r="F173" s="3" t="s">
        <v>59</v>
      </c>
      <c r="G173" s="3" t="s">
        <v>325</v>
      </c>
      <c r="H173" s="3" t="s">
        <v>61</v>
      </c>
      <c r="I173" s="3">
        <v>15380272</v>
      </c>
      <c r="J173" s="3" t="s">
        <v>326</v>
      </c>
      <c r="K173" s="3">
        <v>3113177651</v>
      </c>
      <c r="L173" s="3" t="s">
        <v>23</v>
      </c>
      <c r="M173" s="3">
        <v>900709843</v>
      </c>
      <c r="N173" s="2">
        <v>45799</v>
      </c>
      <c r="O173" s="72" t="s">
        <v>137</v>
      </c>
      <c r="P173" s="3">
        <v>5</v>
      </c>
      <c r="Q173" s="11">
        <f t="shared" si="2"/>
        <v>213000</v>
      </c>
      <c r="R173" s="8" t="s">
        <v>172</v>
      </c>
      <c r="S173" t="s">
        <v>65</v>
      </c>
      <c r="T173" t="s">
        <v>143</v>
      </c>
      <c r="U173" s="20">
        <f>IFERROR(VLOOKUP(T173,PHVA!$B$2:$C$74,2,0),0)</f>
        <v>0</v>
      </c>
      <c r="V173" s="3" t="s">
        <v>332</v>
      </c>
      <c r="W173" s="2">
        <v>45807</v>
      </c>
      <c r="X173" s="3">
        <f>ABS(A173-W173)</f>
        <v>69</v>
      </c>
      <c r="Y173" s="20">
        <f>VLOOKUP(M173,Hoja3!$L$2:$X$26,13,0)</f>
        <v>2</v>
      </c>
      <c r="Z173" s="27" t="s">
        <v>68</v>
      </c>
    </row>
    <row r="174" spans="1:56" ht="14.5" x14ac:dyDescent="0.35">
      <c r="A174" s="2">
        <v>45745</v>
      </c>
      <c r="C174" s="2"/>
      <c r="D174" s="3" t="s">
        <v>102</v>
      </c>
      <c r="E174" s="3" t="s">
        <v>58</v>
      </c>
      <c r="F174" s="3" t="s">
        <v>59</v>
      </c>
      <c r="G174" s="3" t="s">
        <v>325</v>
      </c>
      <c r="H174" s="3" t="s">
        <v>61</v>
      </c>
      <c r="I174" s="3">
        <v>15380272</v>
      </c>
      <c r="J174" s="3" t="s">
        <v>326</v>
      </c>
      <c r="K174" s="3">
        <v>3113177651</v>
      </c>
      <c r="L174" s="3" t="s">
        <v>23</v>
      </c>
      <c r="M174" s="3">
        <v>900709843</v>
      </c>
      <c r="N174" s="2">
        <v>45806</v>
      </c>
      <c r="O174" s="72" t="s">
        <v>137</v>
      </c>
      <c r="P174" s="3">
        <v>5</v>
      </c>
      <c r="Q174" s="11">
        <f t="shared" si="2"/>
        <v>213000</v>
      </c>
      <c r="R174" s="20" t="s">
        <v>88</v>
      </c>
      <c r="S174" t="s">
        <v>65</v>
      </c>
      <c r="T174" t="s">
        <v>66</v>
      </c>
      <c r="U174" s="20">
        <f>IFERROR(VLOOKUP(T174,PHVA!$B$2:$C$74,2,0),0)</f>
        <v>2</v>
      </c>
      <c r="V174" s="3" t="s">
        <v>333</v>
      </c>
      <c r="W174" s="2">
        <v>45807</v>
      </c>
      <c r="X174" s="3">
        <f>ABS(A174-W174)</f>
        <v>62</v>
      </c>
      <c r="Y174" s="20">
        <f>VLOOKUP(M174,Hoja3!$L$2:$X$26,13,0)</f>
        <v>2</v>
      </c>
      <c r="Z174" s="27" t="s">
        <v>68</v>
      </c>
    </row>
    <row r="175" spans="1:56" s="45" customFormat="1" ht="14.5" x14ac:dyDescent="0.35">
      <c r="A175" s="44">
        <v>45783</v>
      </c>
      <c r="B175" s="44"/>
      <c r="C175" s="44"/>
      <c r="D175" s="45" t="s">
        <v>102</v>
      </c>
      <c r="E175" s="45" t="s">
        <v>58</v>
      </c>
      <c r="F175" s="45" t="s">
        <v>59</v>
      </c>
      <c r="G175" s="45" t="s">
        <v>325</v>
      </c>
      <c r="H175" s="45" t="s">
        <v>61</v>
      </c>
      <c r="I175" s="45">
        <v>15380272</v>
      </c>
      <c r="J175" s="45" t="s">
        <v>326</v>
      </c>
      <c r="K175" s="45">
        <v>3113177651</v>
      </c>
      <c r="L175" s="45" t="s">
        <v>23</v>
      </c>
      <c r="M175" s="45">
        <v>900709843</v>
      </c>
      <c r="N175" s="44">
        <v>45813</v>
      </c>
      <c r="O175" s="73" t="s">
        <v>137</v>
      </c>
      <c r="P175" s="45">
        <v>5</v>
      </c>
      <c r="Q175" s="11">
        <f t="shared" si="2"/>
        <v>213000</v>
      </c>
      <c r="R175" s="8" t="s">
        <v>172</v>
      </c>
      <c r="S175" s="46" t="s">
        <v>65</v>
      </c>
      <c r="T175" s="46" t="s">
        <v>126</v>
      </c>
      <c r="U175" s="47">
        <f>IFERROR(VLOOKUP(T175,PHVA!$B$2:$C$74,2,0),0)</f>
        <v>4</v>
      </c>
      <c r="V175" s="45" t="s">
        <v>334</v>
      </c>
      <c r="W175" s="44">
        <v>45807</v>
      </c>
      <c r="X175" s="45">
        <f>ABS(A175-W175)</f>
        <v>24</v>
      </c>
      <c r="Y175" s="20">
        <f>VLOOKUP(M175,Hoja3!$L$2:$X$26,13,0)</f>
        <v>2</v>
      </c>
      <c r="Z175" s="48" t="s">
        <v>68</v>
      </c>
      <c r="AA175" s="18"/>
    </row>
    <row r="176" spans="1:56" ht="14.5" x14ac:dyDescent="0.35">
      <c r="A176" s="2">
        <v>45813</v>
      </c>
      <c r="C176" s="2"/>
      <c r="D176" s="3" t="s">
        <v>102</v>
      </c>
      <c r="E176" s="3" t="s">
        <v>58</v>
      </c>
      <c r="F176" s="3" t="s">
        <v>59</v>
      </c>
      <c r="G176" s="3" t="s">
        <v>325</v>
      </c>
      <c r="H176" s="3" t="s">
        <v>61</v>
      </c>
      <c r="I176" s="3">
        <v>15380272</v>
      </c>
      <c r="J176" s="3" t="s">
        <v>326</v>
      </c>
      <c r="K176" s="3">
        <v>3113177651</v>
      </c>
      <c r="L176" s="3" t="s">
        <v>23</v>
      </c>
      <c r="M176" s="3">
        <v>900709843</v>
      </c>
      <c r="N176" s="2">
        <v>45813</v>
      </c>
      <c r="O176" s="72" t="s">
        <v>137</v>
      </c>
      <c r="P176" s="3">
        <v>5</v>
      </c>
      <c r="Q176" s="11">
        <f t="shared" si="2"/>
        <v>213000</v>
      </c>
      <c r="R176" s="62" t="s">
        <v>459</v>
      </c>
      <c r="S176" t="s">
        <v>65</v>
      </c>
      <c r="T176" t="s">
        <v>110</v>
      </c>
      <c r="U176" s="20">
        <f>IFERROR(VLOOKUP(T176,PHVA!$B$2:$C$74,2,0),0)</f>
        <v>2</v>
      </c>
      <c r="V176" s="3" t="s">
        <v>334</v>
      </c>
      <c r="W176" s="2">
        <v>45807</v>
      </c>
      <c r="X176" s="3">
        <f>ABS(A176-W176)</f>
        <v>6</v>
      </c>
      <c r="Y176" s="20">
        <f>VLOOKUP(M176,Hoja3!$L$2:$X$26,13,0)</f>
        <v>2</v>
      </c>
      <c r="Z176" s="27" t="s">
        <v>68</v>
      </c>
    </row>
    <row r="177" spans="1:56" ht="14.5" x14ac:dyDescent="0.35">
      <c r="A177" s="10">
        <v>45717</v>
      </c>
      <c r="B177" s="16" t="s">
        <v>90</v>
      </c>
      <c r="C177" s="39">
        <v>3</v>
      </c>
      <c r="D177" s="11" t="s">
        <v>102</v>
      </c>
      <c r="E177" s="11" t="s">
        <v>58</v>
      </c>
      <c r="F177" s="11" t="s">
        <v>59</v>
      </c>
      <c r="G177" s="11" t="s">
        <v>335</v>
      </c>
      <c r="H177" s="11" t="s">
        <v>61</v>
      </c>
      <c r="I177" s="11">
        <v>1039681747</v>
      </c>
      <c r="J177" s="11" t="s">
        <v>336</v>
      </c>
      <c r="K177" s="11">
        <v>3136884875</v>
      </c>
      <c r="L177" s="11" t="s">
        <v>24</v>
      </c>
      <c r="M177" s="11">
        <v>1039681747</v>
      </c>
      <c r="N177" s="10">
        <v>45785</v>
      </c>
      <c r="O177" s="71" t="s">
        <v>337</v>
      </c>
      <c r="P177" s="11">
        <v>3</v>
      </c>
      <c r="Q177" s="11">
        <f t="shared" si="2"/>
        <v>106666</v>
      </c>
      <c r="R177" s="20" t="s">
        <v>88</v>
      </c>
      <c r="S177" s="25" t="s">
        <v>65</v>
      </c>
      <c r="T177" s="25" t="s">
        <v>82</v>
      </c>
      <c r="U177" s="20">
        <f>IFERROR(VLOOKUP(T177,PHVA!$B$2:$C$74,2,0),0)</f>
        <v>0.5</v>
      </c>
      <c r="V177" s="11" t="s">
        <v>338</v>
      </c>
      <c r="W177" s="10">
        <v>45807</v>
      </c>
      <c r="X177" s="11">
        <f>ABS(A177-W177)</f>
        <v>90</v>
      </c>
      <c r="Y177" s="20">
        <f>VLOOKUP(M177,Hoja3!$L$2:$X$26,13,0)</f>
        <v>4</v>
      </c>
      <c r="Z177" s="27" t="s">
        <v>68</v>
      </c>
    </row>
    <row r="178" spans="1:56" ht="14.5" x14ac:dyDescent="0.35">
      <c r="A178" s="2">
        <v>45771</v>
      </c>
      <c r="C178" s="2"/>
      <c r="D178" s="3" t="s">
        <v>102</v>
      </c>
      <c r="E178" s="3" t="s">
        <v>58</v>
      </c>
      <c r="F178" s="3" t="s">
        <v>59</v>
      </c>
      <c r="G178" s="3" t="s">
        <v>335</v>
      </c>
      <c r="H178" s="3" t="s">
        <v>61</v>
      </c>
      <c r="I178" s="3">
        <v>1039681747</v>
      </c>
      <c r="J178" s="3" t="s">
        <v>336</v>
      </c>
      <c r="K178" s="3">
        <v>3136884875</v>
      </c>
      <c r="L178" s="3" t="s">
        <v>24</v>
      </c>
      <c r="M178" s="3">
        <v>1039681747</v>
      </c>
      <c r="N178" s="2" t="s">
        <v>153</v>
      </c>
      <c r="O178" s="72" t="s">
        <v>337</v>
      </c>
      <c r="P178" s="3">
        <v>3</v>
      </c>
      <c r="Q178" s="11">
        <f t="shared" si="2"/>
        <v>106666</v>
      </c>
      <c r="R178" s="20" t="s">
        <v>88</v>
      </c>
      <c r="S178" t="s">
        <v>65</v>
      </c>
      <c r="T178" t="s">
        <v>94</v>
      </c>
      <c r="U178" s="20">
        <f>IFERROR(VLOOKUP(T178,PHVA!$B$2:$C$74,2,0),0)</f>
        <v>1</v>
      </c>
      <c r="V178" s="3" t="s">
        <v>339</v>
      </c>
      <c r="W178" s="2">
        <v>45807</v>
      </c>
      <c r="X178" s="3">
        <f>ABS(A178-W178)</f>
        <v>36</v>
      </c>
      <c r="Y178" s="20">
        <f>VLOOKUP(M178,Hoja3!$L$2:$X$26,13,0)</f>
        <v>4</v>
      </c>
      <c r="Z178" s="27" t="s">
        <v>68</v>
      </c>
    </row>
    <row r="179" spans="1:56" s="11" customFormat="1" ht="14.5" x14ac:dyDescent="0.35">
      <c r="A179" s="2">
        <v>45724</v>
      </c>
      <c r="B179" s="2"/>
      <c r="C179" s="2"/>
      <c r="D179" s="3" t="s">
        <v>102</v>
      </c>
      <c r="E179" s="3" t="s">
        <v>58</v>
      </c>
      <c r="F179" s="3" t="s">
        <v>59</v>
      </c>
      <c r="G179" s="3" t="s">
        <v>335</v>
      </c>
      <c r="H179" s="3" t="s">
        <v>61</v>
      </c>
      <c r="I179" s="3">
        <v>1039681747</v>
      </c>
      <c r="J179" s="3" t="s">
        <v>336</v>
      </c>
      <c r="K179" s="3">
        <v>3136884875</v>
      </c>
      <c r="L179" s="3" t="s">
        <v>24</v>
      </c>
      <c r="M179" s="3">
        <v>1039681747</v>
      </c>
      <c r="N179" s="2">
        <v>45792</v>
      </c>
      <c r="O179" s="72" t="s">
        <v>337</v>
      </c>
      <c r="P179" s="3">
        <v>3</v>
      </c>
      <c r="Q179" s="11">
        <f t="shared" si="2"/>
        <v>106666</v>
      </c>
      <c r="R179" s="20" t="s">
        <v>88</v>
      </c>
      <c r="S179" t="s">
        <v>65</v>
      </c>
      <c r="T179" t="s">
        <v>110</v>
      </c>
      <c r="U179" s="20">
        <f>IFERROR(VLOOKUP(T179,PHVA!$B$2:$C$74,2,0),0)</f>
        <v>2</v>
      </c>
      <c r="V179" s="3" t="s">
        <v>340</v>
      </c>
      <c r="W179" s="2">
        <v>45807</v>
      </c>
      <c r="X179" s="3">
        <f>ABS(A179-W179)</f>
        <v>83</v>
      </c>
      <c r="Y179" s="20">
        <f>VLOOKUP(M179,Hoja3!$L$2:$X$26,13,0)</f>
        <v>4</v>
      </c>
      <c r="Z179" s="27" t="s">
        <v>68</v>
      </c>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row>
    <row r="180" spans="1:56" ht="14.5" x14ac:dyDescent="0.35">
      <c r="A180" s="2">
        <v>45731</v>
      </c>
      <c r="C180" s="2"/>
      <c r="D180" s="3" t="s">
        <v>102</v>
      </c>
      <c r="E180" s="3" t="s">
        <v>58</v>
      </c>
      <c r="F180" s="3" t="s">
        <v>59</v>
      </c>
      <c r="G180" s="3" t="s">
        <v>335</v>
      </c>
      <c r="H180" s="3" t="s">
        <v>61</v>
      </c>
      <c r="I180" s="3">
        <v>1039681747</v>
      </c>
      <c r="J180" s="3" t="s">
        <v>336</v>
      </c>
      <c r="K180" s="3">
        <v>3136884875</v>
      </c>
      <c r="L180" s="3" t="s">
        <v>24</v>
      </c>
      <c r="M180" s="3">
        <v>1039681747</v>
      </c>
      <c r="N180" s="2">
        <v>45799</v>
      </c>
      <c r="O180" s="72" t="s">
        <v>337</v>
      </c>
      <c r="P180" s="3">
        <v>3</v>
      </c>
      <c r="Q180" s="11">
        <f t="shared" si="2"/>
        <v>106666</v>
      </c>
      <c r="R180" s="20" t="s">
        <v>88</v>
      </c>
      <c r="S180" t="s">
        <v>65</v>
      </c>
      <c r="T180" t="s">
        <v>103</v>
      </c>
      <c r="U180" s="20">
        <f>IFERROR(VLOOKUP(T180,PHVA!$B$2:$C$74,2,0),0)</f>
        <v>1</v>
      </c>
      <c r="V180" s="3" t="s">
        <v>341</v>
      </c>
      <c r="W180" s="2">
        <v>45807</v>
      </c>
      <c r="X180" s="3">
        <f>ABS(A180-W180)</f>
        <v>76</v>
      </c>
      <c r="Y180" s="20">
        <f>VLOOKUP(M180,Hoja3!$L$2:$X$26,13,0)</f>
        <v>4</v>
      </c>
      <c r="Z180" s="27" t="s">
        <v>68</v>
      </c>
    </row>
    <row r="181" spans="1:56" ht="14.5" x14ac:dyDescent="0.35">
      <c r="A181" s="2">
        <v>45738</v>
      </c>
      <c r="C181" s="2"/>
      <c r="D181" s="3" t="s">
        <v>102</v>
      </c>
      <c r="E181" s="3" t="s">
        <v>58</v>
      </c>
      <c r="F181" s="3" t="s">
        <v>59</v>
      </c>
      <c r="G181" s="3" t="s">
        <v>335</v>
      </c>
      <c r="H181" s="3" t="s">
        <v>61</v>
      </c>
      <c r="I181" s="3">
        <v>1039681747</v>
      </c>
      <c r="J181" s="3" t="s">
        <v>336</v>
      </c>
      <c r="K181" s="3">
        <v>3136884875</v>
      </c>
      <c r="L181" s="3" t="s">
        <v>24</v>
      </c>
      <c r="M181" s="3">
        <v>1039681747</v>
      </c>
      <c r="N181" s="2">
        <v>45806</v>
      </c>
      <c r="O181" s="72" t="s">
        <v>337</v>
      </c>
      <c r="P181" s="3">
        <v>3</v>
      </c>
      <c r="Q181" s="11">
        <f t="shared" si="2"/>
        <v>106666</v>
      </c>
      <c r="R181" s="20" t="s">
        <v>88</v>
      </c>
      <c r="S181" t="s">
        <v>65</v>
      </c>
      <c r="T181" t="s">
        <v>82</v>
      </c>
      <c r="U181" s="20">
        <f>IFERROR(VLOOKUP(T181,PHVA!$B$2:$C$74,2,0),0)</f>
        <v>0.5</v>
      </c>
      <c r="V181" s="3" t="s">
        <v>342</v>
      </c>
      <c r="W181" s="2">
        <v>45807</v>
      </c>
      <c r="X181" s="3">
        <f>ABS(A181-W181)</f>
        <v>69</v>
      </c>
      <c r="Y181" s="20">
        <f>VLOOKUP(M181,Hoja3!$L$2:$X$26,13,0)</f>
        <v>4</v>
      </c>
      <c r="Z181" s="27" t="s">
        <v>68</v>
      </c>
    </row>
    <row r="182" spans="1:56" ht="14.5" x14ac:dyDescent="0.35">
      <c r="A182" s="2">
        <v>45738</v>
      </c>
      <c r="C182" s="2"/>
      <c r="D182" s="3" t="s">
        <v>102</v>
      </c>
      <c r="E182" s="3" t="s">
        <v>58</v>
      </c>
      <c r="F182" s="3" t="s">
        <v>59</v>
      </c>
      <c r="G182" s="3" t="s">
        <v>335</v>
      </c>
      <c r="H182" s="3" t="s">
        <v>61</v>
      </c>
      <c r="I182" s="3">
        <v>1039681747</v>
      </c>
      <c r="J182" s="3" t="s">
        <v>336</v>
      </c>
      <c r="K182" s="3">
        <v>3136884875</v>
      </c>
      <c r="L182" s="3" t="s">
        <v>24</v>
      </c>
      <c r="M182" s="3">
        <v>1039681747</v>
      </c>
      <c r="N182" s="2">
        <v>45806</v>
      </c>
      <c r="O182" s="72" t="s">
        <v>337</v>
      </c>
      <c r="P182" s="3">
        <v>3</v>
      </c>
      <c r="Q182" s="11">
        <f t="shared" si="2"/>
        <v>106666</v>
      </c>
      <c r="R182" s="20" t="s">
        <v>88</v>
      </c>
      <c r="S182" t="s">
        <v>65</v>
      </c>
      <c r="T182" t="s">
        <v>267</v>
      </c>
      <c r="U182" s="20">
        <f>IFERROR(VLOOKUP(T182,PHVA!$B$2:$C$74,2,0),0)</f>
        <v>1</v>
      </c>
      <c r="V182" s="3" t="s">
        <v>342</v>
      </c>
      <c r="W182" s="2">
        <v>45807</v>
      </c>
      <c r="X182" s="3">
        <f>ABS(A182-W182)</f>
        <v>69</v>
      </c>
      <c r="Y182" s="20">
        <f>VLOOKUP(M182,Hoja3!$L$2:$X$26,13,0)</f>
        <v>4</v>
      </c>
      <c r="Z182" s="27" t="s">
        <v>68</v>
      </c>
    </row>
    <row r="183" spans="1:56" ht="14.5" x14ac:dyDescent="0.35">
      <c r="A183" s="2">
        <v>45745</v>
      </c>
      <c r="C183" s="2"/>
      <c r="D183" s="3" t="s">
        <v>102</v>
      </c>
      <c r="E183" s="3" t="s">
        <v>58</v>
      </c>
      <c r="F183" s="3" t="s">
        <v>59</v>
      </c>
      <c r="G183" s="3" t="s">
        <v>335</v>
      </c>
      <c r="H183" s="3" t="s">
        <v>61</v>
      </c>
      <c r="I183" s="3">
        <v>1039681747</v>
      </c>
      <c r="J183" s="3" t="s">
        <v>336</v>
      </c>
      <c r="K183" s="3">
        <v>3136884875</v>
      </c>
      <c r="L183" s="3" t="s">
        <v>24</v>
      </c>
      <c r="M183" s="3">
        <v>1039681747</v>
      </c>
      <c r="N183" s="2">
        <v>45813</v>
      </c>
      <c r="O183" s="72" t="s">
        <v>337</v>
      </c>
      <c r="P183" s="3">
        <v>3</v>
      </c>
      <c r="Q183" s="11">
        <f t="shared" si="2"/>
        <v>106666</v>
      </c>
      <c r="R183" s="20" t="s">
        <v>88</v>
      </c>
      <c r="S183" t="s">
        <v>65</v>
      </c>
      <c r="T183" t="s">
        <v>110</v>
      </c>
      <c r="U183" s="20">
        <f>IFERROR(VLOOKUP(T183,PHVA!$B$2:$C$74,2,0),0)</f>
        <v>2</v>
      </c>
      <c r="V183" s="3" t="s">
        <v>343</v>
      </c>
      <c r="W183" s="2">
        <v>45807</v>
      </c>
      <c r="X183" s="3">
        <f>ABS(A183-W183)</f>
        <v>62</v>
      </c>
      <c r="Y183" s="20">
        <f>VLOOKUP(M183,Hoja3!$L$2:$X$26,13,0)</f>
        <v>4</v>
      </c>
      <c r="Z183" s="27" t="s">
        <v>68</v>
      </c>
    </row>
    <row r="184" spans="1:56" ht="14.5" x14ac:dyDescent="0.35">
      <c r="A184" s="10">
        <v>45742</v>
      </c>
      <c r="B184" s="16" t="s">
        <v>90</v>
      </c>
      <c r="C184" s="39">
        <v>3</v>
      </c>
      <c r="D184" s="11" t="s">
        <v>344</v>
      </c>
      <c r="E184" s="11" t="s">
        <v>58</v>
      </c>
      <c r="F184" s="11" t="s">
        <v>91</v>
      </c>
      <c r="G184" s="11" t="s">
        <v>345</v>
      </c>
      <c r="H184" s="11" t="s">
        <v>61</v>
      </c>
      <c r="I184" s="11">
        <v>39189386</v>
      </c>
      <c r="J184" s="11" t="s">
        <v>346</v>
      </c>
      <c r="K184" s="11">
        <v>3022152280</v>
      </c>
      <c r="L184" s="11" t="s">
        <v>25</v>
      </c>
      <c r="M184" s="11">
        <v>901268585</v>
      </c>
      <c r="N184" s="10">
        <v>45742</v>
      </c>
      <c r="O184" s="71" t="s">
        <v>165</v>
      </c>
      <c r="P184" s="11">
        <v>5</v>
      </c>
      <c r="Q184" s="11">
        <f t="shared" si="2"/>
        <v>213000</v>
      </c>
      <c r="R184" s="20" t="s">
        <v>88</v>
      </c>
      <c r="S184" s="25" t="s">
        <v>65</v>
      </c>
      <c r="T184" s="25" t="s">
        <v>94</v>
      </c>
      <c r="U184" s="20">
        <f>IFERROR(VLOOKUP(T184,PHVA!$B$2:$C$74,2,0),0)</f>
        <v>1</v>
      </c>
      <c r="V184" s="11" t="s">
        <v>347</v>
      </c>
      <c r="W184" s="10">
        <v>45807</v>
      </c>
      <c r="X184" s="11">
        <f>ABS(A184-W184)</f>
        <v>65</v>
      </c>
      <c r="Y184" s="20">
        <f>VLOOKUP(M184,Hoja3!$L$2:$X$26,13,0)</f>
        <v>9</v>
      </c>
      <c r="Z184" s="27" t="s">
        <v>68</v>
      </c>
    </row>
    <row r="185" spans="1:56" ht="14.5" x14ac:dyDescent="0.35">
      <c r="A185" s="2">
        <v>45744</v>
      </c>
      <c r="C185" s="2"/>
      <c r="D185" s="3" t="s">
        <v>70</v>
      </c>
      <c r="E185" s="3" t="s">
        <v>58</v>
      </c>
      <c r="F185" s="3" t="s">
        <v>91</v>
      </c>
      <c r="G185" s="3" t="s">
        <v>345</v>
      </c>
      <c r="H185" s="3" t="s">
        <v>61</v>
      </c>
      <c r="I185" s="3">
        <v>39189386</v>
      </c>
      <c r="J185" s="3" t="s">
        <v>346</v>
      </c>
      <c r="K185" s="3">
        <v>3022152280</v>
      </c>
      <c r="L185" s="3" t="s">
        <v>25</v>
      </c>
      <c r="M185" s="3">
        <v>901268585</v>
      </c>
      <c r="N185" s="2">
        <v>45744</v>
      </c>
      <c r="O185" s="72">
        <v>0.44444444444444442</v>
      </c>
      <c r="P185" s="3">
        <v>5</v>
      </c>
      <c r="Q185" s="11">
        <f t="shared" si="2"/>
        <v>213000</v>
      </c>
      <c r="R185" s="20" t="s">
        <v>88</v>
      </c>
      <c r="S185" t="s">
        <v>65</v>
      </c>
      <c r="T185" t="s">
        <v>103</v>
      </c>
      <c r="U185" s="20">
        <f>IFERROR(VLOOKUP(T185,PHVA!$B$2:$C$74,2,0),0)</f>
        <v>1</v>
      </c>
      <c r="V185" s="3" t="s">
        <v>348</v>
      </c>
      <c r="W185" s="2">
        <v>45807</v>
      </c>
      <c r="X185" s="3">
        <f>ABS(A185-W185)</f>
        <v>63</v>
      </c>
      <c r="Y185" s="20">
        <f>VLOOKUP(M185,Hoja3!$L$2:$X$26,13,0)</f>
        <v>9</v>
      </c>
      <c r="Z185" s="27" t="s">
        <v>68</v>
      </c>
    </row>
    <row r="186" spans="1:56" s="11" customFormat="1" ht="14.5" x14ac:dyDescent="0.35">
      <c r="A186" s="2">
        <v>45751</v>
      </c>
      <c r="B186" s="2"/>
      <c r="C186" s="2"/>
      <c r="D186" s="3" t="s">
        <v>70</v>
      </c>
      <c r="E186" s="3" t="s">
        <v>58</v>
      </c>
      <c r="F186" s="3" t="s">
        <v>91</v>
      </c>
      <c r="G186" s="3" t="s">
        <v>345</v>
      </c>
      <c r="H186" s="3" t="s">
        <v>61</v>
      </c>
      <c r="I186" s="3">
        <v>39189386</v>
      </c>
      <c r="J186" s="3" t="s">
        <v>346</v>
      </c>
      <c r="K186" s="3">
        <v>3022152280</v>
      </c>
      <c r="L186" s="3" t="s">
        <v>25</v>
      </c>
      <c r="M186" s="3">
        <v>901268585</v>
      </c>
      <c r="N186" s="2">
        <v>45751</v>
      </c>
      <c r="O186" s="72">
        <v>0.44444444444444442</v>
      </c>
      <c r="P186" s="3">
        <v>5</v>
      </c>
      <c r="Q186" s="11">
        <f t="shared" si="2"/>
        <v>213000</v>
      </c>
      <c r="R186" s="20" t="s">
        <v>88</v>
      </c>
      <c r="S186" t="s">
        <v>65</v>
      </c>
      <c r="T186" t="s">
        <v>96</v>
      </c>
      <c r="U186" s="20">
        <f>IFERROR(VLOOKUP(T186,PHVA!$B$2:$C$74,2,0),0)</f>
        <v>3</v>
      </c>
      <c r="V186" s="3" t="s">
        <v>349</v>
      </c>
      <c r="W186" s="2">
        <v>45807</v>
      </c>
      <c r="X186" s="3">
        <f>ABS(A186-W186)</f>
        <v>56</v>
      </c>
      <c r="Y186" s="20">
        <f>VLOOKUP(M186,Hoja3!$L$2:$X$26,13,0)</f>
        <v>9</v>
      </c>
      <c r="Z186" s="27" t="s">
        <v>68</v>
      </c>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row>
    <row r="187" spans="1:56" ht="14.5" x14ac:dyDescent="0.35">
      <c r="A187" s="2">
        <v>45758</v>
      </c>
      <c r="C187" s="2"/>
      <c r="D187" s="3" t="s">
        <v>70</v>
      </c>
      <c r="E187" s="3" t="s">
        <v>58</v>
      </c>
      <c r="F187" s="3" t="s">
        <v>91</v>
      </c>
      <c r="G187" s="3" t="s">
        <v>345</v>
      </c>
      <c r="H187" s="3" t="s">
        <v>61</v>
      </c>
      <c r="I187" s="3">
        <v>39189386</v>
      </c>
      <c r="J187" s="3" t="s">
        <v>346</v>
      </c>
      <c r="K187" s="3">
        <v>3022152280</v>
      </c>
      <c r="L187" s="3" t="s">
        <v>25</v>
      </c>
      <c r="M187" s="3">
        <v>901268585</v>
      </c>
      <c r="N187" s="2">
        <v>45758</v>
      </c>
      <c r="O187" s="72">
        <v>0.44444444444444442</v>
      </c>
      <c r="P187" s="3">
        <v>5</v>
      </c>
      <c r="Q187" s="11">
        <f t="shared" si="2"/>
        <v>213000</v>
      </c>
      <c r="R187" s="20" t="s">
        <v>88</v>
      </c>
      <c r="S187" t="s">
        <v>65</v>
      </c>
      <c r="T187" t="s">
        <v>96</v>
      </c>
      <c r="U187" s="20">
        <f>IFERROR(VLOOKUP(T187,PHVA!$B$2:$C$74,2,0),0)</f>
        <v>3</v>
      </c>
      <c r="V187" s="3" t="s">
        <v>350</v>
      </c>
      <c r="W187" s="2">
        <v>45807</v>
      </c>
      <c r="X187" s="3">
        <f>ABS(A187-W187)</f>
        <v>49</v>
      </c>
      <c r="Y187" s="20">
        <f>VLOOKUP(M187,Hoja3!$L$2:$X$26,13,0)</f>
        <v>9</v>
      </c>
      <c r="Z187" s="27" t="s">
        <v>68</v>
      </c>
    </row>
    <row r="188" spans="1:56" ht="14.5" x14ac:dyDescent="0.35">
      <c r="A188" s="2">
        <v>45771</v>
      </c>
      <c r="C188" s="2"/>
      <c r="D188" s="3" t="s">
        <v>102</v>
      </c>
      <c r="E188" s="3" t="s">
        <v>58</v>
      </c>
      <c r="F188" s="3" t="s">
        <v>59</v>
      </c>
      <c r="G188" s="3" t="s">
        <v>345</v>
      </c>
      <c r="H188" s="3" t="s">
        <v>61</v>
      </c>
      <c r="I188" s="3">
        <v>39189386</v>
      </c>
      <c r="J188" s="3" t="s">
        <v>346</v>
      </c>
      <c r="K188" s="3">
        <v>3022152280</v>
      </c>
      <c r="L188" s="3" t="s">
        <v>25</v>
      </c>
      <c r="M188" s="3">
        <v>901268585</v>
      </c>
      <c r="N188" s="2">
        <v>45771</v>
      </c>
      <c r="O188" s="72" t="s">
        <v>63</v>
      </c>
      <c r="P188" s="3">
        <v>5</v>
      </c>
      <c r="Q188" s="11">
        <f t="shared" si="2"/>
        <v>213000</v>
      </c>
      <c r="R188" s="20" t="s">
        <v>88</v>
      </c>
      <c r="S188" t="s">
        <v>65</v>
      </c>
      <c r="T188" t="s">
        <v>110</v>
      </c>
      <c r="U188" s="20">
        <f>IFERROR(VLOOKUP(T188,PHVA!$B$2:$C$74,2,0),0)</f>
        <v>2</v>
      </c>
      <c r="V188" s="3" t="s">
        <v>351</v>
      </c>
      <c r="W188" s="2">
        <v>45807</v>
      </c>
      <c r="X188" s="3">
        <f>ABS(A188-W188)</f>
        <v>36</v>
      </c>
      <c r="Y188" s="20">
        <f>VLOOKUP(M188,Hoja3!$L$2:$X$26,13,0)</f>
        <v>9</v>
      </c>
      <c r="Z188" s="27" t="s">
        <v>68</v>
      </c>
    </row>
    <row r="189" spans="1:56" ht="14.5" x14ac:dyDescent="0.35">
      <c r="A189" s="2">
        <v>45775</v>
      </c>
      <c r="C189" s="2"/>
      <c r="D189" s="3" t="s">
        <v>102</v>
      </c>
      <c r="E189" s="3" t="s">
        <v>58</v>
      </c>
      <c r="F189" s="3" t="s">
        <v>59</v>
      </c>
      <c r="G189" s="3" t="s">
        <v>345</v>
      </c>
      <c r="H189" s="3" t="s">
        <v>61</v>
      </c>
      <c r="I189" s="3">
        <v>39189386</v>
      </c>
      <c r="J189" s="3" t="s">
        <v>346</v>
      </c>
      <c r="K189" s="3">
        <v>3022152280</v>
      </c>
      <c r="L189" s="3" t="s">
        <v>25</v>
      </c>
      <c r="M189" s="3">
        <v>901268585</v>
      </c>
      <c r="N189" s="2">
        <v>45775</v>
      </c>
      <c r="P189" s="3">
        <v>5</v>
      </c>
      <c r="Q189" s="11">
        <f t="shared" si="2"/>
        <v>213000</v>
      </c>
      <c r="R189" s="8" t="s">
        <v>172</v>
      </c>
      <c r="S189" t="s">
        <v>65</v>
      </c>
      <c r="T189" t="s">
        <v>221</v>
      </c>
      <c r="U189" s="8">
        <f>IFERROR(VLOOKUP(T189,PHVA!$B$2:$C$74,2,0),0)</f>
        <v>0</v>
      </c>
      <c r="V189" s="3" t="s">
        <v>352</v>
      </c>
      <c r="W189" s="2">
        <v>45807</v>
      </c>
      <c r="X189" s="3">
        <f>ABS(A189-W189)</f>
        <v>32</v>
      </c>
      <c r="Y189" s="20">
        <f>VLOOKUP(M189,Hoja3!$L$2:$X$26,13,0)</f>
        <v>9</v>
      </c>
      <c r="Z189" s="43" t="s">
        <v>68</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ht="14.5" x14ac:dyDescent="0.35">
      <c r="A190" s="2">
        <v>45778</v>
      </c>
      <c r="C190" s="2"/>
      <c r="D190" s="3" t="s">
        <v>102</v>
      </c>
      <c r="E190" s="3" t="s">
        <v>58</v>
      </c>
      <c r="F190" s="3" t="s">
        <v>59</v>
      </c>
      <c r="G190" s="3" t="s">
        <v>345</v>
      </c>
      <c r="H190" s="3" t="s">
        <v>61</v>
      </c>
      <c r="I190" s="3">
        <v>39189386</v>
      </c>
      <c r="J190" s="3" t="s">
        <v>346</v>
      </c>
      <c r="K190" s="3">
        <v>3022152280</v>
      </c>
      <c r="L190" s="3" t="s">
        <v>25</v>
      </c>
      <c r="M190" s="3">
        <v>901268585</v>
      </c>
      <c r="N190" s="2">
        <v>45778</v>
      </c>
      <c r="O190" s="72" t="s">
        <v>63</v>
      </c>
      <c r="P190" s="3">
        <v>5</v>
      </c>
      <c r="Q190" s="11">
        <f t="shared" si="2"/>
        <v>213000</v>
      </c>
      <c r="R190" s="8" t="s">
        <v>172</v>
      </c>
      <c r="S190" t="s">
        <v>65</v>
      </c>
      <c r="T190" t="s">
        <v>143</v>
      </c>
      <c r="U190" s="20">
        <f>IFERROR(VLOOKUP(T190,PHVA!$B$2:$C$74,2,0),0)</f>
        <v>0</v>
      </c>
      <c r="V190" s="3" t="s">
        <v>352</v>
      </c>
      <c r="W190" s="2">
        <v>45807</v>
      </c>
      <c r="X190" s="3">
        <f>ABS(A190-W190)</f>
        <v>29</v>
      </c>
      <c r="Y190" s="20">
        <f>VLOOKUP(M190,Hoja3!$L$2:$X$26,13,0)</f>
        <v>9</v>
      </c>
      <c r="Z190" s="27" t="s">
        <v>68</v>
      </c>
    </row>
    <row r="191" spans="1:56" ht="14.5" x14ac:dyDescent="0.35">
      <c r="A191" s="2">
        <v>45785</v>
      </c>
      <c r="C191" s="2"/>
      <c r="D191" s="3" t="s">
        <v>102</v>
      </c>
      <c r="E191" s="3" t="s">
        <v>58</v>
      </c>
      <c r="F191" s="3" t="s">
        <v>59</v>
      </c>
      <c r="G191" s="3" t="s">
        <v>345</v>
      </c>
      <c r="H191" s="3" t="s">
        <v>61</v>
      </c>
      <c r="I191" s="3">
        <v>39189386</v>
      </c>
      <c r="J191" s="3" t="s">
        <v>346</v>
      </c>
      <c r="K191" s="3">
        <v>3022152280</v>
      </c>
      <c r="L191" s="3" t="s">
        <v>25</v>
      </c>
      <c r="M191" s="3">
        <v>901268585</v>
      </c>
      <c r="N191" s="2">
        <v>45785</v>
      </c>
      <c r="O191" s="72" t="s">
        <v>63</v>
      </c>
      <c r="P191" s="3">
        <v>5</v>
      </c>
      <c r="Q191" s="11">
        <f t="shared" si="2"/>
        <v>213000</v>
      </c>
      <c r="R191" s="20" t="s">
        <v>88</v>
      </c>
      <c r="S191" t="s">
        <v>65</v>
      </c>
      <c r="T191" t="s">
        <v>82</v>
      </c>
      <c r="U191" s="20">
        <f>IFERROR(VLOOKUP(T191,PHVA!$B$2:$C$74,2,0),0)</f>
        <v>0.5</v>
      </c>
      <c r="V191" s="3" t="s">
        <v>353</v>
      </c>
      <c r="W191" s="2">
        <v>45807</v>
      </c>
      <c r="X191" s="3">
        <f>ABS(A191-W191)</f>
        <v>22</v>
      </c>
      <c r="Y191" s="20">
        <f>VLOOKUP(M191,Hoja3!$L$2:$X$26,13,0)</f>
        <v>9</v>
      </c>
      <c r="Z191" s="27" t="s">
        <v>68</v>
      </c>
    </row>
    <row r="192" spans="1:56" s="11" customFormat="1" ht="14.5" x14ac:dyDescent="0.35">
      <c r="A192" s="2">
        <v>45792</v>
      </c>
      <c r="B192" s="2"/>
      <c r="C192" s="2"/>
      <c r="D192" s="3" t="s">
        <v>102</v>
      </c>
      <c r="E192" s="3" t="s">
        <v>58</v>
      </c>
      <c r="F192" s="3" t="s">
        <v>59</v>
      </c>
      <c r="G192" s="3" t="s">
        <v>345</v>
      </c>
      <c r="H192" s="3" t="s">
        <v>61</v>
      </c>
      <c r="I192" s="3">
        <v>39189386</v>
      </c>
      <c r="J192" s="3" t="s">
        <v>346</v>
      </c>
      <c r="K192" s="3">
        <v>3022152280</v>
      </c>
      <c r="L192" s="3" t="s">
        <v>25</v>
      </c>
      <c r="M192" s="3">
        <v>901268585</v>
      </c>
      <c r="N192" s="2">
        <v>45792</v>
      </c>
      <c r="O192" s="72" t="s">
        <v>63</v>
      </c>
      <c r="P192" s="3">
        <v>5</v>
      </c>
      <c r="Q192" s="11">
        <f t="shared" si="2"/>
        <v>213000</v>
      </c>
      <c r="R192" s="20" t="s">
        <v>88</v>
      </c>
      <c r="S192" t="s">
        <v>65</v>
      </c>
      <c r="T192" t="s">
        <v>110</v>
      </c>
      <c r="U192" s="20">
        <f>IFERROR(VLOOKUP(T192,PHVA!$B$2:$C$74,2,0),0)</f>
        <v>2</v>
      </c>
      <c r="V192" s="3" t="s">
        <v>354</v>
      </c>
      <c r="W192" s="2">
        <v>45807</v>
      </c>
      <c r="X192" s="3">
        <f>ABS(A192-W192)</f>
        <v>15</v>
      </c>
      <c r="Y192" s="20">
        <f>VLOOKUP(M192,Hoja3!$L$2:$X$26,13,0)</f>
        <v>9</v>
      </c>
      <c r="Z192" s="27" t="s">
        <v>68</v>
      </c>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row>
    <row r="193" spans="1:56" s="11" customFormat="1" ht="14.5" x14ac:dyDescent="0.35">
      <c r="A193" s="2">
        <v>45799</v>
      </c>
      <c r="B193" s="2"/>
      <c r="C193" s="2"/>
      <c r="D193" s="3" t="s">
        <v>102</v>
      </c>
      <c r="E193" s="3" t="s">
        <v>58</v>
      </c>
      <c r="F193" s="3" t="s">
        <v>59</v>
      </c>
      <c r="G193" s="3" t="s">
        <v>345</v>
      </c>
      <c r="H193" s="3" t="s">
        <v>61</v>
      </c>
      <c r="I193" s="3">
        <v>39189386</v>
      </c>
      <c r="J193" s="3" t="s">
        <v>346</v>
      </c>
      <c r="K193" s="3">
        <v>3022152280</v>
      </c>
      <c r="L193" s="3" t="s">
        <v>25</v>
      </c>
      <c r="M193" s="34">
        <v>901268585</v>
      </c>
      <c r="N193" s="2">
        <v>45799</v>
      </c>
      <c r="O193" s="72" t="s">
        <v>63</v>
      </c>
      <c r="P193" s="3">
        <v>5</v>
      </c>
      <c r="Q193" s="11">
        <f t="shared" si="2"/>
        <v>213000</v>
      </c>
      <c r="R193" s="20" t="s">
        <v>88</v>
      </c>
      <c r="S193" t="s">
        <v>65</v>
      </c>
      <c r="T193" t="s">
        <v>76</v>
      </c>
      <c r="U193" s="20">
        <f>IFERROR(VLOOKUP(T193,PHVA!$B$2:$C$74,2,0),0)</f>
        <v>2</v>
      </c>
      <c r="V193" s="3" t="s">
        <v>355</v>
      </c>
      <c r="W193" s="2">
        <v>45807</v>
      </c>
      <c r="X193" s="3">
        <f>ABS(A193-W193)</f>
        <v>8</v>
      </c>
      <c r="Y193" s="20">
        <f>VLOOKUP(M193,Hoja3!$L$2:$X$26,13,0)</f>
        <v>9</v>
      </c>
      <c r="Z193" s="27" t="s">
        <v>68</v>
      </c>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row>
    <row r="194" spans="1:56" ht="14.5" x14ac:dyDescent="0.35">
      <c r="A194" s="2">
        <v>45806</v>
      </c>
      <c r="C194" s="2"/>
      <c r="D194" s="3" t="s">
        <v>102</v>
      </c>
      <c r="E194" s="3" t="s">
        <v>58</v>
      </c>
      <c r="F194" s="3" t="s">
        <v>59</v>
      </c>
      <c r="G194" s="3" t="s">
        <v>345</v>
      </c>
      <c r="H194" s="3" t="s">
        <v>61</v>
      </c>
      <c r="I194" s="3">
        <v>39189386</v>
      </c>
      <c r="J194" s="3" t="s">
        <v>346</v>
      </c>
      <c r="K194" s="3">
        <v>3022152280</v>
      </c>
      <c r="L194" s="3" t="s">
        <v>25</v>
      </c>
      <c r="M194" s="3">
        <v>901268585</v>
      </c>
      <c r="N194" s="2">
        <v>45806</v>
      </c>
      <c r="O194" s="72" t="s">
        <v>63</v>
      </c>
      <c r="P194" s="3">
        <v>5</v>
      </c>
      <c r="Q194" s="11">
        <f t="shared" si="2"/>
        <v>213000</v>
      </c>
      <c r="R194" s="20" t="s">
        <v>88</v>
      </c>
      <c r="S194" t="s">
        <v>65</v>
      </c>
      <c r="T194" t="s">
        <v>66</v>
      </c>
      <c r="U194" s="20">
        <f>IFERROR(VLOOKUP(T194,PHVA!$B$2:$C$74,2,0),0)</f>
        <v>2</v>
      </c>
      <c r="V194" s="3" t="s">
        <v>356</v>
      </c>
      <c r="W194" s="2">
        <v>45807</v>
      </c>
      <c r="X194" s="3">
        <f>ABS(A194-W194)</f>
        <v>1</v>
      </c>
      <c r="Y194" s="20">
        <f>VLOOKUP(M194,Hoja3!$L$2:$X$26,13,0)</f>
        <v>9</v>
      </c>
      <c r="Z194" s="27" t="s">
        <v>68</v>
      </c>
    </row>
    <row r="195" spans="1:56" ht="14.5" x14ac:dyDescent="0.35">
      <c r="A195" s="2">
        <v>45813</v>
      </c>
      <c r="C195" s="2"/>
      <c r="D195" s="3" t="s">
        <v>102</v>
      </c>
      <c r="E195" s="3" t="s">
        <v>58</v>
      </c>
      <c r="F195" s="3" t="s">
        <v>59</v>
      </c>
      <c r="G195" s="3" t="s">
        <v>345</v>
      </c>
      <c r="H195" s="3" t="s">
        <v>61</v>
      </c>
      <c r="I195" s="3">
        <v>39189386</v>
      </c>
      <c r="J195" s="3" t="s">
        <v>346</v>
      </c>
      <c r="K195" s="3">
        <v>3022152280</v>
      </c>
      <c r="L195" s="3" t="s">
        <v>25</v>
      </c>
      <c r="M195" s="3">
        <v>901268585</v>
      </c>
      <c r="N195" s="2">
        <v>45813</v>
      </c>
      <c r="O195" s="72" t="s">
        <v>63</v>
      </c>
      <c r="P195" s="3">
        <v>5</v>
      </c>
      <c r="Q195" s="11">
        <f t="shared" ref="Q195:Q205" si="3">IF(OR(P195=1,P195=2,P195=3),106666,IF(OR(P195=4,P195=5),213000,""))</f>
        <v>213000</v>
      </c>
      <c r="R195" s="20" t="s">
        <v>88</v>
      </c>
      <c r="S195" t="s">
        <v>65</v>
      </c>
      <c r="T195" t="s">
        <v>76</v>
      </c>
      <c r="U195" s="20">
        <f>IFERROR(VLOOKUP(T195,PHVA!$B$2:$C$74,2,0),0)</f>
        <v>2</v>
      </c>
      <c r="W195" s="2">
        <v>45807</v>
      </c>
      <c r="X195" s="3">
        <f>ABS(A195-W195)</f>
        <v>6</v>
      </c>
      <c r="Y195" s="20">
        <f>VLOOKUP(M195,Hoja3!$L$2:$X$26,13,0)</f>
        <v>9</v>
      </c>
      <c r="Z195" s="27" t="s">
        <v>68</v>
      </c>
    </row>
    <row r="196" spans="1:56" ht="14.5" x14ac:dyDescent="0.35">
      <c r="A196" s="10">
        <v>45751</v>
      </c>
      <c r="B196" s="10" t="s">
        <v>69</v>
      </c>
      <c r="C196" s="40">
        <v>2</v>
      </c>
      <c r="D196" s="11" t="s">
        <v>70</v>
      </c>
      <c r="E196" s="11" t="s">
        <v>58</v>
      </c>
      <c r="F196" s="11" t="s">
        <v>91</v>
      </c>
      <c r="G196" s="11" t="s">
        <v>357</v>
      </c>
      <c r="H196" s="11" t="s">
        <v>61</v>
      </c>
      <c r="I196" s="11">
        <v>1037649854</v>
      </c>
      <c r="J196" s="11" t="s">
        <v>358</v>
      </c>
      <c r="K196" s="11">
        <v>3114323737</v>
      </c>
      <c r="L196" s="11" t="s">
        <v>26</v>
      </c>
      <c r="M196" s="11">
        <v>1037649854</v>
      </c>
      <c r="N196" s="10">
        <v>45751</v>
      </c>
      <c r="O196" s="71" t="s">
        <v>122</v>
      </c>
      <c r="P196" s="11">
        <v>2</v>
      </c>
      <c r="Q196" s="11">
        <f t="shared" si="3"/>
        <v>106666</v>
      </c>
      <c r="R196" s="20" t="s">
        <v>88</v>
      </c>
      <c r="S196" s="25" t="s">
        <v>65</v>
      </c>
      <c r="T196" s="25" t="s">
        <v>94</v>
      </c>
      <c r="U196" s="20">
        <f>IFERROR(VLOOKUP(T196,PHVA!$B$2:$C$74,2,0),0)</f>
        <v>1</v>
      </c>
      <c r="V196" s="11" t="s">
        <v>116</v>
      </c>
      <c r="W196" s="10">
        <v>45807</v>
      </c>
      <c r="X196" s="11">
        <f>ABS(A196-W196)</f>
        <v>56</v>
      </c>
      <c r="Y196" s="20">
        <f>VLOOKUP(M196,Hoja3!$L$2:$X$26,13,0)</f>
        <v>2</v>
      </c>
      <c r="Z196" s="27" t="s">
        <v>68</v>
      </c>
    </row>
    <row r="197" spans="1:56" ht="14.5" x14ac:dyDescent="0.35">
      <c r="A197" s="2">
        <v>45758</v>
      </c>
      <c r="C197" s="2"/>
      <c r="D197" s="3" t="s">
        <v>70</v>
      </c>
      <c r="E197" s="3" t="s">
        <v>58</v>
      </c>
      <c r="F197" s="3" t="s">
        <v>71</v>
      </c>
      <c r="G197" s="3" t="s">
        <v>357</v>
      </c>
      <c r="H197" s="3" t="s">
        <v>61</v>
      </c>
      <c r="I197" s="3">
        <v>1037649854</v>
      </c>
      <c r="J197" s="3" t="s">
        <v>358</v>
      </c>
      <c r="K197" s="3">
        <v>3114323737</v>
      </c>
      <c r="L197" s="3" t="s">
        <v>26</v>
      </c>
      <c r="M197" s="3">
        <v>1037649854</v>
      </c>
      <c r="N197" s="2">
        <v>45758</v>
      </c>
      <c r="O197" s="72" t="s">
        <v>122</v>
      </c>
      <c r="P197" s="3">
        <v>2</v>
      </c>
      <c r="Q197" s="11">
        <f t="shared" si="3"/>
        <v>106666</v>
      </c>
      <c r="R197" s="20" t="s">
        <v>88</v>
      </c>
      <c r="S197" t="s">
        <v>65</v>
      </c>
      <c r="T197" t="s">
        <v>66</v>
      </c>
      <c r="U197" s="20">
        <f>IFERROR(VLOOKUP(T197,PHVA!$B$2:$C$74,2,0),0)</f>
        <v>2</v>
      </c>
      <c r="V197" s="3" t="s">
        <v>359</v>
      </c>
      <c r="W197" s="2">
        <v>45807</v>
      </c>
      <c r="X197" s="3">
        <f>ABS(A197-W197)</f>
        <v>49</v>
      </c>
      <c r="Y197" s="20">
        <f>VLOOKUP(M197,Hoja3!$L$2:$X$26,13,0)</f>
        <v>2</v>
      </c>
      <c r="Z197" s="27" t="s">
        <v>68</v>
      </c>
    </row>
    <row r="198" spans="1:56" ht="14.5" x14ac:dyDescent="0.35">
      <c r="A198" s="2">
        <v>45765</v>
      </c>
      <c r="C198" s="2"/>
      <c r="D198" s="3" t="s">
        <v>70</v>
      </c>
      <c r="E198" s="3" t="s">
        <v>58</v>
      </c>
      <c r="F198" s="3" t="s">
        <v>71</v>
      </c>
      <c r="G198" s="3" t="s">
        <v>357</v>
      </c>
      <c r="H198" s="3" t="s">
        <v>61</v>
      </c>
      <c r="I198" s="3">
        <v>1037649854</v>
      </c>
      <c r="J198" s="3" t="s">
        <v>358</v>
      </c>
      <c r="K198" s="3">
        <v>3114323737</v>
      </c>
      <c r="L198" s="3" t="s">
        <v>26</v>
      </c>
      <c r="M198" s="3">
        <v>1037649854</v>
      </c>
      <c r="N198" s="2">
        <v>45765</v>
      </c>
      <c r="O198" s="72" t="s">
        <v>122</v>
      </c>
      <c r="P198" s="3">
        <v>2</v>
      </c>
      <c r="Q198" s="11">
        <f t="shared" si="3"/>
        <v>106666</v>
      </c>
      <c r="R198" s="20" t="s">
        <v>88</v>
      </c>
      <c r="S198" t="s">
        <v>65</v>
      </c>
      <c r="T198" t="s">
        <v>143</v>
      </c>
      <c r="U198" s="20">
        <f>IFERROR(VLOOKUP(T198,PHVA!$B$2:$C$74,2,0),0)</f>
        <v>0</v>
      </c>
      <c r="V198" s="3" t="s">
        <v>360</v>
      </c>
      <c r="W198" s="2">
        <v>45807</v>
      </c>
      <c r="X198" s="3">
        <f>ABS(A198-W198)</f>
        <v>42</v>
      </c>
      <c r="Y198" s="20">
        <f>VLOOKUP(M198,Hoja3!$L$2:$X$26,13,0)</f>
        <v>2</v>
      </c>
      <c r="Z198" s="27" t="s">
        <v>68</v>
      </c>
    </row>
    <row r="199" spans="1:56" ht="14.5" x14ac:dyDescent="0.35">
      <c r="A199" s="2">
        <v>45772</v>
      </c>
      <c r="C199" s="2"/>
      <c r="D199" s="3" t="s">
        <v>70</v>
      </c>
      <c r="E199" s="3" t="s">
        <v>58</v>
      </c>
      <c r="F199" s="3" t="s">
        <v>71</v>
      </c>
      <c r="G199" s="3" t="s">
        <v>357</v>
      </c>
      <c r="H199" s="3" t="s">
        <v>61</v>
      </c>
      <c r="I199" s="3">
        <v>1037649854</v>
      </c>
      <c r="J199" s="3" t="s">
        <v>358</v>
      </c>
      <c r="K199" s="3">
        <v>3114323737</v>
      </c>
      <c r="L199" s="3" t="s">
        <v>26</v>
      </c>
      <c r="M199" s="3">
        <v>1037649854</v>
      </c>
      <c r="N199" s="2">
        <v>45772</v>
      </c>
      <c r="O199" s="72" t="s">
        <v>122</v>
      </c>
      <c r="P199" s="3">
        <v>2</v>
      </c>
      <c r="Q199" s="11">
        <f t="shared" si="3"/>
        <v>106666</v>
      </c>
      <c r="R199" s="20" t="s">
        <v>88</v>
      </c>
      <c r="S199" t="s">
        <v>65</v>
      </c>
      <c r="T199" t="s">
        <v>96</v>
      </c>
      <c r="U199" s="20">
        <f>IFERROR(VLOOKUP(T199,PHVA!$B$2:$C$74,2,0),0)</f>
        <v>3</v>
      </c>
      <c r="V199" s="3" t="s">
        <v>361</v>
      </c>
      <c r="W199" s="2">
        <v>45807</v>
      </c>
      <c r="X199" s="3">
        <f>ABS(A199-W199)</f>
        <v>35</v>
      </c>
      <c r="Y199" s="20">
        <f>VLOOKUP(M199,Hoja3!$L$2:$X$26,13,0)</f>
        <v>2</v>
      </c>
      <c r="Z199" s="27" t="s">
        <v>68</v>
      </c>
    </row>
    <row r="200" spans="1:56" ht="14.5" x14ac:dyDescent="0.35">
      <c r="A200" s="2">
        <v>45779</v>
      </c>
      <c r="C200" s="2"/>
      <c r="D200" s="3" t="s">
        <v>70</v>
      </c>
      <c r="E200" s="3" t="s">
        <v>58</v>
      </c>
      <c r="F200" s="3" t="s">
        <v>71</v>
      </c>
      <c r="G200" s="3" t="s">
        <v>357</v>
      </c>
      <c r="H200" s="3" t="s">
        <v>61</v>
      </c>
      <c r="I200" s="3">
        <v>1037649854</v>
      </c>
      <c r="J200" s="3" t="s">
        <v>358</v>
      </c>
      <c r="K200" s="3">
        <v>3114323737</v>
      </c>
      <c r="L200" s="3" t="s">
        <v>26</v>
      </c>
      <c r="M200" s="3">
        <v>1037649854</v>
      </c>
      <c r="N200" s="2">
        <v>45779</v>
      </c>
      <c r="O200" s="72" t="s">
        <v>122</v>
      </c>
      <c r="P200" s="3">
        <v>2</v>
      </c>
      <c r="Q200" s="11">
        <f t="shared" si="3"/>
        <v>106666</v>
      </c>
      <c r="R200" s="20" t="s">
        <v>88</v>
      </c>
      <c r="S200" t="s">
        <v>65</v>
      </c>
      <c r="T200" t="s">
        <v>76</v>
      </c>
      <c r="U200" s="20">
        <f>IFERROR(VLOOKUP(T200,PHVA!$B$2:$C$74,2,0),0)</f>
        <v>2</v>
      </c>
      <c r="V200" s="3" t="s">
        <v>362</v>
      </c>
      <c r="W200" s="2">
        <v>45807</v>
      </c>
      <c r="X200" s="3">
        <f>ABS(A200-W200)</f>
        <v>28</v>
      </c>
      <c r="Y200" s="20">
        <f>VLOOKUP(M200,Hoja3!$L$2:$X$26,13,0)</f>
        <v>2</v>
      </c>
      <c r="Z200" s="27" t="s">
        <v>68</v>
      </c>
    </row>
    <row r="201" spans="1:56" ht="14.5" x14ac:dyDescent="0.35">
      <c r="A201" s="2">
        <v>45786</v>
      </c>
      <c r="C201" s="2"/>
      <c r="D201" s="3" t="s">
        <v>70</v>
      </c>
      <c r="E201" s="3" t="s">
        <v>58</v>
      </c>
      <c r="F201" s="3" t="s">
        <v>71</v>
      </c>
      <c r="G201" s="3" t="s">
        <v>357</v>
      </c>
      <c r="H201" s="3" t="s">
        <v>61</v>
      </c>
      <c r="I201" s="3">
        <v>1037649854</v>
      </c>
      <c r="J201" s="3" t="s">
        <v>358</v>
      </c>
      <c r="K201" s="3">
        <v>3114323737</v>
      </c>
      <c r="L201" s="3" t="s">
        <v>26</v>
      </c>
      <c r="M201" s="3">
        <v>1037649854</v>
      </c>
      <c r="N201" s="2">
        <v>45786</v>
      </c>
      <c r="O201" s="72" t="s">
        <v>122</v>
      </c>
      <c r="P201" s="3">
        <v>2</v>
      </c>
      <c r="Q201" s="11">
        <f t="shared" si="3"/>
        <v>106666</v>
      </c>
      <c r="R201" s="8" t="s">
        <v>172</v>
      </c>
      <c r="S201" t="s">
        <v>65</v>
      </c>
      <c r="T201" t="s">
        <v>143</v>
      </c>
      <c r="U201" s="20">
        <f>IFERROR(VLOOKUP(T201,PHVA!$B$2:$C$74,2,0),0)</f>
        <v>0</v>
      </c>
      <c r="V201" s="3" t="s">
        <v>363</v>
      </c>
      <c r="W201" s="2">
        <v>45807</v>
      </c>
      <c r="X201" s="3">
        <f>ABS(A201-W201)</f>
        <v>21</v>
      </c>
      <c r="Y201" s="20">
        <f>VLOOKUP(M201,Hoja3!$L$2:$X$26,13,0)</f>
        <v>2</v>
      </c>
      <c r="Z201" s="27" t="s">
        <v>68</v>
      </c>
    </row>
    <row r="202" spans="1:56" ht="14.5" x14ac:dyDescent="0.35">
      <c r="A202" s="2">
        <v>45793</v>
      </c>
      <c r="C202" s="2"/>
      <c r="D202" s="3" t="s">
        <v>70</v>
      </c>
      <c r="E202" s="3" t="s">
        <v>58</v>
      </c>
      <c r="F202" s="3" t="s">
        <v>71</v>
      </c>
      <c r="G202" s="3" t="s">
        <v>357</v>
      </c>
      <c r="H202" s="3" t="s">
        <v>61</v>
      </c>
      <c r="I202" s="3">
        <v>1037649854</v>
      </c>
      <c r="J202" s="3" t="s">
        <v>358</v>
      </c>
      <c r="K202" s="3">
        <v>3114323737</v>
      </c>
      <c r="L202" s="3" t="s">
        <v>26</v>
      </c>
      <c r="M202" s="3">
        <v>1037649854</v>
      </c>
      <c r="N202" s="2">
        <v>45793</v>
      </c>
      <c r="O202" s="72" t="s">
        <v>122</v>
      </c>
      <c r="P202" s="3">
        <v>2</v>
      </c>
      <c r="Q202" s="11">
        <f t="shared" si="3"/>
        <v>106666</v>
      </c>
      <c r="R202" s="8" t="s">
        <v>172</v>
      </c>
      <c r="S202" t="s">
        <v>65</v>
      </c>
      <c r="T202" t="s">
        <v>80</v>
      </c>
      <c r="U202" s="20">
        <f>IFERROR(VLOOKUP(T202,PHVA!$B$2:$C$74,2,0),0)</f>
        <v>0.5</v>
      </c>
      <c r="V202" s="3" t="s">
        <v>364</v>
      </c>
      <c r="W202" s="2">
        <v>45807</v>
      </c>
      <c r="X202" s="3">
        <f>ABS(A202-W202)</f>
        <v>14</v>
      </c>
      <c r="Y202" s="20">
        <f>VLOOKUP(M202,Hoja3!$L$2:$X$26,13,0)</f>
        <v>2</v>
      </c>
      <c r="Z202" s="27" t="s">
        <v>68</v>
      </c>
    </row>
    <row r="203" spans="1:56" ht="14.5" x14ac:dyDescent="0.35">
      <c r="A203" s="2">
        <v>45800</v>
      </c>
      <c r="C203" s="2"/>
      <c r="D203" s="3" t="s">
        <v>70</v>
      </c>
      <c r="E203" s="3" t="s">
        <v>58</v>
      </c>
      <c r="F203" s="3" t="s">
        <v>59</v>
      </c>
      <c r="G203" s="3" t="s">
        <v>357</v>
      </c>
      <c r="H203" s="3" t="s">
        <v>61</v>
      </c>
      <c r="I203" s="3">
        <v>1037649854</v>
      </c>
      <c r="J203" s="3" t="s">
        <v>358</v>
      </c>
      <c r="K203" s="3">
        <v>3114323737</v>
      </c>
      <c r="L203" s="3" t="s">
        <v>26</v>
      </c>
      <c r="M203" s="3">
        <v>1037649854</v>
      </c>
      <c r="N203" s="2">
        <v>45799</v>
      </c>
      <c r="O203" s="72" t="s">
        <v>365</v>
      </c>
      <c r="P203" s="3">
        <v>2</v>
      </c>
      <c r="Q203" s="11">
        <f t="shared" si="3"/>
        <v>106666</v>
      </c>
      <c r="R203" s="20" t="s">
        <v>88</v>
      </c>
      <c r="S203" t="s">
        <v>65</v>
      </c>
      <c r="T203" t="s">
        <v>84</v>
      </c>
      <c r="U203" s="20">
        <f>IFERROR(VLOOKUP(T203,PHVA!$B$2:$C$74,2,0),0)</f>
        <v>1</v>
      </c>
      <c r="V203" s="3" t="s">
        <v>366</v>
      </c>
      <c r="W203" s="2">
        <v>45807</v>
      </c>
      <c r="X203" s="3">
        <f>ABS(A203-W203)</f>
        <v>7</v>
      </c>
      <c r="Y203" s="20">
        <f>VLOOKUP(M203,Hoja3!$L$2:$X$26,13,0)</f>
        <v>2</v>
      </c>
      <c r="Z203" s="27" t="s">
        <v>68</v>
      </c>
    </row>
    <row r="204" spans="1:56" s="11" customFormat="1" ht="14.5" x14ac:dyDescent="0.35">
      <c r="A204" s="2">
        <v>45807</v>
      </c>
      <c r="B204" s="2"/>
      <c r="C204" s="2"/>
      <c r="D204" s="3" t="s">
        <v>70</v>
      </c>
      <c r="E204" s="3" t="s">
        <v>58</v>
      </c>
      <c r="F204" s="3" t="s">
        <v>59</v>
      </c>
      <c r="G204" s="3" t="s">
        <v>357</v>
      </c>
      <c r="H204" s="3" t="s">
        <v>61</v>
      </c>
      <c r="I204" s="3">
        <v>1037649854</v>
      </c>
      <c r="J204" s="3" t="s">
        <v>358</v>
      </c>
      <c r="K204" s="3">
        <v>3114323737</v>
      </c>
      <c r="L204" s="3" t="s">
        <v>26</v>
      </c>
      <c r="M204" s="3">
        <v>1037649854</v>
      </c>
      <c r="N204" s="2">
        <v>45806</v>
      </c>
      <c r="O204" s="72" t="s">
        <v>365</v>
      </c>
      <c r="P204" s="3">
        <v>2</v>
      </c>
      <c r="Q204" s="11">
        <f t="shared" si="3"/>
        <v>106666</v>
      </c>
      <c r="R204" s="20" t="s">
        <v>88</v>
      </c>
      <c r="S204" t="s">
        <v>65</v>
      </c>
      <c r="T204" t="s">
        <v>66</v>
      </c>
      <c r="U204" s="20">
        <f>IFERROR(VLOOKUP(T204,PHVA!$B$2:$C$74,2,0),0)</f>
        <v>2</v>
      </c>
      <c r="V204" s="3" t="s">
        <v>367</v>
      </c>
      <c r="W204" s="2">
        <v>45807</v>
      </c>
      <c r="X204" s="3">
        <f>ABS(A204-W204)</f>
        <v>0</v>
      </c>
      <c r="Y204" s="20">
        <f>VLOOKUP(M204,Hoja3!$L$2:$X$26,13,0)</f>
        <v>2</v>
      </c>
      <c r="Z204" s="27" t="s">
        <v>68</v>
      </c>
      <c r="AA204" s="18"/>
    </row>
    <row r="205" spans="1:56" ht="14.5" x14ac:dyDescent="0.35">
      <c r="A205" s="2">
        <v>45793</v>
      </c>
      <c r="C205" s="2"/>
      <c r="D205" s="3" t="s">
        <v>70</v>
      </c>
      <c r="E205" s="3" t="s">
        <v>58</v>
      </c>
      <c r="F205" s="3" t="s">
        <v>71</v>
      </c>
      <c r="G205" s="3" t="s">
        <v>357</v>
      </c>
      <c r="H205" s="3" t="s">
        <v>61</v>
      </c>
      <c r="I205" s="3">
        <v>1037649854</v>
      </c>
      <c r="J205" s="3" t="s">
        <v>358</v>
      </c>
      <c r="K205" s="3">
        <v>3114323737</v>
      </c>
      <c r="L205" s="3" t="s">
        <v>26</v>
      </c>
      <c r="M205" s="3">
        <v>1037649854</v>
      </c>
      <c r="N205" s="2">
        <v>45793</v>
      </c>
      <c r="P205" s="3">
        <v>2</v>
      </c>
      <c r="Q205" s="11">
        <f t="shared" si="3"/>
        <v>106666</v>
      </c>
      <c r="R205" s="8" t="s">
        <v>172</v>
      </c>
      <c r="S205" t="s">
        <v>65</v>
      </c>
      <c r="T205" t="s">
        <v>80</v>
      </c>
      <c r="U205" s="20">
        <f>IFERROR(VLOOKUP(T205,PHVA!$B$2:$C$74,2,0),0)</f>
        <v>0.5</v>
      </c>
      <c r="V205" s="3" t="s">
        <v>368</v>
      </c>
      <c r="W205" s="2">
        <v>45807</v>
      </c>
      <c r="X205" s="3">
        <f>ABS(A205-W205)</f>
        <v>14</v>
      </c>
      <c r="Y205" s="20">
        <f>VLOOKUP(M205,Hoja3!$L$2:$X$26,13,0)</f>
        <v>2</v>
      </c>
      <c r="Z205" s="27" t="s">
        <v>68</v>
      </c>
    </row>
    <row r="206" spans="1:56" ht="14.5" x14ac:dyDescent="0.35">
      <c r="A206" s="2">
        <v>45813</v>
      </c>
      <c r="C206" s="2"/>
      <c r="D206" s="3" t="s">
        <v>102</v>
      </c>
      <c r="E206" s="3" t="s">
        <v>58</v>
      </c>
      <c r="F206" s="3" t="s">
        <v>59</v>
      </c>
      <c r="G206" s="3" t="s">
        <v>369</v>
      </c>
      <c r="I206" s="3">
        <v>1037649854</v>
      </c>
      <c r="J206" s="3" t="s">
        <v>358</v>
      </c>
      <c r="K206" s="3">
        <v>3114323737</v>
      </c>
      <c r="L206" s="3" t="s">
        <v>26</v>
      </c>
      <c r="M206" s="3">
        <v>1037649854</v>
      </c>
      <c r="N206" s="2">
        <v>45813</v>
      </c>
      <c r="O206" s="72">
        <v>0.10069444444444445</v>
      </c>
      <c r="P206" s="3">
        <v>2</v>
      </c>
      <c r="Q206" s="3">
        <f t="shared" ref="Q206" si="4">IF(OR(P206=1,P206=2,P206=3),106.666,IF(OR(P206=4,P206=5),213000,""))</f>
        <v>106.666</v>
      </c>
      <c r="R206" s="20" t="s">
        <v>88</v>
      </c>
      <c r="S206" t="s">
        <v>65</v>
      </c>
      <c r="T206" t="s">
        <v>110</v>
      </c>
      <c r="U206" s="20">
        <f>IFERROR(VLOOKUP(T206,PHVA!$B$2:$C$74,2,0),0)</f>
        <v>2</v>
      </c>
      <c r="V206" s="3" t="s">
        <v>370</v>
      </c>
      <c r="W206" s="2">
        <v>45807</v>
      </c>
      <c r="X206" s="3">
        <f>ABS(A206-W206)</f>
        <v>6</v>
      </c>
      <c r="Y206" s="20">
        <f>VLOOKUP(M206,Hoja3!$L$2:$X$26,13,0)</f>
        <v>2</v>
      </c>
      <c r="Z206" s="27" t="s">
        <v>68</v>
      </c>
    </row>
    <row r="207" spans="1:56" ht="15" customHeight="1" x14ac:dyDescent="0.35">
      <c r="N207" s="2">
        <v>45824</v>
      </c>
      <c r="O207" s="72" t="s">
        <v>147</v>
      </c>
      <c r="P207" s="3">
        <v>3</v>
      </c>
      <c r="Q207" s="11">
        <f t="shared" ref="Q207" si="5">IF(OR(P207=1,P207=2,P207=3),106666,IF(OR(P207=4,P207=5),213000,""))</f>
        <v>106666</v>
      </c>
      <c r="R207" s="62" t="s">
        <v>459</v>
      </c>
      <c r="S207" t="s">
        <v>217</v>
      </c>
      <c r="T207" t="s">
        <v>407</v>
      </c>
      <c r="U207" s="20">
        <f>IFERROR(VLOOKUP(T207,PHVA!$B$2:$C$74,2,0),0)</f>
        <v>1</v>
      </c>
    </row>
    <row r="208" spans="1:56" ht="15" customHeight="1" x14ac:dyDescent="0.35">
      <c r="S208"/>
      <c r="T208"/>
      <c r="U208" s="20"/>
    </row>
    <row r="209" spans="19:20" ht="15" customHeight="1" x14ac:dyDescent="0.35">
      <c r="S209"/>
      <c r="T209"/>
    </row>
  </sheetData>
  <autoFilter ref="A1:Z207" xr:uid="{BD2735F5-C37F-4E9E-9EAC-85BA8687073E}"/>
  <dataValidations count="2">
    <dataValidation type="list" allowBlank="1" showInputMessage="1" showErrorMessage="1" sqref="T178:T209 T2:T174" xr:uid="{4CCA50B3-77D2-4C92-9B0E-B14579BD6FDC}">
      <formula1>INDIRECT(S2)</formula1>
    </dataValidation>
    <dataValidation type="list" allowBlank="1" showInputMessage="1" showErrorMessage="1" sqref="T175:T177" xr:uid="{46B14890-B4BD-41F7-B675-04B1EEB20EB6}">
      <formula1>INDIRECT(S176)</formula1>
    </dataValidation>
  </dataValidations>
  <hyperlinks>
    <hyperlink ref="J74" r:id="rId1" xr:uid="{42EA608D-B23C-4C94-841A-363B42C9DAB7}"/>
    <hyperlink ref="J75" r:id="rId2" xr:uid="{8A40E5C5-919B-44C1-9426-094841EAEA23}"/>
    <hyperlink ref="J76" r:id="rId3" xr:uid="{F324D7AA-0E48-49A9-B715-8715EB1BC980}"/>
    <hyperlink ref="J95" r:id="rId4" xr:uid="{BED24505-24EF-4216-A4C3-6C6E6355598E}"/>
    <hyperlink ref="J94" r:id="rId5" xr:uid="{D36BB3A9-632A-4A83-AE58-CA3B845FBB69}"/>
    <hyperlink ref="J168" r:id="rId6" xr:uid="{442B761F-292E-458E-B96E-EBE5712FF6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FF96492-65F7-42CC-B4D9-8D1C32457DDC}">
          <x14:formula1>
            <xm:f>'LISTA DESPLEGABLE'!$A$3:$A$6</xm:f>
          </x14:formula1>
          <xm:sqref>S2:S209</xm:sqref>
        </x14:dataValidation>
        <x14:dataValidation type="list" allowBlank="1" showInputMessage="1" showErrorMessage="1" xr:uid="{B0C462BA-A19A-40B3-8AF3-4640EFDA5037}">
          <x14:formula1>
            <xm:f>'LISTA DESPLEGABLE'!$A$16:$A$18</xm:f>
          </x14:formula1>
          <xm:sqref>R2:R207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3A3E5-C719-45E2-B5A4-B34566E0F33F}">
  <dimension ref="A1:Y26"/>
  <sheetViews>
    <sheetView topLeftCell="L1" workbookViewId="0">
      <selection activeCell="X10" sqref="X10"/>
    </sheetView>
  </sheetViews>
  <sheetFormatPr baseColWidth="10" defaultColWidth="11.453125" defaultRowHeight="14.5" x14ac:dyDescent="0.35"/>
  <sheetData>
    <row r="1" spans="1:25" x14ac:dyDescent="0.35">
      <c r="A1" s="5" t="s">
        <v>32</v>
      </c>
      <c r="B1" s="5" t="s">
        <v>33</v>
      </c>
      <c r="C1" s="6" t="s">
        <v>35</v>
      </c>
      <c r="D1" s="6" t="s">
        <v>36</v>
      </c>
      <c r="E1" s="6" t="s">
        <v>37</v>
      </c>
      <c r="F1" s="6" t="s">
        <v>38</v>
      </c>
      <c r="G1" s="6" t="s">
        <v>39</v>
      </c>
      <c r="H1" s="6" t="s">
        <v>40</v>
      </c>
      <c r="I1" s="6" t="s">
        <v>41</v>
      </c>
      <c r="J1" s="6" t="s">
        <v>42</v>
      </c>
      <c r="K1" s="9" t="s">
        <v>30</v>
      </c>
      <c r="L1" s="6" t="s">
        <v>43</v>
      </c>
      <c r="M1" s="5" t="s">
        <v>44</v>
      </c>
      <c r="N1" s="6" t="s">
        <v>45</v>
      </c>
      <c r="O1" s="6" t="s">
        <v>48</v>
      </c>
      <c r="P1" s="6" t="s">
        <v>46</v>
      </c>
      <c r="Q1" s="6" t="s">
        <v>47</v>
      </c>
      <c r="R1" s="6" t="s">
        <v>49</v>
      </c>
      <c r="S1" s="6" t="s">
        <v>50</v>
      </c>
      <c r="T1" s="7" t="s">
        <v>51</v>
      </c>
      <c r="U1" s="6" t="s">
        <v>52</v>
      </c>
      <c r="V1" s="6" t="s">
        <v>53</v>
      </c>
      <c r="W1" s="6" t="s">
        <v>31</v>
      </c>
      <c r="X1" s="7" t="s">
        <v>54</v>
      </c>
      <c r="Y1" s="6" t="s">
        <v>55</v>
      </c>
    </row>
    <row r="2" spans="1:25" s="31" customFormat="1" x14ac:dyDescent="0.35">
      <c r="A2" s="35">
        <v>45797</v>
      </c>
      <c r="B2" s="35"/>
      <c r="C2" s="18" t="s">
        <v>57</v>
      </c>
      <c r="D2" s="18" t="s">
        <v>58</v>
      </c>
      <c r="E2" s="18" t="s">
        <v>59</v>
      </c>
      <c r="F2" s="18" t="s">
        <v>60</v>
      </c>
      <c r="G2" s="18" t="s">
        <v>61</v>
      </c>
      <c r="H2" s="18">
        <v>1040325965</v>
      </c>
      <c r="I2" s="18" t="s">
        <v>62</v>
      </c>
      <c r="J2" s="18">
        <v>3132973915</v>
      </c>
      <c r="K2" s="18" t="s">
        <v>2</v>
      </c>
      <c r="L2" s="18">
        <v>901250630</v>
      </c>
      <c r="M2" s="35">
        <v>45797</v>
      </c>
      <c r="N2" s="18" t="s">
        <v>63</v>
      </c>
      <c r="O2" s="18" t="s">
        <v>64</v>
      </c>
      <c r="P2" s="18">
        <v>1</v>
      </c>
      <c r="Q2" s="18">
        <v>106.666</v>
      </c>
      <c r="R2" s="31" t="s">
        <v>65</v>
      </c>
      <c r="S2" s="31" t="s">
        <v>66</v>
      </c>
      <c r="T2" s="20">
        <v>2</v>
      </c>
      <c r="U2" s="18" t="s">
        <v>67</v>
      </c>
      <c r="V2" s="35">
        <v>45807</v>
      </c>
      <c r="W2" s="18">
        <v>10</v>
      </c>
      <c r="X2" s="20">
        <v>14</v>
      </c>
      <c r="Y2" s="36" t="s">
        <v>68</v>
      </c>
    </row>
    <row r="3" spans="1:25" s="31" customFormat="1" x14ac:dyDescent="0.35">
      <c r="A3" s="35">
        <v>45751</v>
      </c>
      <c r="B3" s="35"/>
      <c r="C3" s="18" t="s">
        <v>70</v>
      </c>
      <c r="D3" s="18" t="s">
        <v>58</v>
      </c>
      <c r="E3" s="18" t="s">
        <v>71</v>
      </c>
      <c r="F3" s="18" t="s">
        <v>72</v>
      </c>
      <c r="G3" s="18" t="s">
        <v>61</v>
      </c>
      <c r="H3" s="18">
        <v>21481666</v>
      </c>
      <c r="I3" s="18" t="s">
        <v>73</v>
      </c>
      <c r="J3" s="18">
        <v>3053436587</v>
      </c>
      <c r="K3" s="18" t="s">
        <v>3</v>
      </c>
      <c r="L3" s="18">
        <v>901817841</v>
      </c>
      <c r="M3" s="35">
        <v>45751</v>
      </c>
      <c r="N3" s="18" t="s">
        <v>74</v>
      </c>
      <c r="O3" s="18" t="s">
        <v>75</v>
      </c>
      <c r="P3" s="18">
        <v>4</v>
      </c>
      <c r="Q3" s="18">
        <v>213000</v>
      </c>
      <c r="R3" s="31" t="s">
        <v>65</v>
      </c>
      <c r="S3" s="31" t="s">
        <v>76</v>
      </c>
      <c r="T3" s="20">
        <v>2</v>
      </c>
      <c r="U3" s="18" t="s">
        <v>77</v>
      </c>
      <c r="V3" s="35">
        <v>45807</v>
      </c>
      <c r="W3" s="18">
        <v>56</v>
      </c>
      <c r="X3" s="20">
        <v>2</v>
      </c>
      <c r="Y3" s="36" t="s">
        <v>68</v>
      </c>
    </row>
    <row r="4" spans="1:25" s="31" customFormat="1" x14ac:dyDescent="0.35">
      <c r="A4" s="37">
        <v>45744</v>
      </c>
      <c r="B4" s="37"/>
      <c r="C4" s="18" t="s">
        <v>70</v>
      </c>
      <c r="D4" s="18" t="s">
        <v>58</v>
      </c>
      <c r="E4" s="18" t="s">
        <v>91</v>
      </c>
      <c r="F4" s="18" t="s">
        <v>92</v>
      </c>
      <c r="G4" s="18" t="s">
        <v>61</v>
      </c>
      <c r="H4" s="18">
        <v>1007445947</v>
      </c>
      <c r="I4" s="18" t="s">
        <v>93</v>
      </c>
      <c r="J4" s="18">
        <v>3217213077</v>
      </c>
      <c r="K4" s="18" t="s">
        <v>4</v>
      </c>
      <c r="L4" s="18">
        <v>1007445947</v>
      </c>
      <c r="M4" s="35">
        <v>45744</v>
      </c>
      <c r="N4" s="18" t="s">
        <v>74</v>
      </c>
      <c r="O4" s="18" t="s">
        <v>75</v>
      </c>
      <c r="P4" s="18">
        <v>2</v>
      </c>
      <c r="Q4" s="18">
        <v>106.666</v>
      </c>
      <c r="R4" s="31" t="s">
        <v>65</v>
      </c>
      <c r="S4" s="31" t="s">
        <v>94</v>
      </c>
      <c r="T4" s="20">
        <v>1</v>
      </c>
      <c r="U4" s="18" t="s">
        <v>95</v>
      </c>
      <c r="V4" s="35">
        <v>45807</v>
      </c>
      <c r="W4" s="18">
        <v>63</v>
      </c>
      <c r="X4" s="20">
        <v>2</v>
      </c>
      <c r="Y4" s="36" t="s">
        <v>68</v>
      </c>
    </row>
    <row r="5" spans="1:25" s="31" customFormat="1" x14ac:dyDescent="0.35">
      <c r="A5" s="35">
        <v>45751</v>
      </c>
      <c r="B5" s="35"/>
      <c r="C5" s="18" t="s">
        <v>70</v>
      </c>
      <c r="D5" s="18" t="s">
        <v>58</v>
      </c>
      <c r="E5" s="18" t="s">
        <v>112</v>
      </c>
      <c r="F5" s="18" t="s">
        <v>113</v>
      </c>
      <c r="G5" s="18" t="s">
        <v>61</v>
      </c>
      <c r="H5" s="18">
        <v>1040039119</v>
      </c>
      <c r="I5" s="18" t="s">
        <v>114</v>
      </c>
      <c r="J5" s="18">
        <v>3173882936</v>
      </c>
      <c r="K5" s="18" t="s">
        <v>5</v>
      </c>
      <c r="L5" s="18">
        <v>900841005</v>
      </c>
      <c r="M5" s="35">
        <v>45751</v>
      </c>
      <c r="N5" s="18" t="s">
        <v>115</v>
      </c>
      <c r="O5" s="18" t="s">
        <v>75</v>
      </c>
      <c r="P5" s="18">
        <v>3</v>
      </c>
      <c r="Q5" s="18">
        <v>106.666</v>
      </c>
      <c r="R5" s="31" t="s">
        <v>65</v>
      </c>
      <c r="S5" s="31" t="s">
        <v>103</v>
      </c>
      <c r="T5" s="20">
        <v>1</v>
      </c>
      <c r="U5" s="18" t="s">
        <v>116</v>
      </c>
      <c r="V5" s="35">
        <v>45807</v>
      </c>
      <c r="W5" s="18">
        <v>56</v>
      </c>
      <c r="X5" s="20">
        <v>55</v>
      </c>
      <c r="Y5" s="36" t="s">
        <v>68</v>
      </c>
    </row>
    <row r="6" spans="1:25" s="31" customFormat="1" x14ac:dyDescent="0.35">
      <c r="A6" s="35">
        <v>45751</v>
      </c>
      <c r="B6" s="35"/>
      <c r="C6" s="18" t="s">
        <v>70</v>
      </c>
      <c r="D6" s="18" t="s">
        <v>58</v>
      </c>
      <c r="E6" s="18" t="s">
        <v>71</v>
      </c>
      <c r="F6" s="18" t="s">
        <v>135</v>
      </c>
      <c r="G6" s="18" t="s">
        <v>61</v>
      </c>
      <c r="H6" s="18">
        <v>1070989191</v>
      </c>
      <c r="I6" s="18" t="s">
        <v>136</v>
      </c>
      <c r="J6" s="18">
        <v>3132973915</v>
      </c>
      <c r="K6" s="18" t="s">
        <v>6</v>
      </c>
      <c r="L6" s="18">
        <v>901546567</v>
      </c>
      <c r="M6" s="35">
        <v>45751</v>
      </c>
      <c r="N6" s="18" t="s">
        <v>137</v>
      </c>
      <c r="O6" s="18" t="s">
        <v>75</v>
      </c>
      <c r="P6" s="18">
        <v>3</v>
      </c>
      <c r="Q6" s="18">
        <v>106.666</v>
      </c>
      <c r="R6" s="31" t="s">
        <v>65</v>
      </c>
      <c r="S6" s="31" t="s">
        <v>94</v>
      </c>
      <c r="T6" s="20">
        <v>1</v>
      </c>
      <c r="U6" s="18" t="s">
        <v>116</v>
      </c>
      <c r="V6" s="35">
        <v>45807</v>
      </c>
      <c r="W6" s="18">
        <v>56</v>
      </c>
      <c r="X6" s="20">
        <v>30</v>
      </c>
      <c r="Y6" s="36" t="s">
        <v>68</v>
      </c>
    </row>
    <row r="7" spans="1:25" s="31" customFormat="1" x14ac:dyDescent="0.35">
      <c r="A7" s="35">
        <v>45717</v>
      </c>
      <c r="B7" s="35"/>
      <c r="C7" s="18" t="s">
        <v>102</v>
      </c>
      <c r="D7" s="18" t="s">
        <v>58</v>
      </c>
      <c r="E7" s="18" t="s">
        <v>59</v>
      </c>
      <c r="F7" s="18" t="s">
        <v>149</v>
      </c>
      <c r="G7" s="18" t="s">
        <v>61</v>
      </c>
      <c r="H7" s="18">
        <v>1039685226</v>
      </c>
      <c r="I7" s="18" t="s">
        <v>150</v>
      </c>
      <c r="J7" s="18">
        <v>3206709930</v>
      </c>
      <c r="K7" s="18" t="s">
        <v>7</v>
      </c>
      <c r="L7" s="18">
        <v>43476587</v>
      </c>
      <c r="M7" s="35">
        <v>45792</v>
      </c>
      <c r="N7" s="18" t="s">
        <v>151</v>
      </c>
      <c r="O7" s="18" t="s">
        <v>100</v>
      </c>
      <c r="P7" s="18">
        <v>3</v>
      </c>
      <c r="Q7" s="18">
        <v>106.666</v>
      </c>
      <c r="R7" s="31" t="s">
        <v>65</v>
      </c>
      <c r="S7" s="31" t="s">
        <v>130</v>
      </c>
      <c r="T7" s="20">
        <v>2</v>
      </c>
      <c r="U7" s="18" t="s">
        <v>152</v>
      </c>
      <c r="V7" s="35">
        <v>45807</v>
      </c>
      <c r="W7" s="18">
        <v>90</v>
      </c>
      <c r="X7" s="20">
        <v>4</v>
      </c>
      <c r="Y7" s="36" t="s">
        <v>68</v>
      </c>
    </row>
    <row r="8" spans="1:25" s="31" customFormat="1" x14ac:dyDescent="0.35">
      <c r="A8" s="35">
        <v>45751</v>
      </c>
      <c r="B8" s="35"/>
      <c r="C8" s="18" t="s">
        <v>70</v>
      </c>
      <c r="D8" s="18" t="s">
        <v>58</v>
      </c>
      <c r="E8" s="18" t="s">
        <v>112</v>
      </c>
      <c r="F8" s="18" t="s">
        <v>158</v>
      </c>
      <c r="G8" s="18" t="s">
        <v>61</v>
      </c>
      <c r="H8" s="18">
        <v>1036780830</v>
      </c>
      <c r="I8" s="18" t="s">
        <v>159</v>
      </c>
      <c r="J8" s="18">
        <v>3147830285</v>
      </c>
      <c r="K8" s="18" t="s">
        <v>8</v>
      </c>
      <c r="L8" s="18">
        <v>900509996</v>
      </c>
      <c r="M8" s="35">
        <v>45751</v>
      </c>
      <c r="N8" s="18" t="s">
        <v>160</v>
      </c>
      <c r="O8" s="18" t="s">
        <v>75</v>
      </c>
      <c r="P8" s="18">
        <v>3</v>
      </c>
      <c r="Q8" s="18">
        <v>106.666</v>
      </c>
      <c r="R8" s="31" t="s">
        <v>65</v>
      </c>
      <c r="S8" s="31" t="s">
        <v>94</v>
      </c>
      <c r="T8" s="20">
        <v>1</v>
      </c>
      <c r="U8" s="18" t="s">
        <v>116</v>
      </c>
      <c r="V8" s="35">
        <v>45807</v>
      </c>
      <c r="W8" s="18">
        <v>56</v>
      </c>
      <c r="X8" s="20">
        <v>3</v>
      </c>
      <c r="Y8" s="36" t="s">
        <v>68</v>
      </c>
    </row>
    <row r="9" spans="1:25" s="31" customFormat="1" x14ac:dyDescent="0.35">
      <c r="A9" s="35">
        <v>45751</v>
      </c>
      <c r="B9" s="35"/>
      <c r="C9" s="18" t="s">
        <v>70</v>
      </c>
      <c r="D9" s="18" t="s">
        <v>58</v>
      </c>
      <c r="E9" s="18" t="s">
        <v>91</v>
      </c>
      <c r="F9" s="18" t="s">
        <v>174</v>
      </c>
      <c r="G9" s="18" t="s">
        <v>61</v>
      </c>
      <c r="H9" s="18">
        <v>70952794</v>
      </c>
      <c r="I9" s="18" t="s">
        <v>175</v>
      </c>
      <c r="J9" s="18">
        <v>3216422617</v>
      </c>
      <c r="K9" s="18" t="s">
        <v>9</v>
      </c>
      <c r="L9" s="18">
        <v>900112921</v>
      </c>
      <c r="M9" s="35">
        <v>45751</v>
      </c>
      <c r="N9" s="18" t="s">
        <v>176</v>
      </c>
      <c r="O9" s="18" t="s">
        <v>75</v>
      </c>
      <c r="P9" s="18">
        <v>4</v>
      </c>
      <c r="Q9" s="18">
        <v>213000</v>
      </c>
      <c r="R9" s="31" t="s">
        <v>65</v>
      </c>
      <c r="S9" s="31" t="s">
        <v>94</v>
      </c>
      <c r="T9" s="20">
        <v>1</v>
      </c>
      <c r="U9" s="18" t="s">
        <v>177</v>
      </c>
      <c r="V9" s="35">
        <v>45807</v>
      </c>
      <c r="W9" s="18">
        <v>56</v>
      </c>
      <c r="X9" s="20">
        <v>5</v>
      </c>
      <c r="Y9" s="36" t="s">
        <v>68</v>
      </c>
    </row>
    <row r="10" spans="1:25" s="31" customFormat="1" x14ac:dyDescent="0.35">
      <c r="A10" s="35">
        <v>45797</v>
      </c>
      <c r="B10" s="35"/>
      <c r="C10" s="18" t="s">
        <v>57</v>
      </c>
      <c r="D10" s="18" t="s">
        <v>58</v>
      </c>
      <c r="E10" s="18" t="s">
        <v>59</v>
      </c>
      <c r="F10" s="18"/>
      <c r="G10" s="18"/>
      <c r="H10" s="18"/>
      <c r="I10" s="18"/>
      <c r="J10" s="18">
        <v>3104997696</v>
      </c>
      <c r="K10" s="18" t="s">
        <v>10</v>
      </c>
      <c r="L10" s="18"/>
      <c r="M10" s="35">
        <v>45797</v>
      </c>
      <c r="N10" s="18" t="s">
        <v>188</v>
      </c>
      <c r="O10" s="18" t="s">
        <v>64</v>
      </c>
      <c r="P10" s="18">
        <v>3</v>
      </c>
      <c r="Q10" s="18">
        <v>106.666</v>
      </c>
      <c r="R10" s="31" t="s">
        <v>65</v>
      </c>
      <c r="S10" s="31" t="s">
        <v>94</v>
      </c>
      <c r="T10" s="20">
        <v>1</v>
      </c>
      <c r="U10" s="18" t="s">
        <v>189</v>
      </c>
      <c r="V10" s="35">
        <v>45807</v>
      </c>
      <c r="W10" s="18">
        <v>10</v>
      </c>
      <c r="X10" s="20">
        <v>4</v>
      </c>
      <c r="Y10" s="36" t="s">
        <v>68</v>
      </c>
    </row>
    <row r="11" spans="1:25" s="31" customFormat="1" x14ac:dyDescent="0.35">
      <c r="A11" s="35">
        <v>45797</v>
      </c>
      <c r="B11" s="35"/>
      <c r="C11" s="18" t="s">
        <v>57</v>
      </c>
      <c r="D11" s="18" t="s">
        <v>58</v>
      </c>
      <c r="E11" s="18" t="s">
        <v>59</v>
      </c>
      <c r="F11" s="18" t="s">
        <v>190</v>
      </c>
      <c r="G11" s="18" t="s">
        <v>61</v>
      </c>
      <c r="H11" s="18">
        <v>1128395305</v>
      </c>
      <c r="I11" s="18" t="s">
        <v>191</v>
      </c>
      <c r="J11" s="18">
        <v>3128926799</v>
      </c>
      <c r="K11" s="18" t="s">
        <v>11</v>
      </c>
      <c r="L11" s="38">
        <v>1128395305</v>
      </c>
      <c r="M11" s="35">
        <v>45797</v>
      </c>
      <c r="N11" s="18" t="s">
        <v>192</v>
      </c>
      <c r="O11" s="18" t="s">
        <v>64</v>
      </c>
      <c r="P11" s="18">
        <v>1</v>
      </c>
      <c r="Q11" s="18">
        <v>106.666</v>
      </c>
      <c r="R11" s="31" t="s">
        <v>65</v>
      </c>
      <c r="S11" s="31" t="s">
        <v>94</v>
      </c>
      <c r="T11" s="20">
        <v>1</v>
      </c>
      <c r="U11" s="18" t="s">
        <v>193</v>
      </c>
      <c r="V11" s="35">
        <v>45807</v>
      </c>
      <c r="W11" s="18">
        <v>10</v>
      </c>
      <c r="X11" s="20">
        <v>3</v>
      </c>
      <c r="Y11" s="36" t="s">
        <v>68</v>
      </c>
    </row>
    <row r="12" spans="1:25" s="31" customFormat="1" x14ac:dyDescent="0.35">
      <c r="A12" s="35">
        <v>45775</v>
      </c>
      <c r="B12" s="35"/>
      <c r="C12" s="18" t="s">
        <v>70</v>
      </c>
      <c r="D12" s="18" t="s">
        <v>58</v>
      </c>
      <c r="E12" s="18" t="s">
        <v>91</v>
      </c>
      <c r="F12" s="18" t="s">
        <v>196</v>
      </c>
      <c r="G12" s="18" t="s">
        <v>61</v>
      </c>
      <c r="H12" s="18">
        <v>1036929374</v>
      </c>
      <c r="I12" s="18" t="s">
        <v>197</v>
      </c>
      <c r="J12" s="18">
        <v>3194892497</v>
      </c>
      <c r="K12" s="18" t="s">
        <v>12</v>
      </c>
      <c r="L12" s="18">
        <v>901166099</v>
      </c>
      <c r="M12" s="35">
        <v>46133</v>
      </c>
      <c r="N12" s="18" t="s">
        <v>198</v>
      </c>
      <c r="O12" s="18" t="s">
        <v>75</v>
      </c>
      <c r="P12" s="18">
        <v>2</v>
      </c>
      <c r="Q12" s="18">
        <v>106.666</v>
      </c>
      <c r="R12" s="31" t="s">
        <v>65</v>
      </c>
      <c r="S12" s="31" t="s">
        <v>94</v>
      </c>
      <c r="T12" s="20">
        <v>1</v>
      </c>
      <c r="U12" s="18" t="s">
        <v>199</v>
      </c>
      <c r="V12" s="35">
        <v>45807</v>
      </c>
      <c r="W12" s="18">
        <v>32</v>
      </c>
      <c r="X12" s="20">
        <v>7</v>
      </c>
      <c r="Y12" s="36" t="s">
        <v>68</v>
      </c>
    </row>
    <row r="13" spans="1:25" s="31" customFormat="1" x14ac:dyDescent="0.35">
      <c r="A13" s="35">
        <v>45741</v>
      </c>
      <c r="B13" s="35"/>
      <c r="C13" s="18" t="s">
        <v>209</v>
      </c>
      <c r="D13" s="18" t="s">
        <v>58</v>
      </c>
      <c r="E13" s="18" t="s">
        <v>59</v>
      </c>
      <c r="F13" s="18" t="s">
        <v>210</v>
      </c>
      <c r="G13" s="18" t="s">
        <v>61</v>
      </c>
      <c r="H13" s="18">
        <v>1036778480</v>
      </c>
      <c r="I13" s="18" t="s">
        <v>211</v>
      </c>
      <c r="J13" s="18">
        <v>3127198417</v>
      </c>
      <c r="K13" s="18" t="s">
        <v>13</v>
      </c>
      <c r="L13" s="18">
        <v>900655932</v>
      </c>
      <c r="M13" s="35">
        <v>45741</v>
      </c>
      <c r="N13" s="18" t="s">
        <v>212</v>
      </c>
      <c r="O13" s="18" t="s">
        <v>75</v>
      </c>
      <c r="P13" s="18">
        <v>3</v>
      </c>
      <c r="Q13" s="18">
        <v>106.666</v>
      </c>
      <c r="R13" s="31" t="s">
        <v>65</v>
      </c>
      <c r="S13" s="31" t="s">
        <v>94</v>
      </c>
      <c r="T13" s="20">
        <v>1</v>
      </c>
      <c r="U13" s="18" t="s">
        <v>116</v>
      </c>
      <c r="V13" s="35">
        <v>45807</v>
      </c>
      <c r="W13" s="18">
        <v>66</v>
      </c>
      <c r="X13" s="20">
        <v>42</v>
      </c>
      <c r="Y13" s="36" t="s">
        <v>68</v>
      </c>
    </row>
    <row r="14" spans="1:25" s="31" customFormat="1" x14ac:dyDescent="0.35">
      <c r="A14" s="35">
        <v>45811</v>
      </c>
      <c r="B14" s="35"/>
      <c r="C14" s="18"/>
      <c r="D14" s="18"/>
      <c r="E14" s="18" t="s">
        <v>59</v>
      </c>
      <c r="F14" s="18" t="s">
        <v>223</v>
      </c>
      <c r="G14" s="18" t="s">
        <v>61</v>
      </c>
      <c r="H14" s="18">
        <v>1128403927</v>
      </c>
      <c r="I14" s="18" t="s">
        <v>224</v>
      </c>
      <c r="J14" s="18">
        <v>3148312199</v>
      </c>
      <c r="K14" s="18" t="s">
        <v>14</v>
      </c>
      <c r="L14" s="18">
        <v>1128403927</v>
      </c>
      <c r="M14" s="35">
        <v>45811</v>
      </c>
      <c r="N14" s="18">
        <v>0.62847222222222221</v>
      </c>
      <c r="O14" s="18" t="s">
        <v>64</v>
      </c>
      <c r="P14" s="18">
        <v>1</v>
      </c>
      <c r="Q14" s="18">
        <v>106.666</v>
      </c>
      <c r="R14" s="31" t="s">
        <v>65</v>
      </c>
      <c r="S14" s="31" t="s">
        <v>143</v>
      </c>
      <c r="T14" s="20">
        <v>0</v>
      </c>
      <c r="U14" s="18" t="s">
        <v>225</v>
      </c>
      <c r="V14" s="35">
        <v>45807</v>
      </c>
      <c r="W14" s="18">
        <v>4</v>
      </c>
      <c r="X14" s="20">
        <v>5</v>
      </c>
      <c r="Y14" s="36" t="s">
        <v>68</v>
      </c>
    </row>
    <row r="15" spans="1:25" s="31" customFormat="1" x14ac:dyDescent="0.35">
      <c r="A15" s="35">
        <v>45741</v>
      </c>
      <c r="B15" s="35"/>
      <c r="C15" s="18" t="s">
        <v>209</v>
      </c>
      <c r="D15" s="18" t="s">
        <v>58</v>
      </c>
      <c r="E15" s="18" t="s">
        <v>202</v>
      </c>
      <c r="F15" s="18" t="s">
        <v>227</v>
      </c>
      <c r="G15" s="18" t="s">
        <v>61</v>
      </c>
      <c r="H15" s="18">
        <v>1036937209</v>
      </c>
      <c r="I15" s="18" t="s">
        <v>228</v>
      </c>
      <c r="J15" s="18">
        <v>3128650034</v>
      </c>
      <c r="K15" s="18" t="s">
        <v>15</v>
      </c>
      <c r="L15" s="18">
        <v>15448886</v>
      </c>
      <c r="M15" s="35">
        <v>45741</v>
      </c>
      <c r="N15" s="18" t="s">
        <v>229</v>
      </c>
      <c r="O15" s="18" t="s">
        <v>75</v>
      </c>
      <c r="P15" s="18">
        <v>1</v>
      </c>
      <c r="Q15" s="18">
        <v>106.666</v>
      </c>
      <c r="R15" s="31" t="s">
        <v>65</v>
      </c>
      <c r="S15" s="31" t="s">
        <v>94</v>
      </c>
      <c r="T15" s="20">
        <v>1</v>
      </c>
      <c r="U15" s="18" t="s">
        <v>230</v>
      </c>
      <c r="V15" s="35">
        <v>45807</v>
      </c>
      <c r="W15" s="18">
        <v>66</v>
      </c>
      <c r="X15" s="20">
        <v>11</v>
      </c>
      <c r="Y15" s="36" t="s">
        <v>68</v>
      </c>
    </row>
    <row r="16" spans="1:25" s="31" customFormat="1" x14ac:dyDescent="0.35">
      <c r="A16" s="35">
        <v>45744</v>
      </c>
      <c r="B16" s="35"/>
      <c r="C16" s="18" t="s">
        <v>70</v>
      </c>
      <c r="D16" s="18" t="s">
        <v>58</v>
      </c>
      <c r="E16" s="18" t="s">
        <v>91</v>
      </c>
      <c r="F16" s="18" t="s">
        <v>242</v>
      </c>
      <c r="G16" s="18" t="s">
        <v>61</v>
      </c>
      <c r="H16" s="18">
        <v>39382394</v>
      </c>
      <c r="I16" s="18" t="s">
        <v>243</v>
      </c>
      <c r="J16" s="18">
        <v>3113247283</v>
      </c>
      <c r="K16" s="18" t="s">
        <v>16</v>
      </c>
      <c r="L16" s="18">
        <v>900167311</v>
      </c>
      <c r="M16" s="35">
        <v>46133</v>
      </c>
      <c r="N16" s="18" t="s">
        <v>244</v>
      </c>
      <c r="O16" s="18" t="s">
        <v>75</v>
      </c>
      <c r="P16" s="18">
        <v>3</v>
      </c>
      <c r="Q16" s="18">
        <v>106.666</v>
      </c>
      <c r="R16" s="31" t="s">
        <v>65</v>
      </c>
      <c r="S16" s="31" t="s">
        <v>94</v>
      </c>
      <c r="T16" s="20">
        <v>1</v>
      </c>
      <c r="U16" s="18" t="s">
        <v>245</v>
      </c>
      <c r="V16" s="35">
        <v>45807</v>
      </c>
      <c r="W16" s="18">
        <v>63</v>
      </c>
      <c r="X16" s="20">
        <v>11</v>
      </c>
      <c r="Y16" s="36" t="s">
        <v>68</v>
      </c>
    </row>
    <row r="17" spans="1:25" s="31" customFormat="1" x14ac:dyDescent="0.35">
      <c r="A17" s="35">
        <v>45737</v>
      </c>
      <c r="B17" s="35"/>
      <c r="C17" s="18" t="s">
        <v>70</v>
      </c>
      <c r="D17" s="18" t="s">
        <v>58</v>
      </c>
      <c r="E17" s="18" t="s">
        <v>91</v>
      </c>
      <c r="F17" s="18" t="s">
        <v>255</v>
      </c>
      <c r="G17" s="18" t="s">
        <v>61</v>
      </c>
      <c r="H17" s="18">
        <v>15356506</v>
      </c>
      <c r="I17" s="18" t="s">
        <v>256</v>
      </c>
      <c r="J17" s="18">
        <v>3136468404</v>
      </c>
      <c r="K17" s="18" t="s">
        <v>17</v>
      </c>
      <c r="L17" s="18">
        <v>901636833</v>
      </c>
      <c r="M17" s="35">
        <v>45737</v>
      </c>
      <c r="N17" s="18" t="s">
        <v>257</v>
      </c>
      <c r="O17" s="18" t="s">
        <v>75</v>
      </c>
      <c r="P17" s="18">
        <v>1</v>
      </c>
      <c r="Q17" s="18">
        <v>106.666</v>
      </c>
      <c r="R17" s="31" t="s">
        <v>65</v>
      </c>
      <c r="S17" s="31" t="s">
        <v>94</v>
      </c>
      <c r="T17" s="20">
        <v>1</v>
      </c>
      <c r="U17" s="18" t="s">
        <v>258</v>
      </c>
      <c r="V17" s="35">
        <v>45807</v>
      </c>
      <c r="W17" s="18">
        <v>70</v>
      </c>
      <c r="X17" s="20">
        <v>5</v>
      </c>
      <c r="Y17" s="36" t="s">
        <v>68</v>
      </c>
    </row>
    <row r="18" spans="1:25" s="31" customFormat="1" x14ac:dyDescent="0.35">
      <c r="A18" s="35">
        <v>45735</v>
      </c>
      <c r="B18" s="35"/>
      <c r="C18" s="18" t="s">
        <v>271</v>
      </c>
      <c r="D18" s="18" t="s">
        <v>58</v>
      </c>
      <c r="E18" s="18" t="s">
        <v>272</v>
      </c>
      <c r="F18" s="18" t="s">
        <v>273</v>
      </c>
      <c r="G18" s="18" t="s">
        <v>61</v>
      </c>
      <c r="H18" s="18">
        <v>1013654370</v>
      </c>
      <c r="I18" s="18" t="s">
        <v>274</v>
      </c>
      <c r="J18" s="18">
        <v>3105299313</v>
      </c>
      <c r="K18" s="18" t="s">
        <v>18</v>
      </c>
      <c r="L18" s="18">
        <v>1013654370</v>
      </c>
      <c r="M18" s="35">
        <v>45735</v>
      </c>
      <c r="N18" s="18" t="s">
        <v>275</v>
      </c>
      <c r="O18" s="18" t="s">
        <v>75</v>
      </c>
      <c r="P18" s="18">
        <v>4</v>
      </c>
      <c r="Q18" s="18">
        <v>213000</v>
      </c>
      <c r="R18" s="31" t="s">
        <v>65</v>
      </c>
      <c r="S18" s="31" t="s">
        <v>94</v>
      </c>
      <c r="T18" s="20">
        <v>1</v>
      </c>
      <c r="U18" s="18" t="s">
        <v>276</v>
      </c>
      <c r="V18" s="35">
        <v>45807</v>
      </c>
      <c r="W18" s="18">
        <v>72</v>
      </c>
      <c r="X18" s="20">
        <v>4</v>
      </c>
      <c r="Y18" s="36" t="s">
        <v>68</v>
      </c>
    </row>
    <row r="19" spans="1:25" s="31" customFormat="1" x14ac:dyDescent="0.35">
      <c r="A19" s="35">
        <v>45717</v>
      </c>
      <c r="B19" s="35"/>
      <c r="C19" s="18" t="s">
        <v>102</v>
      </c>
      <c r="D19" s="18" t="s">
        <v>58</v>
      </c>
      <c r="E19" s="18" t="s">
        <v>59</v>
      </c>
      <c r="F19" s="18" t="s">
        <v>290</v>
      </c>
      <c r="G19" s="18" t="s">
        <v>61</v>
      </c>
      <c r="H19" s="18">
        <v>43862379</v>
      </c>
      <c r="I19" s="18" t="s">
        <v>291</v>
      </c>
      <c r="J19" s="18">
        <v>3147571005</v>
      </c>
      <c r="K19" s="18" t="s">
        <v>19</v>
      </c>
      <c r="L19" s="18">
        <v>43862379</v>
      </c>
      <c r="M19" s="35">
        <v>45785</v>
      </c>
      <c r="N19" s="18"/>
      <c r="O19" s="18" t="s">
        <v>75</v>
      </c>
      <c r="P19" s="18">
        <v>1</v>
      </c>
      <c r="Q19" s="18">
        <v>106.666</v>
      </c>
      <c r="R19" s="31" t="s">
        <v>65</v>
      </c>
      <c r="S19" s="31" t="s">
        <v>82</v>
      </c>
      <c r="T19" s="20" t="s">
        <v>371</v>
      </c>
      <c r="U19" s="18" t="s">
        <v>292</v>
      </c>
      <c r="V19" s="35">
        <v>45807</v>
      </c>
      <c r="W19" s="18">
        <v>90</v>
      </c>
      <c r="X19" s="20">
        <v>2</v>
      </c>
      <c r="Y19" s="36" t="s">
        <v>68</v>
      </c>
    </row>
    <row r="20" spans="1:25" s="31" customFormat="1" x14ac:dyDescent="0.35">
      <c r="A20" s="35">
        <v>45751</v>
      </c>
      <c r="B20" s="35"/>
      <c r="C20" s="18" t="s">
        <v>70</v>
      </c>
      <c r="D20" s="18" t="s">
        <v>58</v>
      </c>
      <c r="E20" s="18" t="s">
        <v>71</v>
      </c>
      <c r="F20" s="18" t="s">
        <v>298</v>
      </c>
      <c r="G20" s="18" t="s">
        <v>61</v>
      </c>
      <c r="H20" s="18">
        <v>79291337</v>
      </c>
      <c r="I20" s="18" t="s">
        <v>299</v>
      </c>
      <c r="J20" s="18">
        <v>3104387811</v>
      </c>
      <c r="K20" s="18" t="s">
        <v>20</v>
      </c>
      <c r="L20" s="18">
        <v>901039724</v>
      </c>
      <c r="M20" s="35">
        <v>45751</v>
      </c>
      <c r="N20" s="18" t="s">
        <v>300</v>
      </c>
      <c r="O20" s="18" t="s">
        <v>75</v>
      </c>
      <c r="P20" s="18">
        <v>2</v>
      </c>
      <c r="Q20" s="18">
        <v>106.666</v>
      </c>
      <c r="R20" s="31" t="s">
        <v>65</v>
      </c>
      <c r="S20" s="31" t="s">
        <v>94</v>
      </c>
      <c r="T20" s="20">
        <v>1</v>
      </c>
      <c r="U20" s="18" t="s">
        <v>116</v>
      </c>
      <c r="V20" s="35">
        <v>45807</v>
      </c>
      <c r="W20" s="18">
        <v>56</v>
      </c>
      <c r="X20" s="20">
        <v>6</v>
      </c>
      <c r="Y20" s="36" t="s">
        <v>68</v>
      </c>
    </row>
    <row r="21" spans="1:25" s="31" customFormat="1" x14ac:dyDescent="0.35">
      <c r="A21" s="35">
        <v>45733</v>
      </c>
      <c r="B21" s="35"/>
      <c r="C21" s="18" t="s">
        <v>132</v>
      </c>
      <c r="D21" s="18" t="s">
        <v>58</v>
      </c>
      <c r="E21" s="18" t="s">
        <v>91</v>
      </c>
      <c r="F21" s="18" t="s">
        <v>308</v>
      </c>
      <c r="G21" s="18" t="s">
        <v>61</v>
      </c>
      <c r="H21" s="18">
        <v>15384344</v>
      </c>
      <c r="I21" s="18" t="s">
        <v>309</v>
      </c>
      <c r="J21" s="18">
        <v>3148500297</v>
      </c>
      <c r="K21" s="18" t="s">
        <v>21</v>
      </c>
      <c r="L21" s="18">
        <v>15384344</v>
      </c>
      <c r="M21" s="35">
        <v>45733</v>
      </c>
      <c r="N21" s="18" t="s">
        <v>275</v>
      </c>
      <c r="O21" s="18" t="s">
        <v>75</v>
      </c>
      <c r="P21" s="18">
        <v>2</v>
      </c>
      <c r="Q21" s="18">
        <v>106.666</v>
      </c>
      <c r="R21" s="31" t="s">
        <v>65</v>
      </c>
      <c r="S21" s="31" t="s">
        <v>94</v>
      </c>
      <c r="T21" s="20">
        <v>1</v>
      </c>
      <c r="U21" s="18"/>
      <c r="V21" s="35">
        <v>45807</v>
      </c>
      <c r="W21" s="18">
        <v>74</v>
      </c>
      <c r="X21" s="20">
        <v>8</v>
      </c>
      <c r="Y21" s="36" t="s">
        <v>68</v>
      </c>
    </row>
    <row r="22" spans="1:25" s="31" customFormat="1" x14ac:dyDescent="0.35">
      <c r="A22" s="35">
        <v>45724</v>
      </c>
      <c r="B22" s="35"/>
      <c r="C22" s="18" t="s">
        <v>102</v>
      </c>
      <c r="D22" s="18" t="s">
        <v>58</v>
      </c>
      <c r="E22" s="18" t="s">
        <v>59</v>
      </c>
      <c r="F22" s="18" t="s">
        <v>318</v>
      </c>
      <c r="G22" s="18" t="s">
        <v>61</v>
      </c>
      <c r="H22" s="18">
        <v>39453906</v>
      </c>
      <c r="I22" s="18" t="s">
        <v>319</v>
      </c>
      <c r="J22" s="18">
        <v>3128523870</v>
      </c>
      <c r="K22" s="18" t="s">
        <v>22</v>
      </c>
      <c r="L22" s="18">
        <v>901590411</v>
      </c>
      <c r="M22" s="35">
        <v>45776</v>
      </c>
      <c r="N22" s="18" t="s">
        <v>320</v>
      </c>
      <c r="O22" s="18" t="s">
        <v>75</v>
      </c>
      <c r="P22" s="18">
        <v>2</v>
      </c>
      <c r="Q22" s="18">
        <v>106.666</v>
      </c>
      <c r="R22" s="31" t="s">
        <v>65</v>
      </c>
      <c r="S22" s="31" t="s">
        <v>103</v>
      </c>
      <c r="T22" s="20">
        <v>1</v>
      </c>
      <c r="U22" s="18" t="s">
        <v>321</v>
      </c>
      <c r="V22" s="35">
        <v>45807</v>
      </c>
      <c r="W22" s="18">
        <v>83</v>
      </c>
      <c r="X22" s="20">
        <v>23</v>
      </c>
      <c r="Y22" s="36" t="s">
        <v>68</v>
      </c>
    </row>
    <row r="23" spans="1:25" s="31" customFormat="1" x14ac:dyDescent="0.35">
      <c r="A23" s="35">
        <v>45731</v>
      </c>
      <c r="B23" s="35"/>
      <c r="C23" s="18" t="s">
        <v>102</v>
      </c>
      <c r="D23" s="18" t="s">
        <v>58</v>
      </c>
      <c r="E23" s="18" t="s">
        <v>59</v>
      </c>
      <c r="F23" s="18" t="s">
        <v>325</v>
      </c>
      <c r="G23" s="18" t="s">
        <v>61</v>
      </c>
      <c r="H23" s="18">
        <v>15380272</v>
      </c>
      <c r="I23" s="18" t="s">
        <v>326</v>
      </c>
      <c r="J23" s="18">
        <v>3113177651</v>
      </c>
      <c r="K23" s="18" t="s">
        <v>23</v>
      </c>
      <c r="L23" s="18">
        <v>900709843</v>
      </c>
      <c r="M23" s="35">
        <v>45792</v>
      </c>
      <c r="N23" s="18" t="s">
        <v>137</v>
      </c>
      <c r="O23" s="18" t="s">
        <v>75</v>
      </c>
      <c r="P23" s="18">
        <v>5</v>
      </c>
      <c r="Q23" s="18">
        <v>213000</v>
      </c>
      <c r="R23" s="31" t="s">
        <v>65</v>
      </c>
      <c r="S23" s="31" t="s">
        <v>123</v>
      </c>
      <c r="T23" s="20" t="s">
        <v>371</v>
      </c>
      <c r="U23" s="18" t="s">
        <v>327</v>
      </c>
      <c r="V23" s="35">
        <v>45807</v>
      </c>
      <c r="W23" s="18">
        <v>76</v>
      </c>
      <c r="X23" s="20">
        <v>2</v>
      </c>
      <c r="Y23" s="36" t="s">
        <v>68</v>
      </c>
    </row>
    <row r="24" spans="1:25" s="31" customFormat="1" x14ac:dyDescent="0.35">
      <c r="A24" s="35">
        <v>45717</v>
      </c>
      <c r="B24" s="35"/>
      <c r="C24" s="18" t="s">
        <v>102</v>
      </c>
      <c r="D24" s="18" t="s">
        <v>58</v>
      </c>
      <c r="E24" s="18" t="s">
        <v>59</v>
      </c>
      <c r="F24" s="18" t="s">
        <v>335</v>
      </c>
      <c r="G24" s="18" t="s">
        <v>61</v>
      </c>
      <c r="H24" s="18">
        <v>1039681747</v>
      </c>
      <c r="I24" s="18" t="s">
        <v>336</v>
      </c>
      <c r="J24" s="18">
        <v>3136884875</v>
      </c>
      <c r="K24" s="18" t="s">
        <v>24</v>
      </c>
      <c r="L24" s="18">
        <v>1039681747</v>
      </c>
      <c r="M24" s="35">
        <v>45785</v>
      </c>
      <c r="N24" s="18" t="s">
        <v>337</v>
      </c>
      <c r="O24" s="18" t="s">
        <v>75</v>
      </c>
      <c r="P24" s="18">
        <v>3</v>
      </c>
      <c r="Q24" s="18">
        <v>106.666</v>
      </c>
      <c r="R24" s="31" t="s">
        <v>65</v>
      </c>
      <c r="S24" s="31" t="s">
        <v>82</v>
      </c>
      <c r="T24" s="20" t="s">
        <v>371</v>
      </c>
      <c r="U24" s="18" t="s">
        <v>338</v>
      </c>
      <c r="V24" s="35">
        <v>45807</v>
      </c>
      <c r="W24" s="18">
        <v>90</v>
      </c>
      <c r="X24" s="20">
        <v>4</v>
      </c>
      <c r="Y24" s="36" t="s">
        <v>68</v>
      </c>
    </row>
    <row r="25" spans="1:25" s="31" customFormat="1" x14ac:dyDescent="0.35">
      <c r="A25" s="35">
        <v>45742</v>
      </c>
      <c r="B25" s="35"/>
      <c r="C25" s="18" t="s">
        <v>344</v>
      </c>
      <c r="D25" s="18" t="s">
        <v>58</v>
      </c>
      <c r="E25" s="18" t="s">
        <v>91</v>
      </c>
      <c r="F25" s="18" t="s">
        <v>345</v>
      </c>
      <c r="G25" s="18" t="s">
        <v>61</v>
      </c>
      <c r="H25" s="18">
        <v>39189386</v>
      </c>
      <c r="I25" s="18" t="s">
        <v>346</v>
      </c>
      <c r="J25" s="18">
        <v>3022152280</v>
      </c>
      <c r="K25" s="18" t="s">
        <v>25</v>
      </c>
      <c r="L25" s="18">
        <v>901268585</v>
      </c>
      <c r="M25" s="35">
        <v>45742</v>
      </c>
      <c r="N25" s="18" t="s">
        <v>165</v>
      </c>
      <c r="O25" s="18" t="s">
        <v>75</v>
      </c>
      <c r="P25" s="18">
        <v>5</v>
      </c>
      <c r="Q25" s="18">
        <v>213000</v>
      </c>
      <c r="R25" s="31" t="s">
        <v>65</v>
      </c>
      <c r="S25" s="31" t="s">
        <v>94</v>
      </c>
      <c r="T25" s="20">
        <v>1</v>
      </c>
      <c r="U25" s="18" t="s">
        <v>347</v>
      </c>
      <c r="V25" s="35">
        <v>45807</v>
      </c>
      <c r="W25" s="18">
        <v>65</v>
      </c>
      <c r="X25" s="20">
        <v>9</v>
      </c>
      <c r="Y25" s="36" t="s">
        <v>68</v>
      </c>
    </row>
    <row r="26" spans="1:25" s="31" customFormat="1" x14ac:dyDescent="0.35">
      <c r="A26" s="35">
        <v>45751</v>
      </c>
      <c r="B26" s="35"/>
      <c r="C26" s="18" t="s">
        <v>70</v>
      </c>
      <c r="D26" s="18" t="s">
        <v>58</v>
      </c>
      <c r="E26" s="18" t="s">
        <v>91</v>
      </c>
      <c r="F26" s="18" t="s">
        <v>357</v>
      </c>
      <c r="G26" s="18" t="s">
        <v>61</v>
      </c>
      <c r="H26" s="18">
        <v>1037649854</v>
      </c>
      <c r="I26" s="18" t="s">
        <v>358</v>
      </c>
      <c r="J26" s="18">
        <v>3114323737</v>
      </c>
      <c r="K26" s="18" t="s">
        <v>26</v>
      </c>
      <c r="L26" s="18">
        <v>1037649854</v>
      </c>
      <c r="M26" s="35">
        <v>45751</v>
      </c>
      <c r="N26" s="18" t="s">
        <v>122</v>
      </c>
      <c r="O26" s="18" t="s">
        <v>75</v>
      </c>
      <c r="P26" s="18">
        <v>2</v>
      </c>
      <c r="Q26" s="18">
        <v>106.666</v>
      </c>
      <c r="R26" s="31" t="s">
        <v>65</v>
      </c>
      <c r="S26" s="31" t="s">
        <v>94</v>
      </c>
      <c r="T26" s="20">
        <v>1</v>
      </c>
      <c r="U26" s="18" t="s">
        <v>116</v>
      </c>
      <c r="V26" s="35">
        <v>45807</v>
      </c>
      <c r="W26" s="18">
        <v>56</v>
      </c>
      <c r="X26" s="20">
        <v>2</v>
      </c>
      <c r="Y26" s="36" t="s">
        <v>68</v>
      </c>
    </row>
  </sheetData>
  <dataValidations count="2">
    <dataValidation type="list" allowBlank="1" showInputMessage="1" showErrorMessage="1" sqref="S2:S23 S25:S26" xr:uid="{6D216C3D-5147-4071-9D4D-69F9DD0DBD7E}">
      <formula1>INDIRECT(R2)</formula1>
    </dataValidation>
    <dataValidation type="list" allowBlank="1" showInputMessage="1" showErrorMessage="1" sqref="S24" xr:uid="{50663C81-1F12-4C5B-A869-17B26C43EBA0}">
      <formula1>INDIRECT(R25)</formula1>
    </dataValidation>
  </dataValidations>
  <hyperlinks>
    <hyperlink ref="I11" r:id="rId1" xr:uid="{403F050A-C104-49DC-832F-15F1627711EC}"/>
    <hyperlink ref="I14" r:id="rId2" xr:uid="{10C02D9D-2F00-4788-9EAB-CA9A4654061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5609B8A-5348-4B9E-8592-BD2DEDD410EE}">
          <x14:formula1>
            <xm:f>'LISTA DESPLEGABLE'!$A$3:$A$6</xm:f>
          </x14:formula1>
          <xm:sqref>R2:R26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914B-55FE-4AEA-AE72-0C9D948FD058}">
  <dimension ref="A1:H76"/>
  <sheetViews>
    <sheetView zoomScale="99" zoomScaleNormal="99" workbookViewId="0">
      <selection activeCell="B15" sqref="B15:B17"/>
    </sheetView>
  </sheetViews>
  <sheetFormatPr baseColWidth="10" defaultColWidth="64.453125" defaultRowHeight="10" x14ac:dyDescent="0.2"/>
  <cols>
    <col min="1" max="1" width="14.81640625" style="14" customWidth="1"/>
    <col min="2" max="2" width="64.453125" style="24"/>
    <col min="3" max="3" width="20.453125" style="55" customWidth="1"/>
    <col min="4" max="4" width="22.1796875" style="68" customWidth="1"/>
    <col min="5" max="5" width="10.453125" style="58" customWidth="1"/>
    <col min="6" max="6" width="22" style="14" customWidth="1"/>
    <col min="7" max="7" width="24" style="14" customWidth="1"/>
    <col min="8" max="16384" width="64.453125" style="14"/>
  </cols>
  <sheetData>
    <row r="1" spans="1:8" ht="10.5" x14ac:dyDescent="0.25">
      <c r="A1" s="13" t="s">
        <v>372</v>
      </c>
      <c r="B1" s="21" t="s">
        <v>373</v>
      </c>
      <c r="C1" s="54" t="s">
        <v>374</v>
      </c>
      <c r="D1" s="102" t="s">
        <v>375</v>
      </c>
      <c r="E1" s="56" t="s">
        <v>376</v>
      </c>
      <c r="F1" s="52" t="s">
        <v>377</v>
      </c>
      <c r="G1" s="52" t="s">
        <v>378</v>
      </c>
      <c r="H1" s="52" t="s">
        <v>379</v>
      </c>
    </row>
    <row r="2" spans="1:8" ht="10" customHeight="1" x14ac:dyDescent="0.2">
      <c r="A2" s="15" t="s">
        <v>65</v>
      </c>
      <c r="B2" s="114" t="s">
        <v>94</v>
      </c>
      <c r="C2" s="53">
        <v>1</v>
      </c>
      <c r="D2" s="103" t="s">
        <v>380</v>
      </c>
      <c r="E2" s="101">
        <f>SUM(C2+C6+C7+C11+C10)</f>
        <v>9</v>
      </c>
      <c r="F2" s="98">
        <v>5</v>
      </c>
      <c r="G2" s="98"/>
      <c r="H2" s="14">
        <f>(F2*G2)/100</f>
        <v>0</v>
      </c>
    </row>
    <row r="3" spans="1:8" ht="10" customHeight="1" x14ac:dyDescent="0.2">
      <c r="A3" s="15" t="s">
        <v>65</v>
      </c>
      <c r="B3" s="22" t="s">
        <v>143</v>
      </c>
      <c r="C3" s="53">
        <v>0</v>
      </c>
      <c r="D3" s="103" t="s">
        <v>380</v>
      </c>
      <c r="E3" s="101"/>
      <c r="F3" s="98"/>
      <c r="G3" s="98"/>
    </row>
    <row r="4" spans="1:8" ht="10" customHeight="1" x14ac:dyDescent="0.2">
      <c r="A4" s="15" t="s">
        <v>65</v>
      </c>
      <c r="B4" s="22" t="s">
        <v>221</v>
      </c>
      <c r="C4" s="53">
        <v>0</v>
      </c>
      <c r="D4" s="103" t="s">
        <v>380</v>
      </c>
      <c r="E4" s="101"/>
      <c r="F4" s="98"/>
      <c r="G4" s="98"/>
    </row>
    <row r="5" spans="1:8" ht="10" customHeight="1" x14ac:dyDescent="0.2">
      <c r="A5" s="15" t="s">
        <v>65</v>
      </c>
      <c r="B5" s="22" t="s">
        <v>80</v>
      </c>
      <c r="C5" s="59">
        <v>0.5</v>
      </c>
      <c r="D5" s="103" t="s">
        <v>380</v>
      </c>
      <c r="E5" s="101"/>
      <c r="F5" s="98"/>
      <c r="G5" s="98"/>
    </row>
    <row r="6" spans="1:8" ht="10" customHeight="1" x14ac:dyDescent="0.2">
      <c r="A6" s="15" t="s">
        <v>65</v>
      </c>
      <c r="B6" s="115" t="s">
        <v>103</v>
      </c>
      <c r="C6" s="53">
        <v>1</v>
      </c>
      <c r="D6" s="103" t="s">
        <v>380</v>
      </c>
      <c r="E6" s="101"/>
      <c r="F6" s="98"/>
      <c r="G6" s="98"/>
    </row>
    <row r="7" spans="1:8" ht="10" customHeight="1" x14ac:dyDescent="0.2">
      <c r="A7" s="15" t="s">
        <v>65</v>
      </c>
      <c r="B7" s="23" t="s">
        <v>130</v>
      </c>
      <c r="C7" s="53">
        <v>2</v>
      </c>
      <c r="D7" s="103" t="s">
        <v>380</v>
      </c>
      <c r="E7" s="101"/>
      <c r="F7" s="98"/>
      <c r="G7" s="98"/>
    </row>
    <row r="8" spans="1:8" ht="10" customHeight="1" x14ac:dyDescent="0.2">
      <c r="A8" s="15" t="s">
        <v>65</v>
      </c>
      <c r="B8" s="23" t="s">
        <v>84</v>
      </c>
      <c r="C8" s="53">
        <v>1</v>
      </c>
      <c r="D8" s="103" t="s">
        <v>380</v>
      </c>
      <c r="E8" s="101"/>
      <c r="F8" s="98"/>
      <c r="G8" s="98"/>
    </row>
    <row r="9" spans="1:8" ht="10" customHeight="1" x14ac:dyDescent="0.2">
      <c r="A9" s="15" t="s">
        <v>65</v>
      </c>
      <c r="B9" s="23" t="s">
        <v>76</v>
      </c>
      <c r="C9" s="53">
        <v>2</v>
      </c>
      <c r="D9" s="103" t="s">
        <v>380</v>
      </c>
      <c r="E9" s="101"/>
      <c r="F9" s="98"/>
      <c r="G9" s="98"/>
    </row>
    <row r="10" spans="1:8" ht="10" customHeight="1" x14ac:dyDescent="0.2">
      <c r="A10" s="15" t="s">
        <v>65</v>
      </c>
      <c r="B10" s="115" t="s">
        <v>96</v>
      </c>
      <c r="C10" s="53">
        <v>3</v>
      </c>
      <c r="D10" s="103" t="s">
        <v>380</v>
      </c>
      <c r="E10" s="101"/>
      <c r="F10" s="98"/>
      <c r="G10" s="98"/>
    </row>
    <row r="11" spans="1:8" ht="15" customHeight="1" x14ac:dyDescent="0.2">
      <c r="A11" s="15" t="s">
        <v>65</v>
      </c>
      <c r="B11" s="115" t="s">
        <v>66</v>
      </c>
      <c r="C11" s="53">
        <v>2</v>
      </c>
      <c r="D11" s="103" t="s">
        <v>380</v>
      </c>
      <c r="E11" s="101"/>
      <c r="F11" s="98">
        <v>5</v>
      </c>
      <c r="G11" s="98"/>
    </row>
    <row r="12" spans="1:8" ht="10" customHeight="1" x14ac:dyDescent="0.2">
      <c r="A12" s="15" t="s">
        <v>65</v>
      </c>
      <c r="B12" s="23" t="s">
        <v>240</v>
      </c>
      <c r="C12" s="53">
        <v>3</v>
      </c>
      <c r="D12" s="104" t="s">
        <v>381</v>
      </c>
      <c r="E12" s="69">
        <f>SUM(C12+C14+C15+C16)</f>
        <v>8</v>
      </c>
      <c r="F12" s="98"/>
      <c r="G12" s="98"/>
    </row>
    <row r="13" spans="1:8" ht="10" customHeight="1" x14ac:dyDescent="0.2">
      <c r="A13" s="15" t="s">
        <v>65</v>
      </c>
      <c r="B13" s="23" t="s">
        <v>263</v>
      </c>
      <c r="C13" s="53">
        <v>4</v>
      </c>
      <c r="D13" s="104" t="s">
        <v>381</v>
      </c>
      <c r="E13" s="69"/>
      <c r="F13" s="98"/>
      <c r="G13" s="98"/>
    </row>
    <row r="14" spans="1:8" ht="10" customHeight="1" x14ac:dyDescent="0.2">
      <c r="A14" s="15" t="s">
        <v>65</v>
      </c>
      <c r="B14" s="23" t="s">
        <v>126</v>
      </c>
      <c r="C14" s="53">
        <v>4</v>
      </c>
      <c r="D14" s="104" t="s">
        <v>381</v>
      </c>
      <c r="E14" s="69"/>
      <c r="F14" s="98"/>
      <c r="G14" s="98"/>
    </row>
    <row r="15" spans="1:8" ht="10" customHeight="1" x14ac:dyDescent="0.2">
      <c r="A15" s="15" t="s">
        <v>65</v>
      </c>
      <c r="B15" s="4" t="s">
        <v>82</v>
      </c>
      <c r="C15" s="59">
        <v>0.5</v>
      </c>
      <c r="D15" s="104" t="s">
        <v>381</v>
      </c>
      <c r="E15" s="69"/>
      <c r="F15" s="98"/>
      <c r="G15" s="98"/>
    </row>
    <row r="16" spans="1:8" ht="10" customHeight="1" x14ac:dyDescent="0.2">
      <c r="A16" s="15" t="s">
        <v>65</v>
      </c>
      <c r="B16" s="4" t="s">
        <v>168</v>
      </c>
      <c r="C16" s="59">
        <v>0.5</v>
      </c>
      <c r="D16" s="104" t="s">
        <v>381</v>
      </c>
      <c r="E16" s="69"/>
      <c r="F16" s="98"/>
      <c r="G16" s="98"/>
    </row>
    <row r="17" spans="1:7" ht="20" x14ac:dyDescent="0.2">
      <c r="A17" s="15" t="s">
        <v>65</v>
      </c>
      <c r="B17" s="4" t="s">
        <v>236</v>
      </c>
      <c r="C17" s="59">
        <v>0.5</v>
      </c>
      <c r="D17" s="105" t="s">
        <v>382</v>
      </c>
      <c r="E17" s="99">
        <f>SUM(C17:C20)</f>
        <v>2</v>
      </c>
      <c r="F17" s="98">
        <v>4</v>
      </c>
      <c r="G17" s="98"/>
    </row>
    <row r="18" spans="1:7" ht="10" customHeight="1" x14ac:dyDescent="0.2">
      <c r="A18" s="15" t="s">
        <v>65</v>
      </c>
      <c r="B18" s="4" t="s">
        <v>123</v>
      </c>
      <c r="C18" s="59">
        <v>0.5</v>
      </c>
      <c r="D18" s="105" t="s">
        <v>382</v>
      </c>
      <c r="E18" s="99"/>
      <c r="F18" s="98"/>
      <c r="G18" s="98"/>
    </row>
    <row r="19" spans="1:7" ht="10" customHeight="1" x14ac:dyDescent="0.2">
      <c r="A19" s="15" t="s">
        <v>65</v>
      </c>
      <c r="B19" s="4" t="s">
        <v>383</v>
      </c>
      <c r="C19" s="59">
        <v>0.5</v>
      </c>
      <c r="D19" s="105" t="s">
        <v>382</v>
      </c>
      <c r="E19" s="99"/>
      <c r="F19" s="98"/>
      <c r="G19" s="98"/>
    </row>
    <row r="20" spans="1:7" ht="10" customHeight="1" x14ac:dyDescent="0.2">
      <c r="A20" s="15" t="s">
        <v>65</v>
      </c>
      <c r="B20" s="4" t="s">
        <v>238</v>
      </c>
      <c r="C20" s="59">
        <v>0.5</v>
      </c>
      <c r="D20" s="105" t="s">
        <v>382</v>
      </c>
      <c r="E20" s="99"/>
      <c r="F20" s="98"/>
      <c r="G20" s="98"/>
    </row>
    <row r="21" spans="1:7" ht="15" customHeight="1" x14ac:dyDescent="0.2">
      <c r="A21" s="15" t="s">
        <v>65</v>
      </c>
      <c r="B21" s="4" t="s">
        <v>384</v>
      </c>
      <c r="C21" s="59">
        <v>0.5</v>
      </c>
      <c r="D21" s="104" t="s">
        <v>385</v>
      </c>
      <c r="E21" s="100">
        <f>SUM(C21:C24)</f>
        <v>5</v>
      </c>
      <c r="F21" s="98">
        <v>4</v>
      </c>
      <c r="G21" s="98"/>
    </row>
    <row r="22" spans="1:7" ht="10" customHeight="1" x14ac:dyDescent="0.2">
      <c r="A22" s="15" t="s">
        <v>65</v>
      </c>
      <c r="B22" s="4" t="s">
        <v>386</v>
      </c>
      <c r="C22" s="59">
        <v>0.5</v>
      </c>
      <c r="D22" s="104" t="s">
        <v>385</v>
      </c>
      <c r="E22" s="100"/>
      <c r="F22" s="98"/>
      <c r="G22" s="98"/>
    </row>
    <row r="23" spans="1:7" ht="10" customHeight="1" x14ac:dyDescent="0.2">
      <c r="A23" s="15" t="s">
        <v>65</v>
      </c>
      <c r="B23" s="4" t="s">
        <v>128</v>
      </c>
      <c r="C23" s="53">
        <v>2</v>
      </c>
      <c r="D23" s="104" t="s">
        <v>385</v>
      </c>
      <c r="E23" s="100"/>
      <c r="F23" s="98"/>
      <c r="G23" s="98"/>
    </row>
    <row r="24" spans="1:7" ht="20.149999999999999" customHeight="1" x14ac:dyDescent="0.2">
      <c r="A24" s="15" t="s">
        <v>65</v>
      </c>
      <c r="B24" s="4" t="s">
        <v>387</v>
      </c>
      <c r="C24" s="53">
        <v>2</v>
      </c>
      <c r="D24" s="104" t="s">
        <v>385</v>
      </c>
      <c r="E24" s="100"/>
      <c r="F24" s="98"/>
      <c r="G24" s="98"/>
    </row>
    <row r="25" spans="1:7" ht="20" x14ac:dyDescent="0.2">
      <c r="A25" s="15" t="s">
        <v>65</v>
      </c>
      <c r="B25" s="4" t="s">
        <v>388</v>
      </c>
      <c r="C25" s="53">
        <v>2</v>
      </c>
      <c r="D25" s="106" t="s">
        <v>389</v>
      </c>
      <c r="E25" s="99">
        <f>SUM(C25:C28)</f>
        <v>5</v>
      </c>
      <c r="F25" s="98">
        <v>4</v>
      </c>
      <c r="G25" s="98"/>
    </row>
    <row r="26" spans="1:7" ht="20.149999999999999" customHeight="1" x14ac:dyDescent="0.2">
      <c r="A26" s="15" t="s">
        <v>65</v>
      </c>
      <c r="B26" s="4" t="s">
        <v>267</v>
      </c>
      <c r="C26" s="53">
        <v>1</v>
      </c>
      <c r="D26" s="106" t="s">
        <v>389</v>
      </c>
      <c r="E26" s="99"/>
      <c r="F26" s="98"/>
      <c r="G26" s="98"/>
    </row>
    <row r="27" spans="1:7" ht="20.149999999999999" customHeight="1" x14ac:dyDescent="0.2">
      <c r="A27" s="15" t="s">
        <v>65</v>
      </c>
      <c r="B27" s="4" t="s">
        <v>390</v>
      </c>
      <c r="C27" s="53">
        <v>1</v>
      </c>
      <c r="D27" s="106" t="s">
        <v>389</v>
      </c>
      <c r="E27" s="99"/>
      <c r="F27" s="98"/>
      <c r="G27" s="98"/>
    </row>
    <row r="28" spans="1:7" ht="10" customHeight="1" x14ac:dyDescent="0.2">
      <c r="A28" s="15" t="s">
        <v>65</v>
      </c>
      <c r="B28" s="4" t="s">
        <v>391</v>
      </c>
      <c r="C28" s="53">
        <v>1</v>
      </c>
      <c r="D28" s="106" t="s">
        <v>389</v>
      </c>
      <c r="E28" s="99"/>
      <c r="F28" s="98"/>
      <c r="G28" s="98"/>
    </row>
    <row r="29" spans="1:7" x14ac:dyDescent="0.2">
      <c r="A29" s="15" t="s">
        <v>65</v>
      </c>
      <c r="B29" s="4" t="s">
        <v>392</v>
      </c>
      <c r="C29" s="53">
        <v>2</v>
      </c>
      <c r="D29" s="104" t="s">
        <v>393</v>
      </c>
      <c r="E29" s="100">
        <f>SUM(C29:C32)</f>
        <v>7</v>
      </c>
      <c r="F29" s="98">
        <v>4</v>
      </c>
    </row>
    <row r="30" spans="1:7" ht="20.149999999999999" customHeight="1" x14ac:dyDescent="0.2">
      <c r="A30" s="15" t="s">
        <v>65</v>
      </c>
      <c r="B30" s="4" t="s">
        <v>110</v>
      </c>
      <c r="C30" s="53">
        <v>2</v>
      </c>
      <c r="D30" s="104" t="s">
        <v>393</v>
      </c>
      <c r="E30" s="100"/>
      <c r="F30" s="98"/>
    </row>
    <row r="31" spans="1:7" ht="10" customHeight="1" x14ac:dyDescent="0.2">
      <c r="A31" s="15" t="s">
        <v>65</v>
      </c>
      <c r="B31" s="4" t="s">
        <v>394</v>
      </c>
      <c r="C31" s="53">
        <v>1</v>
      </c>
      <c r="D31" s="104" t="s">
        <v>393</v>
      </c>
      <c r="E31" s="100"/>
      <c r="F31" s="98"/>
    </row>
    <row r="32" spans="1:7" ht="10" customHeight="1" x14ac:dyDescent="0.2">
      <c r="A32" s="15" t="s">
        <v>65</v>
      </c>
      <c r="B32" s="4" t="s">
        <v>395</v>
      </c>
      <c r="C32" s="53">
        <v>2</v>
      </c>
      <c r="D32" s="104" t="s">
        <v>393</v>
      </c>
      <c r="E32" s="100"/>
      <c r="F32" s="98"/>
    </row>
    <row r="33" spans="1:6" ht="20" x14ac:dyDescent="0.2">
      <c r="A33" s="15" t="s">
        <v>65</v>
      </c>
      <c r="B33" s="4" t="s">
        <v>396</v>
      </c>
      <c r="C33" s="53">
        <v>1</v>
      </c>
      <c r="D33" s="105" t="s">
        <v>397</v>
      </c>
      <c r="E33" s="99">
        <f>SUM(C33:C36)</f>
        <v>5</v>
      </c>
      <c r="F33" s="98">
        <v>4</v>
      </c>
    </row>
    <row r="34" spans="1:6" ht="20.149999999999999" customHeight="1" x14ac:dyDescent="0.2">
      <c r="A34" s="15" t="s">
        <v>65</v>
      </c>
      <c r="B34" s="4" t="s">
        <v>398</v>
      </c>
      <c r="C34" s="53">
        <v>1</v>
      </c>
      <c r="D34" s="105" t="s">
        <v>397</v>
      </c>
      <c r="E34" s="99"/>
      <c r="F34" s="98"/>
    </row>
    <row r="35" spans="1:6" ht="10" customHeight="1" x14ac:dyDescent="0.2">
      <c r="A35" s="15" t="s">
        <v>65</v>
      </c>
      <c r="B35" s="4" t="s">
        <v>399</v>
      </c>
      <c r="C35" s="53">
        <v>2</v>
      </c>
      <c r="D35" s="105" t="s">
        <v>397</v>
      </c>
      <c r="E35" s="99"/>
      <c r="F35" s="98"/>
    </row>
    <row r="36" spans="1:6" ht="20.149999999999999" customHeight="1" x14ac:dyDescent="0.2">
      <c r="A36" s="15" t="s">
        <v>217</v>
      </c>
      <c r="B36" s="4" t="s">
        <v>400</v>
      </c>
      <c r="C36" s="53">
        <v>1</v>
      </c>
      <c r="D36" s="105" t="s">
        <v>397</v>
      </c>
      <c r="E36" s="99"/>
      <c r="F36" s="98"/>
    </row>
    <row r="37" spans="1:6" ht="15" customHeight="1" x14ac:dyDescent="0.2">
      <c r="A37" s="15" t="s">
        <v>217</v>
      </c>
      <c r="B37" s="4" t="s">
        <v>218</v>
      </c>
      <c r="C37" s="53">
        <v>1</v>
      </c>
      <c r="D37" s="104" t="s">
        <v>401</v>
      </c>
      <c r="E37" s="100">
        <f>SUM(C37:C41)</f>
        <v>5</v>
      </c>
      <c r="F37" s="98">
        <v>5</v>
      </c>
    </row>
    <row r="38" spans="1:6" ht="10" customHeight="1" x14ac:dyDescent="0.2">
      <c r="A38" s="15" t="s">
        <v>217</v>
      </c>
      <c r="B38" s="4" t="s">
        <v>402</v>
      </c>
      <c r="C38" s="53">
        <v>1</v>
      </c>
      <c r="D38" s="104" t="s">
        <v>401</v>
      </c>
      <c r="E38" s="100"/>
      <c r="F38" s="98"/>
    </row>
    <row r="39" spans="1:6" ht="10" customHeight="1" x14ac:dyDescent="0.2">
      <c r="A39" s="15" t="s">
        <v>217</v>
      </c>
      <c r="B39" s="4" t="s">
        <v>403</v>
      </c>
      <c r="C39" s="53">
        <v>1</v>
      </c>
      <c r="D39" s="104" t="s">
        <v>401</v>
      </c>
      <c r="E39" s="100"/>
      <c r="F39" s="98"/>
    </row>
    <row r="40" spans="1:6" ht="20.149999999999999" customHeight="1" x14ac:dyDescent="0.2">
      <c r="A40" s="15" t="s">
        <v>217</v>
      </c>
      <c r="B40" s="4" t="s">
        <v>404</v>
      </c>
      <c r="C40" s="53">
        <v>1</v>
      </c>
      <c r="D40" s="104" t="s">
        <v>401</v>
      </c>
      <c r="E40" s="100"/>
      <c r="F40" s="98"/>
    </row>
    <row r="41" spans="1:6" ht="10" customHeight="1" x14ac:dyDescent="0.2">
      <c r="A41" s="15" t="s">
        <v>217</v>
      </c>
      <c r="B41" s="4" t="s">
        <v>405</v>
      </c>
      <c r="C41" s="53">
        <v>1</v>
      </c>
      <c r="D41" s="104" t="s">
        <v>406</v>
      </c>
      <c r="E41" s="100"/>
      <c r="F41" s="98"/>
    </row>
    <row r="42" spans="1:6" ht="15" customHeight="1" x14ac:dyDescent="0.2">
      <c r="A42" s="15" t="s">
        <v>217</v>
      </c>
      <c r="B42" s="4" t="s">
        <v>407</v>
      </c>
      <c r="C42" s="53">
        <v>1</v>
      </c>
      <c r="D42" s="105" t="s">
        <v>408</v>
      </c>
      <c r="E42" s="99">
        <f>SUM(C42:C45)</f>
        <v>4</v>
      </c>
      <c r="F42" s="98">
        <v>4</v>
      </c>
    </row>
    <row r="43" spans="1:6" ht="20.149999999999999" customHeight="1" x14ac:dyDescent="0.2">
      <c r="A43" s="15" t="s">
        <v>217</v>
      </c>
      <c r="B43" s="4" t="s">
        <v>409</v>
      </c>
      <c r="C43" s="53">
        <v>1</v>
      </c>
      <c r="D43" s="105" t="s">
        <v>408</v>
      </c>
      <c r="E43" s="99"/>
      <c r="F43" s="98"/>
    </row>
    <row r="44" spans="1:6" ht="10" customHeight="1" x14ac:dyDescent="0.2">
      <c r="A44" s="15" t="s">
        <v>217</v>
      </c>
      <c r="B44" s="4" t="s">
        <v>410</v>
      </c>
      <c r="C44" s="53">
        <v>1</v>
      </c>
      <c r="D44" s="105" t="s">
        <v>408</v>
      </c>
      <c r="E44" s="99"/>
      <c r="F44" s="98"/>
    </row>
    <row r="45" spans="1:6" ht="10" customHeight="1" x14ac:dyDescent="0.2">
      <c r="A45" s="15" t="s">
        <v>217</v>
      </c>
      <c r="B45" s="4" t="s">
        <v>411</v>
      </c>
      <c r="C45" s="53">
        <v>1</v>
      </c>
      <c r="D45" s="105" t="s">
        <v>408</v>
      </c>
      <c r="E45" s="99"/>
      <c r="F45" s="98"/>
    </row>
    <row r="46" spans="1:6" ht="20" x14ac:dyDescent="0.2">
      <c r="A46" s="15" t="s">
        <v>217</v>
      </c>
      <c r="B46" s="4" t="s">
        <v>412</v>
      </c>
      <c r="C46" s="53">
        <v>2</v>
      </c>
      <c r="D46" s="104" t="s">
        <v>413</v>
      </c>
      <c r="E46" s="100">
        <f>SUM(C46:C49)</f>
        <v>6</v>
      </c>
      <c r="F46" s="98">
        <v>4</v>
      </c>
    </row>
    <row r="47" spans="1:6" ht="10" customHeight="1" x14ac:dyDescent="0.2">
      <c r="A47" s="15" t="s">
        <v>217</v>
      </c>
      <c r="B47" s="4" t="s">
        <v>414</v>
      </c>
      <c r="C47" s="53">
        <v>2</v>
      </c>
      <c r="D47" s="104" t="s">
        <v>413</v>
      </c>
      <c r="E47" s="100"/>
      <c r="F47" s="98"/>
    </row>
    <row r="48" spans="1:6" ht="10" customHeight="1" x14ac:dyDescent="0.2">
      <c r="A48" s="15" t="s">
        <v>217</v>
      </c>
      <c r="B48" s="4" t="s">
        <v>415</v>
      </c>
      <c r="C48" s="53">
        <v>1</v>
      </c>
      <c r="D48" s="104" t="s">
        <v>413</v>
      </c>
      <c r="E48" s="100"/>
      <c r="F48" s="98"/>
    </row>
    <row r="49" spans="1:6" ht="10" customHeight="1" x14ac:dyDescent="0.2">
      <c r="A49" s="15" t="s">
        <v>217</v>
      </c>
      <c r="B49" s="4" t="s">
        <v>416</v>
      </c>
      <c r="C49" s="53">
        <v>1</v>
      </c>
      <c r="D49" s="104" t="s">
        <v>413</v>
      </c>
      <c r="E49" s="100"/>
      <c r="F49" s="98"/>
    </row>
    <row r="50" spans="1:6" ht="15" customHeight="1" x14ac:dyDescent="0.2">
      <c r="A50" s="15" t="s">
        <v>217</v>
      </c>
      <c r="B50" s="4" t="s">
        <v>417</v>
      </c>
      <c r="C50" s="53">
        <v>1</v>
      </c>
      <c r="D50" s="105" t="s">
        <v>418</v>
      </c>
      <c r="E50" s="99">
        <f>SUM(C50:C54)</f>
        <v>5</v>
      </c>
      <c r="F50" s="98">
        <v>5</v>
      </c>
    </row>
    <row r="51" spans="1:6" ht="10" customHeight="1" x14ac:dyDescent="0.2">
      <c r="A51" s="15" t="s">
        <v>217</v>
      </c>
      <c r="B51" s="4" t="s">
        <v>419</v>
      </c>
      <c r="C51" s="53">
        <v>1</v>
      </c>
      <c r="D51" s="105" t="s">
        <v>420</v>
      </c>
      <c r="E51" s="99"/>
      <c r="F51" s="98"/>
    </row>
    <row r="52" spans="1:6" ht="10" customHeight="1" x14ac:dyDescent="0.2">
      <c r="A52" s="15" t="s">
        <v>217</v>
      </c>
      <c r="B52" s="4" t="s">
        <v>421</v>
      </c>
      <c r="C52" s="53">
        <v>1</v>
      </c>
      <c r="D52" s="105" t="s">
        <v>418</v>
      </c>
      <c r="E52" s="99"/>
      <c r="F52" s="98"/>
    </row>
    <row r="53" spans="1:6" ht="10" customHeight="1" x14ac:dyDescent="0.2">
      <c r="A53" s="15" t="s">
        <v>217</v>
      </c>
      <c r="B53" s="4" t="s">
        <v>422</v>
      </c>
      <c r="C53" s="53">
        <v>1</v>
      </c>
      <c r="D53" s="105" t="s">
        <v>418</v>
      </c>
      <c r="E53" s="99"/>
      <c r="F53" s="98"/>
    </row>
    <row r="54" spans="1:6" ht="10" customHeight="1" x14ac:dyDescent="0.2">
      <c r="A54" s="15" t="s">
        <v>217</v>
      </c>
      <c r="B54" s="4" t="s">
        <v>423</v>
      </c>
      <c r="C54" s="53">
        <v>1</v>
      </c>
      <c r="D54" s="105" t="s">
        <v>418</v>
      </c>
      <c r="E54" s="99"/>
      <c r="F54" s="98"/>
    </row>
    <row r="55" spans="1:6" ht="15" customHeight="1" x14ac:dyDescent="0.2">
      <c r="A55" s="15" t="s">
        <v>217</v>
      </c>
      <c r="B55" s="4" t="s">
        <v>424</v>
      </c>
      <c r="C55" s="53">
        <v>4</v>
      </c>
      <c r="D55" s="104" t="s">
        <v>425</v>
      </c>
      <c r="E55" s="100">
        <f>SUM(C55:C58)</f>
        <v>15</v>
      </c>
      <c r="F55" s="98">
        <v>4</v>
      </c>
    </row>
    <row r="56" spans="1:6" ht="10" customHeight="1" x14ac:dyDescent="0.2">
      <c r="A56" s="15" t="s">
        <v>217</v>
      </c>
      <c r="B56" s="4" t="s">
        <v>426</v>
      </c>
      <c r="C56" s="53">
        <v>4</v>
      </c>
      <c r="D56" s="104" t="s">
        <v>425</v>
      </c>
      <c r="E56" s="100"/>
      <c r="F56" s="98"/>
    </row>
    <row r="57" spans="1:6" ht="10" customHeight="1" x14ac:dyDescent="0.2">
      <c r="A57" s="15" t="s">
        <v>217</v>
      </c>
      <c r="B57" s="4" t="s">
        <v>427</v>
      </c>
      <c r="C57" s="53">
        <v>3</v>
      </c>
      <c r="D57" s="104" t="s">
        <v>425</v>
      </c>
      <c r="E57" s="100"/>
      <c r="F57" s="98"/>
    </row>
    <row r="58" spans="1:6" ht="10" customHeight="1" x14ac:dyDescent="0.2">
      <c r="A58" s="15" t="s">
        <v>217</v>
      </c>
      <c r="B58" s="4" t="s">
        <v>428</v>
      </c>
      <c r="C58" s="53">
        <v>4</v>
      </c>
      <c r="D58" s="104" t="s">
        <v>425</v>
      </c>
      <c r="E58" s="100"/>
      <c r="F58" s="98"/>
    </row>
    <row r="59" spans="1:6" x14ac:dyDescent="0.2">
      <c r="A59" s="15" t="s">
        <v>217</v>
      </c>
      <c r="B59" s="4" t="s">
        <v>429</v>
      </c>
      <c r="C59" s="53" t="s">
        <v>430</v>
      </c>
      <c r="D59" s="105" t="s">
        <v>431</v>
      </c>
      <c r="E59" s="100">
        <f>C59+C60+C61+C62</f>
        <v>10</v>
      </c>
      <c r="F59" s="98">
        <v>4</v>
      </c>
    </row>
    <row r="60" spans="1:6" ht="10" customHeight="1" x14ac:dyDescent="0.2">
      <c r="A60" s="15" t="s">
        <v>217</v>
      </c>
      <c r="B60" s="4" t="s">
        <v>432</v>
      </c>
      <c r="C60" s="53" t="s">
        <v>430</v>
      </c>
      <c r="D60" s="105" t="s">
        <v>431</v>
      </c>
      <c r="E60" s="100"/>
      <c r="F60" s="98"/>
    </row>
    <row r="61" spans="1:6" ht="10" customHeight="1" x14ac:dyDescent="0.2">
      <c r="A61" s="15" t="s">
        <v>217</v>
      </c>
      <c r="B61" s="4" t="s">
        <v>433</v>
      </c>
      <c r="C61" s="53" t="s">
        <v>430</v>
      </c>
      <c r="D61" s="105" t="s">
        <v>431</v>
      </c>
      <c r="E61" s="100"/>
      <c r="F61" s="98"/>
    </row>
    <row r="62" spans="1:6" ht="20" x14ac:dyDescent="0.2">
      <c r="A62" s="15" t="s">
        <v>217</v>
      </c>
      <c r="B62" s="4" t="s">
        <v>434</v>
      </c>
      <c r="C62" s="53" t="s">
        <v>430</v>
      </c>
      <c r="D62" s="105" t="s">
        <v>431</v>
      </c>
      <c r="E62" s="100"/>
      <c r="F62" s="98"/>
    </row>
    <row r="63" spans="1:6" x14ac:dyDescent="0.2">
      <c r="A63" s="15" t="s">
        <v>217</v>
      </c>
      <c r="B63" s="4" t="s">
        <v>435</v>
      </c>
      <c r="C63" s="53" t="s">
        <v>430</v>
      </c>
      <c r="D63" s="104" t="s">
        <v>436</v>
      </c>
      <c r="E63" s="100">
        <f>C63+C64+C65+C66</f>
        <v>6</v>
      </c>
      <c r="F63" s="98">
        <v>4</v>
      </c>
    </row>
    <row r="64" spans="1:6" ht="20" x14ac:dyDescent="0.2">
      <c r="A64" s="15" t="s">
        <v>217</v>
      </c>
      <c r="B64" s="4" t="s">
        <v>437</v>
      </c>
      <c r="C64" s="53" t="s">
        <v>430</v>
      </c>
      <c r="D64" s="104" t="s">
        <v>436</v>
      </c>
      <c r="E64" s="100"/>
      <c r="F64" s="98"/>
    </row>
    <row r="65" spans="1:6" x14ac:dyDescent="0.2">
      <c r="A65" s="15" t="s">
        <v>217</v>
      </c>
      <c r="B65" s="4" t="s">
        <v>438</v>
      </c>
      <c r="C65" s="59">
        <v>0.5</v>
      </c>
      <c r="D65" s="104" t="s">
        <v>436</v>
      </c>
      <c r="E65" s="100"/>
      <c r="F65" s="98"/>
    </row>
    <row r="66" spans="1:6" ht="10" customHeight="1" x14ac:dyDescent="0.2">
      <c r="A66" s="15" t="s">
        <v>439</v>
      </c>
      <c r="B66" s="4" t="s">
        <v>440</v>
      </c>
      <c r="C66" s="59">
        <v>0.5</v>
      </c>
      <c r="D66" s="104" t="s">
        <v>436</v>
      </c>
      <c r="E66" s="100"/>
      <c r="F66" s="98"/>
    </row>
    <row r="67" spans="1:6" x14ac:dyDescent="0.2">
      <c r="A67" s="15" t="s">
        <v>439</v>
      </c>
      <c r="B67" s="4" t="s">
        <v>441</v>
      </c>
      <c r="C67" s="53">
        <v>1.25</v>
      </c>
      <c r="D67" s="111" t="s">
        <v>484</v>
      </c>
      <c r="E67" s="99">
        <f>SUM(C67:C74)</f>
        <v>15</v>
      </c>
    </row>
    <row r="68" spans="1:6" x14ac:dyDescent="0.2">
      <c r="A68" s="15" t="s">
        <v>439</v>
      </c>
      <c r="B68" s="112" t="s">
        <v>442</v>
      </c>
      <c r="C68" s="53">
        <v>1.25</v>
      </c>
      <c r="D68" s="111" t="s">
        <v>484</v>
      </c>
      <c r="E68" s="99"/>
    </row>
    <row r="69" spans="1:6" x14ac:dyDescent="0.2">
      <c r="A69" s="15" t="s">
        <v>439</v>
      </c>
      <c r="B69" s="4" t="s">
        <v>443</v>
      </c>
      <c r="C69" s="53">
        <v>1.25</v>
      </c>
      <c r="D69" s="111" t="s">
        <v>484</v>
      </c>
      <c r="E69" s="99"/>
    </row>
    <row r="70" spans="1:6" x14ac:dyDescent="0.2">
      <c r="A70" s="15" t="s">
        <v>444</v>
      </c>
      <c r="B70" s="4" t="s">
        <v>445</v>
      </c>
      <c r="C70" s="53">
        <v>1.25</v>
      </c>
      <c r="D70" s="111" t="s">
        <v>484</v>
      </c>
      <c r="E70" s="99"/>
    </row>
    <row r="71" spans="1:6" x14ac:dyDescent="0.2">
      <c r="A71" s="15" t="s">
        <v>444</v>
      </c>
      <c r="B71" s="4" t="s">
        <v>446</v>
      </c>
      <c r="C71" s="53">
        <v>2.5</v>
      </c>
      <c r="D71" s="111" t="s">
        <v>484</v>
      </c>
      <c r="E71" s="99"/>
    </row>
    <row r="72" spans="1:6" x14ac:dyDescent="0.2">
      <c r="A72" s="15" t="s">
        <v>444</v>
      </c>
      <c r="B72" s="4" t="s">
        <v>447</v>
      </c>
      <c r="C72" s="53">
        <v>2.5</v>
      </c>
      <c r="D72" s="111" t="s">
        <v>484</v>
      </c>
      <c r="E72" s="99"/>
    </row>
    <row r="73" spans="1:6" ht="20" x14ac:dyDescent="0.2">
      <c r="A73" s="15" t="s">
        <v>444</v>
      </c>
      <c r="B73" s="4" t="s">
        <v>448</v>
      </c>
      <c r="C73" s="53">
        <v>2.5</v>
      </c>
      <c r="D73" s="111" t="s">
        <v>484</v>
      </c>
      <c r="E73" s="99"/>
    </row>
    <row r="74" spans="1:6" ht="20" x14ac:dyDescent="0.2">
      <c r="A74" s="15" t="s">
        <v>444</v>
      </c>
      <c r="B74" s="4" t="s">
        <v>449</v>
      </c>
      <c r="C74" s="53">
        <v>2.5</v>
      </c>
      <c r="D74" s="111" t="s">
        <v>484</v>
      </c>
      <c r="E74" s="99"/>
    </row>
    <row r="75" spans="1:6" x14ac:dyDescent="0.2">
      <c r="D75" s="111" t="s">
        <v>484</v>
      </c>
      <c r="E75" s="99"/>
    </row>
    <row r="76" spans="1:6" x14ac:dyDescent="0.2">
      <c r="D76" s="107"/>
      <c r="E76" s="57">
        <f>SUM(E2:E75)</f>
        <v>107</v>
      </c>
    </row>
  </sheetData>
  <autoFilter ref="A1:H74" xr:uid="{0F25914B-55FE-4AEA-AE72-0C9D948FD058}"/>
  <mergeCells count="33">
    <mergeCell ref="E67:E75"/>
    <mergeCell ref="F25:F28"/>
    <mergeCell ref="G25:G28"/>
    <mergeCell ref="E59:E62"/>
    <mergeCell ref="E63:E66"/>
    <mergeCell ref="F2:F10"/>
    <mergeCell ref="G2:G10"/>
    <mergeCell ref="F11:F16"/>
    <mergeCell ref="G11:G16"/>
    <mergeCell ref="F17:F20"/>
    <mergeCell ref="G17:G20"/>
    <mergeCell ref="F21:F24"/>
    <mergeCell ref="G21:G24"/>
    <mergeCell ref="E33:E36"/>
    <mergeCell ref="E37:E41"/>
    <mergeCell ref="E42:E45"/>
    <mergeCell ref="E46:E49"/>
    <mergeCell ref="E50:E54"/>
    <mergeCell ref="E55:E58"/>
    <mergeCell ref="E17:E20"/>
    <mergeCell ref="E21:E24"/>
    <mergeCell ref="E25:E28"/>
    <mergeCell ref="E29:E32"/>
    <mergeCell ref="E2:E11"/>
    <mergeCell ref="F50:F54"/>
    <mergeCell ref="F55:F58"/>
    <mergeCell ref="F59:F62"/>
    <mergeCell ref="F63:F66"/>
    <mergeCell ref="F29:F32"/>
    <mergeCell ref="F33:F36"/>
    <mergeCell ref="F37:F41"/>
    <mergeCell ref="F42:F45"/>
    <mergeCell ref="F46:F49"/>
  </mergeCells>
  <phoneticPr fontId="19" type="noConversion"/>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E663-C582-441A-AB9E-8B3CB8FBFDB2}">
  <dimension ref="A1:P256"/>
  <sheetViews>
    <sheetView zoomScale="97" zoomScaleNormal="97" workbookViewId="0">
      <selection sqref="A1:E26"/>
    </sheetView>
  </sheetViews>
  <sheetFormatPr baseColWidth="10" defaultColWidth="11.453125" defaultRowHeight="12" x14ac:dyDescent="0.3"/>
  <cols>
    <col min="1" max="1" width="9.26953125" style="65" customWidth="1"/>
    <col min="2" max="3" width="11.453125" style="65"/>
    <col min="4" max="4" width="7" style="65" customWidth="1"/>
    <col min="5" max="5" width="4.90625" style="67" customWidth="1"/>
    <col min="6" max="6" width="11.453125" style="66"/>
    <col min="7" max="8" width="10.1796875" style="66" customWidth="1"/>
    <col min="9" max="9" width="9.90625" style="66" customWidth="1"/>
    <col min="10" max="11" width="11.453125" style="65"/>
    <col min="12" max="12" width="7.6328125" style="66" customWidth="1"/>
    <col min="13" max="13" width="8.453125" style="66" customWidth="1"/>
    <col min="14" max="14" width="9.1796875" style="66" customWidth="1"/>
    <col min="15" max="16" width="11.453125" style="66"/>
    <col min="17" max="16384" width="11.453125" style="65"/>
  </cols>
  <sheetData>
    <row r="1" spans="1:16" s="79" customFormat="1" ht="34.5" customHeight="1" x14ac:dyDescent="0.35">
      <c r="A1" s="78" t="s">
        <v>32</v>
      </c>
      <c r="B1" s="77" t="s">
        <v>468</v>
      </c>
      <c r="C1" s="77" t="s">
        <v>43</v>
      </c>
      <c r="D1" s="78" t="s">
        <v>33</v>
      </c>
      <c r="E1" s="78" t="s">
        <v>34</v>
      </c>
      <c r="F1" s="77" t="s">
        <v>55</v>
      </c>
      <c r="G1" s="77" t="s">
        <v>469</v>
      </c>
      <c r="H1" s="77" t="s">
        <v>466</v>
      </c>
      <c r="I1" s="77" t="s">
        <v>470</v>
      </c>
      <c r="J1" s="77" t="s">
        <v>471</v>
      </c>
      <c r="K1" s="77" t="s">
        <v>460</v>
      </c>
      <c r="L1" s="77" t="s">
        <v>464</v>
      </c>
      <c r="M1" s="77" t="s">
        <v>465</v>
      </c>
      <c r="N1" s="77" t="s">
        <v>461</v>
      </c>
      <c r="O1" s="77" t="s">
        <v>31</v>
      </c>
      <c r="P1" s="77" t="s">
        <v>467</v>
      </c>
    </row>
    <row r="2" spans="1:16" s="87" customFormat="1" ht="13.75" customHeight="1" x14ac:dyDescent="0.3">
      <c r="A2" s="80">
        <v>45717</v>
      </c>
      <c r="B2" s="81" t="s">
        <v>7</v>
      </c>
      <c r="C2" s="81">
        <v>43476587</v>
      </c>
      <c r="D2" s="81" t="s">
        <v>90</v>
      </c>
      <c r="E2" s="82">
        <v>3</v>
      </c>
      <c r="F2" s="82" t="s">
        <v>68</v>
      </c>
      <c r="G2" s="82">
        <v>51.08</v>
      </c>
      <c r="H2" s="83">
        <v>14</v>
      </c>
      <c r="I2" s="84">
        <v>5</v>
      </c>
      <c r="J2" s="85" t="str">
        <f t="shared" ref="J2:J26" si="0">IF(G2&lt;=60,"CRÍTICO",IF(G2&lt;=85,"MODERADO","ACEPTABLE"))</f>
        <v>CRÍTICO</v>
      </c>
      <c r="K2" s="80">
        <v>45807</v>
      </c>
      <c r="L2" s="86">
        <f>VLOOKUP(C2,'CRM ANALISTAS'!$M$2:$Q$206,5,0)</f>
        <v>106666</v>
      </c>
      <c r="M2" s="83">
        <f>VLOOKUP(B2,GRÁFICAS!$A$4:$C$28,3,0)</f>
        <v>5</v>
      </c>
      <c r="N2" s="86">
        <f t="shared" ref="N2:N26" si="1">L2*E2</f>
        <v>319998</v>
      </c>
      <c r="O2" s="83">
        <v>90</v>
      </c>
      <c r="P2" s="83">
        <f t="shared" ref="P2:P15" si="2">(H2*I2)/100</f>
        <v>0.7</v>
      </c>
    </row>
    <row r="3" spans="1:16" s="81" customFormat="1" x14ac:dyDescent="0.3">
      <c r="A3" s="80">
        <v>45717</v>
      </c>
      <c r="B3" s="81" t="s">
        <v>19</v>
      </c>
      <c r="C3" s="81">
        <v>43862379</v>
      </c>
      <c r="D3" s="81" t="s">
        <v>90</v>
      </c>
      <c r="E3" s="82">
        <v>3</v>
      </c>
      <c r="F3" s="82" t="s">
        <v>68</v>
      </c>
      <c r="G3" s="82">
        <v>56.83</v>
      </c>
      <c r="H3" s="82">
        <v>14</v>
      </c>
      <c r="I3" s="84">
        <v>3.5</v>
      </c>
      <c r="J3" s="85" t="str">
        <f t="shared" si="0"/>
        <v>CRÍTICO</v>
      </c>
      <c r="K3" s="80">
        <v>45807</v>
      </c>
      <c r="L3" s="86">
        <f>VLOOKUP(C3,'CRM ANALISTAS'!$M$2:$Q$206,5,0)</f>
        <v>106666</v>
      </c>
      <c r="M3" s="83">
        <f>VLOOKUP(B3,GRÁFICAS!$A$4:$C$28,3,0)</f>
        <v>3.5</v>
      </c>
      <c r="N3" s="86">
        <f t="shared" si="1"/>
        <v>319998</v>
      </c>
      <c r="O3" s="82">
        <v>90</v>
      </c>
      <c r="P3" s="83">
        <f t="shared" si="2"/>
        <v>0.49</v>
      </c>
    </row>
    <row r="4" spans="1:16" s="81" customFormat="1" x14ac:dyDescent="0.3">
      <c r="A4" s="80">
        <v>45717</v>
      </c>
      <c r="B4" s="81" t="s">
        <v>24</v>
      </c>
      <c r="C4" s="81">
        <v>1039681747</v>
      </c>
      <c r="D4" s="81" t="s">
        <v>90</v>
      </c>
      <c r="E4" s="82">
        <v>3</v>
      </c>
      <c r="F4" s="82" t="s">
        <v>68</v>
      </c>
      <c r="G4" s="82">
        <v>34.08</v>
      </c>
      <c r="H4" s="82">
        <v>14</v>
      </c>
      <c r="I4" s="84">
        <v>8</v>
      </c>
      <c r="J4" s="85" t="str">
        <f t="shared" si="0"/>
        <v>CRÍTICO</v>
      </c>
      <c r="K4" s="80">
        <v>45807</v>
      </c>
      <c r="L4" s="86">
        <f>VLOOKUP(C4,'CRM ANALISTAS'!$M$2:$Q$206,5,0)</f>
        <v>106666</v>
      </c>
      <c r="M4" s="83">
        <f>VLOOKUP(B4,GRÁFICAS!$A$4:$C$28,3,0)</f>
        <v>8</v>
      </c>
      <c r="N4" s="86">
        <f t="shared" si="1"/>
        <v>319998</v>
      </c>
      <c r="O4" s="82">
        <v>90</v>
      </c>
      <c r="P4" s="83">
        <f t="shared" si="2"/>
        <v>1.1200000000000001</v>
      </c>
    </row>
    <row r="5" spans="1:16" s="81" customFormat="1" x14ac:dyDescent="0.3">
      <c r="A5" s="80">
        <v>45724</v>
      </c>
      <c r="B5" s="81" t="s">
        <v>22</v>
      </c>
      <c r="C5" s="81">
        <v>901590411</v>
      </c>
      <c r="D5" s="81" t="s">
        <v>90</v>
      </c>
      <c r="E5" s="82">
        <v>3</v>
      </c>
      <c r="F5" s="82" t="s">
        <v>68</v>
      </c>
      <c r="G5" s="82">
        <v>0</v>
      </c>
      <c r="H5" s="82">
        <v>14</v>
      </c>
      <c r="I5" s="84">
        <v>6</v>
      </c>
      <c r="J5" s="85" t="str">
        <f t="shared" si="0"/>
        <v>CRÍTICO</v>
      </c>
      <c r="K5" s="80">
        <v>45807</v>
      </c>
      <c r="L5" s="86">
        <f>VLOOKUP(C5,'CRM ANALISTAS'!$M$2:$Q$206,5,0)</f>
        <v>106666</v>
      </c>
      <c r="M5" s="83">
        <f>VLOOKUP(B5,GRÁFICAS!$A$4:$C$28,3,0)</f>
        <v>6</v>
      </c>
      <c r="N5" s="86">
        <f t="shared" si="1"/>
        <v>319998</v>
      </c>
      <c r="O5" s="82">
        <v>83</v>
      </c>
      <c r="P5" s="83">
        <f t="shared" si="2"/>
        <v>0.84</v>
      </c>
    </row>
    <row r="6" spans="1:16" s="81" customFormat="1" x14ac:dyDescent="0.3">
      <c r="A6" s="80">
        <v>45731</v>
      </c>
      <c r="B6" s="81" t="s">
        <v>23</v>
      </c>
      <c r="C6" s="81">
        <v>900709843</v>
      </c>
      <c r="D6" s="81" t="s">
        <v>90</v>
      </c>
      <c r="E6" s="82">
        <v>3</v>
      </c>
      <c r="F6" s="82" t="s">
        <v>68</v>
      </c>
      <c r="G6" s="82">
        <v>48.58</v>
      </c>
      <c r="H6" s="82">
        <v>14</v>
      </c>
      <c r="I6" s="84">
        <v>13</v>
      </c>
      <c r="J6" s="85" t="str">
        <f t="shared" si="0"/>
        <v>CRÍTICO</v>
      </c>
      <c r="K6" s="80">
        <v>45807</v>
      </c>
      <c r="L6" s="86">
        <f>VLOOKUP(C6,'CRM ANALISTAS'!$M$2:$Q$206,5,0)</f>
        <v>213000</v>
      </c>
      <c r="M6" s="83">
        <f>VLOOKUP(B6,GRÁFICAS!$A$4:$C$28,3,0)</f>
        <v>13</v>
      </c>
      <c r="N6" s="86">
        <f t="shared" si="1"/>
        <v>639000</v>
      </c>
      <c r="O6" s="82">
        <v>76</v>
      </c>
      <c r="P6" s="83">
        <f t="shared" si="2"/>
        <v>1.82</v>
      </c>
    </row>
    <row r="7" spans="1:16" s="81" customFormat="1" x14ac:dyDescent="0.3">
      <c r="A7" s="80">
        <v>45733</v>
      </c>
      <c r="B7" s="81" t="s">
        <v>21</v>
      </c>
      <c r="C7" s="81">
        <v>15384344</v>
      </c>
      <c r="D7" s="81" t="s">
        <v>90</v>
      </c>
      <c r="E7" s="82">
        <v>3</v>
      </c>
      <c r="F7" s="82" t="s">
        <v>68</v>
      </c>
      <c r="G7" s="82">
        <v>85.58</v>
      </c>
      <c r="H7" s="82">
        <v>14</v>
      </c>
      <c r="I7" s="84">
        <v>13</v>
      </c>
      <c r="J7" s="85" t="str">
        <f t="shared" si="0"/>
        <v>ACEPTABLE</v>
      </c>
      <c r="K7" s="80">
        <v>45807</v>
      </c>
      <c r="L7" s="86">
        <f>VLOOKUP(C7,'CRM ANALISTAS'!$M$2:$Q$206,5,0)</f>
        <v>106666</v>
      </c>
      <c r="M7" s="83">
        <f>VLOOKUP(B7,GRÁFICAS!$A$4:$C$28,3,0)</f>
        <v>13</v>
      </c>
      <c r="N7" s="86">
        <f t="shared" si="1"/>
        <v>319998</v>
      </c>
      <c r="O7" s="82">
        <v>74</v>
      </c>
      <c r="P7" s="83">
        <f t="shared" si="2"/>
        <v>1.82</v>
      </c>
    </row>
    <row r="8" spans="1:16" s="81" customFormat="1" x14ac:dyDescent="0.3">
      <c r="A8" s="80">
        <v>45735</v>
      </c>
      <c r="B8" s="81" t="s">
        <v>18</v>
      </c>
      <c r="C8" s="81">
        <v>1013654370</v>
      </c>
      <c r="D8" s="81" t="s">
        <v>90</v>
      </c>
      <c r="E8" s="82">
        <v>3</v>
      </c>
      <c r="F8" s="82" t="s">
        <v>68</v>
      </c>
      <c r="G8" s="82">
        <v>0</v>
      </c>
      <c r="H8" s="82">
        <v>14</v>
      </c>
      <c r="I8" s="84">
        <v>15</v>
      </c>
      <c r="J8" s="85" t="str">
        <f t="shared" si="0"/>
        <v>CRÍTICO</v>
      </c>
      <c r="K8" s="80">
        <v>45807</v>
      </c>
      <c r="L8" s="86">
        <f>VLOOKUP(C8,'CRM ANALISTAS'!$M$2:$Q$206,5,0)</f>
        <v>213000</v>
      </c>
      <c r="M8" s="83">
        <f>VLOOKUP(B8,GRÁFICAS!$A$4:$C$28,3,0)</f>
        <v>15</v>
      </c>
      <c r="N8" s="86">
        <f t="shared" si="1"/>
        <v>639000</v>
      </c>
      <c r="O8" s="82">
        <v>72</v>
      </c>
      <c r="P8" s="83">
        <f t="shared" si="2"/>
        <v>2.1</v>
      </c>
    </row>
    <row r="9" spans="1:16" s="81" customFormat="1" x14ac:dyDescent="0.3">
      <c r="A9" s="80">
        <v>45737</v>
      </c>
      <c r="B9" s="81" t="s">
        <v>17</v>
      </c>
      <c r="C9" s="81">
        <v>901636833</v>
      </c>
      <c r="D9" s="81" t="s">
        <v>90</v>
      </c>
      <c r="E9" s="82">
        <v>3</v>
      </c>
      <c r="F9" s="82" t="s">
        <v>68</v>
      </c>
      <c r="G9" s="82">
        <v>50.58</v>
      </c>
      <c r="H9" s="82">
        <v>14</v>
      </c>
      <c r="I9" s="84">
        <v>23</v>
      </c>
      <c r="J9" s="85" t="str">
        <f t="shared" si="0"/>
        <v>CRÍTICO</v>
      </c>
      <c r="K9" s="80">
        <v>45807</v>
      </c>
      <c r="L9" s="86">
        <f>VLOOKUP(C9,'CRM ANALISTAS'!$M$2:$Q$206,5,0)</f>
        <v>106666</v>
      </c>
      <c r="M9" s="83">
        <f>VLOOKUP(B9,GRÁFICAS!$A$4:$C$28,3,0)</f>
        <v>23</v>
      </c>
      <c r="N9" s="86">
        <f t="shared" si="1"/>
        <v>319998</v>
      </c>
      <c r="O9" s="82">
        <v>70</v>
      </c>
      <c r="P9" s="83">
        <f t="shared" si="2"/>
        <v>3.22</v>
      </c>
    </row>
    <row r="10" spans="1:16" s="81" customFormat="1" x14ac:dyDescent="0.3">
      <c r="A10" s="80">
        <v>45741</v>
      </c>
      <c r="B10" s="81" t="s">
        <v>13</v>
      </c>
      <c r="C10" s="81">
        <v>900655932</v>
      </c>
      <c r="D10" s="81" t="s">
        <v>90</v>
      </c>
      <c r="E10" s="82">
        <v>3</v>
      </c>
      <c r="F10" s="82" t="s">
        <v>68</v>
      </c>
      <c r="G10" s="82">
        <v>91.58</v>
      </c>
      <c r="H10" s="82">
        <v>14</v>
      </c>
      <c r="I10" s="84">
        <v>11</v>
      </c>
      <c r="J10" s="85" t="str">
        <f t="shared" si="0"/>
        <v>ACEPTABLE</v>
      </c>
      <c r="K10" s="80">
        <v>45807</v>
      </c>
      <c r="L10" s="86">
        <f>VLOOKUP(C10,'CRM ANALISTAS'!$M$2:$Q$206,5,0)</f>
        <v>106666</v>
      </c>
      <c r="M10" s="83">
        <f>VLOOKUP(B10,GRÁFICAS!$A$4:$C$28,3,0)</f>
        <v>11</v>
      </c>
      <c r="N10" s="86">
        <f t="shared" si="1"/>
        <v>319998</v>
      </c>
      <c r="O10" s="82">
        <v>66</v>
      </c>
      <c r="P10" s="83">
        <f t="shared" si="2"/>
        <v>1.54</v>
      </c>
    </row>
    <row r="11" spans="1:16" s="81" customFormat="1" x14ac:dyDescent="0.3">
      <c r="A11" s="80">
        <v>45741</v>
      </c>
      <c r="B11" s="81" t="s">
        <v>15</v>
      </c>
      <c r="C11" s="81">
        <v>15448886</v>
      </c>
      <c r="D11" s="81" t="s">
        <v>90</v>
      </c>
      <c r="E11" s="82">
        <v>3</v>
      </c>
      <c r="F11" s="82" t="s">
        <v>68</v>
      </c>
      <c r="G11" s="82">
        <v>6</v>
      </c>
      <c r="H11" s="82">
        <v>14</v>
      </c>
      <c r="I11" s="84">
        <v>15</v>
      </c>
      <c r="J11" s="85" t="str">
        <f t="shared" si="0"/>
        <v>CRÍTICO</v>
      </c>
      <c r="K11" s="80">
        <v>45807</v>
      </c>
      <c r="L11" s="86">
        <f>VLOOKUP(C11,'CRM ANALISTAS'!$M$2:$Q$206,5,0)</f>
        <v>106666</v>
      </c>
      <c r="M11" s="83">
        <f>VLOOKUP(B11,GRÁFICAS!$A$4:$C$28,3,0)</f>
        <v>15</v>
      </c>
      <c r="N11" s="86">
        <f t="shared" si="1"/>
        <v>319998</v>
      </c>
      <c r="O11" s="82">
        <v>66</v>
      </c>
      <c r="P11" s="83">
        <f t="shared" si="2"/>
        <v>2.1</v>
      </c>
    </row>
    <row r="12" spans="1:16" s="81" customFormat="1" x14ac:dyDescent="0.3">
      <c r="A12" s="80">
        <v>45742</v>
      </c>
      <c r="B12" s="81" t="s">
        <v>462</v>
      </c>
      <c r="C12" s="81">
        <v>91292432</v>
      </c>
      <c r="D12" s="81" t="s">
        <v>90</v>
      </c>
      <c r="E12" s="82">
        <v>1</v>
      </c>
      <c r="F12" s="82" t="s">
        <v>463</v>
      </c>
      <c r="G12" s="82">
        <v>0</v>
      </c>
      <c r="H12" s="82">
        <v>0</v>
      </c>
      <c r="I12" s="84">
        <v>0</v>
      </c>
      <c r="J12" s="85" t="str">
        <f t="shared" si="0"/>
        <v>CRÍTICO</v>
      </c>
      <c r="K12" s="80">
        <v>45807</v>
      </c>
      <c r="L12" s="86">
        <v>0</v>
      </c>
      <c r="M12" s="83">
        <v>0</v>
      </c>
      <c r="N12" s="86">
        <f t="shared" si="1"/>
        <v>0</v>
      </c>
      <c r="O12" s="82">
        <v>0</v>
      </c>
      <c r="P12" s="82">
        <f t="shared" si="2"/>
        <v>0</v>
      </c>
    </row>
    <row r="13" spans="1:16" s="81" customFormat="1" x14ac:dyDescent="0.3">
      <c r="A13" s="80">
        <v>45742</v>
      </c>
      <c r="B13" s="81" t="s">
        <v>25</v>
      </c>
      <c r="C13" s="81">
        <v>901268585</v>
      </c>
      <c r="D13" s="81" t="s">
        <v>90</v>
      </c>
      <c r="E13" s="82">
        <v>3</v>
      </c>
      <c r="F13" s="82" t="s">
        <v>68</v>
      </c>
      <c r="G13" s="82">
        <v>91.58</v>
      </c>
      <c r="H13" s="82">
        <v>14</v>
      </c>
      <c r="I13" s="84">
        <v>18.5</v>
      </c>
      <c r="J13" s="85" t="str">
        <f t="shared" si="0"/>
        <v>ACEPTABLE</v>
      </c>
      <c r="K13" s="80">
        <v>45807</v>
      </c>
      <c r="L13" s="86">
        <f>VLOOKUP(C13,'CRM ANALISTAS'!$M$2:$Q$206,5,0)</f>
        <v>213000</v>
      </c>
      <c r="M13" s="83">
        <f>VLOOKUP(B13,GRÁFICAS!$A$4:$C$28,3,0)</f>
        <v>18.5</v>
      </c>
      <c r="N13" s="86">
        <f t="shared" si="1"/>
        <v>639000</v>
      </c>
      <c r="O13" s="82">
        <v>65</v>
      </c>
      <c r="P13" s="83">
        <f t="shared" si="2"/>
        <v>2.59</v>
      </c>
    </row>
    <row r="14" spans="1:16" s="81" customFormat="1" x14ac:dyDescent="0.3">
      <c r="A14" s="80">
        <v>45744</v>
      </c>
      <c r="B14" s="81" t="s">
        <v>4</v>
      </c>
      <c r="C14" s="81">
        <v>1007445947</v>
      </c>
      <c r="D14" s="81" t="s">
        <v>90</v>
      </c>
      <c r="E14" s="82">
        <v>3</v>
      </c>
      <c r="F14" s="82" t="s">
        <v>68</v>
      </c>
      <c r="G14" s="82">
        <v>0</v>
      </c>
      <c r="H14" s="82">
        <v>14</v>
      </c>
      <c r="I14" s="84">
        <v>17.5</v>
      </c>
      <c r="J14" s="85" t="str">
        <f t="shared" si="0"/>
        <v>CRÍTICO</v>
      </c>
      <c r="K14" s="80">
        <v>45807</v>
      </c>
      <c r="L14" s="86">
        <f>VLOOKUP(C14,'CRM ANALISTAS'!$M$2:$Q$206,5,0)</f>
        <v>106666</v>
      </c>
      <c r="M14" s="83">
        <f>VLOOKUP(B14,GRÁFICAS!$A$4:$C$28,3,0)</f>
        <v>17.5</v>
      </c>
      <c r="N14" s="86">
        <f t="shared" si="1"/>
        <v>319998</v>
      </c>
      <c r="O14" s="82">
        <v>63</v>
      </c>
      <c r="P14" s="83">
        <f t="shared" si="2"/>
        <v>2.4500000000000002</v>
      </c>
    </row>
    <row r="15" spans="1:16" s="81" customFormat="1" x14ac:dyDescent="0.3">
      <c r="A15" s="80">
        <v>45744</v>
      </c>
      <c r="B15" s="81" t="s">
        <v>16</v>
      </c>
      <c r="C15" s="81">
        <v>900167311</v>
      </c>
      <c r="D15" s="81" t="s">
        <v>90</v>
      </c>
      <c r="E15" s="82">
        <v>3</v>
      </c>
      <c r="F15" s="82" t="s">
        <v>68</v>
      </c>
      <c r="G15" s="82">
        <v>0</v>
      </c>
      <c r="H15" s="82">
        <v>14</v>
      </c>
      <c r="I15" s="84">
        <v>18</v>
      </c>
      <c r="J15" s="85" t="str">
        <f t="shared" si="0"/>
        <v>CRÍTICO</v>
      </c>
      <c r="K15" s="80">
        <v>45807</v>
      </c>
      <c r="L15" s="86">
        <f>VLOOKUP(C15,'CRM ANALISTAS'!$M$2:$Q$206,5,0)</f>
        <v>106666</v>
      </c>
      <c r="M15" s="83">
        <f>VLOOKUP(B15,GRÁFICAS!$A$4:$C$28,3,0)</f>
        <v>18</v>
      </c>
      <c r="N15" s="86">
        <f t="shared" si="1"/>
        <v>319998</v>
      </c>
      <c r="O15" s="82">
        <v>63</v>
      </c>
      <c r="P15" s="83">
        <f t="shared" si="2"/>
        <v>2.52</v>
      </c>
    </row>
    <row r="16" spans="1:16" s="81" customFormat="1" x14ac:dyDescent="0.3">
      <c r="A16" s="80">
        <v>45751</v>
      </c>
      <c r="B16" s="81" t="s">
        <v>3</v>
      </c>
      <c r="C16" s="81">
        <v>901817841</v>
      </c>
      <c r="D16" s="81" t="s">
        <v>69</v>
      </c>
      <c r="E16" s="82">
        <v>2</v>
      </c>
      <c r="F16" s="82" t="s">
        <v>68</v>
      </c>
      <c r="G16" s="82">
        <v>0</v>
      </c>
      <c r="H16" s="82">
        <v>10</v>
      </c>
      <c r="I16" s="84">
        <v>10</v>
      </c>
      <c r="J16" s="85" t="str">
        <f t="shared" si="0"/>
        <v>CRÍTICO</v>
      </c>
      <c r="K16" s="80">
        <v>45807</v>
      </c>
      <c r="L16" s="86">
        <f>VLOOKUP(C16,'CRM ANALISTAS'!$M$2:$Q$206,5,0)</f>
        <v>213000</v>
      </c>
      <c r="M16" s="83">
        <f>VLOOKUP(B16,GRÁFICAS!$A$4:$C$28,3,0)</f>
        <v>10</v>
      </c>
      <c r="N16" s="86">
        <f t="shared" si="1"/>
        <v>426000</v>
      </c>
      <c r="O16" s="82">
        <v>56</v>
      </c>
      <c r="P16" s="82"/>
    </row>
    <row r="17" spans="1:16" s="81" customFormat="1" x14ac:dyDescent="0.3">
      <c r="A17" s="80">
        <v>45751</v>
      </c>
      <c r="B17" s="81" t="s">
        <v>5</v>
      </c>
      <c r="C17" s="81">
        <v>900841005</v>
      </c>
      <c r="D17" s="81" t="s">
        <v>69</v>
      </c>
      <c r="E17" s="82">
        <v>2</v>
      </c>
      <c r="F17" s="82" t="s">
        <v>68</v>
      </c>
      <c r="G17" s="82">
        <v>99.08</v>
      </c>
      <c r="H17" s="82">
        <v>10</v>
      </c>
      <c r="I17" s="84">
        <v>14.5</v>
      </c>
      <c r="J17" s="85" t="str">
        <f t="shared" si="0"/>
        <v>ACEPTABLE</v>
      </c>
      <c r="K17" s="80">
        <v>45807</v>
      </c>
      <c r="L17" s="86">
        <f>VLOOKUP(C17,'CRM ANALISTAS'!$M$2:$Q$206,5,0)</f>
        <v>106666</v>
      </c>
      <c r="M17" s="83">
        <f>VLOOKUP(B17,GRÁFICAS!$A$4:$C$28,3,0)</f>
        <v>14.5</v>
      </c>
      <c r="N17" s="86">
        <f t="shared" si="1"/>
        <v>213332</v>
      </c>
      <c r="O17" s="82">
        <v>56</v>
      </c>
      <c r="P17" s="82"/>
    </row>
    <row r="18" spans="1:16" s="81" customFormat="1" x14ac:dyDescent="0.3">
      <c r="A18" s="80">
        <v>45751</v>
      </c>
      <c r="B18" s="81" t="s">
        <v>6</v>
      </c>
      <c r="C18" s="81">
        <v>901546567</v>
      </c>
      <c r="D18" s="81" t="s">
        <v>69</v>
      </c>
      <c r="E18" s="82">
        <v>2</v>
      </c>
      <c r="F18" s="82" t="s">
        <v>68</v>
      </c>
      <c r="G18" s="82">
        <v>0</v>
      </c>
      <c r="H18" s="82">
        <v>10</v>
      </c>
      <c r="I18" s="84">
        <v>5</v>
      </c>
      <c r="J18" s="85" t="str">
        <f t="shared" si="0"/>
        <v>CRÍTICO</v>
      </c>
      <c r="K18" s="80">
        <v>45807</v>
      </c>
      <c r="L18" s="86">
        <f>VLOOKUP(C18,'CRM ANALISTAS'!$M$2:$Q$206,5,0)</f>
        <v>106666</v>
      </c>
      <c r="M18" s="83">
        <f>VLOOKUP(B18,GRÁFICAS!$A$4:$C$28,3,0)</f>
        <v>5</v>
      </c>
      <c r="N18" s="86">
        <f t="shared" si="1"/>
        <v>213332</v>
      </c>
      <c r="O18" s="82">
        <v>56</v>
      </c>
      <c r="P18" s="82"/>
    </row>
    <row r="19" spans="1:16" s="81" customFormat="1" x14ac:dyDescent="0.3">
      <c r="A19" s="80">
        <v>45751</v>
      </c>
      <c r="B19" s="81" t="s">
        <v>8</v>
      </c>
      <c r="C19" s="81">
        <v>900509996</v>
      </c>
      <c r="D19" s="81" t="s">
        <v>69</v>
      </c>
      <c r="E19" s="82">
        <v>2</v>
      </c>
      <c r="F19" s="82" t="s">
        <v>68</v>
      </c>
      <c r="G19" s="82">
        <v>53.3</v>
      </c>
      <c r="H19" s="82">
        <v>10</v>
      </c>
      <c r="I19" s="84">
        <v>17.5</v>
      </c>
      <c r="J19" s="85" t="str">
        <f t="shared" si="0"/>
        <v>CRÍTICO</v>
      </c>
      <c r="K19" s="80">
        <v>45807</v>
      </c>
      <c r="L19" s="86">
        <f>VLOOKUP(C19,'CRM ANALISTAS'!$M$2:$Q$206,5,0)</f>
        <v>106666</v>
      </c>
      <c r="M19" s="83">
        <f>VLOOKUP(B19,GRÁFICAS!$A$4:$C$28,3,0)</f>
        <v>17.5</v>
      </c>
      <c r="N19" s="86">
        <f t="shared" si="1"/>
        <v>213332</v>
      </c>
      <c r="O19" s="82">
        <v>56</v>
      </c>
      <c r="P19" s="82"/>
    </row>
    <row r="20" spans="1:16" s="81" customFormat="1" x14ac:dyDescent="0.3">
      <c r="A20" s="80">
        <v>45751</v>
      </c>
      <c r="B20" s="81" t="s">
        <v>9</v>
      </c>
      <c r="C20" s="81">
        <v>900112921</v>
      </c>
      <c r="D20" s="81" t="s">
        <v>69</v>
      </c>
      <c r="E20" s="82">
        <v>2</v>
      </c>
      <c r="F20" s="82" t="s">
        <v>68</v>
      </c>
      <c r="G20" s="82">
        <v>0</v>
      </c>
      <c r="H20" s="82">
        <v>10</v>
      </c>
      <c r="I20" s="84">
        <v>11</v>
      </c>
      <c r="J20" s="85" t="str">
        <f t="shared" si="0"/>
        <v>CRÍTICO</v>
      </c>
      <c r="K20" s="80">
        <v>45807</v>
      </c>
      <c r="L20" s="86">
        <f>VLOOKUP(C20,'CRM ANALISTAS'!$M$2:$Q$206,5,0)</f>
        <v>213000</v>
      </c>
      <c r="M20" s="83">
        <f>VLOOKUP(B20,GRÁFICAS!$A$4:$C$28,3,0)</f>
        <v>11</v>
      </c>
      <c r="N20" s="86">
        <f t="shared" si="1"/>
        <v>426000</v>
      </c>
      <c r="O20" s="82">
        <v>56</v>
      </c>
      <c r="P20" s="82"/>
    </row>
    <row r="21" spans="1:16" s="81" customFormat="1" x14ac:dyDescent="0.3">
      <c r="A21" s="80">
        <v>45751</v>
      </c>
      <c r="B21" s="81" t="s">
        <v>20</v>
      </c>
      <c r="C21" s="81">
        <v>901039724</v>
      </c>
      <c r="D21" s="81" t="s">
        <v>69</v>
      </c>
      <c r="E21" s="82">
        <v>2</v>
      </c>
      <c r="F21" s="82" t="s">
        <v>68</v>
      </c>
      <c r="G21" s="82">
        <v>0</v>
      </c>
      <c r="H21" s="82">
        <v>10</v>
      </c>
      <c r="I21" s="84">
        <v>8.5</v>
      </c>
      <c r="J21" s="85" t="str">
        <f t="shared" si="0"/>
        <v>CRÍTICO</v>
      </c>
      <c r="K21" s="80">
        <v>45807</v>
      </c>
      <c r="L21" s="86">
        <f>VLOOKUP(C21,'CRM ANALISTAS'!$M$2:$Q$206,5,0)</f>
        <v>106666</v>
      </c>
      <c r="M21" s="83">
        <f>VLOOKUP(B21,GRÁFICAS!$A$4:$C$28,3,0)</f>
        <v>8.5</v>
      </c>
      <c r="N21" s="86">
        <f t="shared" si="1"/>
        <v>213332</v>
      </c>
      <c r="O21" s="82">
        <v>56</v>
      </c>
      <c r="P21" s="82"/>
    </row>
    <row r="22" spans="1:16" s="81" customFormat="1" x14ac:dyDescent="0.3">
      <c r="A22" s="80">
        <v>45751</v>
      </c>
      <c r="B22" s="81" t="s">
        <v>26</v>
      </c>
      <c r="C22" s="81">
        <v>1037649854</v>
      </c>
      <c r="D22" s="81" t="s">
        <v>69</v>
      </c>
      <c r="E22" s="82">
        <v>2</v>
      </c>
      <c r="F22" s="82" t="s">
        <v>68</v>
      </c>
      <c r="G22" s="82">
        <v>57.58</v>
      </c>
      <c r="H22" s="82">
        <v>10</v>
      </c>
      <c r="I22" s="84">
        <v>14</v>
      </c>
      <c r="J22" s="85" t="str">
        <f t="shared" si="0"/>
        <v>CRÍTICO</v>
      </c>
      <c r="K22" s="80">
        <v>45807</v>
      </c>
      <c r="L22" s="86">
        <f>VLOOKUP(C22,'CRM ANALISTAS'!$M$2:$Q$206,5,0)</f>
        <v>106666</v>
      </c>
      <c r="M22" s="83">
        <f>VLOOKUP(B22,GRÁFICAS!$A$4:$C$28,3,0)</f>
        <v>14</v>
      </c>
      <c r="N22" s="86">
        <f t="shared" si="1"/>
        <v>213332</v>
      </c>
      <c r="O22" s="82">
        <v>56</v>
      </c>
      <c r="P22" s="82"/>
    </row>
    <row r="23" spans="1:16" s="81" customFormat="1" x14ac:dyDescent="0.3">
      <c r="A23" s="80">
        <v>45775</v>
      </c>
      <c r="B23" s="81" t="s">
        <v>12</v>
      </c>
      <c r="C23" s="81">
        <v>901166099</v>
      </c>
      <c r="D23" s="81" t="s">
        <v>69</v>
      </c>
      <c r="E23" s="82">
        <v>2</v>
      </c>
      <c r="F23" s="82" t="s">
        <v>68</v>
      </c>
      <c r="G23" s="82">
        <v>0</v>
      </c>
      <c r="H23" s="82">
        <v>10</v>
      </c>
      <c r="I23" s="84">
        <v>5.5</v>
      </c>
      <c r="J23" s="85" t="str">
        <f t="shared" si="0"/>
        <v>CRÍTICO</v>
      </c>
      <c r="K23" s="80">
        <v>45807</v>
      </c>
      <c r="L23" s="86">
        <f>VLOOKUP(C23,'CRM ANALISTAS'!$M$2:$Q$206,5,0)</f>
        <v>106666</v>
      </c>
      <c r="M23" s="83">
        <f>VLOOKUP(B23,GRÁFICAS!$A$4:$C$28,3,0)</f>
        <v>5.5</v>
      </c>
      <c r="N23" s="86">
        <f t="shared" si="1"/>
        <v>213332</v>
      </c>
      <c r="O23" s="82">
        <v>32</v>
      </c>
      <c r="P23" s="82"/>
    </row>
    <row r="24" spans="1:16" s="81" customFormat="1" x14ac:dyDescent="0.3">
      <c r="A24" s="80">
        <v>45797</v>
      </c>
      <c r="B24" s="81" t="s">
        <v>2</v>
      </c>
      <c r="C24" s="81">
        <v>901250630</v>
      </c>
      <c r="D24" s="81" t="s">
        <v>56</v>
      </c>
      <c r="E24" s="82">
        <v>1</v>
      </c>
      <c r="F24" s="82" t="s">
        <v>68</v>
      </c>
      <c r="G24" s="82">
        <v>77.31</v>
      </c>
      <c r="H24" s="82">
        <v>5</v>
      </c>
      <c r="I24" s="84">
        <v>2</v>
      </c>
      <c r="J24" s="85" t="str">
        <f t="shared" si="0"/>
        <v>MODERADO</v>
      </c>
      <c r="K24" s="80">
        <v>45807</v>
      </c>
      <c r="L24" s="86">
        <f>VLOOKUP(C24,'CRM ANALISTAS'!$M$2:$Q$206,5,0)</f>
        <v>106666</v>
      </c>
      <c r="M24" s="83">
        <f>VLOOKUP(B24,GRÁFICAS!$A$4:$C$28,3,0)</f>
        <v>2</v>
      </c>
      <c r="N24" s="86">
        <f t="shared" si="1"/>
        <v>106666</v>
      </c>
      <c r="O24" s="82">
        <v>10</v>
      </c>
      <c r="P24" s="82"/>
    </row>
    <row r="25" spans="1:16" s="81" customFormat="1" x14ac:dyDescent="0.3">
      <c r="A25" s="80">
        <v>45797</v>
      </c>
      <c r="B25" s="81" t="s">
        <v>10</v>
      </c>
      <c r="C25" s="81">
        <v>900530803</v>
      </c>
      <c r="D25" s="81" t="s">
        <v>56</v>
      </c>
      <c r="E25" s="82">
        <v>1</v>
      </c>
      <c r="F25" s="82" t="s">
        <v>68</v>
      </c>
      <c r="G25" s="82">
        <v>6</v>
      </c>
      <c r="H25" s="82">
        <v>5</v>
      </c>
      <c r="I25" s="84">
        <v>1</v>
      </c>
      <c r="J25" s="85" t="str">
        <f t="shared" si="0"/>
        <v>CRÍTICO</v>
      </c>
      <c r="K25" s="80">
        <v>45807</v>
      </c>
      <c r="L25" s="86">
        <f>VLOOKUP(C25,'CRM ANALISTAS'!$M$2:$Q$206,5,0)</f>
        <v>106666</v>
      </c>
      <c r="M25" s="83">
        <f>VLOOKUP(B25,GRÁFICAS!$A$4:$C$28,3,0)</f>
        <v>1</v>
      </c>
      <c r="N25" s="86">
        <f t="shared" si="1"/>
        <v>106666</v>
      </c>
      <c r="O25" s="82">
        <v>10</v>
      </c>
      <c r="P25" s="82"/>
    </row>
    <row r="26" spans="1:16" s="81" customFormat="1" x14ac:dyDescent="0.3">
      <c r="A26" s="80">
        <v>45797</v>
      </c>
      <c r="B26" s="81" t="s">
        <v>11</v>
      </c>
      <c r="C26" s="81">
        <v>1128395305</v>
      </c>
      <c r="D26" s="81" t="s">
        <v>56</v>
      </c>
      <c r="E26" s="82">
        <v>1</v>
      </c>
      <c r="F26" s="82" t="s">
        <v>68</v>
      </c>
      <c r="G26" s="82">
        <v>0</v>
      </c>
      <c r="H26" s="82">
        <v>5</v>
      </c>
      <c r="I26" s="84">
        <v>4</v>
      </c>
      <c r="J26" s="85" t="str">
        <f t="shared" si="0"/>
        <v>CRÍTICO</v>
      </c>
      <c r="K26" s="80">
        <v>45807</v>
      </c>
      <c r="L26" s="86">
        <f>VLOOKUP(C26,'CRM ANALISTAS'!$M$2:$Q$206,5,0)</f>
        <v>106666</v>
      </c>
      <c r="M26" s="83">
        <f>VLOOKUP(B26,GRÁFICAS!$A$4:$C$28,3,0)</f>
        <v>4</v>
      </c>
      <c r="N26" s="86">
        <f t="shared" si="1"/>
        <v>106666</v>
      </c>
      <c r="O26" s="82">
        <v>10</v>
      </c>
      <c r="P26" s="82"/>
    </row>
    <row r="27" spans="1:16" s="88" customFormat="1" x14ac:dyDescent="0.3">
      <c r="E27" s="89"/>
      <c r="F27" s="85"/>
      <c r="G27" s="85"/>
      <c r="H27" s="85"/>
      <c r="I27" s="85"/>
      <c r="L27" s="83"/>
      <c r="M27" s="83"/>
      <c r="N27" s="90">
        <f ca="1">SUM(N2:N27)</f>
        <v>7568970</v>
      </c>
      <c r="O27" s="85"/>
      <c r="P27" s="85"/>
    </row>
    <row r="28" spans="1:16" s="88" customFormat="1" x14ac:dyDescent="0.3">
      <c r="E28" s="89"/>
      <c r="F28" s="85"/>
      <c r="G28" s="85"/>
      <c r="H28" s="85"/>
      <c r="I28" s="85"/>
      <c r="L28" s="85"/>
      <c r="M28" s="85"/>
      <c r="N28" s="85"/>
      <c r="O28" s="85"/>
      <c r="P28" s="85"/>
    </row>
    <row r="29" spans="1:16" s="88" customFormat="1" x14ac:dyDescent="0.3">
      <c r="E29" s="89"/>
      <c r="F29" s="85"/>
      <c r="G29" s="85"/>
      <c r="H29" s="85"/>
      <c r="I29" s="85"/>
      <c r="L29" s="85"/>
      <c r="M29" s="85"/>
      <c r="N29" s="85"/>
      <c r="O29" s="85"/>
      <c r="P29" s="85"/>
    </row>
    <row r="30" spans="1:16" s="88" customFormat="1" x14ac:dyDescent="0.3">
      <c r="E30" s="89"/>
      <c r="F30" s="85"/>
      <c r="G30" s="85"/>
      <c r="H30" s="85"/>
      <c r="I30" s="85"/>
      <c r="L30" s="85"/>
      <c r="M30" s="85"/>
      <c r="N30" s="85"/>
      <c r="O30" s="85"/>
      <c r="P30" s="85"/>
    </row>
    <row r="31" spans="1:16" s="88" customFormat="1" ht="12.5" thickBot="1" x14ac:dyDescent="0.35">
      <c r="E31" s="89"/>
      <c r="F31" s="85"/>
      <c r="G31" s="85"/>
      <c r="H31" s="85"/>
      <c r="I31" s="85"/>
      <c r="L31" s="85"/>
      <c r="M31" s="85"/>
      <c r="N31" s="85"/>
      <c r="O31" s="85"/>
      <c r="P31" s="85"/>
    </row>
    <row r="32" spans="1:16" s="75" customFormat="1" ht="12.5" thickBot="1" x14ac:dyDescent="0.35">
      <c r="A32" s="93" t="s">
        <v>473</v>
      </c>
      <c r="C32" s="95">
        <v>15384344</v>
      </c>
      <c r="E32" s="76"/>
      <c r="F32" s="74"/>
      <c r="G32" s="74"/>
      <c r="H32" s="74"/>
      <c r="I32" s="74"/>
      <c r="L32" s="74"/>
      <c r="M32" s="74"/>
      <c r="N32" s="74"/>
      <c r="O32" s="74"/>
      <c r="P32" s="74"/>
    </row>
    <row r="33" spans="1:16" s="75" customFormat="1" ht="12.5" thickBot="1" x14ac:dyDescent="0.35">
      <c r="C33" s="96">
        <v>1013654370</v>
      </c>
      <c r="E33" s="76"/>
      <c r="F33" s="74"/>
      <c r="G33" s="74"/>
      <c r="H33" s="74"/>
      <c r="I33" s="74"/>
      <c r="L33" s="74"/>
      <c r="M33" s="74"/>
      <c r="N33" s="74"/>
      <c r="O33" s="74"/>
      <c r="P33" s="74"/>
    </row>
    <row r="34" spans="1:16" s="75" customFormat="1" ht="64.5" thickBot="1" x14ac:dyDescent="0.35">
      <c r="A34" s="94" t="s">
        <v>474</v>
      </c>
      <c r="C34" s="95">
        <v>901166099</v>
      </c>
      <c r="E34" s="76"/>
      <c r="F34" s="74"/>
      <c r="G34" s="74"/>
      <c r="H34" s="74"/>
      <c r="I34" s="74"/>
      <c r="L34" s="74"/>
      <c r="M34" s="74"/>
      <c r="N34" s="74"/>
      <c r="O34" s="74"/>
      <c r="P34" s="74"/>
    </row>
    <row r="35" spans="1:16" s="75" customFormat="1" ht="48.5" thickBot="1" x14ac:dyDescent="0.35">
      <c r="A35" s="94" t="s">
        <v>475</v>
      </c>
      <c r="C35" s="95">
        <v>901636833</v>
      </c>
      <c r="E35" s="76"/>
      <c r="F35" s="74"/>
      <c r="G35" s="74"/>
      <c r="H35" s="74"/>
      <c r="I35" s="74"/>
      <c r="L35" s="74"/>
      <c r="M35" s="74"/>
      <c r="N35" s="74"/>
      <c r="O35" s="74"/>
      <c r="P35" s="74"/>
    </row>
    <row r="36" spans="1:16" s="75" customFormat="1" ht="96.5" thickBot="1" x14ac:dyDescent="0.35">
      <c r="A36" s="94" t="s">
        <v>476</v>
      </c>
      <c r="C36" s="96">
        <v>15448886</v>
      </c>
      <c r="E36" s="76"/>
      <c r="F36" s="74"/>
      <c r="G36" s="74"/>
      <c r="H36" s="74"/>
      <c r="I36" s="74"/>
      <c r="L36" s="74"/>
      <c r="M36" s="74"/>
      <c r="N36" s="74"/>
      <c r="O36" s="74"/>
      <c r="P36" s="74"/>
    </row>
    <row r="37" spans="1:16" s="75" customFormat="1" ht="64.5" thickBot="1" x14ac:dyDescent="0.35">
      <c r="A37" s="94" t="s">
        <v>477</v>
      </c>
      <c r="C37" s="96">
        <v>900655932</v>
      </c>
      <c r="E37" s="76"/>
      <c r="F37" s="74"/>
      <c r="G37" s="74"/>
      <c r="H37" s="74"/>
      <c r="I37" s="74"/>
      <c r="L37" s="74"/>
      <c r="M37" s="74"/>
      <c r="N37" s="74"/>
      <c r="O37" s="74"/>
      <c r="P37" s="74"/>
    </row>
    <row r="38" spans="1:16" s="75" customFormat="1" ht="32.5" thickBot="1" x14ac:dyDescent="0.35">
      <c r="A38" s="94" t="s">
        <v>478</v>
      </c>
      <c r="C38" s="96">
        <v>901268585</v>
      </c>
      <c r="E38" s="76"/>
      <c r="F38" s="74"/>
      <c r="G38" s="74"/>
      <c r="H38" s="74"/>
      <c r="I38" s="74"/>
      <c r="L38" s="74"/>
      <c r="M38" s="74"/>
      <c r="N38" s="74"/>
      <c r="O38" s="74"/>
      <c r="P38" s="74"/>
    </row>
    <row r="39" spans="1:16" s="75" customFormat="1" ht="64.5" thickBot="1" x14ac:dyDescent="0.35">
      <c r="A39" s="94" t="s">
        <v>479</v>
      </c>
      <c r="C39" s="95">
        <v>900167311</v>
      </c>
      <c r="E39" s="76"/>
      <c r="F39" s="74"/>
      <c r="G39" s="74"/>
      <c r="H39" s="74"/>
      <c r="I39" s="74"/>
      <c r="L39" s="74"/>
      <c r="M39" s="74"/>
      <c r="N39" s="74"/>
      <c r="O39" s="74"/>
      <c r="P39" s="74"/>
    </row>
    <row r="40" spans="1:16" s="75" customFormat="1" ht="48.5" thickBot="1" x14ac:dyDescent="0.35">
      <c r="A40" s="94" t="s">
        <v>480</v>
      </c>
      <c r="C40" s="96">
        <v>900709843</v>
      </c>
      <c r="E40" s="76"/>
      <c r="F40" s="74"/>
      <c r="G40" s="74"/>
      <c r="H40" s="74"/>
      <c r="I40" s="74"/>
      <c r="L40" s="74"/>
      <c r="M40" s="74"/>
      <c r="N40" s="74"/>
      <c r="O40" s="74"/>
      <c r="P40" s="74"/>
    </row>
    <row r="41" spans="1:16" s="75" customFormat="1" ht="12.5" thickBot="1" x14ac:dyDescent="0.35">
      <c r="C41" s="95">
        <v>1007445947</v>
      </c>
      <c r="E41" s="76"/>
      <c r="F41" s="74"/>
      <c r="G41" s="74"/>
      <c r="H41" s="74"/>
      <c r="I41" s="74"/>
      <c r="L41" s="74"/>
      <c r="M41" s="74"/>
      <c r="N41" s="74"/>
      <c r="O41" s="74"/>
      <c r="P41" s="74"/>
    </row>
    <row r="42" spans="1:16" s="75" customFormat="1" ht="12.5" thickBot="1" x14ac:dyDescent="0.35">
      <c r="C42" s="96">
        <v>900509996</v>
      </c>
      <c r="E42" s="76"/>
      <c r="F42" s="74"/>
      <c r="G42" s="74"/>
      <c r="H42" s="74"/>
      <c r="I42" s="74"/>
      <c r="L42" s="74"/>
      <c r="M42" s="74"/>
      <c r="N42" s="74"/>
      <c r="O42" s="74"/>
      <c r="P42" s="74"/>
    </row>
    <row r="43" spans="1:16" s="75" customFormat="1" ht="12.5" thickBot="1" x14ac:dyDescent="0.35">
      <c r="C43" s="96">
        <v>900841005</v>
      </c>
      <c r="E43" s="76"/>
      <c r="F43" s="74"/>
      <c r="G43" s="74"/>
      <c r="H43" s="74"/>
      <c r="I43" s="74"/>
      <c r="L43" s="74"/>
      <c r="M43" s="74"/>
      <c r="N43" s="74"/>
      <c r="O43" s="74"/>
      <c r="P43" s="74"/>
    </row>
    <row r="44" spans="1:16" s="75" customFormat="1" ht="12.5" thickBot="1" x14ac:dyDescent="0.35">
      <c r="C44" s="95">
        <v>901546567</v>
      </c>
      <c r="E44" s="76"/>
      <c r="F44" s="74"/>
      <c r="G44" s="74"/>
      <c r="H44" s="74"/>
      <c r="I44" s="74"/>
      <c r="L44" s="74"/>
      <c r="M44" s="74"/>
      <c r="N44" s="74"/>
      <c r="O44" s="74"/>
      <c r="P44" s="74"/>
    </row>
    <row r="45" spans="1:16" s="75" customFormat="1" ht="12.5" thickBot="1" x14ac:dyDescent="0.35">
      <c r="C45" s="96">
        <v>900112921</v>
      </c>
      <c r="E45" s="76"/>
      <c r="F45" s="74"/>
      <c r="G45" s="74"/>
      <c r="H45" s="74"/>
      <c r="I45" s="74"/>
      <c r="L45" s="74"/>
      <c r="M45" s="74"/>
      <c r="N45" s="74"/>
      <c r="O45" s="74"/>
      <c r="P45" s="74"/>
    </row>
    <row r="46" spans="1:16" s="75" customFormat="1" ht="12.5" thickBot="1" x14ac:dyDescent="0.35">
      <c r="C46" s="96">
        <v>1037649854</v>
      </c>
      <c r="E46" s="76"/>
      <c r="F46" s="74"/>
      <c r="G46" s="74"/>
      <c r="H46" s="74"/>
      <c r="I46" s="74"/>
      <c r="L46" s="74"/>
      <c r="M46" s="74"/>
      <c r="N46" s="74"/>
      <c r="O46" s="74"/>
      <c r="P46" s="74"/>
    </row>
    <row r="47" spans="1:16" s="75" customFormat="1" ht="12.5" thickBot="1" x14ac:dyDescent="0.35">
      <c r="C47" s="96">
        <v>901039724</v>
      </c>
      <c r="E47" s="76"/>
      <c r="F47" s="74"/>
      <c r="G47" s="74"/>
      <c r="H47" s="74"/>
      <c r="I47" s="74"/>
      <c r="L47" s="74"/>
      <c r="M47" s="74"/>
      <c r="N47" s="74"/>
      <c r="O47" s="74"/>
      <c r="P47" s="74"/>
    </row>
    <row r="48" spans="1:16" s="75" customFormat="1" ht="12.5" thickBot="1" x14ac:dyDescent="0.35">
      <c r="C48" s="95">
        <v>901817841</v>
      </c>
      <c r="E48" s="76"/>
      <c r="F48" s="74"/>
      <c r="G48" s="74"/>
      <c r="H48" s="74"/>
      <c r="I48" s="74"/>
      <c r="L48" s="74"/>
      <c r="M48" s="74"/>
      <c r="N48" s="74"/>
      <c r="O48" s="74"/>
      <c r="P48" s="74"/>
    </row>
    <row r="49" spans="3:16" s="75" customFormat="1" ht="12.5" thickBot="1" x14ac:dyDescent="0.35">
      <c r="C49" s="96">
        <v>901590411</v>
      </c>
      <c r="E49" s="76"/>
      <c r="F49" s="74"/>
      <c r="G49" s="74"/>
      <c r="H49" s="74"/>
      <c r="I49" s="74"/>
      <c r="L49" s="74"/>
      <c r="M49" s="74"/>
      <c r="N49" s="74"/>
      <c r="O49" s="74"/>
      <c r="P49" s="74"/>
    </row>
    <row r="50" spans="3:16" s="75" customFormat="1" ht="12.5" thickBot="1" x14ac:dyDescent="0.35">
      <c r="C50" s="96">
        <v>43862379</v>
      </c>
      <c r="E50" s="76"/>
      <c r="F50" s="74"/>
      <c r="G50" s="74"/>
      <c r="H50" s="74"/>
      <c r="I50" s="74"/>
      <c r="L50" s="74"/>
      <c r="M50" s="74"/>
      <c r="N50" s="74"/>
      <c r="O50" s="74"/>
      <c r="P50" s="74"/>
    </row>
    <row r="51" spans="3:16" s="75" customFormat="1" ht="12.5" thickBot="1" x14ac:dyDescent="0.35">
      <c r="C51" s="97">
        <v>1039681747</v>
      </c>
      <c r="E51" s="76"/>
      <c r="F51" s="74"/>
      <c r="G51" s="74"/>
      <c r="H51" s="74"/>
      <c r="I51" s="74"/>
      <c r="L51" s="74"/>
      <c r="M51" s="74"/>
      <c r="N51" s="74"/>
      <c r="O51" s="74"/>
      <c r="P51" s="74"/>
    </row>
    <row r="52" spans="3:16" s="75" customFormat="1" ht="12.5" thickBot="1" x14ac:dyDescent="0.35">
      <c r="C52" s="96">
        <v>43476587</v>
      </c>
      <c r="E52" s="76"/>
      <c r="F52" s="74"/>
      <c r="G52" s="74"/>
      <c r="H52" s="74"/>
      <c r="I52" s="74"/>
      <c r="L52" s="74"/>
      <c r="M52" s="74"/>
      <c r="N52" s="74"/>
      <c r="O52" s="74"/>
      <c r="P52" s="74"/>
    </row>
    <row r="53" spans="3:16" s="75" customFormat="1" x14ac:dyDescent="0.3">
      <c r="E53" s="76"/>
      <c r="F53" s="74"/>
      <c r="G53" s="74"/>
      <c r="H53" s="74"/>
      <c r="I53" s="74"/>
      <c r="L53" s="74"/>
      <c r="M53" s="74"/>
      <c r="N53" s="74"/>
      <c r="O53" s="74"/>
      <c r="P53" s="74"/>
    </row>
    <row r="54" spans="3:16" s="75" customFormat="1" x14ac:dyDescent="0.3">
      <c r="E54" s="76"/>
      <c r="F54" s="74"/>
      <c r="G54" s="74"/>
      <c r="H54" s="74"/>
      <c r="I54" s="74"/>
      <c r="L54" s="74"/>
      <c r="M54" s="74"/>
      <c r="N54" s="74"/>
      <c r="O54" s="74"/>
      <c r="P54" s="74"/>
    </row>
    <row r="55" spans="3:16" s="75" customFormat="1" x14ac:dyDescent="0.3">
      <c r="E55" s="76"/>
      <c r="F55" s="74"/>
      <c r="G55" s="74"/>
      <c r="H55" s="74"/>
      <c r="I55" s="74"/>
      <c r="L55" s="74"/>
      <c r="M55" s="74"/>
      <c r="N55" s="74"/>
      <c r="O55" s="74"/>
      <c r="P55" s="74"/>
    </row>
    <row r="56" spans="3:16" s="75" customFormat="1" x14ac:dyDescent="0.3">
      <c r="E56" s="76"/>
      <c r="F56" s="74"/>
      <c r="G56" s="74"/>
      <c r="H56" s="74"/>
      <c r="I56" s="74"/>
      <c r="L56" s="74"/>
      <c r="M56" s="74"/>
      <c r="N56" s="74"/>
      <c r="O56" s="74"/>
      <c r="P56" s="74"/>
    </row>
    <row r="57" spans="3:16" s="75" customFormat="1" x14ac:dyDescent="0.3">
      <c r="E57" s="76"/>
      <c r="F57" s="74"/>
      <c r="G57" s="74"/>
      <c r="H57" s="74"/>
      <c r="I57" s="74"/>
      <c r="L57" s="74"/>
      <c r="M57" s="74"/>
      <c r="N57" s="74"/>
      <c r="O57" s="74"/>
      <c r="P57" s="74"/>
    </row>
    <row r="58" spans="3:16" s="75" customFormat="1" x14ac:dyDescent="0.3">
      <c r="E58" s="76"/>
      <c r="F58" s="74"/>
      <c r="G58" s="74"/>
      <c r="H58" s="74"/>
      <c r="I58" s="74"/>
      <c r="L58" s="74"/>
      <c r="M58" s="74"/>
      <c r="N58" s="74"/>
      <c r="O58" s="74"/>
      <c r="P58" s="74"/>
    </row>
    <row r="59" spans="3:16" s="75" customFormat="1" x14ac:dyDescent="0.3">
      <c r="E59" s="76"/>
      <c r="F59" s="74"/>
      <c r="G59" s="74"/>
      <c r="H59" s="74"/>
      <c r="I59" s="74"/>
      <c r="L59" s="74"/>
      <c r="M59" s="74"/>
      <c r="N59" s="74"/>
      <c r="O59" s="74"/>
      <c r="P59" s="74"/>
    </row>
    <row r="60" spans="3:16" s="75" customFormat="1" x14ac:dyDescent="0.3">
      <c r="E60" s="76"/>
      <c r="F60" s="74"/>
      <c r="G60" s="74"/>
      <c r="H60" s="74"/>
      <c r="I60" s="74"/>
      <c r="L60" s="74"/>
      <c r="M60" s="74"/>
      <c r="N60" s="74"/>
      <c r="O60" s="74"/>
      <c r="P60" s="74"/>
    </row>
    <row r="61" spans="3:16" s="75" customFormat="1" x14ac:dyDescent="0.3">
      <c r="E61" s="76"/>
      <c r="F61" s="74"/>
      <c r="G61" s="74"/>
      <c r="H61" s="74"/>
      <c r="I61" s="74"/>
      <c r="L61" s="74"/>
      <c r="M61" s="74"/>
      <c r="N61" s="74"/>
      <c r="O61" s="74"/>
      <c r="P61" s="74"/>
    </row>
    <row r="62" spans="3:16" s="75" customFormat="1" x14ac:dyDescent="0.3">
      <c r="E62" s="76"/>
      <c r="F62" s="74"/>
      <c r="G62" s="74"/>
      <c r="H62" s="74"/>
      <c r="I62" s="74"/>
      <c r="L62" s="74"/>
      <c r="M62" s="74"/>
      <c r="N62" s="74"/>
      <c r="O62" s="74"/>
      <c r="P62" s="74"/>
    </row>
    <row r="63" spans="3:16" s="75" customFormat="1" x14ac:dyDescent="0.3">
      <c r="E63" s="76"/>
      <c r="F63" s="74"/>
      <c r="G63" s="74"/>
      <c r="H63" s="74"/>
      <c r="I63" s="74"/>
      <c r="L63" s="74"/>
      <c r="M63" s="74"/>
      <c r="N63" s="74"/>
      <c r="O63" s="74"/>
      <c r="P63" s="74"/>
    </row>
    <row r="64" spans="3:16" s="75" customFormat="1" x14ac:dyDescent="0.3">
      <c r="E64" s="76"/>
      <c r="F64" s="74"/>
      <c r="G64" s="74"/>
      <c r="H64" s="74"/>
      <c r="I64" s="74"/>
      <c r="L64" s="74"/>
      <c r="M64" s="74"/>
      <c r="N64" s="74"/>
      <c r="O64" s="74"/>
      <c r="P64" s="74"/>
    </row>
    <row r="65" spans="5:16" s="75" customFormat="1" x14ac:dyDescent="0.3">
      <c r="E65" s="76"/>
      <c r="F65" s="74"/>
      <c r="G65" s="74"/>
      <c r="H65" s="74"/>
      <c r="I65" s="74"/>
      <c r="L65" s="74"/>
      <c r="M65" s="74"/>
      <c r="N65" s="74"/>
      <c r="O65" s="74"/>
      <c r="P65" s="74"/>
    </row>
    <row r="66" spans="5:16" s="75" customFormat="1" x14ac:dyDescent="0.3">
      <c r="E66" s="76"/>
      <c r="F66" s="74"/>
      <c r="G66" s="74"/>
      <c r="H66" s="74"/>
      <c r="I66" s="74"/>
      <c r="L66" s="74"/>
      <c r="M66" s="74"/>
      <c r="N66" s="74"/>
      <c r="O66" s="74"/>
      <c r="P66" s="74"/>
    </row>
    <row r="67" spans="5:16" s="75" customFormat="1" x14ac:dyDescent="0.3">
      <c r="E67" s="76"/>
      <c r="F67" s="74"/>
      <c r="G67" s="74"/>
      <c r="H67" s="74"/>
      <c r="I67" s="74"/>
      <c r="L67" s="74"/>
      <c r="M67" s="74"/>
      <c r="N67" s="74"/>
      <c r="O67" s="74"/>
      <c r="P67" s="74"/>
    </row>
    <row r="68" spans="5:16" s="75" customFormat="1" x14ac:dyDescent="0.3">
      <c r="E68" s="76"/>
      <c r="F68" s="74"/>
      <c r="G68" s="74"/>
      <c r="H68" s="74"/>
      <c r="I68" s="74"/>
      <c r="L68" s="74"/>
      <c r="M68" s="74"/>
      <c r="N68" s="74"/>
      <c r="O68" s="74"/>
      <c r="P68" s="74"/>
    </row>
    <row r="69" spans="5:16" s="75" customFormat="1" x14ac:dyDescent="0.3">
      <c r="E69" s="76"/>
      <c r="F69" s="74"/>
      <c r="G69" s="74"/>
      <c r="H69" s="74"/>
      <c r="I69" s="74"/>
      <c r="L69" s="74"/>
      <c r="M69" s="74"/>
      <c r="N69" s="74"/>
      <c r="O69" s="74"/>
      <c r="P69" s="74"/>
    </row>
    <row r="70" spans="5:16" s="75" customFormat="1" x14ac:dyDescent="0.3">
      <c r="E70" s="76"/>
      <c r="F70" s="74"/>
      <c r="G70" s="74"/>
      <c r="H70" s="74"/>
      <c r="I70" s="74"/>
      <c r="L70" s="74"/>
      <c r="M70" s="74"/>
      <c r="N70" s="74"/>
      <c r="O70" s="74"/>
      <c r="P70" s="74"/>
    </row>
    <row r="71" spans="5:16" s="75" customFormat="1" x14ac:dyDescent="0.3">
      <c r="E71" s="76"/>
      <c r="F71" s="74"/>
      <c r="G71" s="74"/>
      <c r="H71" s="74"/>
      <c r="I71" s="74"/>
      <c r="L71" s="74"/>
      <c r="M71" s="74"/>
      <c r="N71" s="74"/>
      <c r="O71" s="74"/>
      <c r="P71" s="74"/>
    </row>
    <row r="72" spans="5:16" s="75" customFormat="1" x14ac:dyDescent="0.3">
      <c r="E72" s="76"/>
      <c r="F72" s="74"/>
      <c r="G72" s="74"/>
      <c r="H72" s="74"/>
      <c r="I72" s="74"/>
      <c r="L72" s="74"/>
      <c r="M72" s="74"/>
      <c r="N72" s="74"/>
      <c r="O72" s="74"/>
      <c r="P72" s="74"/>
    </row>
    <row r="73" spans="5:16" s="75" customFormat="1" x14ac:dyDescent="0.3">
      <c r="E73" s="76"/>
      <c r="F73" s="74"/>
      <c r="G73" s="74"/>
      <c r="H73" s="74"/>
      <c r="I73" s="74"/>
      <c r="L73" s="74"/>
      <c r="M73" s="74"/>
      <c r="N73" s="74"/>
      <c r="O73" s="74"/>
      <c r="P73" s="74"/>
    </row>
    <row r="74" spans="5:16" s="75" customFormat="1" x14ac:dyDescent="0.3">
      <c r="E74" s="76"/>
      <c r="F74" s="74"/>
      <c r="G74" s="74"/>
      <c r="H74" s="74"/>
      <c r="I74" s="74"/>
      <c r="L74" s="74"/>
      <c r="M74" s="74"/>
      <c r="N74" s="74"/>
      <c r="O74" s="74"/>
      <c r="P74" s="74"/>
    </row>
    <row r="75" spans="5:16" s="75" customFormat="1" x14ac:dyDescent="0.3">
      <c r="E75" s="76"/>
      <c r="F75" s="74"/>
      <c r="G75" s="74"/>
      <c r="H75" s="74"/>
      <c r="I75" s="74"/>
      <c r="L75" s="74"/>
      <c r="M75" s="74"/>
      <c r="N75" s="74"/>
      <c r="O75" s="74"/>
      <c r="P75" s="74"/>
    </row>
    <row r="76" spans="5:16" s="75" customFormat="1" x14ac:dyDescent="0.3">
      <c r="E76" s="76"/>
      <c r="F76" s="74"/>
      <c r="G76" s="74"/>
      <c r="H76" s="74"/>
      <c r="I76" s="74"/>
      <c r="L76" s="74"/>
      <c r="M76" s="74"/>
      <c r="N76" s="74"/>
      <c r="O76" s="74"/>
      <c r="P76" s="74"/>
    </row>
    <row r="77" spans="5:16" s="75" customFormat="1" x14ac:dyDescent="0.3">
      <c r="E77" s="76"/>
      <c r="F77" s="74"/>
      <c r="G77" s="74"/>
      <c r="H77" s="74"/>
      <c r="I77" s="74"/>
      <c r="L77" s="74"/>
      <c r="M77" s="74"/>
      <c r="N77" s="74"/>
      <c r="O77" s="74"/>
      <c r="P77" s="74"/>
    </row>
    <row r="78" spans="5:16" s="75" customFormat="1" x14ac:dyDescent="0.3">
      <c r="E78" s="76"/>
      <c r="F78" s="74"/>
      <c r="G78" s="74"/>
      <c r="H78" s="74"/>
      <c r="I78" s="74"/>
      <c r="L78" s="74"/>
      <c r="M78" s="74"/>
      <c r="N78" s="74"/>
      <c r="O78" s="74"/>
      <c r="P78" s="74"/>
    </row>
    <row r="79" spans="5:16" s="75" customFormat="1" x14ac:dyDescent="0.3">
      <c r="E79" s="76"/>
      <c r="F79" s="74"/>
      <c r="G79" s="74"/>
      <c r="H79" s="74"/>
      <c r="I79" s="74"/>
      <c r="L79" s="74"/>
      <c r="M79" s="74"/>
      <c r="N79" s="74"/>
      <c r="O79" s="74"/>
      <c r="P79" s="74"/>
    </row>
    <row r="80" spans="5:16" s="75" customFormat="1" x14ac:dyDescent="0.3">
      <c r="E80" s="76"/>
      <c r="F80" s="74"/>
      <c r="G80" s="74"/>
      <c r="H80" s="74"/>
      <c r="I80" s="74"/>
      <c r="L80" s="74"/>
      <c r="M80" s="74"/>
      <c r="N80" s="74"/>
      <c r="O80" s="74"/>
      <c r="P80" s="74"/>
    </row>
    <row r="81" spans="5:16" s="75" customFormat="1" x14ac:dyDescent="0.3">
      <c r="E81" s="76"/>
      <c r="F81" s="74"/>
      <c r="G81" s="74"/>
      <c r="H81" s="74"/>
      <c r="I81" s="74"/>
      <c r="L81" s="74"/>
      <c r="M81" s="74"/>
      <c r="N81" s="74"/>
      <c r="O81" s="74"/>
      <c r="P81" s="74"/>
    </row>
    <row r="82" spans="5:16" s="75" customFormat="1" x14ac:dyDescent="0.3">
      <c r="E82" s="76"/>
      <c r="F82" s="74"/>
      <c r="G82" s="74"/>
      <c r="H82" s="74"/>
      <c r="I82" s="74"/>
      <c r="L82" s="74"/>
      <c r="M82" s="74"/>
      <c r="N82" s="74"/>
      <c r="O82" s="74"/>
      <c r="P82" s="74"/>
    </row>
    <row r="83" spans="5:16" s="75" customFormat="1" x14ac:dyDescent="0.3">
      <c r="E83" s="76"/>
      <c r="F83" s="74"/>
      <c r="G83" s="74"/>
      <c r="H83" s="74"/>
      <c r="I83" s="74"/>
      <c r="L83" s="74"/>
      <c r="M83" s="74"/>
      <c r="N83" s="74"/>
      <c r="O83" s="74"/>
      <c r="P83" s="74"/>
    </row>
    <row r="84" spans="5:16" s="75" customFormat="1" x14ac:dyDescent="0.3">
      <c r="E84" s="76"/>
      <c r="F84" s="74"/>
      <c r="G84" s="74"/>
      <c r="H84" s="74"/>
      <c r="I84" s="74"/>
      <c r="L84" s="74"/>
      <c r="M84" s="74"/>
      <c r="N84" s="74"/>
      <c r="O84" s="74"/>
      <c r="P84" s="74"/>
    </row>
    <row r="85" spans="5:16" s="75" customFormat="1" x14ac:dyDescent="0.3">
      <c r="E85" s="76"/>
      <c r="F85" s="74"/>
      <c r="G85" s="74"/>
      <c r="H85" s="74"/>
      <c r="I85" s="74"/>
      <c r="L85" s="74"/>
      <c r="M85" s="74"/>
      <c r="N85" s="74"/>
      <c r="O85" s="74"/>
      <c r="P85" s="74"/>
    </row>
    <row r="86" spans="5:16" s="75" customFormat="1" x14ac:dyDescent="0.3">
      <c r="E86" s="76"/>
      <c r="F86" s="74"/>
      <c r="G86" s="74"/>
      <c r="H86" s="74"/>
      <c r="I86" s="74"/>
      <c r="L86" s="74"/>
      <c r="M86" s="74"/>
      <c r="N86" s="74"/>
      <c r="O86" s="74"/>
      <c r="P86" s="74"/>
    </row>
    <row r="87" spans="5:16" s="75" customFormat="1" x14ac:dyDescent="0.3">
      <c r="E87" s="76"/>
      <c r="F87" s="74"/>
      <c r="G87" s="74"/>
      <c r="H87" s="74"/>
      <c r="I87" s="74"/>
      <c r="L87" s="74"/>
      <c r="M87" s="74"/>
      <c r="N87" s="74"/>
      <c r="O87" s="74"/>
      <c r="P87" s="74"/>
    </row>
    <row r="88" spans="5:16" s="75" customFormat="1" x14ac:dyDescent="0.3">
      <c r="E88" s="76"/>
      <c r="F88" s="74"/>
      <c r="G88" s="74"/>
      <c r="H88" s="74"/>
      <c r="I88" s="74"/>
      <c r="L88" s="74"/>
      <c r="M88" s="74"/>
      <c r="N88" s="74"/>
      <c r="O88" s="74"/>
      <c r="P88" s="74"/>
    </row>
    <row r="89" spans="5:16" s="75" customFormat="1" x14ac:dyDescent="0.3">
      <c r="E89" s="76"/>
      <c r="F89" s="74"/>
      <c r="G89" s="74"/>
      <c r="H89" s="74"/>
      <c r="I89" s="74"/>
      <c r="L89" s="74"/>
      <c r="M89" s="74"/>
      <c r="N89" s="74"/>
      <c r="O89" s="74"/>
      <c r="P89" s="74"/>
    </row>
    <row r="90" spans="5:16" s="75" customFormat="1" x14ac:dyDescent="0.3">
      <c r="E90" s="76"/>
      <c r="F90" s="74"/>
      <c r="G90" s="74"/>
      <c r="H90" s="74"/>
      <c r="I90" s="74"/>
      <c r="L90" s="74"/>
      <c r="M90" s="74"/>
      <c r="N90" s="74"/>
      <c r="O90" s="74"/>
      <c r="P90" s="74"/>
    </row>
    <row r="91" spans="5:16" s="75" customFormat="1" x14ac:dyDescent="0.3">
      <c r="E91" s="76"/>
      <c r="F91" s="74"/>
      <c r="G91" s="74"/>
      <c r="H91" s="74"/>
      <c r="I91" s="74"/>
      <c r="L91" s="74"/>
      <c r="M91" s="74"/>
      <c r="N91" s="74"/>
      <c r="O91" s="74"/>
      <c r="P91" s="74"/>
    </row>
    <row r="92" spans="5:16" s="75" customFormat="1" x14ac:dyDescent="0.3">
      <c r="E92" s="76"/>
      <c r="F92" s="74"/>
      <c r="G92" s="74"/>
      <c r="H92" s="74"/>
      <c r="I92" s="74"/>
      <c r="L92" s="74"/>
      <c r="M92" s="74"/>
      <c r="N92" s="74"/>
      <c r="O92" s="74"/>
      <c r="P92" s="74"/>
    </row>
    <row r="93" spans="5:16" s="75" customFormat="1" x14ac:dyDescent="0.3">
      <c r="E93" s="76"/>
      <c r="F93" s="74"/>
      <c r="G93" s="74"/>
      <c r="H93" s="74"/>
      <c r="I93" s="74"/>
      <c r="L93" s="74"/>
      <c r="M93" s="74"/>
      <c r="N93" s="74"/>
      <c r="O93" s="74"/>
      <c r="P93" s="74"/>
    </row>
    <row r="94" spans="5:16" s="75" customFormat="1" x14ac:dyDescent="0.3">
      <c r="E94" s="76"/>
      <c r="F94" s="74"/>
      <c r="G94" s="74"/>
      <c r="H94" s="74"/>
      <c r="I94" s="74"/>
      <c r="L94" s="74"/>
      <c r="M94" s="74"/>
      <c r="N94" s="74"/>
      <c r="O94" s="74"/>
      <c r="P94" s="74"/>
    </row>
    <row r="95" spans="5:16" s="75" customFormat="1" x14ac:dyDescent="0.3">
      <c r="E95" s="76"/>
      <c r="F95" s="74"/>
      <c r="G95" s="74"/>
      <c r="H95" s="74"/>
      <c r="I95" s="74"/>
      <c r="L95" s="74"/>
      <c r="M95" s="74"/>
      <c r="N95" s="74"/>
      <c r="O95" s="74"/>
      <c r="P95" s="74"/>
    </row>
    <row r="96" spans="5:16" s="75" customFormat="1" x14ac:dyDescent="0.3">
      <c r="E96" s="76"/>
      <c r="F96" s="74"/>
      <c r="G96" s="74"/>
      <c r="H96" s="74"/>
      <c r="I96" s="74"/>
      <c r="L96" s="74"/>
      <c r="M96" s="74"/>
      <c r="N96" s="74"/>
      <c r="O96" s="74"/>
      <c r="P96" s="74"/>
    </row>
    <row r="97" spans="5:16" s="75" customFormat="1" x14ac:dyDescent="0.3">
      <c r="E97" s="76"/>
      <c r="F97" s="74"/>
      <c r="G97" s="74"/>
      <c r="H97" s="74"/>
      <c r="I97" s="74"/>
      <c r="L97" s="74"/>
      <c r="M97" s="74"/>
      <c r="N97" s="74"/>
      <c r="O97" s="74"/>
      <c r="P97" s="74"/>
    </row>
    <row r="98" spans="5:16" s="75" customFormat="1" x14ac:dyDescent="0.3">
      <c r="E98" s="76"/>
      <c r="F98" s="74"/>
      <c r="G98" s="74"/>
      <c r="H98" s="74"/>
      <c r="I98" s="74"/>
      <c r="L98" s="74"/>
      <c r="M98" s="74"/>
      <c r="N98" s="74"/>
      <c r="O98" s="74"/>
      <c r="P98" s="74"/>
    </row>
    <row r="99" spans="5:16" s="75" customFormat="1" x14ac:dyDescent="0.3">
      <c r="E99" s="76"/>
      <c r="F99" s="74"/>
      <c r="G99" s="74"/>
      <c r="H99" s="74"/>
      <c r="I99" s="74"/>
      <c r="L99" s="74"/>
      <c r="M99" s="74"/>
      <c r="N99" s="74"/>
      <c r="O99" s="74"/>
      <c r="P99" s="74"/>
    </row>
    <row r="100" spans="5:16" s="75" customFormat="1" x14ac:dyDescent="0.3">
      <c r="E100" s="76"/>
      <c r="F100" s="74"/>
      <c r="G100" s="74"/>
      <c r="H100" s="74"/>
      <c r="I100" s="74"/>
      <c r="L100" s="74"/>
      <c r="M100" s="74"/>
      <c r="N100" s="74"/>
      <c r="O100" s="74"/>
      <c r="P100" s="74"/>
    </row>
    <row r="101" spans="5:16" s="75" customFormat="1" x14ac:dyDescent="0.3">
      <c r="E101" s="76"/>
      <c r="F101" s="74"/>
      <c r="G101" s="74"/>
      <c r="H101" s="74"/>
      <c r="I101" s="74"/>
      <c r="L101" s="74"/>
      <c r="M101" s="74"/>
      <c r="N101" s="74"/>
      <c r="O101" s="74"/>
      <c r="P101" s="74"/>
    </row>
    <row r="102" spans="5:16" s="75" customFormat="1" x14ac:dyDescent="0.3">
      <c r="E102" s="76"/>
      <c r="F102" s="74"/>
      <c r="G102" s="74"/>
      <c r="H102" s="74"/>
      <c r="I102" s="74"/>
      <c r="L102" s="74"/>
      <c r="M102" s="74"/>
      <c r="N102" s="74"/>
      <c r="O102" s="74"/>
      <c r="P102" s="74"/>
    </row>
    <row r="103" spans="5:16" s="75" customFormat="1" x14ac:dyDescent="0.3">
      <c r="E103" s="76"/>
      <c r="F103" s="74"/>
      <c r="G103" s="74"/>
      <c r="H103" s="74"/>
      <c r="I103" s="74"/>
      <c r="L103" s="74"/>
      <c r="M103" s="74"/>
      <c r="N103" s="74"/>
      <c r="O103" s="74"/>
      <c r="P103" s="74"/>
    </row>
    <row r="104" spans="5:16" s="75" customFormat="1" x14ac:dyDescent="0.3">
      <c r="E104" s="76"/>
      <c r="F104" s="74"/>
      <c r="G104" s="74"/>
      <c r="H104" s="74"/>
      <c r="I104" s="74"/>
      <c r="L104" s="74"/>
      <c r="M104" s="74"/>
      <c r="N104" s="74"/>
      <c r="O104" s="74"/>
      <c r="P104" s="74"/>
    </row>
    <row r="105" spans="5:16" s="75" customFormat="1" x14ac:dyDescent="0.3">
      <c r="E105" s="76"/>
      <c r="F105" s="74"/>
      <c r="G105" s="74"/>
      <c r="H105" s="74"/>
      <c r="I105" s="74"/>
      <c r="L105" s="74"/>
      <c r="M105" s="74"/>
      <c r="N105" s="74"/>
      <c r="O105" s="74"/>
      <c r="P105" s="74"/>
    </row>
    <row r="106" spans="5:16" s="75" customFormat="1" x14ac:dyDescent="0.3">
      <c r="E106" s="76"/>
      <c r="F106" s="74"/>
      <c r="G106" s="74"/>
      <c r="H106" s="74"/>
      <c r="I106" s="74"/>
      <c r="L106" s="74"/>
      <c r="M106" s="74"/>
      <c r="N106" s="74"/>
      <c r="O106" s="74"/>
      <c r="P106" s="74"/>
    </row>
    <row r="107" spans="5:16" s="75" customFormat="1" x14ac:dyDescent="0.3">
      <c r="E107" s="76"/>
      <c r="F107" s="74"/>
      <c r="G107" s="74"/>
      <c r="H107" s="74"/>
      <c r="I107" s="74"/>
      <c r="L107" s="74"/>
      <c r="M107" s="74"/>
      <c r="N107" s="74"/>
      <c r="O107" s="74"/>
      <c r="P107" s="74"/>
    </row>
    <row r="108" spans="5:16" s="75" customFormat="1" x14ac:dyDescent="0.3">
      <c r="E108" s="76"/>
      <c r="F108" s="74"/>
      <c r="G108" s="74"/>
      <c r="H108" s="74"/>
      <c r="I108" s="74"/>
      <c r="L108" s="74"/>
      <c r="M108" s="74"/>
      <c r="N108" s="74"/>
      <c r="O108" s="74"/>
      <c r="P108" s="74"/>
    </row>
    <row r="109" spans="5:16" s="75" customFormat="1" x14ac:dyDescent="0.3">
      <c r="E109" s="76"/>
      <c r="F109" s="74"/>
      <c r="G109" s="74"/>
      <c r="H109" s="74"/>
      <c r="I109" s="74"/>
      <c r="L109" s="74"/>
      <c r="M109" s="74"/>
      <c r="N109" s="74"/>
      <c r="O109" s="74"/>
      <c r="P109" s="74"/>
    </row>
    <row r="110" spans="5:16" s="75" customFormat="1" x14ac:dyDescent="0.3">
      <c r="E110" s="76"/>
      <c r="F110" s="74"/>
      <c r="G110" s="74"/>
      <c r="H110" s="74"/>
      <c r="I110" s="74"/>
      <c r="L110" s="74"/>
      <c r="M110" s="74"/>
      <c r="N110" s="74"/>
      <c r="O110" s="74"/>
      <c r="P110" s="74"/>
    </row>
    <row r="111" spans="5:16" s="75" customFormat="1" x14ac:dyDescent="0.3">
      <c r="E111" s="76"/>
      <c r="F111" s="74"/>
      <c r="G111" s="74"/>
      <c r="H111" s="74"/>
      <c r="I111" s="74"/>
      <c r="L111" s="74"/>
      <c r="M111" s="74"/>
      <c r="N111" s="74"/>
      <c r="O111" s="74"/>
      <c r="P111" s="74"/>
    </row>
    <row r="112" spans="5:16" s="75" customFormat="1" x14ac:dyDescent="0.3">
      <c r="E112" s="76"/>
      <c r="F112" s="74"/>
      <c r="G112" s="74"/>
      <c r="H112" s="74"/>
      <c r="I112" s="74"/>
      <c r="L112" s="74"/>
      <c r="M112" s="74"/>
      <c r="N112" s="74"/>
      <c r="O112" s="74"/>
      <c r="P112" s="74"/>
    </row>
    <row r="113" spans="5:16" s="75" customFormat="1" x14ac:dyDescent="0.3">
      <c r="E113" s="76"/>
      <c r="F113" s="74"/>
      <c r="G113" s="74"/>
      <c r="H113" s="74"/>
      <c r="I113" s="74"/>
      <c r="L113" s="74"/>
      <c r="M113" s="74"/>
      <c r="N113" s="74"/>
      <c r="O113" s="74"/>
      <c r="P113" s="74"/>
    </row>
    <row r="114" spans="5:16" s="75" customFormat="1" x14ac:dyDescent="0.3">
      <c r="E114" s="76"/>
      <c r="F114" s="74"/>
      <c r="G114" s="74"/>
      <c r="H114" s="74"/>
      <c r="I114" s="74"/>
      <c r="L114" s="74"/>
      <c r="M114" s="74"/>
      <c r="N114" s="74"/>
      <c r="O114" s="74"/>
      <c r="P114" s="74"/>
    </row>
    <row r="115" spans="5:16" s="75" customFormat="1" x14ac:dyDescent="0.3">
      <c r="E115" s="76"/>
      <c r="F115" s="74"/>
      <c r="G115" s="74"/>
      <c r="H115" s="74"/>
      <c r="I115" s="74"/>
      <c r="L115" s="74"/>
      <c r="M115" s="74"/>
      <c r="N115" s="74"/>
      <c r="O115" s="74"/>
      <c r="P115" s="74"/>
    </row>
    <row r="116" spans="5:16" s="75" customFormat="1" x14ac:dyDescent="0.3">
      <c r="E116" s="76"/>
      <c r="F116" s="74"/>
      <c r="G116" s="74"/>
      <c r="H116" s="74"/>
      <c r="I116" s="74"/>
      <c r="L116" s="74"/>
      <c r="M116" s="74"/>
      <c r="N116" s="74"/>
      <c r="O116" s="74"/>
      <c r="P116" s="74"/>
    </row>
    <row r="117" spans="5:16" s="75" customFormat="1" x14ac:dyDescent="0.3">
      <c r="E117" s="76"/>
      <c r="F117" s="74"/>
      <c r="G117" s="74"/>
      <c r="H117" s="74"/>
      <c r="I117" s="74"/>
      <c r="L117" s="74"/>
      <c r="M117" s="74"/>
      <c r="N117" s="74"/>
      <c r="O117" s="74"/>
      <c r="P117" s="74"/>
    </row>
    <row r="118" spans="5:16" s="75" customFormat="1" x14ac:dyDescent="0.3">
      <c r="E118" s="76"/>
      <c r="F118" s="74"/>
      <c r="G118" s="74"/>
      <c r="H118" s="74"/>
      <c r="I118" s="74"/>
      <c r="L118" s="74"/>
      <c r="M118" s="74"/>
      <c r="N118" s="74"/>
      <c r="O118" s="74"/>
      <c r="P118" s="74"/>
    </row>
    <row r="119" spans="5:16" s="75" customFormat="1" x14ac:dyDescent="0.3">
      <c r="E119" s="76"/>
      <c r="F119" s="74"/>
      <c r="G119" s="74"/>
      <c r="H119" s="74"/>
      <c r="I119" s="74"/>
      <c r="L119" s="74"/>
      <c r="M119" s="74"/>
      <c r="N119" s="74"/>
      <c r="O119" s="74"/>
      <c r="P119" s="74"/>
    </row>
    <row r="120" spans="5:16" s="75" customFormat="1" x14ac:dyDescent="0.3">
      <c r="E120" s="76"/>
      <c r="F120" s="74"/>
      <c r="G120" s="74"/>
      <c r="H120" s="74"/>
      <c r="I120" s="74"/>
      <c r="L120" s="74"/>
      <c r="M120" s="74"/>
      <c r="N120" s="74"/>
      <c r="O120" s="74"/>
      <c r="P120" s="74"/>
    </row>
    <row r="121" spans="5:16" s="75" customFormat="1" x14ac:dyDescent="0.3">
      <c r="E121" s="76"/>
      <c r="F121" s="74"/>
      <c r="G121" s="74"/>
      <c r="H121" s="74"/>
      <c r="I121" s="74"/>
      <c r="L121" s="74"/>
      <c r="M121" s="74"/>
      <c r="N121" s="74"/>
      <c r="O121" s="74"/>
      <c r="P121" s="74"/>
    </row>
    <row r="122" spans="5:16" s="75" customFormat="1" x14ac:dyDescent="0.3">
      <c r="E122" s="76"/>
      <c r="F122" s="74"/>
      <c r="G122" s="74"/>
      <c r="H122" s="74"/>
      <c r="I122" s="74"/>
      <c r="L122" s="74"/>
      <c r="M122" s="74"/>
      <c r="N122" s="74"/>
      <c r="O122" s="74"/>
      <c r="P122" s="74"/>
    </row>
    <row r="123" spans="5:16" s="75" customFormat="1" x14ac:dyDescent="0.3">
      <c r="E123" s="76"/>
      <c r="F123" s="74"/>
      <c r="G123" s="74"/>
      <c r="H123" s="74"/>
      <c r="I123" s="74"/>
      <c r="L123" s="74"/>
      <c r="M123" s="74"/>
      <c r="N123" s="74"/>
      <c r="O123" s="74"/>
      <c r="P123" s="74"/>
    </row>
    <row r="124" spans="5:16" s="75" customFormat="1" x14ac:dyDescent="0.3">
      <c r="E124" s="76"/>
      <c r="F124" s="74"/>
      <c r="G124" s="74"/>
      <c r="H124" s="74"/>
      <c r="I124" s="74"/>
      <c r="L124" s="74"/>
      <c r="M124" s="74"/>
      <c r="N124" s="74"/>
      <c r="O124" s="74"/>
      <c r="P124" s="74"/>
    </row>
    <row r="125" spans="5:16" s="75" customFormat="1" x14ac:dyDescent="0.3">
      <c r="E125" s="76"/>
      <c r="F125" s="74"/>
      <c r="G125" s="74"/>
      <c r="H125" s="74"/>
      <c r="I125" s="74"/>
      <c r="L125" s="74"/>
      <c r="M125" s="74"/>
      <c r="N125" s="74"/>
      <c r="O125" s="74"/>
      <c r="P125" s="74"/>
    </row>
    <row r="126" spans="5:16" s="75" customFormat="1" x14ac:dyDescent="0.3">
      <c r="E126" s="76"/>
      <c r="F126" s="74"/>
      <c r="G126" s="74"/>
      <c r="H126" s="74"/>
      <c r="I126" s="74"/>
      <c r="L126" s="74"/>
      <c r="M126" s="74"/>
      <c r="N126" s="74"/>
      <c r="O126" s="74"/>
      <c r="P126" s="74"/>
    </row>
    <row r="127" spans="5:16" s="75" customFormat="1" x14ac:dyDescent="0.3">
      <c r="E127" s="76"/>
      <c r="F127" s="74"/>
      <c r="G127" s="74"/>
      <c r="H127" s="74"/>
      <c r="I127" s="74"/>
      <c r="L127" s="74"/>
      <c r="M127" s="74"/>
      <c r="N127" s="74"/>
      <c r="O127" s="74"/>
      <c r="P127" s="74"/>
    </row>
    <row r="128" spans="5:16" s="75" customFormat="1" x14ac:dyDescent="0.3">
      <c r="E128" s="76"/>
      <c r="F128" s="74"/>
      <c r="G128" s="74"/>
      <c r="H128" s="74"/>
      <c r="I128" s="74"/>
      <c r="L128" s="74"/>
      <c r="M128" s="74"/>
      <c r="N128" s="74"/>
      <c r="O128" s="74"/>
      <c r="P128" s="74"/>
    </row>
    <row r="129" spans="5:16" s="75" customFormat="1" x14ac:dyDescent="0.3">
      <c r="E129" s="76"/>
      <c r="F129" s="74"/>
      <c r="G129" s="74"/>
      <c r="H129" s="74"/>
      <c r="I129" s="74"/>
      <c r="L129" s="74"/>
      <c r="M129" s="74"/>
      <c r="N129" s="74"/>
      <c r="O129" s="74"/>
      <c r="P129" s="74"/>
    </row>
    <row r="130" spans="5:16" s="75" customFormat="1" x14ac:dyDescent="0.3">
      <c r="E130" s="76"/>
      <c r="F130" s="74"/>
      <c r="G130" s="74"/>
      <c r="H130" s="74"/>
      <c r="I130" s="74"/>
      <c r="L130" s="74"/>
      <c r="M130" s="74"/>
      <c r="N130" s="74"/>
      <c r="O130" s="74"/>
      <c r="P130" s="74"/>
    </row>
    <row r="131" spans="5:16" s="75" customFormat="1" x14ac:dyDescent="0.3">
      <c r="E131" s="76"/>
      <c r="F131" s="74"/>
      <c r="G131" s="74"/>
      <c r="H131" s="74"/>
      <c r="I131" s="74"/>
      <c r="L131" s="74"/>
      <c r="M131" s="74"/>
      <c r="N131" s="74"/>
      <c r="O131" s="74"/>
      <c r="P131" s="74"/>
    </row>
    <row r="132" spans="5:16" s="75" customFormat="1" x14ac:dyDescent="0.3">
      <c r="E132" s="76"/>
      <c r="F132" s="74"/>
      <c r="G132" s="74"/>
      <c r="H132" s="74"/>
      <c r="I132" s="74"/>
      <c r="L132" s="74"/>
      <c r="M132" s="74"/>
      <c r="N132" s="74"/>
      <c r="O132" s="74"/>
      <c r="P132" s="74"/>
    </row>
    <row r="133" spans="5:16" s="75" customFormat="1" x14ac:dyDescent="0.3">
      <c r="E133" s="76"/>
      <c r="F133" s="74"/>
      <c r="G133" s="74"/>
      <c r="H133" s="74"/>
      <c r="I133" s="74"/>
      <c r="L133" s="74"/>
      <c r="M133" s="74"/>
      <c r="N133" s="74"/>
      <c r="O133" s="74"/>
      <c r="P133" s="74"/>
    </row>
    <row r="134" spans="5:16" s="75" customFormat="1" x14ac:dyDescent="0.3">
      <c r="E134" s="76"/>
      <c r="F134" s="74"/>
      <c r="G134" s="74"/>
      <c r="H134" s="74"/>
      <c r="I134" s="74"/>
      <c r="L134" s="74"/>
      <c r="M134" s="74"/>
      <c r="N134" s="74"/>
      <c r="O134" s="74"/>
      <c r="P134" s="74"/>
    </row>
    <row r="135" spans="5:16" s="75" customFormat="1" x14ac:dyDescent="0.3">
      <c r="E135" s="76"/>
      <c r="F135" s="74"/>
      <c r="G135" s="74"/>
      <c r="H135" s="74"/>
      <c r="I135" s="74"/>
      <c r="L135" s="74"/>
      <c r="M135" s="74"/>
      <c r="N135" s="74"/>
      <c r="O135" s="74"/>
      <c r="P135" s="74"/>
    </row>
    <row r="136" spans="5:16" s="75" customFormat="1" x14ac:dyDescent="0.3">
      <c r="E136" s="76"/>
      <c r="F136" s="74"/>
      <c r="G136" s="74"/>
      <c r="H136" s="74"/>
      <c r="I136" s="74"/>
      <c r="L136" s="74"/>
      <c r="M136" s="74"/>
      <c r="N136" s="74"/>
      <c r="O136" s="74"/>
      <c r="P136" s="74"/>
    </row>
    <row r="137" spans="5:16" s="75" customFormat="1" x14ac:dyDescent="0.3">
      <c r="E137" s="76"/>
      <c r="F137" s="74"/>
      <c r="G137" s="74"/>
      <c r="H137" s="74"/>
      <c r="I137" s="74"/>
      <c r="L137" s="74"/>
      <c r="M137" s="74"/>
      <c r="N137" s="74"/>
      <c r="O137" s="74"/>
      <c r="P137" s="74"/>
    </row>
    <row r="138" spans="5:16" s="75" customFormat="1" x14ac:dyDescent="0.3">
      <c r="E138" s="76"/>
      <c r="F138" s="74"/>
      <c r="G138" s="74"/>
      <c r="H138" s="74"/>
      <c r="I138" s="74"/>
      <c r="L138" s="74"/>
      <c r="M138" s="74"/>
      <c r="N138" s="74"/>
      <c r="O138" s="74"/>
      <c r="P138" s="74"/>
    </row>
    <row r="139" spans="5:16" s="75" customFormat="1" x14ac:dyDescent="0.3">
      <c r="E139" s="76"/>
      <c r="F139" s="74"/>
      <c r="G139" s="74"/>
      <c r="H139" s="74"/>
      <c r="I139" s="74"/>
      <c r="L139" s="74"/>
      <c r="M139" s="74"/>
      <c r="N139" s="74"/>
      <c r="O139" s="74"/>
      <c r="P139" s="74"/>
    </row>
    <row r="140" spans="5:16" s="75" customFormat="1" x14ac:dyDescent="0.3">
      <c r="E140" s="76"/>
      <c r="F140" s="74"/>
      <c r="G140" s="74"/>
      <c r="H140" s="74"/>
      <c r="I140" s="74"/>
      <c r="L140" s="74"/>
      <c r="M140" s="74"/>
      <c r="N140" s="74"/>
      <c r="O140" s="74"/>
      <c r="P140" s="74"/>
    </row>
    <row r="141" spans="5:16" s="75" customFormat="1" x14ac:dyDescent="0.3">
      <c r="E141" s="76"/>
      <c r="F141" s="74"/>
      <c r="G141" s="74"/>
      <c r="H141" s="74"/>
      <c r="I141" s="74"/>
      <c r="L141" s="74"/>
      <c r="M141" s="74"/>
      <c r="N141" s="74"/>
      <c r="O141" s="74"/>
      <c r="P141" s="74"/>
    </row>
    <row r="142" spans="5:16" s="75" customFormat="1" x14ac:dyDescent="0.3">
      <c r="E142" s="76"/>
      <c r="F142" s="74"/>
      <c r="G142" s="74"/>
      <c r="H142" s="74"/>
      <c r="I142" s="74"/>
      <c r="L142" s="74"/>
      <c r="M142" s="74"/>
      <c r="N142" s="74"/>
      <c r="O142" s="74"/>
      <c r="P142" s="74"/>
    </row>
    <row r="143" spans="5:16" s="75" customFormat="1" x14ac:dyDescent="0.3">
      <c r="E143" s="76"/>
      <c r="F143" s="74"/>
      <c r="G143" s="74"/>
      <c r="H143" s="74"/>
      <c r="I143" s="74"/>
      <c r="L143" s="74"/>
      <c r="M143" s="74"/>
      <c r="N143" s="74"/>
      <c r="O143" s="74"/>
      <c r="P143" s="74"/>
    </row>
    <row r="144" spans="5:16" s="75" customFormat="1" x14ac:dyDescent="0.3">
      <c r="E144" s="76"/>
      <c r="F144" s="74"/>
      <c r="G144" s="74"/>
      <c r="H144" s="74"/>
      <c r="I144" s="74"/>
      <c r="L144" s="74"/>
      <c r="M144" s="74"/>
      <c r="N144" s="74"/>
      <c r="O144" s="74"/>
      <c r="P144" s="74"/>
    </row>
    <row r="145" spans="5:16" s="75" customFormat="1" x14ac:dyDescent="0.3">
      <c r="E145" s="76"/>
      <c r="F145" s="74"/>
      <c r="G145" s="74"/>
      <c r="H145" s="74"/>
      <c r="I145" s="74"/>
      <c r="L145" s="74"/>
      <c r="M145" s="74"/>
      <c r="N145" s="74"/>
      <c r="O145" s="74"/>
      <c r="P145" s="74"/>
    </row>
    <row r="146" spans="5:16" s="75" customFormat="1" x14ac:dyDescent="0.3">
      <c r="E146" s="76"/>
      <c r="F146" s="74"/>
      <c r="G146" s="74"/>
      <c r="H146" s="74"/>
      <c r="I146" s="74"/>
      <c r="L146" s="74"/>
      <c r="M146" s="74"/>
      <c r="N146" s="74"/>
      <c r="O146" s="74"/>
      <c r="P146" s="74"/>
    </row>
    <row r="147" spans="5:16" s="75" customFormat="1" x14ac:dyDescent="0.3">
      <c r="E147" s="76"/>
      <c r="F147" s="74"/>
      <c r="G147" s="74"/>
      <c r="H147" s="74"/>
      <c r="I147" s="74"/>
      <c r="L147" s="74"/>
      <c r="M147" s="74"/>
      <c r="N147" s="74"/>
      <c r="O147" s="74"/>
      <c r="P147" s="74"/>
    </row>
    <row r="148" spans="5:16" s="75" customFormat="1" x14ac:dyDescent="0.3">
      <c r="E148" s="76"/>
      <c r="F148" s="74"/>
      <c r="G148" s="74"/>
      <c r="H148" s="74"/>
      <c r="I148" s="74"/>
      <c r="L148" s="74"/>
      <c r="M148" s="74"/>
      <c r="N148" s="74"/>
      <c r="O148" s="74"/>
      <c r="P148" s="74"/>
    </row>
    <row r="149" spans="5:16" s="75" customFormat="1" x14ac:dyDescent="0.3">
      <c r="E149" s="76"/>
      <c r="F149" s="74"/>
      <c r="G149" s="74"/>
      <c r="H149" s="74"/>
      <c r="I149" s="74"/>
      <c r="L149" s="74"/>
      <c r="M149" s="74"/>
      <c r="N149" s="74"/>
      <c r="O149" s="74"/>
      <c r="P149" s="74"/>
    </row>
    <row r="150" spans="5:16" s="75" customFormat="1" x14ac:dyDescent="0.3">
      <c r="E150" s="76"/>
      <c r="F150" s="74"/>
      <c r="G150" s="74"/>
      <c r="H150" s="74"/>
      <c r="I150" s="74"/>
      <c r="L150" s="74"/>
      <c r="M150" s="74"/>
      <c r="N150" s="74"/>
      <c r="O150" s="74"/>
      <c r="P150" s="74"/>
    </row>
    <row r="151" spans="5:16" s="75" customFormat="1" x14ac:dyDescent="0.3">
      <c r="E151" s="76"/>
      <c r="F151" s="74"/>
      <c r="G151" s="74"/>
      <c r="H151" s="74"/>
      <c r="I151" s="74"/>
      <c r="L151" s="74"/>
      <c r="M151" s="74"/>
      <c r="N151" s="74"/>
      <c r="O151" s="74"/>
      <c r="P151" s="74"/>
    </row>
    <row r="152" spans="5:16" s="75" customFormat="1" x14ac:dyDescent="0.3">
      <c r="E152" s="76"/>
      <c r="F152" s="74"/>
      <c r="G152" s="74"/>
      <c r="H152" s="74"/>
      <c r="I152" s="74"/>
      <c r="L152" s="74"/>
      <c r="M152" s="74"/>
      <c r="N152" s="74"/>
      <c r="O152" s="74"/>
      <c r="P152" s="74"/>
    </row>
    <row r="153" spans="5:16" s="75" customFormat="1" x14ac:dyDescent="0.3">
      <c r="E153" s="76"/>
      <c r="F153" s="74"/>
      <c r="G153" s="74"/>
      <c r="H153" s="74"/>
      <c r="I153" s="74"/>
      <c r="L153" s="74"/>
      <c r="M153" s="74"/>
      <c r="N153" s="74"/>
      <c r="O153" s="74"/>
      <c r="P153" s="74"/>
    </row>
    <row r="154" spans="5:16" s="75" customFormat="1" x14ac:dyDescent="0.3">
      <c r="E154" s="76"/>
      <c r="F154" s="74"/>
      <c r="G154" s="74"/>
      <c r="H154" s="74"/>
      <c r="I154" s="74"/>
      <c r="L154" s="74"/>
      <c r="M154" s="74"/>
      <c r="N154" s="74"/>
      <c r="O154" s="74"/>
      <c r="P154" s="74"/>
    </row>
    <row r="155" spans="5:16" s="75" customFormat="1" x14ac:dyDescent="0.3">
      <c r="E155" s="76"/>
      <c r="F155" s="74"/>
      <c r="G155" s="74"/>
      <c r="H155" s="74"/>
      <c r="I155" s="74"/>
      <c r="L155" s="74"/>
      <c r="M155" s="74"/>
      <c r="N155" s="74"/>
      <c r="O155" s="74"/>
      <c r="P155" s="74"/>
    </row>
    <row r="156" spans="5:16" s="75" customFormat="1" x14ac:dyDescent="0.3">
      <c r="E156" s="76"/>
      <c r="F156" s="74"/>
      <c r="G156" s="74"/>
      <c r="H156" s="74"/>
      <c r="I156" s="74"/>
      <c r="L156" s="74"/>
      <c r="M156" s="74"/>
      <c r="N156" s="74"/>
      <c r="O156" s="74"/>
      <c r="P156" s="74"/>
    </row>
    <row r="157" spans="5:16" s="75" customFormat="1" x14ac:dyDescent="0.3">
      <c r="E157" s="76"/>
      <c r="F157" s="74"/>
      <c r="G157" s="74"/>
      <c r="H157" s="74"/>
      <c r="I157" s="74"/>
      <c r="L157" s="74"/>
      <c r="M157" s="74"/>
      <c r="N157" s="74"/>
      <c r="O157" s="74"/>
      <c r="P157" s="74"/>
    </row>
    <row r="158" spans="5:16" s="75" customFormat="1" x14ac:dyDescent="0.3">
      <c r="E158" s="76"/>
      <c r="F158" s="74"/>
      <c r="G158" s="74"/>
      <c r="H158" s="74"/>
      <c r="I158" s="74"/>
      <c r="L158" s="74"/>
      <c r="M158" s="74"/>
      <c r="N158" s="74"/>
      <c r="O158" s="74"/>
      <c r="P158" s="74"/>
    </row>
    <row r="159" spans="5:16" s="75" customFormat="1" x14ac:dyDescent="0.3">
      <c r="E159" s="76"/>
      <c r="F159" s="74"/>
      <c r="G159" s="74"/>
      <c r="H159" s="74"/>
      <c r="I159" s="74"/>
      <c r="L159" s="74"/>
      <c r="M159" s="74"/>
      <c r="N159" s="74"/>
      <c r="O159" s="74"/>
      <c r="P159" s="74"/>
    </row>
    <row r="160" spans="5:16" s="75" customFormat="1" x14ac:dyDescent="0.3">
      <c r="E160" s="76"/>
      <c r="F160" s="74"/>
      <c r="G160" s="74"/>
      <c r="H160" s="74"/>
      <c r="I160" s="74"/>
      <c r="L160" s="74"/>
      <c r="M160" s="74"/>
      <c r="N160" s="74"/>
      <c r="O160" s="74"/>
      <c r="P160" s="74"/>
    </row>
    <row r="161" spans="5:16" s="75" customFormat="1" x14ac:dyDescent="0.3">
      <c r="E161" s="76"/>
      <c r="F161" s="74"/>
      <c r="G161" s="74"/>
      <c r="H161" s="74"/>
      <c r="I161" s="74"/>
      <c r="L161" s="74"/>
      <c r="M161" s="74"/>
      <c r="N161" s="74"/>
      <c r="O161" s="74"/>
      <c r="P161" s="74"/>
    </row>
    <row r="162" spans="5:16" s="75" customFormat="1" x14ac:dyDescent="0.3">
      <c r="E162" s="76"/>
      <c r="F162" s="74"/>
      <c r="G162" s="74"/>
      <c r="H162" s="74"/>
      <c r="I162" s="74"/>
      <c r="L162" s="74"/>
      <c r="M162" s="74"/>
      <c r="N162" s="74"/>
      <c r="O162" s="74"/>
      <c r="P162" s="74"/>
    </row>
    <row r="163" spans="5:16" s="75" customFormat="1" x14ac:dyDescent="0.3">
      <c r="E163" s="76"/>
      <c r="F163" s="74"/>
      <c r="G163" s="74"/>
      <c r="H163" s="74"/>
      <c r="I163" s="74"/>
      <c r="L163" s="74"/>
      <c r="M163" s="74"/>
      <c r="N163" s="74"/>
      <c r="O163" s="74"/>
      <c r="P163" s="74"/>
    </row>
    <row r="164" spans="5:16" s="75" customFormat="1" x14ac:dyDescent="0.3">
      <c r="E164" s="76"/>
      <c r="F164" s="74"/>
      <c r="G164" s="74"/>
      <c r="H164" s="74"/>
      <c r="I164" s="74"/>
      <c r="L164" s="74"/>
      <c r="M164" s="74"/>
      <c r="N164" s="74"/>
      <c r="O164" s="74"/>
      <c r="P164" s="74"/>
    </row>
    <row r="165" spans="5:16" s="75" customFormat="1" x14ac:dyDescent="0.3">
      <c r="E165" s="76"/>
      <c r="F165" s="74"/>
      <c r="G165" s="74"/>
      <c r="H165" s="74"/>
      <c r="I165" s="74"/>
      <c r="L165" s="74"/>
      <c r="M165" s="74"/>
      <c r="N165" s="74"/>
      <c r="O165" s="74"/>
      <c r="P165" s="74"/>
    </row>
    <row r="166" spans="5:16" s="75" customFormat="1" x14ac:dyDescent="0.3">
      <c r="E166" s="76"/>
      <c r="F166" s="74"/>
      <c r="G166" s="74"/>
      <c r="H166" s="74"/>
      <c r="I166" s="74"/>
      <c r="L166" s="74"/>
      <c r="M166" s="74"/>
      <c r="N166" s="74"/>
      <c r="O166" s="74"/>
      <c r="P166" s="74"/>
    </row>
    <row r="167" spans="5:16" s="75" customFormat="1" x14ac:dyDescent="0.3">
      <c r="E167" s="76"/>
      <c r="F167" s="74"/>
      <c r="G167" s="74"/>
      <c r="H167" s="74"/>
      <c r="I167" s="74"/>
      <c r="L167" s="74"/>
      <c r="M167" s="74"/>
      <c r="N167" s="74"/>
      <c r="O167" s="74"/>
      <c r="P167" s="74"/>
    </row>
    <row r="168" spans="5:16" s="75" customFormat="1" x14ac:dyDescent="0.3">
      <c r="E168" s="76"/>
      <c r="F168" s="74"/>
      <c r="G168" s="74"/>
      <c r="H168" s="74"/>
      <c r="I168" s="74"/>
      <c r="L168" s="74"/>
      <c r="M168" s="74"/>
      <c r="N168" s="74"/>
      <c r="O168" s="74"/>
      <c r="P168" s="74"/>
    </row>
    <row r="169" spans="5:16" s="75" customFormat="1" x14ac:dyDescent="0.3">
      <c r="E169" s="76"/>
      <c r="F169" s="74"/>
      <c r="G169" s="74"/>
      <c r="H169" s="74"/>
      <c r="I169" s="74"/>
      <c r="L169" s="74"/>
      <c r="M169" s="74"/>
      <c r="N169" s="74"/>
      <c r="O169" s="74"/>
      <c r="P169" s="74"/>
    </row>
    <row r="170" spans="5:16" s="75" customFormat="1" x14ac:dyDescent="0.3">
      <c r="E170" s="76"/>
      <c r="F170" s="74"/>
      <c r="G170" s="74"/>
      <c r="H170" s="74"/>
      <c r="I170" s="74"/>
      <c r="L170" s="74"/>
      <c r="M170" s="74"/>
      <c r="N170" s="74"/>
      <c r="O170" s="74"/>
      <c r="P170" s="74"/>
    </row>
    <row r="171" spans="5:16" s="75" customFormat="1" x14ac:dyDescent="0.3">
      <c r="E171" s="76"/>
      <c r="F171" s="74"/>
      <c r="G171" s="74"/>
      <c r="H171" s="74"/>
      <c r="I171" s="74"/>
      <c r="L171" s="74"/>
      <c r="M171" s="74"/>
      <c r="N171" s="74"/>
      <c r="O171" s="74"/>
      <c r="P171" s="74"/>
    </row>
    <row r="172" spans="5:16" s="75" customFormat="1" x14ac:dyDescent="0.3">
      <c r="E172" s="76"/>
      <c r="F172" s="74"/>
      <c r="G172" s="74"/>
      <c r="H172" s="74"/>
      <c r="I172" s="74"/>
      <c r="L172" s="74"/>
      <c r="M172" s="74"/>
      <c r="N172" s="74"/>
      <c r="O172" s="74"/>
      <c r="P172" s="74"/>
    </row>
    <row r="173" spans="5:16" s="75" customFormat="1" x14ac:dyDescent="0.3">
      <c r="E173" s="76"/>
      <c r="F173" s="74"/>
      <c r="G173" s="74"/>
      <c r="H173" s="74"/>
      <c r="I173" s="74"/>
      <c r="L173" s="74"/>
      <c r="M173" s="74"/>
      <c r="N173" s="74"/>
      <c r="O173" s="74"/>
      <c r="P173" s="74"/>
    </row>
    <row r="174" spans="5:16" s="75" customFormat="1" x14ac:dyDescent="0.3">
      <c r="E174" s="76"/>
      <c r="F174" s="74"/>
      <c r="G174" s="74"/>
      <c r="H174" s="74"/>
      <c r="I174" s="74"/>
      <c r="L174" s="74"/>
      <c r="M174" s="74"/>
      <c r="N174" s="74"/>
      <c r="O174" s="74"/>
      <c r="P174" s="74"/>
    </row>
    <row r="175" spans="5:16" s="75" customFormat="1" x14ac:dyDescent="0.3">
      <c r="E175" s="76"/>
      <c r="F175" s="74"/>
      <c r="G175" s="74"/>
      <c r="H175" s="74"/>
      <c r="I175" s="74"/>
      <c r="L175" s="74"/>
      <c r="M175" s="74"/>
      <c r="N175" s="74"/>
      <c r="O175" s="74"/>
      <c r="P175" s="74"/>
    </row>
    <row r="176" spans="5:16" s="75" customFormat="1" x14ac:dyDescent="0.3">
      <c r="E176" s="76"/>
      <c r="F176" s="74"/>
      <c r="G176" s="74"/>
      <c r="H176" s="74"/>
      <c r="I176" s="74"/>
      <c r="L176" s="74"/>
      <c r="M176" s="74"/>
      <c r="N176" s="74"/>
      <c r="O176" s="74"/>
      <c r="P176" s="74"/>
    </row>
    <row r="177" spans="5:16" s="75" customFormat="1" x14ac:dyDescent="0.3">
      <c r="E177" s="76"/>
      <c r="F177" s="74"/>
      <c r="G177" s="74"/>
      <c r="H177" s="74"/>
      <c r="I177" s="74"/>
      <c r="L177" s="74"/>
      <c r="M177" s="74"/>
      <c r="N177" s="74"/>
      <c r="O177" s="74"/>
      <c r="P177" s="74"/>
    </row>
    <row r="178" spans="5:16" s="75" customFormat="1" x14ac:dyDescent="0.3">
      <c r="E178" s="76"/>
      <c r="F178" s="74"/>
      <c r="G178" s="74"/>
      <c r="H178" s="74"/>
      <c r="I178" s="74"/>
      <c r="L178" s="74"/>
      <c r="M178" s="74"/>
      <c r="N178" s="74"/>
      <c r="O178" s="74"/>
      <c r="P178" s="74"/>
    </row>
    <row r="179" spans="5:16" s="75" customFormat="1" x14ac:dyDescent="0.3">
      <c r="E179" s="76"/>
      <c r="F179" s="74"/>
      <c r="G179" s="74"/>
      <c r="H179" s="74"/>
      <c r="I179" s="74"/>
      <c r="L179" s="74"/>
      <c r="M179" s="74"/>
      <c r="N179" s="74"/>
      <c r="O179" s="74"/>
      <c r="P179" s="74"/>
    </row>
    <row r="180" spans="5:16" s="75" customFormat="1" x14ac:dyDescent="0.3">
      <c r="E180" s="76"/>
      <c r="F180" s="74"/>
      <c r="G180" s="74"/>
      <c r="H180" s="74"/>
      <c r="I180" s="74"/>
      <c r="L180" s="74"/>
      <c r="M180" s="74"/>
      <c r="N180" s="74"/>
      <c r="O180" s="74"/>
      <c r="P180" s="74"/>
    </row>
    <row r="181" spans="5:16" s="75" customFormat="1" x14ac:dyDescent="0.3">
      <c r="E181" s="76"/>
      <c r="F181" s="74"/>
      <c r="G181" s="74"/>
      <c r="H181" s="74"/>
      <c r="I181" s="74"/>
      <c r="L181" s="74"/>
      <c r="M181" s="74"/>
      <c r="N181" s="74"/>
      <c r="O181" s="74"/>
      <c r="P181" s="74"/>
    </row>
    <row r="182" spans="5:16" s="75" customFormat="1" x14ac:dyDescent="0.3">
      <c r="E182" s="76"/>
      <c r="F182" s="74"/>
      <c r="G182" s="74"/>
      <c r="H182" s="74"/>
      <c r="I182" s="74"/>
      <c r="L182" s="74"/>
      <c r="M182" s="74"/>
      <c r="N182" s="74"/>
      <c r="O182" s="74"/>
      <c r="P182" s="74"/>
    </row>
    <row r="183" spans="5:16" s="75" customFormat="1" x14ac:dyDescent="0.3">
      <c r="E183" s="76"/>
      <c r="F183" s="74"/>
      <c r="G183" s="74"/>
      <c r="H183" s="74"/>
      <c r="I183" s="74"/>
      <c r="L183" s="74"/>
      <c r="M183" s="74"/>
      <c r="N183" s="74"/>
      <c r="O183" s="74"/>
      <c r="P183" s="74"/>
    </row>
    <row r="184" spans="5:16" s="75" customFormat="1" x14ac:dyDescent="0.3">
      <c r="E184" s="76"/>
      <c r="F184" s="74"/>
      <c r="G184" s="74"/>
      <c r="H184" s="74"/>
      <c r="I184" s="74"/>
      <c r="L184" s="74"/>
      <c r="M184" s="74"/>
      <c r="N184" s="74"/>
      <c r="O184" s="74"/>
      <c r="P184" s="74"/>
    </row>
    <row r="185" spans="5:16" s="75" customFormat="1" x14ac:dyDescent="0.3">
      <c r="E185" s="76"/>
      <c r="F185" s="74"/>
      <c r="G185" s="74"/>
      <c r="H185" s="74"/>
      <c r="I185" s="74"/>
      <c r="L185" s="74"/>
      <c r="M185" s="74"/>
      <c r="N185" s="74"/>
      <c r="O185" s="74"/>
      <c r="P185" s="74"/>
    </row>
    <row r="186" spans="5:16" s="75" customFormat="1" x14ac:dyDescent="0.3">
      <c r="E186" s="76"/>
      <c r="F186" s="74"/>
      <c r="G186" s="74"/>
      <c r="H186" s="74"/>
      <c r="I186" s="74"/>
      <c r="L186" s="74"/>
      <c r="M186" s="74"/>
      <c r="N186" s="74"/>
      <c r="O186" s="74"/>
      <c r="P186" s="74"/>
    </row>
    <row r="187" spans="5:16" s="75" customFormat="1" x14ac:dyDescent="0.3">
      <c r="E187" s="76"/>
      <c r="F187" s="74"/>
      <c r="G187" s="74"/>
      <c r="H187" s="74"/>
      <c r="I187" s="74"/>
      <c r="L187" s="74"/>
      <c r="M187" s="74"/>
      <c r="N187" s="74"/>
      <c r="O187" s="74"/>
      <c r="P187" s="74"/>
    </row>
    <row r="188" spans="5:16" s="75" customFormat="1" x14ac:dyDescent="0.3">
      <c r="E188" s="76"/>
      <c r="F188" s="74"/>
      <c r="G188" s="74"/>
      <c r="H188" s="74"/>
      <c r="I188" s="74"/>
      <c r="L188" s="74"/>
      <c r="M188" s="74"/>
      <c r="N188" s="74"/>
      <c r="O188" s="74"/>
      <c r="P188" s="74"/>
    </row>
    <row r="189" spans="5:16" s="75" customFormat="1" x14ac:dyDescent="0.3">
      <c r="E189" s="76"/>
      <c r="F189" s="74"/>
      <c r="G189" s="74"/>
      <c r="H189" s="74"/>
      <c r="I189" s="74"/>
      <c r="L189" s="74"/>
      <c r="M189" s="74"/>
      <c r="N189" s="74"/>
      <c r="O189" s="74"/>
      <c r="P189" s="74"/>
    </row>
    <row r="190" spans="5:16" s="75" customFormat="1" x14ac:dyDescent="0.3">
      <c r="E190" s="76"/>
      <c r="F190" s="74"/>
      <c r="G190" s="74"/>
      <c r="H190" s="74"/>
      <c r="I190" s="74"/>
      <c r="L190" s="74"/>
      <c r="M190" s="74"/>
      <c r="N190" s="74"/>
      <c r="O190" s="74"/>
      <c r="P190" s="74"/>
    </row>
    <row r="191" spans="5:16" s="75" customFormat="1" x14ac:dyDescent="0.3">
      <c r="E191" s="76"/>
      <c r="F191" s="74"/>
      <c r="G191" s="74"/>
      <c r="H191" s="74"/>
      <c r="I191" s="74"/>
      <c r="L191" s="74"/>
      <c r="M191" s="74"/>
      <c r="N191" s="74"/>
      <c r="O191" s="74"/>
      <c r="P191" s="74"/>
    </row>
    <row r="192" spans="5:16" s="75" customFormat="1" x14ac:dyDescent="0.3">
      <c r="E192" s="76"/>
      <c r="F192" s="74"/>
      <c r="G192" s="74"/>
      <c r="H192" s="74"/>
      <c r="I192" s="74"/>
      <c r="L192" s="74"/>
      <c r="M192" s="74"/>
      <c r="N192" s="74"/>
      <c r="O192" s="74"/>
      <c r="P192" s="74"/>
    </row>
    <row r="193" spans="5:16" s="75" customFormat="1" x14ac:dyDescent="0.3">
      <c r="E193" s="76"/>
      <c r="F193" s="74"/>
      <c r="G193" s="74"/>
      <c r="H193" s="74"/>
      <c r="I193" s="74"/>
      <c r="L193" s="74"/>
      <c r="M193" s="74"/>
      <c r="N193" s="74"/>
      <c r="O193" s="74"/>
      <c r="P193" s="74"/>
    </row>
    <row r="194" spans="5:16" s="75" customFormat="1" x14ac:dyDescent="0.3">
      <c r="E194" s="76"/>
      <c r="F194" s="74"/>
      <c r="G194" s="74"/>
      <c r="H194" s="74"/>
      <c r="I194" s="74"/>
      <c r="L194" s="74"/>
      <c r="M194" s="74"/>
      <c r="N194" s="74"/>
      <c r="O194" s="74"/>
      <c r="P194" s="74"/>
    </row>
    <row r="195" spans="5:16" s="75" customFormat="1" x14ac:dyDescent="0.3">
      <c r="E195" s="76"/>
      <c r="F195" s="74"/>
      <c r="G195" s="74"/>
      <c r="H195" s="74"/>
      <c r="I195" s="74"/>
      <c r="L195" s="74"/>
      <c r="M195" s="74"/>
      <c r="N195" s="74"/>
      <c r="O195" s="74"/>
      <c r="P195" s="74"/>
    </row>
    <row r="196" spans="5:16" s="75" customFormat="1" x14ac:dyDescent="0.3">
      <c r="E196" s="76"/>
      <c r="F196" s="74"/>
      <c r="G196" s="74"/>
      <c r="H196" s="74"/>
      <c r="I196" s="74"/>
      <c r="L196" s="74"/>
      <c r="M196" s="74"/>
      <c r="N196" s="74"/>
      <c r="O196" s="74"/>
      <c r="P196" s="74"/>
    </row>
    <row r="197" spans="5:16" s="75" customFormat="1" x14ac:dyDescent="0.3">
      <c r="E197" s="76"/>
      <c r="F197" s="74"/>
      <c r="G197" s="74"/>
      <c r="H197" s="74"/>
      <c r="I197" s="74"/>
      <c r="L197" s="74"/>
      <c r="M197" s="74"/>
      <c r="N197" s="74"/>
      <c r="O197" s="74"/>
      <c r="P197" s="74"/>
    </row>
    <row r="198" spans="5:16" s="75" customFormat="1" x14ac:dyDescent="0.3">
      <c r="E198" s="76"/>
      <c r="F198" s="74"/>
      <c r="G198" s="74"/>
      <c r="H198" s="74"/>
      <c r="I198" s="74"/>
      <c r="L198" s="74"/>
      <c r="M198" s="74"/>
      <c r="N198" s="74"/>
      <c r="O198" s="74"/>
      <c r="P198" s="74"/>
    </row>
    <row r="199" spans="5:16" s="75" customFormat="1" x14ac:dyDescent="0.3">
      <c r="E199" s="76"/>
      <c r="F199" s="74"/>
      <c r="G199" s="74"/>
      <c r="H199" s="74"/>
      <c r="I199" s="74"/>
      <c r="L199" s="74"/>
      <c r="M199" s="74"/>
      <c r="N199" s="74"/>
      <c r="O199" s="74"/>
      <c r="P199" s="74"/>
    </row>
    <row r="200" spans="5:16" s="75" customFormat="1" x14ac:dyDescent="0.3">
      <c r="E200" s="76"/>
      <c r="F200" s="74"/>
      <c r="G200" s="74"/>
      <c r="H200" s="74"/>
      <c r="I200" s="74"/>
      <c r="L200" s="74"/>
      <c r="M200" s="74"/>
      <c r="N200" s="74"/>
      <c r="O200" s="74"/>
      <c r="P200" s="74"/>
    </row>
    <row r="201" spans="5:16" s="75" customFormat="1" x14ac:dyDescent="0.3">
      <c r="E201" s="76"/>
      <c r="F201" s="74"/>
      <c r="G201" s="74"/>
      <c r="H201" s="74"/>
      <c r="I201" s="74"/>
      <c r="L201" s="74"/>
      <c r="M201" s="74"/>
      <c r="N201" s="74"/>
      <c r="O201" s="74"/>
      <c r="P201" s="74"/>
    </row>
    <row r="202" spans="5:16" s="75" customFormat="1" x14ac:dyDescent="0.3">
      <c r="E202" s="76"/>
      <c r="F202" s="74"/>
      <c r="G202" s="74"/>
      <c r="H202" s="74"/>
      <c r="I202" s="74"/>
      <c r="L202" s="74"/>
      <c r="M202" s="74"/>
      <c r="N202" s="74"/>
      <c r="O202" s="74"/>
      <c r="P202" s="74"/>
    </row>
    <row r="203" spans="5:16" s="75" customFormat="1" x14ac:dyDescent="0.3">
      <c r="E203" s="76"/>
      <c r="F203" s="74"/>
      <c r="G203" s="74"/>
      <c r="H203" s="74"/>
      <c r="I203" s="74"/>
      <c r="L203" s="74"/>
      <c r="M203" s="74"/>
      <c r="N203" s="74"/>
      <c r="O203" s="74"/>
      <c r="P203" s="74"/>
    </row>
    <row r="204" spans="5:16" s="75" customFormat="1" x14ac:dyDescent="0.3">
      <c r="E204" s="76"/>
      <c r="F204" s="74"/>
      <c r="G204" s="74"/>
      <c r="H204" s="74"/>
      <c r="I204" s="74"/>
      <c r="L204" s="74"/>
      <c r="M204" s="74"/>
      <c r="N204" s="74"/>
      <c r="O204" s="74"/>
      <c r="P204" s="74"/>
    </row>
    <row r="205" spans="5:16" s="75" customFormat="1" x14ac:dyDescent="0.3">
      <c r="E205" s="76"/>
      <c r="F205" s="74"/>
      <c r="G205" s="74"/>
      <c r="H205" s="74"/>
      <c r="I205" s="74"/>
      <c r="L205" s="74"/>
      <c r="M205" s="74"/>
      <c r="N205" s="74"/>
      <c r="O205" s="74"/>
      <c r="P205" s="74"/>
    </row>
    <row r="206" spans="5:16" s="75" customFormat="1" x14ac:dyDescent="0.3">
      <c r="E206" s="76"/>
      <c r="F206" s="74"/>
      <c r="G206" s="74"/>
      <c r="H206" s="74"/>
      <c r="I206" s="74"/>
      <c r="L206" s="74"/>
      <c r="M206" s="74"/>
      <c r="N206" s="74"/>
      <c r="O206" s="74"/>
      <c r="P206" s="74"/>
    </row>
    <row r="207" spans="5:16" s="75" customFormat="1" x14ac:dyDescent="0.3">
      <c r="E207" s="76"/>
      <c r="F207" s="74"/>
      <c r="G207" s="74"/>
      <c r="H207" s="74"/>
      <c r="I207" s="74"/>
      <c r="L207" s="74"/>
      <c r="M207" s="74"/>
      <c r="N207" s="74"/>
      <c r="O207" s="74"/>
      <c r="P207" s="74"/>
    </row>
    <row r="208" spans="5:16" s="75" customFormat="1" x14ac:dyDescent="0.3">
      <c r="E208" s="76"/>
      <c r="F208" s="74"/>
      <c r="G208" s="74"/>
      <c r="H208" s="74"/>
      <c r="I208" s="74"/>
      <c r="L208" s="74"/>
      <c r="M208" s="74"/>
      <c r="N208" s="74"/>
      <c r="O208" s="74"/>
      <c r="P208" s="74"/>
    </row>
    <row r="209" spans="5:16" s="75" customFormat="1" x14ac:dyDescent="0.3">
      <c r="E209" s="76"/>
      <c r="F209" s="74"/>
      <c r="G209" s="74"/>
      <c r="H209" s="74"/>
      <c r="I209" s="74"/>
      <c r="L209" s="74"/>
      <c r="M209" s="74"/>
      <c r="N209" s="74"/>
      <c r="O209" s="74"/>
      <c r="P209" s="74"/>
    </row>
    <row r="210" spans="5:16" s="75" customFormat="1" x14ac:dyDescent="0.3">
      <c r="E210" s="76"/>
      <c r="F210" s="74"/>
      <c r="G210" s="74"/>
      <c r="H210" s="74"/>
      <c r="I210" s="74"/>
      <c r="L210" s="74"/>
      <c r="M210" s="74"/>
      <c r="N210" s="74"/>
      <c r="O210" s="74"/>
      <c r="P210" s="74"/>
    </row>
    <row r="211" spans="5:16" s="75" customFormat="1" x14ac:dyDescent="0.3">
      <c r="E211" s="76"/>
      <c r="F211" s="74"/>
      <c r="G211" s="74"/>
      <c r="H211" s="74"/>
      <c r="I211" s="74"/>
      <c r="L211" s="74"/>
      <c r="M211" s="74"/>
      <c r="N211" s="74"/>
      <c r="O211" s="74"/>
      <c r="P211" s="74"/>
    </row>
    <row r="212" spans="5:16" s="75" customFormat="1" x14ac:dyDescent="0.3">
      <c r="E212" s="76"/>
      <c r="F212" s="74"/>
      <c r="G212" s="74"/>
      <c r="H212" s="74"/>
      <c r="I212" s="74"/>
      <c r="L212" s="74"/>
      <c r="M212" s="74"/>
      <c r="N212" s="74"/>
      <c r="O212" s="74"/>
      <c r="P212" s="74"/>
    </row>
    <row r="213" spans="5:16" s="75" customFormat="1" x14ac:dyDescent="0.3">
      <c r="E213" s="76"/>
      <c r="F213" s="74"/>
      <c r="G213" s="74"/>
      <c r="H213" s="74"/>
      <c r="I213" s="74"/>
      <c r="L213" s="74"/>
      <c r="M213" s="74"/>
      <c r="N213" s="74"/>
      <c r="O213" s="74"/>
      <c r="P213" s="74"/>
    </row>
    <row r="214" spans="5:16" s="75" customFormat="1" x14ac:dyDescent="0.3">
      <c r="E214" s="76"/>
      <c r="F214" s="74"/>
      <c r="G214" s="74"/>
      <c r="H214" s="74"/>
      <c r="I214" s="74"/>
      <c r="L214" s="74"/>
      <c r="M214" s="74"/>
      <c r="N214" s="74"/>
      <c r="O214" s="74"/>
      <c r="P214" s="74"/>
    </row>
    <row r="215" spans="5:16" s="75" customFormat="1" x14ac:dyDescent="0.3">
      <c r="E215" s="76"/>
      <c r="F215" s="74"/>
      <c r="G215" s="74"/>
      <c r="H215" s="74"/>
      <c r="I215" s="74"/>
      <c r="L215" s="74"/>
      <c r="M215" s="74"/>
      <c r="N215" s="74"/>
      <c r="O215" s="74"/>
      <c r="P215" s="74"/>
    </row>
    <row r="216" spans="5:16" s="75" customFormat="1" x14ac:dyDescent="0.3">
      <c r="E216" s="76"/>
      <c r="F216" s="74"/>
      <c r="G216" s="74"/>
      <c r="H216" s="74"/>
      <c r="I216" s="74"/>
      <c r="L216" s="74"/>
      <c r="M216" s="74"/>
      <c r="N216" s="74"/>
      <c r="O216" s="74"/>
      <c r="P216" s="74"/>
    </row>
    <row r="217" spans="5:16" s="75" customFormat="1" x14ac:dyDescent="0.3">
      <c r="E217" s="76"/>
      <c r="F217" s="74"/>
      <c r="G217" s="74"/>
      <c r="H217" s="74"/>
      <c r="I217" s="74"/>
      <c r="L217" s="74"/>
      <c r="M217" s="74"/>
      <c r="N217" s="74"/>
      <c r="O217" s="74"/>
      <c r="P217" s="74"/>
    </row>
    <row r="218" spans="5:16" s="75" customFormat="1" x14ac:dyDescent="0.3">
      <c r="E218" s="76"/>
      <c r="F218" s="74"/>
      <c r="G218" s="74"/>
      <c r="H218" s="74"/>
      <c r="I218" s="74"/>
      <c r="L218" s="74"/>
      <c r="M218" s="74"/>
      <c r="N218" s="74"/>
      <c r="O218" s="74"/>
      <c r="P218" s="74"/>
    </row>
    <row r="219" spans="5:16" s="75" customFormat="1" x14ac:dyDescent="0.3">
      <c r="E219" s="76"/>
      <c r="F219" s="74"/>
      <c r="G219" s="74"/>
      <c r="H219" s="74"/>
      <c r="I219" s="74"/>
      <c r="L219" s="74"/>
      <c r="M219" s="74"/>
      <c r="N219" s="74"/>
      <c r="O219" s="74"/>
      <c r="P219" s="74"/>
    </row>
    <row r="220" spans="5:16" s="75" customFormat="1" x14ac:dyDescent="0.3">
      <c r="E220" s="76"/>
      <c r="F220" s="74"/>
      <c r="G220" s="74"/>
      <c r="H220" s="74"/>
      <c r="I220" s="74"/>
      <c r="L220" s="74"/>
      <c r="M220" s="74"/>
      <c r="N220" s="74"/>
      <c r="O220" s="74"/>
      <c r="P220" s="74"/>
    </row>
    <row r="221" spans="5:16" s="75" customFormat="1" x14ac:dyDescent="0.3">
      <c r="E221" s="76"/>
      <c r="F221" s="74"/>
      <c r="G221" s="74"/>
      <c r="H221" s="74"/>
      <c r="I221" s="74"/>
      <c r="L221" s="74"/>
      <c r="M221" s="74"/>
      <c r="N221" s="74"/>
      <c r="O221" s="74"/>
      <c r="P221" s="74"/>
    </row>
    <row r="222" spans="5:16" s="75" customFormat="1" x14ac:dyDescent="0.3">
      <c r="E222" s="76"/>
      <c r="F222" s="74"/>
      <c r="G222" s="74"/>
      <c r="H222" s="74"/>
      <c r="I222" s="74"/>
      <c r="L222" s="74"/>
      <c r="M222" s="74"/>
      <c r="N222" s="74"/>
      <c r="O222" s="74"/>
      <c r="P222" s="74"/>
    </row>
    <row r="223" spans="5:16" s="75" customFormat="1" x14ac:dyDescent="0.3">
      <c r="E223" s="76"/>
      <c r="F223" s="74"/>
      <c r="G223" s="74"/>
      <c r="H223" s="74"/>
      <c r="I223" s="74"/>
      <c r="L223" s="74"/>
      <c r="M223" s="74"/>
      <c r="N223" s="74"/>
      <c r="O223" s="74"/>
      <c r="P223" s="74"/>
    </row>
    <row r="224" spans="5:16" s="75" customFormat="1" x14ac:dyDescent="0.3">
      <c r="E224" s="76"/>
      <c r="F224" s="74"/>
      <c r="G224" s="74"/>
      <c r="H224" s="74"/>
      <c r="I224" s="74"/>
      <c r="L224" s="74"/>
      <c r="M224" s="74"/>
      <c r="N224" s="74"/>
      <c r="O224" s="74"/>
      <c r="P224" s="74"/>
    </row>
    <row r="225" spans="5:16" s="75" customFormat="1" x14ac:dyDescent="0.3">
      <c r="E225" s="76"/>
      <c r="F225" s="74"/>
      <c r="G225" s="74"/>
      <c r="H225" s="74"/>
      <c r="I225" s="74"/>
      <c r="L225" s="74"/>
      <c r="M225" s="74"/>
      <c r="N225" s="74"/>
      <c r="O225" s="74"/>
      <c r="P225" s="74"/>
    </row>
    <row r="226" spans="5:16" s="75" customFormat="1" x14ac:dyDescent="0.3">
      <c r="E226" s="76"/>
      <c r="F226" s="74"/>
      <c r="G226" s="74"/>
      <c r="H226" s="74"/>
      <c r="I226" s="74"/>
      <c r="L226" s="74"/>
      <c r="M226" s="74"/>
      <c r="N226" s="74"/>
      <c r="O226" s="74"/>
      <c r="P226" s="74"/>
    </row>
    <row r="227" spans="5:16" s="75" customFormat="1" x14ac:dyDescent="0.3">
      <c r="E227" s="76"/>
      <c r="F227" s="74"/>
      <c r="G227" s="74"/>
      <c r="H227" s="74"/>
      <c r="I227" s="74"/>
      <c r="L227" s="74"/>
      <c r="M227" s="74"/>
      <c r="N227" s="74"/>
      <c r="O227" s="74"/>
      <c r="P227" s="74"/>
    </row>
    <row r="228" spans="5:16" s="75" customFormat="1" x14ac:dyDescent="0.3">
      <c r="E228" s="76"/>
      <c r="F228" s="74"/>
      <c r="G228" s="74"/>
      <c r="H228" s="74"/>
      <c r="I228" s="74"/>
      <c r="L228" s="74"/>
      <c r="M228" s="74"/>
      <c r="N228" s="74"/>
      <c r="O228" s="74"/>
      <c r="P228" s="74"/>
    </row>
    <row r="229" spans="5:16" s="75" customFormat="1" x14ac:dyDescent="0.3">
      <c r="E229" s="76"/>
      <c r="F229" s="74"/>
      <c r="G229" s="74"/>
      <c r="H229" s="74"/>
      <c r="I229" s="74"/>
      <c r="L229" s="74"/>
      <c r="M229" s="74"/>
      <c r="N229" s="74"/>
      <c r="O229" s="74"/>
      <c r="P229" s="74"/>
    </row>
    <row r="230" spans="5:16" s="75" customFormat="1" x14ac:dyDescent="0.3">
      <c r="E230" s="76"/>
      <c r="F230" s="74"/>
      <c r="G230" s="74"/>
      <c r="H230" s="74"/>
      <c r="I230" s="74"/>
      <c r="L230" s="74"/>
      <c r="M230" s="74"/>
      <c r="N230" s="74"/>
      <c r="O230" s="74"/>
      <c r="P230" s="74"/>
    </row>
    <row r="231" spans="5:16" s="75" customFormat="1" x14ac:dyDescent="0.3">
      <c r="E231" s="76"/>
      <c r="F231" s="74"/>
      <c r="G231" s="74"/>
      <c r="H231" s="74"/>
      <c r="I231" s="74"/>
      <c r="L231" s="74"/>
      <c r="M231" s="74"/>
      <c r="N231" s="74"/>
      <c r="O231" s="74"/>
      <c r="P231" s="74"/>
    </row>
    <row r="232" spans="5:16" s="75" customFormat="1" x14ac:dyDescent="0.3">
      <c r="E232" s="76"/>
      <c r="F232" s="74"/>
      <c r="G232" s="74"/>
      <c r="H232" s="74"/>
      <c r="I232" s="74"/>
      <c r="L232" s="74"/>
      <c r="M232" s="74"/>
      <c r="N232" s="74"/>
      <c r="O232" s="74"/>
      <c r="P232" s="74"/>
    </row>
    <row r="233" spans="5:16" s="75" customFormat="1" x14ac:dyDescent="0.3">
      <c r="E233" s="76"/>
      <c r="F233" s="74"/>
      <c r="G233" s="74"/>
      <c r="H233" s="74"/>
      <c r="I233" s="74"/>
      <c r="L233" s="74"/>
      <c r="M233" s="74"/>
      <c r="N233" s="74"/>
      <c r="O233" s="74"/>
      <c r="P233" s="74"/>
    </row>
    <row r="234" spans="5:16" s="75" customFormat="1" x14ac:dyDescent="0.3">
      <c r="E234" s="76"/>
      <c r="F234" s="74"/>
      <c r="G234" s="74"/>
      <c r="H234" s="74"/>
      <c r="I234" s="74"/>
      <c r="L234" s="74"/>
      <c r="M234" s="74"/>
      <c r="N234" s="74"/>
      <c r="O234" s="74"/>
      <c r="P234" s="74"/>
    </row>
    <row r="235" spans="5:16" s="75" customFormat="1" x14ac:dyDescent="0.3">
      <c r="E235" s="76"/>
      <c r="F235" s="74"/>
      <c r="G235" s="74"/>
      <c r="H235" s="74"/>
      <c r="I235" s="74"/>
      <c r="L235" s="74"/>
      <c r="M235" s="74"/>
      <c r="N235" s="74"/>
      <c r="O235" s="74"/>
      <c r="P235" s="74"/>
    </row>
    <row r="236" spans="5:16" s="75" customFormat="1" x14ac:dyDescent="0.3">
      <c r="E236" s="76"/>
      <c r="F236" s="74"/>
      <c r="G236" s="74"/>
      <c r="H236" s="74"/>
      <c r="I236" s="74"/>
      <c r="L236" s="74"/>
      <c r="M236" s="74"/>
      <c r="N236" s="74"/>
      <c r="O236" s="74"/>
      <c r="P236" s="74"/>
    </row>
    <row r="237" spans="5:16" s="75" customFormat="1" x14ac:dyDescent="0.3">
      <c r="E237" s="76"/>
      <c r="F237" s="74"/>
      <c r="G237" s="74"/>
      <c r="H237" s="74"/>
      <c r="I237" s="74"/>
      <c r="L237" s="74"/>
      <c r="M237" s="74"/>
      <c r="N237" s="74"/>
      <c r="O237" s="74"/>
      <c r="P237" s="74"/>
    </row>
    <row r="238" spans="5:16" s="75" customFormat="1" x14ac:dyDescent="0.3">
      <c r="E238" s="76"/>
      <c r="F238" s="74"/>
      <c r="G238" s="74"/>
      <c r="H238" s="74"/>
      <c r="I238" s="74"/>
      <c r="L238" s="74"/>
      <c r="M238" s="74"/>
      <c r="N238" s="74"/>
      <c r="O238" s="74"/>
      <c r="P238" s="74"/>
    </row>
    <row r="239" spans="5:16" s="75" customFormat="1" x14ac:dyDescent="0.3">
      <c r="E239" s="76"/>
      <c r="F239" s="74"/>
      <c r="G239" s="74"/>
      <c r="H239" s="74"/>
      <c r="I239" s="74"/>
      <c r="L239" s="74"/>
      <c r="M239" s="74"/>
      <c r="N239" s="74"/>
      <c r="O239" s="74"/>
      <c r="P239" s="74"/>
    </row>
    <row r="240" spans="5:16" s="75" customFormat="1" x14ac:dyDescent="0.3">
      <c r="E240" s="76"/>
      <c r="F240" s="74"/>
      <c r="G240" s="74"/>
      <c r="H240" s="74"/>
      <c r="I240" s="74"/>
      <c r="L240" s="74"/>
      <c r="M240" s="74"/>
      <c r="N240" s="74"/>
      <c r="O240" s="74"/>
      <c r="P240" s="74"/>
    </row>
    <row r="241" spans="5:16" s="75" customFormat="1" x14ac:dyDescent="0.3">
      <c r="E241" s="76"/>
      <c r="F241" s="74"/>
      <c r="G241" s="74"/>
      <c r="H241" s="74"/>
      <c r="I241" s="74"/>
      <c r="L241" s="74"/>
      <c r="M241" s="74"/>
      <c r="N241" s="74"/>
      <c r="O241" s="74"/>
      <c r="P241" s="74"/>
    </row>
    <row r="242" spans="5:16" s="75" customFormat="1" x14ac:dyDescent="0.3">
      <c r="E242" s="76"/>
      <c r="F242" s="74"/>
      <c r="G242" s="74"/>
      <c r="H242" s="74"/>
      <c r="I242" s="74"/>
      <c r="L242" s="74"/>
      <c r="M242" s="74"/>
      <c r="N242" s="74"/>
      <c r="O242" s="74"/>
      <c r="P242" s="74"/>
    </row>
    <row r="243" spans="5:16" s="75" customFormat="1" x14ac:dyDescent="0.3">
      <c r="E243" s="76"/>
      <c r="F243" s="74"/>
      <c r="G243" s="74"/>
      <c r="H243" s="74"/>
      <c r="I243" s="74"/>
      <c r="L243" s="74"/>
      <c r="M243" s="74"/>
      <c r="N243" s="74"/>
      <c r="O243" s="74"/>
      <c r="P243" s="74"/>
    </row>
    <row r="244" spans="5:16" s="75" customFormat="1" x14ac:dyDescent="0.3">
      <c r="E244" s="76"/>
      <c r="F244" s="74"/>
      <c r="G244" s="74"/>
      <c r="H244" s="74"/>
      <c r="I244" s="74"/>
      <c r="L244" s="74"/>
      <c r="M244" s="74"/>
      <c r="N244" s="74"/>
      <c r="O244" s="74"/>
      <c r="P244" s="74"/>
    </row>
    <row r="245" spans="5:16" s="75" customFormat="1" x14ac:dyDescent="0.3">
      <c r="E245" s="76"/>
      <c r="F245" s="74"/>
      <c r="G245" s="74"/>
      <c r="H245" s="74"/>
      <c r="I245" s="74"/>
      <c r="L245" s="74"/>
      <c r="M245" s="74"/>
      <c r="N245" s="74"/>
      <c r="O245" s="74"/>
      <c r="P245" s="74"/>
    </row>
    <row r="246" spans="5:16" s="75" customFormat="1" x14ac:dyDescent="0.3">
      <c r="E246" s="76"/>
      <c r="F246" s="74"/>
      <c r="G246" s="74"/>
      <c r="H246" s="74"/>
      <c r="I246" s="74"/>
      <c r="L246" s="74"/>
      <c r="M246" s="74"/>
      <c r="N246" s="74"/>
      <c r="O246" s="74"/>
      <c r="P246" s="74"/>
    </row>
    <row r="247" spans="5:16" s="75" customFormat="1" x14ac:dyDescent="0.3">
      <c r="E247" s="76"/>
      <c r="F247" s="74"/>
      <c r="G247" s="74"/>
      <c r="H247" s="74"/>
      <c r="I247" s="74"/>
      <c r="L247" s="74"/>
      <c r="M247" s="74"/>
      <c r="N247" s="74"/>
      <c r="O247" s="74"/>
      <c r="P247" s="74"/>
    </row>
    <row r="248" spans="5:16" s="75" customFormat="1" x14ac:dyDescent="0.3">
      <c r="E248" s="76"/>
      <c r="F248" s="74"/>
      <c r="G248" s="74"/>
      <c r="H248" s="74"/>
      <c r="I248" s="74"/>
      <c r="L248" s="74"/>
      <c r="M248" s="74"/>
      <c r="N248" s="74"/>
      <c r="O248" s="74"/>
      <c r="P248" s="74"/>
    </row>
    <row r="249" spans="5:16" s="75" customFormat="1" x14ac:dyDescent="0.3">
      <c r="E249" s="76"/>
      <c r="F249" s="74"/>
      <c r="G249" s="74"/>
      <c r="H249" s="74"/>
      <c r="I249" s="74"/>
      <c r="L249" s="74"/>
      <c r="M249" s="74"/>
      <c r="N249" s="74"/>
      <c r="O249" s="74"/>
      <c r="P249" s="74"/>
    </row>
    <row r="250" spans="5:16" s="75" customFormat="1" x14ac:dyDescent="0.3">
      <c r="E250" s="76"/>
      <c r="F250" s="74"/>
      <c r="G250" s="74"/>
      <c r="H250" s="74"/>
      <c r="I250" s="74"/>
      <c r="L250" s="74"/>
      <c r="M250" s="74"/>
      <c r="N250" s="74"/>
      <c r="O250" s="74"/>
      <c r="P250" s="74"/>
    </row>
    <row r="251" spans="5:16" s="75" customFormat="1" x14ac:dyDescent="0.3">
      <c r="E251" s="76"/>
      <c r="F251" s="74"/>
      <c r="G251" s="74"/>
      <c r="H251" s="74"/>
      <c r="I251" s="74"/>
      <c r="L251" s="74"/>
      <c r="M251" s="74"/>
      <c r="N251" s="74"/>
      <c r="O251" s="74"/>
      <c r="P251" s="74"/>
    </row>
    <row r="252" spans="5:16" s="75" customFormat="1" x14ac:dyDescent="0.3">
      <c r="E252" s="76"/>
      <c r="F252" s="74"/>
      <c r="G252" s="74"/>
      <c r="H252" s="74"/>
      <c r="I252" s="74"/>
      <c r="L252" s="74"/>
      <c r="M252" s="74"/>
      <c r="N252" s="74"/>
      <c r="O252" s="74"/>
      <c r="P252" s="74"/>
    </row>
    <row r="253" spans="5:16" s="75" customFormat="1" x14ac:dyDescent="0.3">
      <c r="E253" s="76"/>
      <c r="F253" s="74"/>
      <c r="G253" s="74"/>
      <c r="H253" s="74"/>
      <c r="I253" s="74"/>
      <c r="L253" s="74"/>
      <c r="M253" s="74"/>
      <c r="N253" s="74"/>
      <c r="O253" s="74"/>
      <c r="P253" s="74"/>
    </row>
    <row r="254" spans="5:16" s="75" customFormat="1" x14ac:dyDescent="0.3">
      <c r="E254" s="76"/>
      <c r="F254" s="74"/>
      <c r="G254" s="74"/>
      <c r="H254" s="74"/>
      <c r="I254" s="74"/>
      <c r="L254" s="74"/>
      <c r="M254" s="74"/>
      <c r="N254" s="74"/>
      <c r="O254" s="74"/>
      <c r="P254" s="74"/>
    </row>
    <row r="255" spans="5:16" s="75" customFormat="1" x14ac:dyDescent="0.3">
      <c r="E255" s="76"/>
      <c r="F255" s="74"/>
      <c r="G255" s="74"/>
      <c r="H255" s="74"/>
      <c r="I255" s="74"/>
      <c r="L255" s="74"/>
      <c r="M255" s="74"/>
      <c r="N255" s="74"/>
      <c r="O255" s="74"/>
      <c r="P255" s="74"/>
    </row>
    <row r="256" spans="5:16" s="75" customFormat="1" x14ac:dyDescent="0.3">
      <c r="E256" s="76"/>
      <c r="F256" s="74"/>
      <c r="G256" s="74"/>
      <c r="H256" s="74"/>
      <c r="I256" s="74"/>
      <c r="L256" s="74"/>
      <c r="M256" s="74"/>
      <c r="N256" s="74"/>
      <c r="O256" s="74"/>
      <c r="P256" s="74"/>
    </row>
  </sheetData>
  <autoFilter ref="A1:P27" xr:uid="{BA5AE663-C582-441A-AB9E-8B3CB8FBFDB2}"/>
  <conditionalFormatting sqref="C1:C1048576">
    <cfRule type="duplicateValues" dxfId="3" priority="1"/>
  </conditionalFormatting>
  <conditionalFormatting sqref="K2:K26">
    <cfRule type="containsText" dxfId="2" priority="2" operator="containsText" text="ACEPTABLE">
      <formula>NOT(ISERROR(SEARCH("ACEPTABLE",K2)))</formula>
    </cfRule>
    <cfRule type="containsText" dxfId="1" priority="3" operator="containsText" text="CRÍTICO">
      <formula>NOT(ISERROR(SEARCH("CRÍTICO",K2)))</formula>
    </cfRule>
    <cfRule type="containsText" dxfId="0" priority="4" operator="containsText" text="MODERADO">
      <formula>NOT(ISERROR(SEARCH("MODERADO",K2)))</formula>
    </cfRule>
  </conditionalFormatting>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FC3B-BD2C-4681-8527-0CCE148198ED}">
  <dimension ref="A1:A22"/>
  <sheetViews>
    <sheetView topLeftCell="A4" workbookViewId="0">
      <selection activeCell="B21" sqref="B21"/>
    </sheetView>
  </sheetViews>
  <sheetFormatPr baseColWidth="10" defaultColWidth="10.81640625" defaultRowHeight="14.5" x14ac:dyDescent="0.35"/>
  <cols>
    <col min="1" max="1" width="30.1796875" style="31" customWidth="1"/>
    <col min="2" max="16384" width="10.81640625" style="31"/>
  </cols>
  <sheetData>
    <row r="1" spans="1:1" x14ac:dyDescent="0.35">
      <c r="A1" s="49" t="s">
        <v>450</v>
      </c>
    </row>
    <row r="2" spans="1:1" x14ac:dyDescent="0.35">
      <c r="A2" s="49" t="s">
        <v>372</v>
      </c>
    </row>
    <row r="3" spans="1:1" x14ac:dyDescent="0.35">
      <c r="A3" s="49" t="s">
        <v>65</v>
      </c>
    </row>
    <row r="4" spans="1:1" x14ac:dyDescent="0.35">
      <c r="A4" s="49" t="s">
        <v>217</v>
      </c>
    </row>
    <row r="5" spans="1:1" x14ac:dyDescent="0.35">
      <c r="A5" s="49" t="s">
        <v>439</v>
      </c>
    </row>
    <row r="6" spans="1:1" x14ac:dyDescent="0.35">
      <c r="A6" s="49" t="s">
        <v>444</v>
      </c>
    </row>
    <row r="7" spans="1:1" x14ac:dyDescent="0.35">
      <c r="A7" s="49"/>
    </row>
    <row r="8" spans="1:1" x14ac:dyDescent="0.35">
      <c r="A8" s="49"/>
    </row>
    <row r="9" spans="1:1" x14ac:dyDescent="0.35">
      <c r="A9" s="49"/>
    </row>
    <row r="10" spans="1:1" x14ac:dyDescent="0.35">
      <c r="A10" s="49"/>
    </row>
    <row r="11" spans="1:1" x14ac:dyDescent="0.35">
      <c r="A11" s="49" t="s">
        <v>451</v>
      </c>
    </row>
    <row r="12" spans="1:1" x14ac:dyDescent="0.35">
      <c r="A12" s="49" t="s">
        <v>452</v>
      </c>
    </row>
    <row r="13" spans="1:1" x14ac:dyDescent="0.35">
      <c r="A13" s="49" t="s">
        <v>453</v>
      </c>
    </row>
    <row r="14" spans="1:1" x14ac:dyDescent="0.35">
      <c r="A14" s="49" t="s">
        <v>454</v>
      </c>
    </row>
    <row r="15" spans="1:1" x14ac:dyDescent="0.35">
      <c r="A15" s="49"/>
    </row>
    <row r="16" spans="1:1" x14ac:dyDescent="0.35">
      <c r="A16" s="49" t="s">
        <v>88</v>
      </c>
    </row>
    <row r="17" spans="1:1" x14ac:dyDescent="0.35">
      <c r="A17" s="49" t="s">
        <v>455</v>
      </c>
    </row>
    <row r="18" spans="1:1" x14ac:dyDescent="0.35">
      <c r="A18" s="49" t="s">
        <v>459</v>
      </c>
    </row>
    <row r="19" spans="1:1" x14ac:dyDescent="0.35">
      <c r="A19" s="49"/>
    </row>
    <row r="20" spans="1:1" x14ac:dyDescent="0.35">
      <c r="A20" s="49"/>
    </row>
    <row r="21" spans="1:1" x14ac:dyDescent="0.35">
      <c r="A21" s="49" t="s">
        <v>456</v>
      </c>
    </row>
    <row r="22" spans="1:1" x14ac:dyDescent="0.35">
      <c r="A22" s="49" t="s">
        <v>457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2ad5c52-1bb3-4185-9e3f-9c61edc0235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165BDE12AC3CF42893A3421E493FA5F" ma:contentTypeVersion="11" ma:contentTypeDescription="Crear nuevo documento." ma:contentTypeScope="" ma:versionID="696750587c5812cdcdd7529eb27d9db1">
  <xsd:schema xmlns:xsd="http://www.w3.org/2001/XMLSchema" xmlns:xs="http://www.w3.org/2001/XMLSchema" xmlns:p="http://schemas.microsoft.com/office/2006/metadata/properties" xmlns:ns3="72ad5c52-1bb3-4185-9e3f-9c61edc02354" targetNamespace="http://schemas.microsoft.com/office/2006/metadata/properties" ma:root="true" ma:fieldsID="133dcec8c5435846843c29ce86117f00" ns3:_="">
    <xsd:import namespace="72ad5c52-1bb3-4185-9e3f-9c61edc02354"/>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ad5c52-1bb3-4185-9e3f-9c61edc0235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BD5CA1-ECFE-4A5F-99DE-5B5A31A8A03C}">
  <ds:schemaRefs>
    <ds:schemaRef ds:uri="http://schemas.microsoft.com/office/2006/metadata/properties"/>
    <ds:schemaRef ds:uri="http://schemas.microsoft.com/office/infopath/2007/PartnerControls"/>
    <ds:schemaRef ds:uri="72ad5c52-1bb3-4185-9e3f-9c61edc02354"/>
  </ds:schemaRefs>
</ds:datastoreItem>
</file>

<file path=customXml/itemProps2.xml><?xml version="1.0" encoding="utf-8"?>
<ds:datastoreItem xmlns:ds="http://schemas.openxmlformats.org/officeDocument/2006/customXml" ds:itemID="{8475EF24-1519-43C0-AFCC-FD4331E3C6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ad5c52-1bb3-4185-9e3f-9c61edc02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458091-4BEA-4383-A5A0-786661E82C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GRÁFICAS</vt:lpstr>
      <vt:lpstr>CRM ANALISTAS</vt:lpstr>
      <vt:lpstr>Hoja3</vt:lpstr>
      <vt:lpstr>PHVA</vt:lpstr>
      <vt:lpstr>VERO EMPRESAS ACTIVAS</vt:lpstr>
      <vt:lpstr>LISTA DESPLEGABLE</vt:lpstr>
      <vt:lpstr>ACTUAR</vt:lpstr>
      <vt:lpstr>HACER</vt:lpstr>
      <vt:lpstr>PLANEAR</vt:lpstr>
      <vt:lpstr>VERIFICAR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NUBIA CATAÑO VELASQUEZ</dc:creator>
  <cp:keywords/>
  <dc:description/>
  <cp:lastModifiedBy>Laura Stephany Díaz</cp:lastModifiedBy>
  <cp:revision/>
  <dcterms:created xsi:type="dcterms:W3CDTF">2025-06-09T03:04:50Z</dcterms:created>
  <dcterms:modified xsi:type="dcterms:W3CDTF">2025-06-16T19:41:22Z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0x010100F165BDE12AC3CF42893A3421E493FA5F</vt:lpwstr>
  </property>
</Properties>
</file>